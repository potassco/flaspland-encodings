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ances" sheetId="1" state="visible" r:id="rId3"/>
    <sheet name="Merged Runs" sheetId="2" state="visible" r:id="rId4"/>
    <sheet name="Classes" sheetId="3" state="visible" r:id="rId5"/>
    <sheet name="Helper" sheetId="4" state="hidden" r:id="rId6"/>
    <sheet name="Char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<sst xmlns="http://schemas.openxmlformats.org/spreadsheetml/2006/main" count="1690" uniqueCount="414">
  <si>
    <t xml:space="preserve">clingo-5.8.0/one-as</t>
  </si>
  <si>
    <t xml:space="preserve">choices</t>
  </si>
  <si>
    <t xml:space="preserve">conflicts</t>
  </si>
  <si>
    <t xml:space="preserve">constraints</t>
  </si>
  <si>
    <t xml:space="preserve">error</t>
  </si>
  <si>
    <t xml:space="preserve">mem</t>
  </si>
  <si>
    <t xml:space="preserve">memout</t>
  </si>
  <si>
    <t xml:space="preserve">models</t>
  </si>
  <si>
    <t xml:space="preserve">overall-time</t>
  </si>
  <si>
    <t xml:space="preserve">par2</t>
  </si>
  <si>
    <t xml:space="preserve">restarts</t>
  </si>
  <si>
    <t xml:space="preserve">rstatus</t>
  </si>
  <si>
    <t xml:space="preserve">rules</t>
  </si>
  <si>
    <t xml:space="preserve">solving-time</t>
  </si>
  <si>
    <t xml:space="preserve">status</t>
  </si>
  <si>
    <t xml:space="preserve">time</t>
  </si>
  <si>
    <t xml:space="preserve">timeout</t>
  </si>
  <si>
    <t xml:space="preserve">variables</t>
  </si>
  <si>
    <t xml:space="preserve">Level_0/2-0000101</t>
  </si>
  <si>
    <t xml:space="preserve">ok</t>
  </si>
  <si>
    <t xml:space="preserve">SATISFIABLE</t>
  </si>
  <si>
    <t xml:space="preserve">Level_0/2-0000110</t>
  </si>
  <si>
    <t xml:space="preserve">Level_0/2-0001001</t>
  </si>
  <si>
    <t xml:space="preserve">Level_0/2-0001010</t>
  </si>
  <si>
    <t xml:space="preserve">Level_0/2-0001100</t>
  </si>
  <si>
    <t xml:space="preserve">Level_0/2-0100001</t>
  </si>
  <si>
    <t xml:space="preserve">Level_0/2-0100100</t>
  </si>
  <si>
    <t xml:space="preserve">Level_0/3-0001101</t>
  </si>
  <si>
    <t xml:space="preserve">Level_0/3-0001110</t>
  </si>
  <si>
    <t xml:space="preserve">Level_0/3-0101001</t>
  </si>
  <si>
    <t xml:space="preserve">Level_0/3-1011000</t>
  </si>
  <si>
    <t xml:space="preserve">Level_0/3-1100010</t>
  </si>
  <si>
    <t xml:space="preserve">Level_0/3-1100100</t>
  </si>
  <si>
    <t xml:space="preserve">Level_0/3-1101000</t>
  </si>
  <si>
    <t xml:space="preserve">Level_0/4-0010111</t>
  </si>
  <si>
    <t xml:space="preserve">Level_0/4-0011110</t>
  </si>
  <si>
    <t xml:space="preserve">Level_0/4-0100111</t>
  </si>
  <si>
    <t xml:space="preserve">Level_0/4-1000111</t>
  </si>
  <si>
    <t xml:space="preserve">Level_0/4-1001110</t>
  </si>
  <si>
    <t xml:space="preserve">Level_0/4-1100101</t>
  </si>
  <si>
    <t xml:space="preserve">Level_0/4-1100110</t>
  </si>
  <si>
    <t xml:space="preserve">Level_0/5-0101111</t>
  </si>
  <si>
    <t xml:space="preserve">Level_0/5-0111011</t>
  </si>
  <si>
    <t xml:space="preserve">Level_0/5-1010111</t>
  </si>
  <si>
    <t xml:space="preserve">Level_0/5-1101011</t>
  </si>
  <si>
    <t xml:space="preserve">Level_0/5-1110110</t>
  </si>
  <si>
    <t xml:space="preserve">Level_0/5-1111001</t>
  </si>
  <si>
    <t xml:space="preserve">Level_0/5-1111100</t>
  </si>
  <si>
    <t xml:space="preserve">Level_0/6-0111111</t>
  </si>
  <si>
    <t xml:space="preserve">Level_0/6-1011111</t>
  </si>
  <si>
    <t xml:space="preserve">Level_0/6-1101111</t>
  </si>
  <si>
    <t xml:space="preserve">Level_0/6-1110111</t>
  </si>
  <si>
    <t xml:space="preserve">Level_0/6-1111011</t>
  </si>
  <si>
    <t xml:space="preserve">Level_0/6-1111101</t>
  </si>
  <si>
    <t xml:space="preserve">Level_0/6-1111110</t>
  </si>
  <si>
    <t xml:space="preserve">Level_0/7-1111111</t>
  </si>
  <si>
    <t xml:space="preserve">Level_1/2-0000101</t>
  </si>
  <si>
    <t xml:space="preserve">Level_1/2-0001010</t>
  </si>
  <si>
    <t xml:space="preserve">Level_1/2-0010100</t>
  </si>
  <si>
    <t xml:space="preserve">Level_1/2-0011000</t>
  </si>
  <si>
    <t xml:space="preserve">Level_1/2-0101000</t>
  </si>
  <si>
    <t xml:space="preserve">Level_1/2-1000100</t>
  </si>
  <si>
    <t xml:space="preserve">Level_1/2-1001000</t>
  </si>
  <si>
    <t xml:space="preserve">Level_1/3-0010110</t>
  </si>
  <si>
    <t xml:space="preserve">Level_1/3-0011001</t>
  </si>
  <si>
    <t xml:space="preserve">Level_1/3-0100101</t>
  </si>
  <si>
    <t xml:space="preserve">Level_1/3-0110100</t>
  </si>
  <si>
    <t xml:space="preserve">Level_1/3-0111000</t>
  </si>
  <si>
    <t xml:space="preserve">Level_1/3-1000011</t>
  </si>
  <si>
    <t xml:space="preserve">Level_1/3-1100001</t>
  </si>
  <si>
    <t xml:space="preserve">Level_1/4-0010111</t>
  </si>
  <si>
    <t xml:space="preserve">Level_1/4-0011110</t>
  </si>
  <si>
    <t xml:space="preserve">Level_1/4-0101011</t>
  </si>
  <si>
    <t xml:space="preserve">Level_1/4-0111001</t>
  </si>
  <si>
    <t xml:space="preserve">Level_1/4-1001110</t>
  </si>
  <si>
    <t xml:space="preserve">Level_1/4-1010011</t>
  </si>
  <si>
    <t xml:space="preserve">Level_1/4-1011010</t>
  </si>
  <si>
    <t xml:space="preserve">Level_1/5-1001111</t>
  </si>
  <si>
    <t xml:space="preserve">Level_1/5-1011101</t>
  </si>
  <si>
    <t xml:space="preserve">Level_1/5-1011110</t>
  </si>
  <si>
    <t xml:space="preserve">Level_1/5-1101101</t>
  </si>
  <si>
    <t xml:space="preserve">Level_1/5-1101110</t>
  </si>
  <si>
    <t xml:space="preserve">Level_1/5-1110011</t>
  </si>
  <si>
    <t xml:space="preserve">Level_1/5-1110110</t>
  </si>
  <si>
    <t xml:space="preserve">Level_1/6-0111111</t>
  </si>
  <si>
    <t xml:space="preserve">Level_1/6-1011111</t>
  </si>
  <si>
    <t xml:space="preserve">Level_1/6-1101111</t>
  </si>
  <si>
    <t xml:space="preserve">Level_1/6-1110111</t>
  </si>
  <si>
    <t xml:space="preserve">Level_1/6-1111011</t>
  </si>
  <si>
    <t xml:space="preserve">Level_1/6-1111101</t>
  </si>
  <si>
    <t xml:space="preserve">Level_1/6-1111110</t>
  </si>
  <si>
    <t xml:space="preserve">Level_1/7-1111111</t>
  </si>
  <si>
    <t xml:space="preserve">Level_2/2-0000101</t>
  </si>
  <si>
    <t xml:space="preserve">Level_2/2-0001100</t>
  </si>
  <si>
    <t xml:space="preserve">Level_2/2-0010010</t>
  </si>
  <si>
    <t xml:space="preserve">Level_2/2-0011000</t>
  </si>
  <si>
    <t xml:space="preserve">Level_2/2-0100010</t>
  </si>
  <si>
    <t xml:space="preserve">Level_2/2-0110000</t>
  </si>
  <si>
    <t xml:space="preserve">Level_2/2-1000100</t>
  </si>
  <si>
    <t xml:space="preserve">Level_2/3-0011100</t>
  </si>
  <si>
    <t xml:space="preserve">Level_2/3-0101010</t>
  </si>
  <si>
    <t xml:space="preserve">Level_2/3-0111000</t>
  </si>
  <si>
    <t xml:space="preserve">Level_2/3-1000101</t>
  </si>
  <si>
    <t xml:space="preserve">Level_2/3-1001001</t>
  </si>
  <si>
    <t xml:space="preserve">Level_2/3-1100010</t>
  </si>
  <si>
    <t xml:space="preserve">Level_2/3-1101000</t>
  </si>
  <si>
    <t xml:space="preserve">Level_2/4-0011110</t>
  </si>
  <si>
    <t xml:space="preserve">Level_2/4-0100111</t>
  </si>
  <si>
    <t xml:space="preserve">Level_2/4-0101101</t>
  </si>
  <si>
    <t xml:space="preserve">Level_2/4-0110101</t>
  </si>
  <si>
    <t xml:space="preserve">Level_2/4-1011100</t>
  </si>
  <si>
    <t xml:space="preserve">Level_2/4-1100101</t>
  </si>
  <si>
    <t xml:space="preserve">Level_2/4-1110010</t>
  </si>
  <si>
    <t xml:space="preserve">Level_2/5-0101111</t>
  </si>
  <si>
    <t xml:space="preserve">Level_2/5-0110111</t>
  </si>
  <si>
    <t xml:space="preserve">Level_2/5-0111101</t>
  </si>
  <si>
    <t xml:space="preserve">Level_2/5-0111110</t>
  </si>
  <si>
    <t xml:space="preserve">Level_2/5-1011110</t>
  </si>
  <si>
    <t xml:space="preserve">Level_2/5-1101101</t>
  </si>
  <si>
    <t xml:space="preserve">Level_2/5-1110011</t>
  </si>
  <si>
    <t xml:space="preserve">Level_2/6-0111111</t>
  </si>
  <si>
    <t xml:space="preserve">Level_2/6-1011111</t>
  </si>
  <si>
    <t xml:space="preserve">Level_2/6-1101111</t>
  </si>
  <si>
    <t xml:space="preserve">Level_2/6-1110111</t>
  </si>
  <si>
    <t xml:space="preserve">Level_2/6-1111011</t>
  </si>
  <si>
    <t xml:space="preserve">Level_2/6-1111101</t>
  </si>
  <si>
    <t xml:space="preserve">Level_2/6-1111110</t>
  </si>
  <si>
    <t xml:space="preserve">Level_2/7-1111111</t>
  </si>
  <si>
    <t xml:space="preserve">Level_3/2-0000110</t>
  </si>
  <si>
    <t xml:space="preserve">Level_3/2-0001010</t>
  </si>
  <si>
    <t xml:space="preserve">Level_3/2-0100010</t>
  </si>
  <si>
    <t xml:space="preserve">Level_3/2-0110000</t>
  </si>
  <si>
    <t xml:space="preserve">Level_3/2-1000001</t>
  </si>
  <si>
    <t xml:space="preserve">Level_3/2-1000010</t>
  </si>
  <si>
    <t xml:space="preserve">Level_3/2-1010000</t>
  </si>
  <si>
    <t xml:space="preserve">Level_3/3-0001110</t>
  </si>
  <si>
    <t xml:space="preserve">Level_3/3-0010011</t>
  </si>
  <si>
    <t xml:space="preserve">Level_3/3-0110100</t>
  </si>
  <si>
    <t xml:space="preserve">Level_3/3-0111000</t>
  </si>
  <si>
    <t xml:space="preserve">Level_3/3-1000011</t>
  </si>
  <si>
    <t xml:space="preserve">Level_3/3-1000101</t>
  </si>
  <si>
    <t xml:space="preserve">Level_3/3-1100001</t>
  </si>
  <si>
    <t xml:space="preserve">Level_3/4-0001111</t>
  </si>
  <si>
    <t xml:space="preserve">Level_3/4-0110110</t>
  </si>
  <si>
    <t xml:space="preserve">Level_3/4-0111100</t>
  </si>
  <si>
    <t xml:space="preserve">Level_3/4-1001110</t>
  </si>
  <si>
    <t xml:space="preserve">Level_3/4-1011001</t>
  </si>
  <si>
    <t xml:space="preserve">Level_3/4-1011100</t>
  </si>
  <si>
    <t xml:space="preserve">Level_3/4-1101001</t>
  </si>
  <si>
    <t xml:space="preserve">Level_3/5-0101111</t>
  </si>
  <si>
    <t xml:space="preserve">Level_3/5-0111011</t>
  </si>
  <si>
    <t xml:space="preserve">Level_3/5-0111110</t>
  </si>
  <si>
    <t xml:space="preserve">Level_3/5-1001111</t>
  </si>
  <si>
    <t xml:space="preserve">Level_3/5-1101011</t>
  </si>
  <si>
    <t xml:space="preserve">Level_3/5-1110011</t>
  </si>
  <si>
    <t xml:space="preserve">Level_3/5-1111010</t>
  </si>
  <si>
    <t xml:space="preserve">Level_3/6-0111111</t>
  </si>
  <si>
    <t xml:space="preserve">Level_3/6-1011111</t>
  </si>
  <si>
    <t xml:space="preserve">Level_3/6-1101111</t>
  </si>
  <si>
    <t xml:space="preserve">Level_3/6-1110111</t>
  </si>
  <si>
    <t xml:space="preserve">Level_3/6-1111011</t>
  </si>
  <si>
    <t xml:space="preserve">Level_3/6-1111101</t>
  </si>
  <si>
    <t xml:space="preserve">Level_3/6-1111110</t>
  </si>
  <si>
    <t xml:space="preserve">Level_3/7-1111111</t>
  </si>
  <si>
    <t xml:space="preserve">Level_4/2-0000101</t>
  </si>
  <si>
    <t xml:space="preserve">Level_4/2-0001010</t>
  </si>
  <si>
    <t xml:space="preserve">Level_4/2-0010010</t>
  </si>
  <si>
    <t xml:space="preserve">Level_4/2-0011000</t>
  </si>
  <si>
    <t xml:space="preserve">Level_4/2-0100100</t>
  </si>
  <si>
    <t xml:space="preserve">Level_4/2-1000001</t>
  </si>
  <si>
    <t xml:space="preserve">Level_4/2-1000100</t>
  </si>
  <si>
    <t xml:space="preserve">Level_4/3-0010011</t>
  </si>
  <si>
    <t xml:space="preserve">Level_4/3-0100011</t>
  </si>
  <si>
    <t xml:space="preserve">Level_4/3-0110010</t>
  </si>
  <si>
    <t xml:space="preserve">Level_4/3-1001100</t>
  </si>
  <si>
    <t xml:space="preserve">Level_4/3-1010001</t>
  </si>
  <si>
    <t xml:space="preserve">Level_4/3-1010100</t>
  </si>
  <si>
    <t xml:space="preserve">Level_4/3-1101000</t>
  </si>
  <si>
    <t xml:space="preserve">Level_4/4-0111001</t>
  </si>
  <si>
    <t xml:space="preserve">Level_4/4-1001101</t>
  </si>
  <si>
    <t xml:space="preserve">Level_4/4-1010110</t>
  </si>
  <si>
    <t xml:space="preserve">Level_4/4-1011001</t>
  </si>
  <si>
    <t xml:space="preserve">Level_4/4-1100101</t>
  </si>
  <si>
    <t xml:space="preserve">Level_4/4-1100110</t>
  </si>
  <si>
    <t xml:space="preserve">Level_4/4-1101001</t>
  </si>
  <si>
    <t xml:space="preserve">Level_4/5-0110111</t>
  </si>
  <si>
    <t xml:space="preserve">Level_4/5-0111101</t>
  </si>
  <si>
    <t xml:space="preserve">Level_4/5-0111110</t>
  </si>
  <si>
    <t xml:space="preserve">Level_4/5-1010111</t>
  </si>
  <si>
    <t xml:space="preserve">Level_4/5-1011110</t>
  </si>
  <si>
    <t xml:space="preserve">Level_4/5-1111010</t>
  </si>
  <si>
    <t xml:space="preserve">Level_4/5-1111100</t>
  </si>
  <si>
    <t xml:space="preserve">Level_4/6-0111111</t>
  </si>
  <si>
    <t xml:space="preserve">Level_4/6-1011111</t>
  </si>
  <si>
    <t xml:space="preserve">Level_4/6-1101111</t>
  </si>
  <si>
    <t xml:space="preserve">Level_4/6-1110111</t>
  </si>
  <si>
    <t xml:space="preserve">Level_4/6-1111011</t>
  </si>
  <si>
    <t xml:space="preserve">Level_4/6-1111101</t>
  </si>
  <si>
    <t xml:space="preserve">Level_4/6-1111110</t>
  </si>
  <si>
    <t xml:space="preserve">Level_4/7-1111111</t>
  </si>
  <si>
    <t xml:space="preserve">Level_5/2-0000011</t>
  </si>
  <si>
    <t xml:space="preserve">Level_5/2-0001100</t>
  </si>
  <si>
    <t xml:space="preserve">Level_5/2-0010010</t>
  </si>
  <si>
    <t xml:space="preserve">Level_5/2-0010100</t>
  </si>
  <si>
    <t xml:space="preserve">Level_5/2-0011000</t>
  </si>
  <si>
    <t xml:space="preserve">Level_5/2-1000001</t>
  </si>
  <si>
    <t xml:space="preserve">Level_5/2-1010000</t>
  </si>
  <si>
    <t xml:space="preserve">Level_5/3-0010011</t>
  </si>
  <si>
    <t xml:space="preserve">Level_5/3-0011100</t>
  </si>
  <si>
    <t xml:space="preserve">Level_5/3-1000011</t>
  </si>
  <si>
    <t xml:space="preserve">Level_5/3-1000110</t>
  </si>
  <si>
    <t xml:space="preserve">Level_5/3-1001001</t>
  </si>
  <si>
    <t xml:space="preserve">Level_5/3-1010001</t>
  </si>
  <si>
    <t xml:space="preserve">Level_5/3-1100001</t>
  </si>
  <si>
    <t xml:space="preserve">Level_5/4-0011101</t>
  </si>
  <si>
    <t xml:space="preserve">Level_5/4-0111001</t>
  </si>
  <si>
    <t xml:space="preserve">Level_5/4-1100011</t>
  </si>
  <si>
    <t xml:space="preserve">Level_5/4-1101010</t>
  </si>
  <si>
    <t xml:space="preserve">Level_5/4-1101100</t>
  </si>
  <si>
    <t xml:space="preserve">Level_5/4-1110010</t>
  </si>
  <si>
    <t xml:space="preserve">Level_5/4-1111000</t>
  </si>
  <si>
    <t xml:space="preserve">Level_5/5-0101111</t>
  </si>
  <si>
    <t xml:space="preserve">Level_5/5-0110111</t>
  </si>
  <si>
    <t xml:space="preserve">Level_5/5-0111011</t>
  </si>
  <si>
    <t xml:space="preserve">Level_5/5-1001111</t>
  </si>
  <si>
    <t xml:space="preserve">Level_5/5-1101011</t>
  </si>
  <si>
    <t xml:space="preserve">Level_5/5-1110011</t>
  </si>
  <si>
    <t xml:space="preserve">Level_5/5-1111100</t>
  </si>
  <si>
    <t xml:space="preserve">Level_5/6-0111111</t>
  </si>
  <si>
    <t xml:space="preserve">Level_5/6-1011111</t>
  </si>
  <si>
    <t xml:space="preserve">Level_5/6-1101111</t>
  </si>
  <si>
    <t xml:space="preserve">Level_5/6-1110111</t>
  </si>
  <si>
    <t xml:space="preserve">Level_5/6-1111011</t>
  </si>
  <si>
    <t xml:space="preserve">Level_5/6-1111101</t>
  </si>
  <si>
    <t xml:space="preserve">Level_5/6-1111110</t>
  </si>
  <si>
    <t xml:space="preserve">Level_5/7-1111111</t>
  </si>
  <si>
    <t xml:space="preserve">Level_6/2-0000011</t>
  </si>
  <si>
    <t xml:space="preserve">Level_6/2-0000101</t>
  </si>
  <si>
    <t xml:space="preserve">Level_6/2-0001001</t>
  </si>
  <si>
    <t xml:space="preserve">Level_6/2-0001100</t>
  </si>
  <si>
    <t xml:space="preserve">Level_6/2-0100001</t>
  </si>
  <si>
    <t xml:space="preserve">Level_6/2-0110000</t>
  </si>
  <si>
    <t xml:space="preserve">Level_6/2-1001000</t>
  </si>
  <si>
    <t xml:space="preserve">Level_6/3-0001011</t>
  </si>
  <si>
    <t xml:space="preserve">Level_6/3-0001101</t>
  </si>
  <si>
    <t xml:space="preserve">Level_6/3-0010110</t>
  </si>
  <si>
    <t xml:space="preserve">Level_6/3-0011100</t>
  </si>
  <si>
    <t xml:space="preserve">Level_6/3-1001001</t>
  </si>
  <si>
    <t xml:space="preserve">Level_6/3-1010010</t>
  </si>
  <si>
    <t xml:space="preserve">Level_6/3-1101000</t>
  </si>
  <si>
    <t xml:space="preserve">Level_6/4-0110011</t>
  </si>
  <si>
    <t xml:space="preserve">Level_6/4-0110110</t>
  </si>
  <si>
    <t xml:space="preserve">Level_6/4-1000111</t>
  </si>
  <si>
    <t xml:space="preserve">Level_6/4-1001011</t>
  </si>
  <si>
    <t xml:space="preserve">Level_6/4-1010011</t>
  </si>
  <si>
    <t xml:space="preserve">Level_6/4-1011001</t>
  </si>
  <si>
    <t xml:space="preserve">Level_6/4-1011100</t>
  </si>
  <si>
    <t xml:space="preserve">Level_6/5-0111011</t>
  </si>
  <si>
    <t xml:space="preserve">Level_6/5-0111101</t>
  </si>
  <si>
    <t xml:space="preserve">Level_6/5-1101110</t>
  </si>
  <si>
    <t xml:space="preserve">Level_6/5-1110011</t>
  </si>
  <si>
    <t xml:space="preserve">Level_6/5-1110101</t>
  </si>
  <si>
    <t xml:space="preserve">Level_6/5-1111001</t>
  </si>
  <si>
    <t xml:space="preserve">Level_6/5-1111100</t>
  </si>
  <si>
    <t xml:space="preserve">Level_6/6-0111111</t>
  </si>
  <si>
    <t xml:space="preserve">Level_6/6-1011111</t>
  </si>
  <si>
    <t xml:space="preserve">Level_6/6-1101111</t>
  </si>
  <si>
    <t xml:space="preserve">Level_6/6-1110111</t>
  </si>
  <si>
    <t xml:space="preserve">Level_6/6-1111011</t>
  </si>
  <si>
    <t xml:space="preserve">Level_6/6-1111101</t>
  </si>
  <si>
    <t xml:space="preserve">Level_6/6-1111110</t>
  </si>
  <si>
    <t xml:space="preserve">Level_6/7-1111111</t>
  </si>
  <si>
    <t xml:space="preserve">Level_7/2-0000110</t>
  </si>
  <si>
    <t xml:space="preserve">Level_7/2-0001001</t>
  </si>
  <si>
    <t xml:space="preserve">Level_7/2-0001010</t>
  </si>
  <si>
    <t xml:space="preserve">Level_7/2-0010100</t>
  </si>
  <si>
    <t xml:space="preserve">Level_7/2-0100001</t>
  </si>
  <si>
    <t xml:space="preserve">Level_7/2-0101000</t>
  </si>
  <si>
    <t xml:space="preserve">Level_7/2-1000001</t>
  </si>
  <si>
    <t xml:space="preserve">Level_7/3-0001011</t>
  </si>
  <si>
    <t xml:space="preserve">Level_7/3-0100011</t>
  </si>
  <si>
    <t xml:space="preserve">Level_7/3-0100101</t>
  </si>
  <si>
    <t xml:space="preserve">Level_7/3-0101001</t>
  </si>
  <si>
    <t xml:space="preserve">Level_7/3-0110001</t>
  </si>
  <si>
    <t xml:space="preserve">Level_7/3-1100001</t>
  </si>
  <si>
    <t xml:space="preserve">Level_7/3-1101000</t>
  </si>
  <si>
    <t xml:space="preserve">Level_7/4-0010111</t>
  </si>
  <si>
    <t xml:space="preserve">Level_7/4-0100111</t>
  </si>
  <si>
    <t xml:space="preserve">Level_7/4-0101110</t>
  </si>
  <si>
    <t xml:space="preserve">Level_7/4-0110011</t>
  </si>
  <si>
    <t xml:space="preserve">Level_7/4-1010011</t>
  </si>
  <si>
    <t xml:space="preserve">Level_7/4-1011001</t>
  </si>
  <si>
    <t xml:space="preserve">Level_7/4-1100110</t>
  </si>
  <si>
    <t xml:space="preserve">Level_7/5-0111110</t>
  </si>
  <si>
    <t xml:space="preserve">Level_7/5-1010111</t>
  </si>
  <si>
    <t xml:space="preserve">Level_7/5-1011110</t>
  </si>
  <si>
    <t xml:space="preserve">Level_7/5-1100111</t>
  </si>
  <si>
    <t xml:space="preserve">Level_7/5-1110011</t>
  </si>
  <si>
    <t xml:space="preserve">Level_7/5-1110101</t>
  </si>
  <si>
    <t xml:space="preserve">Level_7/5-1111010</t>
  </si>
  <si>
    <t xml:space="preserve">Level_7/6-0111111</t>
  </si>
  <si>
    <t xml:space="preserve">Level_7/6-1011111</t>
  </si>
  <si>
    <t xml:space="preserve">Level_7/6-1101111</t>
  </si>
  <si>
    <t xml:space="preserve">Level_7/6-1110111</t>
  </si>
  <si>
    <t xml:space="preserve">Level_7/6-1111011</t>
  </si>
  <si>
    <t xml:space="preserve">Level_7/6-1111101</t>
  </si>
  <si>
    <t xml:space="preserve">Level_7/6-1111110</t>
  </si>
  <si>
    <t xml:space="preserve">Level_7/7-1111111</t>
  </si>
  <si>
    <t xml:space="preserve">Level_8/2-0001001</t>
  </si>
  <si>
    <t xml:space="preserve">Level_8/2-0010001</t>
  </si>
  <si>
    <t xml:space="preserve">Level_8/2-0010010</t>
  </si>
  <si>
    <t xml:space="preserve">Level_8/2-0100100</t>
  </si>
  <si>
    <t xml:space="preserve">Level_8/2-1000100</t>
  </si>
  <si>
    <t xml:space="preserve">Level_8/2-1010000</t>
  </si>
  <si>
    <t xml:space="preserve">Level_8/2-1100000</t>
  </si>
  <si>
    <t xml:space="preserve">Level_8/3-0000111</t>
  </si>
  <si>
    <t xml:space="preserve">Level_8/3-0001011</t>
  </si>
  <si>
    <t xml:space="preserve">Level_8/3-0011010</t>
  </si>
  <si>
    <t xml:space="preserve">Level_8/3-1000110</t>
  </si>
  <si>
    <t xml:space="preserve">Level_8/3-1001100</t>
  </si>
  <si>
    <t xml:space="preserve">Level_8/3-1100010</t>
  </si>
  <si>
    <t xml:space="preserve">Level_8/3-1101000</t>
  </si>
  <si>
    <t xml:space="preserve">Level_8/4-0111001</t>
  </si>
  <si>
    <t xml:space="preserve">Level_8/4-0111100</t>
  </si>
  <si>
    <t xml:space="preserve">Level_8/4-1001011</t>
  </si>
  <si>
    <t xml:space="preserve">Level_8/4-1011001</t>
  </si>
  <si>
    <t xml:space="preserve">Level_8/4-1011010</t>
  </si>
  <si>
    <t xml:space="preserve">Level_8/4-1100011</t>
  </si>
  <si>
    <t xml:space="preserve">Level_8/4-1101100</t>
  </si>
  <si>
    <t xml:space="preserve">Level_8/5-0110111</t>
  </si>
  <si>
    <t xml:space="preserve">Level_8/5-0111011</t>
  </si>
  <si>
    <t xml:space="preserve">Level_8/5-1010111</t>
  </si>
  <si>
    <t xml:space="preserve">Level_8/5-1100111</t>
  </si>
  <si>
    <t xml:space="preserve">Level_8/5-1110011</t>
  </si>
  <si>
    <t xml:space="preserve">Level_8/5-1110110</t>
  </si>
  <si>
    <t xml:space="preserve">Level_8/5-1111100</t>
  </si>
  <si>
    <t xml:space="preserve">Level_8/6-0111111</t>
  </si>
  <si>
    <t xml:space="preserve">Level_8/6-1011111</t>
  </si>
  <si>
    <t xml:space="preserve">Level_8/6-1101111</t>
  </si>
  <si>
    <t xml:space="preserve">Level_8/6-1110111</t>
  </si>
  <si>
    <t xml:space="preserve">Level_8/6-1111011</t>
  </si>
  <si>
    <t xml:space="preserve">Level_8/6-1111101</t>
  </si>
  <si>
    <t xml:space="preserve">Level_8/6-1111110</t>
  </si>
  <si>
    <t xml:space="preserve">Level_8/7-1111111</t>
  </si>
  <si>
    <t xml:space="preserve">Level_9/2-0000011</t>
  </si>
  <si>
    <t xml:space="preserve">Level_9/2-0010001</t>
  </si>
  <si>
    <t xml:space="preserve">Level_9/2-0100001</t>
  </si>
  <si>
    <t xml:space="preserve">Level_9/2-0110000</t>
  </si>
  <si>
    <t xml:space="preserve">Level_9/2-1000001</t>
  </si>
  <si>
    <t xml:space="preserve">Level_9/2-1000100</t>
  </si>
  <si>
    <t xml:space="preserve">Level_9/2-1100000</t>
  </si>
  <si>
    <t xml:space="preserve">Level_9/3-0010101</t>
  </si>
  <si>
    <t xml:space="preserve">Level_9/3-0011001</t>
  </si>
  <si>
    <t xml:space="preserve">Level_9/3-1000110</t>
  </si>
  <si>
    <t xml:space="preserve">Level_9/3-1001010</t>
  </si>
  <si>
    <t xml:space="preserve">Level_9/3-1001100</t>
  </si>
  <si>
    <t xml:space="preserve">Level_9/3-1100010</t>
  </si>
  <si>
    <t xml:space="preserve">Level_9/3-1110000</t>
  </si>
  <si>
    <t xml:space="preserve">Level_9/4-0110101</t>
  </si>
  <si>
    <t xml:space="preserve">Level_9/4-0110110</t>
  </si>
  <si>
    <t xml:space="preserve">Level_9/4-0111001</t>
  </si>
  <si>
    <t xml:space="preserve">Level_9/4-1010101</t>
  </si>
  <si>
    <t xml:space="preserve">Level_9/4-1100011</t>
  </si>
  <si>
    <t xml:space="preserve">Level_9/4-1100110</t>
  </si>
  <si>
    <t xml:space="preserve">Level_9/4-1101100</t>
  </si>
  <si>
    <t xml:space="preserve">Level_9/5-0110111</t>
  </si>
  <si>
    <t xml:space="preserve">Level_9/5-0111110</t>
  </si>
  <si>
    <t xml:space="preserve">Level_9/5-1101011</t>
  </si>
  <si>
    <t xml:space="preserve">Level_9/5-1101110</t>
  </si>
  <si>
    <t xml:space="preserve">Level_9/5-1110101</t>
  </si>
  <si>
    <t xml:space="preserve">Level_9/5-1111010</t>
  </si>
  <si>
    <t xml:space="preserve">Level_9/5-1111100</t>
  </si>
  <si>
    <t xml:space="preserve">Level_9/6-0111111</t>
  </si>
  <si>
    <t xml:space="preserve">Level_9/6-1011111</t>
  </si>
  <si>
    <t xml:space="preserve">Level_9/6-1101111</t>
  </si>
  <si>
    <t xml:space="preserve">Level_9/6-1110111</t>
  </si>
  <si>
    <t xml:space="preserve">Level_9/6-1111011</t>
  </si>
  <si>
    <t xml:space="preserve">Level_9/6-1111101</t>
  </si>
  <si>
    <t xml:space="preserve">Level_9/6-1111110</t>
  </si>
  <si>
    <t xml:space="preserve">Level_9/7-1111111</t>
  </si>
  <si>
    <t xml:space="preserve">SUM</t>
  </si>
  <si>
    <t xml:space="preserve">AVG</t>
  </si>
  <si>
    <t xml:space="preserve">DEV</t>
  </si>
  <si>
    <t xml:space="preserve">DST</t>
  </si>
  <si>
    <t xml:space="preserve">BEST</t>
  </si>
  <si>
    <t xml:space="preserve">BETTER</t>
  </si>
  <si>
    <t xml:space="preserve">WORSE</t>
  </si>
  <si>
    <t xml:space="preserve">WORST</t>
  </si>
  <si>
    <t xml:space="preserve">Merge criteria:</t>
  </si>
  <si>
    <t xml:space="preserve">min</t>
  </si>
  <si>
    <t xml:space="preserve">median</t>
  </si>
  <si>
    <t xml:space="preserve">max</t>
  </si>
  <si>
    <t xml:space="preserve">Level_0</t>
  </si>
  <si>
    <t xml:space="preserve">Level_1</t>
  </si>
  <si>
    <t xml:space="preserve">Level_2</t>
  </si>
  <si>
    <t xml:space="preserve">Level_3</t>
  </si>
  <si>
    <t xml:space="preserve">Level_4</t>
  </si>
  <si>
    <t xml:space="preserve">Level_5</t>
  </si>
  <si>
    <t xml:space="preserve">Level_6</t>
  </si>
  <si>
    <t xml:space="preserve">Level_7</t>
  </si>
  <si>
    <t xml:space="preserve">Level_8</t>
  </si>
  <si>
    <t xml:space="preserve">Level_9</t>
  </si>
  <si>
    <t xml:space="preserve">data</t>
  </si>
  <si>
    <t xml:space="preserve">index</t>
  </si>
  <si>
    <t xml:space="preserve">values</t>
  </si>
  <si>
    <t xml:space="preserve">sorted</t>
  </si>
  <si>
    <t xml:space="preserve">aggregated</t>
  </si>
  <si>
    <t xml:space="preserve">plot</t>
  </si>
  <si>
    <t xml:space="preserve">step</t>
  </si>
  <si>
    <t xml:space="preserve">sort</t>
  </si>
  <si>
    <t xml:space="preserve">clean</t>
  </si>
  <si>
    <t xml:space="preserve">Select merge criteria:</t>
  </si>
  <si>
    <t xml:space="preserve">Select measure:</t>
  </si>
  <si>
    <t xml:space="preserve">none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</si>
</sst>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C99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Survivor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Helper!T5:T725</c:f>
              <c:numCache>
                <c:formatCode>General</c:formatCode>
                <c:ptCount val="721"/>
                <c:pt idx="0">
                  <c:v>0</c:v>
                </c:pt>
                <c:pt idx="719">
                  <c:v>0</c:v>
                </c:pt>
              </c:numCache>
            </c:numRef>
          </c:xVal>
          <c:yVal>
            <c:numRef>
              <c:f>Helper!S5:S725</c:f>
              <c:numCache>
                <c:formatCode>General</c:formatCode>
                <c:ptCount val="721"/>
                <c:pt idx="0">
                  <c:v>0</c:v>
                </c:pt>
                <c:pt idx="719">
                  <c:v>0</c:v>
                </c:pt>
              </c:numCache>
            </c:numRef>
          </c:yVal>
          <c:smooth val="0"/>
        </c:ser>
        <c:axId val="84879108"/>
        <c:axId val="36546187"/>
      </c:scatterChart>
      <c:valAx>
        <c:axId val="8487910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choices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546187"/>
        <c:crosses val="autoZero"/>
        <c:crossBetween val="midCat"/>
      </c:valAx>
      <c:valAx>
        <c:axId val="365461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US" sz="1000" spc="-1" strike="noStrike">
                    <a:solidFill>
                      <a:srgbClr val="000000"/>
                    </a:solidFill>
                    <a:latin typeface="Calibri"/>
                  </a:rPr>
                  <a:t># of Instances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87910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span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Cactus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Helper!Q5:Q725</c:f>
              <c:numCache>
                <c:formatCode>General</c:formatCode>
                <c:ptCount val="721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Helper!R5:R725</c:f>
              <c:numCache>
                <c:formatCode>General</c:formatCode>
                <c:ptCount val="721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</c:ser>
        <c:axId val="5139055"/>
        <c:axId val="26789314"/>
      </c:scatterChart>
      <c:valAx>
        <c:axId val="51390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US" sz="1000" spc="-1" strike="noStrike">
                    <a:solidFill>
                      <a:srgbClr val="000000"/>
                    </a:solidFill>
                    <a:latin typeface="Calibri"/>
                  </a:rPr>
                  <a:t># of Instances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789314"/>
        <c:crosses val="autoZero"/>
        <c:crossBetween val="midCat"/>
      </c:valAx>
      <c:valAx>
        <c:axId val="267893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choices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3905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span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CDF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Helper!R5:R725</c:f>
              <c:numCache>
                <c:formatCode>General</c:formatCode>
                <c:ptCount val="721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Helper!Q5:Q725</c:f>
              <c:numCache>
                <c:formatCode>General</c:formatCode>
                <c:ptCount val="721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</c:ser>
        <c:axId val="54102562"/>
        <c:axId val="72153644"/>
      </c:scatterChart>
      <c:valAx>
        <c:axId val="541025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choices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153644"/>
        <c:crosses val="autoZero"/>
        <c:crossBetween val="midCat"/>
      </c:valAx>
      <c:valAx>
        <c:axId val="721536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US" sz="1000" spc="-1" strike="noStrike">
                    <a:solidFill>
                      <a:srgbClr val="000000"/>
                    </a:solidFill>
                    <a:latin typeface="Calibri"/>
                  </a:rPr>
                  <a:t># of Instances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10256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span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</xdr:row>
      <xdr:rowOff>0</xdr:rowOff>
    </xdr:from>
    <xdr:to>
      <xdr:col>8</xdr:col>
      <xdr:colOff>304560</xdr:colOff>
      <xdr:row>18</xdr:row>
      <xdr:rowOff>75960</xdr:rowOff>
    </xdr:to>
    <xdr:graphicFrame>
      <xdr:nvGraphicFramePr>
        <xdr:cNvPr id="0" name="Chart 1"/>
        <xdr:cNvGraphicFramePr/>
      </xdr:nvGraphicFramePr>
      <xdr:xfrm>
        <a:off x="611640" y="762120"/>
        <a:ext cx="458496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4</xdr:row>
      <xdr:rowOff>0</xdr:rowOff>
    </xdr:from>
    <xdr:to>
      <xdr:col>17</xdr:col>
      <xdr:colOff>304560</xdr:colOff>
      <xdr:row>18</xdr:row>
      <xdr:rowOff>75960</xdr:rowOff>
    </xdr:to>
    <xdr:graphicFrame>
      <xdr:nvGraphicFramePr>
        <xdr:cNvPr id="1" name="Chart 2"/>
        <xdr:cNvGraphicFramePr/>
      </xdr:nvGraphicFramePr>
      <xdr:xfrm>
        <a:off x="6114960" y="762120"/>
        <a:ext cx="458532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19</xdr:col>
      <xdr:colOff>0</xdr:colOff>
      <xdr:row>4</xdr:row>
      <xdr:rowOff>0</xdr:rowOff>
    </xdr:from>
    <xdr:to>
      <xdr:col>26</xdr:col>
      <xdr:colOff>304560</xdr:colOff>
      <xdr:row>18</xdr:row>
      <xdr:rowOff>75960</xdr:rowOff>
    </xdr:to>
    <xdr:graphicFrame>
      <xdr:nvGraphicFramePr>
        <xdr:cNvPr id="2" name="Chart 3"/>
        <xdr:cNvGraphicFramePr/>
      </xdr:nvGraphicFramePr>
      <xdr:xfrm>
        <a:off x="11618640" y="762120"/>
        <a:ext cx="458496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3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23" activeCellId="0" sqref="A23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29"/>
    <col collapsed="false" customWidth="true" hidden="false" outlineLevel="0" max="8" min="2" style="0" width="11.43"/>
    <col collapsed="false" customWidth="true" hidden="false" outlineLevel="0" max="9" min="9" style="0" width="12"/>
    <col collapsed="false" customWidth="true" hidden="false" outlineLevel="0" max="13" min="10" style="0" width="11.43"/>
    <col collapsed="false" customWidth="true" hidden="false" outlineLevel="0" max="14" min="14" style="0" width="12.15"/>
    <col collapsed="false" customWidth="true" hidden="false" outlineLevel="0" max="15" min="15" style="0" width="11.71"/>
    <col collapsed="false" customWidth="true" hidden="false" outlineLevel="0" max="25" min="16" style="0" width="11.43"/>
    <col collapsed="false" customWidth="true" hidden="false" outlineLevel="0" max="26" min="26" style="0" width="12"/>
    <col collapsed="false" customWidth="true" hidden="false" outlineLevel="0" max="29" min="27" style="0" width="11.43"/>
    <col collapsed="false" customWidth="true" hidden="false" outlineLevel="0" max="30" min="30" style="0" width="12.15"/>
    <col collapsed="false" customWidth="true" hidden="false" outlineLevel="0" max="40" min="31" style="0" width="11.43"/>
    <col collapsed="false" customWidth="true" hidden="false" outlineLevel="0" max="41" min="41" style="0" width="12"/>
    <col collapsed="false" customWidth="true" hidden="false" outlineLevel="0" max="44" min="42" style="0" width="11.43"/>
    <col collapsed="false" customWidth="true" hidden="false" outlineLevel="0" max="45" min="45" style="0" width="12.15"/>
    <col collapsed="false" customWidth="true" hidden="false" outlineLevel="0" max="55" min="46" style="0" width="11.43"/>
    <col collapsed="false" customWidth="true" hidden="false" outlineLevel="0" max="56" min="56" style="0" width="12"/>
    <col collapsed="false" customWidth="true" hidden="false" outlineLevel="0" max="59" min="57" style="0" width="11.43"/>
    <col collapsed="false" customWidth="true" hidden="false" outlineLevel="0" max="60" min="60" style="0" width="12.15"/>
    <col collapsed="false" customWidth="true" hidden="false" outlineLevel="0" max="63" min="61" style="0" width="11.43"/>
  </cols>
  <sheetData>
    <row r="1" customFormat="false" ht="15" hidden="false" customHeight="false" outlineLevel="0" collapsed="false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customFormat="false" ht="15" hidden="false" customHeight="false" outlineLevel="0" collapsed="false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</row>
    <row r="3" customFormat="false" ht="15" hidden="false" customHeight="false" outlineLevel="0" collapsed="false">
      <c r="A3" s="1" t="s">
        <v>18</v>
      </c>
      <c r="B3" s="1" t="n">
        <v>839</v>
      </c>
      <c r="C3" s="1" t="n">
        <v>0</v>
      </c>
      <c r="D3" s="1" t="n">
        <v>108042</v>
      </c>
      <c r="E3" s="1" t="n">
        <v>0</v>
      </c>
      <c r="F3" s="1" t="n">
        <v>179</v>
      </c>
      <c r="G3" s="1" t="n">
        <v>0</v>
      </c>
      <c r="H3" s="1" t="n">
        <v>1</v>
      </c>
      <c r="I3" s="1" t="n">
        <v>2.397</v>
      </c>
      <c r="J3" s="1" t="n">
        <v>2.46</v>
      </c>
      <c r="K3" s="1" t="n">
        <v>0</v>
      </c>
      <c r="L3" s="1" t="s">
        <v>19</v>
      </c>
      <c r="M3" s="1" t="n">
        <v>477481</v>
      </c>
      <c r="N3" s="1" t="n">
        <v>0.01</v>
      </c>
      <c r="O3" s="1" t="s">
        <v>20</v>
      </c>
      <c r="P3" s="1" t="n">
        <v>2.46</v>
      </c>
      <c r="Q3" s="1" t="n">
        <v>0</v>
      </c>
      <c r="R3" s="1" t="n">
        <v>179096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</row>
    <row r="4" customFormat="false" ht="15" hidden="false" customHeight="false" outlineLevel="0" collapsed="false">
      <c r="A4" s="1" t="s">
        <v>21</v>
      </c>
      <c r="B4" s="1" t="n">
        <v>1112</v>
      </c>
      <c r="C4" s="1" t="n">
        <v>0</v>
      </c>
      <c r="D4" s="1" t="n">
        <v>138673</v>
      </c>
      <c r="E4" s="1" t="n">
        <v>0</v>
      </c>
      <c r="F4" s="1" t="n">
        <v>223</v>
      </c>
      <c r="G4" s="1" t="n">
        <v>0</v>
      </c>
      <c r="H4" s="1" t="n">
        <v>1</v>
      </c>
      <c r="I4" s="1" t="n">
        <v>2.85</v>
      </c>
      <c r="J4" s="1" t="n">
        <v>2.93</v>
      </c>
      <c r="K4" s="1" t="n">
        <v>0</v>
      </c>
      <c r="L4" s="1" t="s">
        <v>19</v>
      </c>
      <c r="M4" s="1" t="n">
        <v>572593</v>
      </c>
      <c r="N4" s="1" t="n">
        <v>0.02</v>
      </c>
      <c r="O4" s="1" t="s">
        <v>20</v>
      </c>
      <c r="P4" s="1" t="n">
        <v>2.93</v>
      </c>
      <c r="Q4" s="1" t="n">
        <v>0</v>
      </c>
      <c r="R4" s="1" t="n">
        <v>215132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</row>
    <row r="5" customFormat="false" ht="15" hidden="false" customHeight="false" outlineLevel="0" collapsed="false">
      <c r="A5" s="1" t="s">
        <v>22</v>
      </c>
      <c r="B5" s="1" t="n">
        <v>523</v>
      </c>
      <c r="C5" s="1" t="n">
        <v>0</v>
      </c>
      <c r="D5" s="1" t="n">
        <v>106237</v>
      </c>
      <c r="E5" s="1" t="n">
        <v>0</v>
      </c>
      <c r="F5" s="1" t="n">
        <v>190</v>
      </c>
      <c r="G5" s="1" t="n">
        <v>0</v>
      </c>
      <c r="H5" s="1" t="n">
        <v>1</v>
      </c>
      <c r="I5" s="1" t="n">
        <v>2.548</v>
      </c>
      <c r="J5" s="1" t="n">
        <v>2.62</v>
      </c>
      <c r="K5" s="1" t="n">
        <v>0</v>
      </c>
      <c r="L5" s="1" t="s">
        <v>19</v>
      </c>
      <c r="M5" s="1" t="n">
        <v>531500</v>
      </c>
      <c r="N5" s="1" t="n">
        <v>0.01</v>
      </c>
      <c r="O5" s="1" t="s">
        <v>20</v>
      </c>
      <c r="P5" s="1" t="n">
        <v>2.62</v>
      </c>
      <c r="Q5" s="1" t="n">
        <v>0</v>
      </c>
      <c r="R5" s="1" t="n">
        <v>190873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</row>
    <row r="6" customFormat="false" ht="15" hidden="false" customHeight="false" outlineLevel="0" collapsed="false">
      <c r="A6" s="1" t="s">
        <v>23</v>
      </c>
      <c r="B6" s="1" t="n">
        <v>1464</v>
      </c>
      <c r="C6" s="1" t="n">
        <v>1</v>
      </c>
      <c r="D6" s="1" t="n">
        <v>227403</v>
      </c>
      <c r="E6" s="1" t="n">
        <v>0</v>
      </c>
      <c r="F6" s="1" t="n">
        <v>299</v>
      </c>
      <c r="G6" s="1" t="n">
        <v>0</v>
      </c>
      <c r="H6" s="1" t="n">
        <v>1</v>
      </c>
      <c r="I6" s="1" t="n">
        <v>3.949</v>
      </c>
      <c r="J6" s="1" t="n">
        <v>4.06</v>
      </c>
      <c r="K6" s="1" t="n">
        <v>0</v>
      </c>
      <c r="L6" s="1" t="s">
        <v>19</v>
      </c>
      <c r="M6" s="1" t="n">
        <v>861548</v>
      </c>
      <c r="N6" s="1" t="n">
        <v>0.03</v>
      </c>
      <c r="O6" s="1" t="s">
        <v>20</v>
      </c>
      <c r="P6" s="1" t="n">
        <v>4.06</v>
      </c>
      <c r="Q6" s="1" t="n">
        <v>0</v>
      </c>
      <c r="R6" s="1" t="n">
        <v>306887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</row>
    <row r="7" customFormat="false" ht="15" hidden="false" customHeight="false" outlineLevel="0" collapsed="false">
      <c r="A7" s="1" t="s">
        <v>24</v>
      </c>
      <c r="B7" s="1" t="n">
        <v>767</v>
      </c>
      <c r="C7" s="1" t="n">
        <v>0</v>
      </c>
      <c r="D7" s="1" t="n">
        <v>127626</v>
      </c>
      <c r="E7" s="1" t="n">
        <v>0</v>
      </c>
      <c r="F7" s="1" t="n">
        <v>202</v>
      </c>
      <c r="G7" s="1" t="n">
        <v>0</v>
      </c>
      <c r="H7" s="1" t="n">
        <v>1</v>
      </c>
      <c r="I7" s="1" t="n">
        <v>2.534</v>
      </c>
      <c r="J7" s="1" t="n">
        <v>2.61</v>
      </c>
      <c r="K7" s="1" t="n">
        <v>0</v>
      </c>
      <c r="L7" s="1" t="s">
        <v>19</v>
      </c>
      <c r="M7" s="1" t="n">
        <v>525049</v>
      </c>
      <c r="N7" s="1" t="n">
        <v>0.01</v>
      </c>
      <c r="O7" s="1" t="s">
        <v>20</v>
      </c>
      <c r="P7" s="1" t="n">
        <v>2.61</v>
      </c>
      <c r="Q7" s="1" t="n">
        <v>0</v>
      </c>
      <c r="R7" s="1" t="n">
        <v>198752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</row>
    <row r="8" customFormat="false" ht="15" hidden="false" customHeight="false" outlineLevel="0" collapsed="false">
      <c r="A8" s="1" t="s">
        <v>25</v>
      </c>
      <c r="B8" s="1" t="n">
        <v>515</v>
      </c>
      <c r="C8" s="1" t="n">
        <v>0</v>
      </c>
      <c r="D8" s="1" t="n">
        <v>86065</v>
      </c>
      <c r="E8" s="1" t="n">
        <v>0</v>
      </c>
      <c r="F8" s="1" t="n">
        <v>140</v>
      </c>
      <c r="G8" s="1" t="n">
        <v>0</v>
      </c>
      <c r="H8" s="1" t="n">
        <v>1</v>
      </c>
      <c r="I8" s="1" t="n">
        <v>1.906</v>
      </c>
      <c r="J8" s="1" t="n">
        <v>1.96</v>
      </c>
      <c r="K8" s="1" t="n">
        <v>0</v>
      </c>
      <c r="L8" s="1" t="s">
        <v>19</v>
      </c>
      <c r="M8" s="1" t="n">
        <v>395956</v>
      </c>
      <c r="N8" s="1" t="n">
        <v>0.01</v>
      </c>
      <c r="O8" s="1" t="s">
        <v>20</v>
      </c>
      <c r="P8" s="1" t="n">
        <v>1.96</v>
      </c>
      <c r="Q8" s="1" t="n">
        <v>0</v>
      </c>
      <c r="R8" s="1" t="n">
        <v>143835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</row>
    <row r="9" customFormat="false" ht="15" hidden="false" customHeight="false" outlineLevel="0" collapsed="false">
      <c r="A9" s="1" t="s">
        <v>26</v>
      </c>
      <c r="B9" s="1" t="n">
        <v>658</v>
      </c>
      <c r="C9" s="1" t="n">
        <v>0</v>
      </c>
      <c r="D9" s="1" t="n">
        <v>151526</v>
      </c>
      <c r="E9" s="1" t="n">
        <v>0</v>
      </c>
      <c r="F9" s="1" t="n">
        <v>151</v>
      </c>
      <c r="G9" s="1" t="n">
        <v>0</v>
      </c>
      <c r="H9" s="1" t="n">
        <v>1</v>
      </c>
      <c r="I9" s="1" t="n">
        <v>1.93</v>
      </c>
      <c r="J9" s="1" t="n">
        <v>1.98</v>
      </c>
      <c r="K9" s="1" t="n">
        <v>0</v>
      </c>
      <c r="L9" s="1" t="s">
        <v>19</v>
      </c>
      <c r="M9" s="1" t="n">
        <v>410085</v>
      </c>
      <c r="N9" s="1" t="n">
        <v>0.01</v>
      </c>
      <c r="O9" s="1" t="s">
        <v>20</v>
      </c>
      <c r="P9" s="1" t="n">
        <v>1.98</v>
      </c>
      <c r="Q9" s="1" t="n">
        <v>0</v>
      </c>
      <c r="R9" s="1" t="n">
        <v>150890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</row>
    <row r="10" customFormat="false" ht="15" hidden="false" customHeight="false" outlineLevel="0" collapsed="false">
      <c r="A10" s="1" t="s">
        <v>27</v>
      </c>
      <c r="B10" s="1" t="n">
        <v>1095</v>
      </c>
      <c r="C10" s="1" t="n">
        <v>0</v>
      </c>
      <c r="D10" s="1" t="n">
        <v>199280</v>
      </c>
      <c r="E10" s="1" t="n">
        <v>0</v>
      </c>
      <c r="F10" s="1" t="n">
        <v>318</v>
      </c>
      <c r="G10" s="1" t="n">
        <v>0</v>
      </c>
      <c r="H10" s="1" t="n">
        <v>1</v>
      </c>
      <c r="I10" s="1" t="n">
        <v>4.314</v>
      </c>
      <c r="J10" s="1" t="n">
        <v>4.43</v>
      </c>
      <c r="K10" s="1" t="n">
        <v>0</v>
      </c>
      <c r="L10" s="1" t="s">
        <v>19</v>
      </c>
      <c r="M10" s="1" t="n">
        <v>933041</v>
      </c>
      <c r="N10" s="1" t="n">
        <v>0.02</v>
      </c>
      <c r="O10" s="1" t="s">
        <v>20</v>
      </c>
      <c r="P10" s="1" t="n">
        <v>4.43</v>
      </c>
      <c r="Q10" s="1" t="n">
        <v>0</v>
      </c>
      <c r="R10" s="1" t="n">
        <v>318496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</row>
    <row r="11" customFormat="false" ht="15" hidden="false" customHeight="false" outlineLevel="0" collapsed="false">
      <c r="A11" s="1" t="s">
        <v>28</v>
      </c>
      <c r="B11" s="1" t="n">
        <v>1145</v>
      </c>
      <c r="C11" s="1" t="n">
        <v>0</v>
      </c>
      <c r="D11" s="1" t="n">
        <v>242876</v>
      </c>
      <c r="E11" s="1" t="n">
        <v>0</v>
      </c>
      <c r="F11" s="1" t="n">
        <v>367</v>
      </c>
      <c r="G11" s="1" t="n">
        <v>0</v>
      </c>
      <c r="H11" s="1" t="n">
        <v>1</v>
      </c>
      <c r="I11" s="1" t="n">
        <v>4.916</v>
      </c>
      <c r="J11" s="1" t="n">
        <v>5.05</v>
      </c>
      <c r="K11" s="1" t="n">
        <v>0</v>
      </c>
      <c r="L11" s="1" t="s">
        <v>19</v>
      </c>
      <c r="M11" s="1" t="n">
        <v>1078748</v>
      </c>
      <c r="N11" s="1" t="n">
        <v>0.03</v>
      </c>
      <c r="O11" s="1" t="s">
        <v>20</v>
      </c>
      <c r="P11" s="1" t="n">
        <v>5.05</v>
      </c>
      <c r="Q11" s="1" t="n">
        <v>0</v>
      </c>
      <c r="R11" s="1" t="n">
        <v>365407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</row>
    <row r="12" customFormat="false" ht="15" hidden="false" customHeight="false" outlineLevel="0" collapsed="false">
      <c r="A12" s="1" t="s">
        <v>29</v>
      </c>
      <c r="B12" s="1" t="n">
        <v>621</v>
      </c>
      <c r="C12" s="1" t="n">
        <v>0</v>
      </c>
      <c r="D12" s="1" t="n">
        <v>135579</v>
      </c>
      <c r="E12" s="1" t="n">
        <v>0</v>
      </c>
      <c r="F12" s="1" t="n">
        <v>245</v>
      </c>
      <c r="G12" s="1" t="n">
        <v>0</v>
      </c>
      <c r="H12" s="1" t="n">
        <v>1</v>
      </c>
      <c r="I12" s="1" t="n">
        <v>3.269</v>
      </c>
      <c r="J12" s="1" t="n">
        <v>3.43</v>
      </c>
      <c r="K12" s="1" t="n">
        <v>0</v>
      </c>
      <c r="L12" s="1" t="s">
        <v>19</v>
      </c>
      <c r="M12" s="1" t="n">
        <v>726092</v>
      </c>
      <c r="N12" s="1" t="n">
        <v>0.02</v>
      </c>
      <c r="O12" s="1" t="s">
        <v>20</v>
      </c>
      <c r="P12" s="1" t="n">
        <v>3.43</v>
      </c>
      <c r="Q12" s="1" t="n">
        <v>0</v>
      </c>
      <c r="R12" s="1" t="n">
        <v>242780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</row>
    <row r="13" customFormat="false" ht="15" hidden="false" customHeight="false" outlineLevel="0" collapsed="false">
      <c r="A13" s="1" t="s">
        <v>30</v>
      </c>
      <c r="B13" s="1" t="n">
        <v>1152</v>
      </c>
      <c r="C13" s="1" t="n">
        <v>0</v>
      </c>
      <c r="D13" s="1" t="n">
        <v>337701</v>
      </c>
      <c r="E13" s="1" t="n">
        <v>0</v>
      </c>
      <c r="F13" s="1" t="n">
        <v>458</v>
      </c>
      <c r="G13" s="1" t="n">
        <v>0</v>
      </c>
      <c r="H13" s="1" t="n">
        <v>1</v>
      </c>
      <c r="I13" s="1" t="n">
        <v>6.324</v>
      </c>
      <c r="J13" s="1" t="n">
        <v>6.49</v>
      </c>
      <c r="K13" s="1" t="n">
        <v>0</v>
      </c>
      <c r="L13" s="1" t="s">
        <v>19</v>
      </c>
      <c r="M13" s="1" t="n">
        <v>1412233</v>
      </c>
      <c r="N13" s="1" t="n">
        <v>0.04</v>
      </c>
      <c r="O13" s="1" t="s">
        <v>20</v>
      </c>
      <c r="P13" s="1" t="n">
        <v>6.49</v>
      </c>
      <c r="Q13" s="1" t="n">
        <v>0</v>
      </c>
      <c r="R13" s="1" t="n">
        <v>456718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</row>
    <row r="14" customFormat="false" ht="15" hidden="false" customHeight="false" outlineLevel="0" collapsed="false">
      <c r="A14" s="1" t="s">
        <v>31</v>
      </c>
      <c r="B14" s="1" t="n">
        <v>1203</v>
      </c>
      <c r="C14" s="1" t="n">
        <v>0</v>
      </c>
      <c r="D14" s="1" t="n">
        <v>377109</v>
      </c>
      <c r="E14" s="1" t="n">
        <v>0</v>
      </c>
      <c r="F14" s="1" t="n">
        <v>411</v>
      </c>
      <c r="G14" s="1" t="n">
        <v>0</v>
      </c>
      <c r="H14" s="1" t="n">
        <v>1</v>
      </c>
      <c r="I14" s="1" t="n">
        <v>5.662</v>
      </c>
      <c r="J14" s="1" t="n">
        <v>5.81</v>
      </c>
      <c r="K14" s="1" t="n">
        <v>0</v>
      </c>
      <c r="L14" s="1" t="s">
        <v>19</v>
      </c>
      <c r="M14" s="1" t="n">
        <v>1240754</v>
      </c>
      <c r="N14" s="1" t="n">
        <v>0.03</v>
      </c>
      <c r="O14" s="1" t="s">
        <v>20</v>
      </c>
      <c r="P14" s="1" t="n">
        <v>5.81</v>
      </c>
      <c r="Q14" s="1" t="n">
        <v>0</v>
      </c>
      <c r="R14" s="1" t="n">
        <v>409026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</row>
    <row r="15" customFormat="false" ht="15" hidden="false" customHeight="false" outlineLevel="0" collapsed="false">
      <c r="A15" s="1" t="s">
        <v>32</v>
      </c>
      <c r="B15" s="1" t="n">
        <v>1309</v>
      </c>
      <c r="C15" s="1" t="n">
        <v>0</v>
      </c>
      <c r="D15" s="1" t="n">
        <v>272817</v>
      </c>
      <c r="E15" s="1" t="n">
        <v>0</v>
      </c>
      <c r="F15" s="1" t="n">
        <v>307</v>
      </c>
      <c r="G15" s="1" t="n">
        <v>0</v>
      </c>
      <c r="H15" s="1" t="n">
        <v>1</v>
      </c>
      <c r="I15" s="1" t="n">
        <v>4.056</v>
      </c>
      <c r="J15" s="1" t="n">
        <v>4.17</v>
      </c>
      <c r="K15" s="1" t="n">
        <v>0</v>
      </c>
      <c r="L15" s="1" t="s">
        <v>19</v>
      </c>
      <c r="M15" s="1" t="n">
        <v>909904</v>
      </c>
      <c r="N15" s="1" t="n">
        <v>0.03</v>
      </c>
      <c r="O15" s="1" t="s">
        <v>20</v>
      </c>
      <c r="P15" s="1" t="n">
        <v>4.17</v>
      </c>
      <c r="Q15" s="1" t="n">
        <v>0</v>
      </c>
      <c r="R15" s="1" t="n">
        <v>311554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</row>
    <row r="16" customFormat="false" ht="15" hidden="false" customHeight="false" outlineLevel="0" collapsed="false">
      <c r="A16" s="1" t="s">
        <v>33</v>
      </c>
      <c r="B16" s="1" t="n">
        <v>1247</v>
      </c>
      <c r="C16" s="1" t="n">
        <v>0</v>
      </c>
      <c r="D16" s="1" t="n">
        <v>365887</v>
      </c>
      <c r="E16" s="1" t="n">
        <v>0</v>
      </c>
      <c r="F16" s="1" t="n">
        <v>407</v>
      </c>
      <c r="G16" s="1" t="n">
        <v>0</v>
      </c>
      <c r="H16" s="1" t="n">
        <v>1</v>
      </c>
      <c r="I16" s="1" t="n">
        <v>5.493</v>
      </c>
      <c r="J16" s="1" t="n">
        <v>5.64</v>
      </c>
      <c r="K16" s="1" t="n">
        <v>0</v>
      </c>
      <c r="L16" s="1" t="s">
        <v>19</v>
      </c>
      <c r="M16" s="1" t="n">
        <v>1224686</v>
      </c>
      <c r="N16" s="1" t="n">
        <v>0.03</v>
      </c>
      <c r="O16" s="1" t="s">
        <v>20</v>
      </c>
      <c r="P16" s="1" t="n">
        <v>5.64</v>
      </c>
      <c r="Q16" s="1" t="n">
        <v>0</v>
      </c>
      <c r="R16" s="1" t="n">
        <v>404088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</row>
    <row r="17" customFormat="false" ht="15" hidden="false" customHeight="false" outlineLevel="0" collapsed="false">
      <c r="A17" s="1" t="s">
        <v>34</v>
      </c>
      <c r="B17" s="1" t="n">
        <v>1501</v>
      </c>
      <c r="C17" s="1" t="n">
        <v>0</v>
      </c>
      <c r="D17" s="1" t="n">
        <v>329850</v>
      </c>
      <c r="E17" s="1" t="n">
        <v>0</v>
      </c>
      <c r="F17" s="1" t="n">
        <v>489</v>
      </c>
      <c r="G17" s="1" t="n">
        <v>0</v>
      </c>
      <c r="H17" s="1" t="n">
        <v>1</v>
      </c>
      <c r="I17" s="1" t="n">
        <v>6.973</v>
      </c>
      <c r="J17" s="1" t="n">
        <v>7.15</v>
      </c>
      <c r="K17" s="1" t="n">
        <v>0</v>
      </c>
      <c r="L17" s="1" t="s">
        <v>19</v>
      </c>
      <c r="M17" s="1" t="n">
        <v>1592096</v>
      </c>
      <c r="N17" s="1" t="n">
        <v>0.04</v>
      </c>
      <c r="O17" s="1" t="s">
        <v>20</v>
      </c>
      <c r="P17" s="1" t="n">
        <v>7.15</v>
      </c>
      <c r="Q17" s="1" t="n">
        <v>0</v>
      </c>
      <c r="R17" s="1" t="n">
        <v>492799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</row>
    <row r="18" customFormat="false" ht="15" hidden="false" customHeight="false" outlineLevel="0" collapsed="false">
      <c r="A18" s="1" t="s">
        <v>35</v>
      </c>
      <c r="B18" s="1" t="n">
        <v>1587</v>
      </c>
      <c r="C18" s="1" t="n">
        <v>0</v>
      </c>
      <c r="D18" s="1" t="n">
        <v>351381</v>
      </c>
      <c r="E18" s="1" t="n">
        <v>0</v>
      </c>
      <c r="F18" s="1" t="n">
        <v>510</v>
      </c>
      <c r="G18" s="1" t="n">
        <v>0</v>
      </c>
      <c r="H18" s="1" t="n">
        <v>1</v>
      </c>
      <c r="I18" s="1" t="n">
        <v>7.217</v>
      </c>
      <c r="J18" s="1" t="n">
        <v>7.41</v>
      </c>
      <c r="K18" s="1" t="n">
        <v>0</v>
      </c>
      <c r="L18" s="1" t="s">
        <v>19</v>
      </c>
      <c r="M18" s="1" t="n">
        <v>1658783</v>
      </c>
      <c r="N18" s="1" t="n">
        <v>0.04</v>
      </c>
      <c r="O18" s="1" t="s">
        <v>20</v>
      </c>
      <c r="P18" s="1" t="n">
        <v>7.41</v>
      </c>
      <c r="Q18" s="1" t="n">
        <v>0</v>
      </c>
      <c r="R18" s="1" t="n">
        <v>512607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</row>
    <row r="19" customFormat="false" ht="15" hidden="false" customHeight="false" outlineLevel="0" collapsed="false">
      <c r="A19" s="1" t="s">
        <v>36</v>
      </c>
      <c r="B19" s="1" t="n">
        <v>1993</v>
      </c>
      <c r="C19" s="1" t="n">
        <v>2</v>
      </c>
      <c r="D19" s="1" t="n">
        <v>376114</v>
      </c>
      <c r="E19" s="1" t="n">
        <v>0</v>
      </c>
      <c r="F19" s="1" t="n">
        <v>453</v>
      </c>
      <c r="G19" s="1" t="n">
        <v>0</v>
      </c>
      <c r="H19" s="1" t="n">
        <v>1</v>
      </c>
      <c r="I19" s="1" t="n">
        <v>6.241</v>
      </c>
      <c r="J19" s="1" t="n">
        <v>6.41</v>
      </c>
      <c r="K19" s="1" t="n">
        <v>0</v>
      </c>
      <c r="L19" s="1" t="s">
        <v>19</v>
      </c>
      <c r="M19" s="1" t="n">
        <v>1442200</v>
      </c>
      <c r="N19" s="1" t="n">
        <v>0.04</v>
      </c>
      <c r="O19" s="1" t="s">
        <v>20</v>
      </c>
      <c r="P19" s="1" t="n">
        <v>6.41</v>
      </c>
      <c r="Q19" s="1" t="n">
        <v>0</v>
      </c>
      <c r="R19" s="1" t="n">
        <v>449795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</row>
    <row r="20" customFormat="false" ht="15" hidden="false" customHeight="false" outlineLevel="0" collapsed="false">
      <c r="A20" s="1" t="s">
        <v>37</v>
      </c>
      <c r="B20" s="1" t="n">
        <v>1066</v>
      </c>
      <c r="C20" s="1" t="n">
        <v>0</v>
      </c>
      <c r="D20" s="1" t="n">
        <v>333417</v>
      </c>
      <c r="E20" s="1" t="n">
        <v>0</v>
      </c>
      <c r="F20" s="1" t="n">
        <v>495</v>
      </c>
      <c r="G20" s="1" t="n">
        <v>0</v>
      </c>
      <c r="H20" s="1" t="n">
        <v>1</v>
      </c>
      <c r="I20" s="1" t="n">
        <v>6.878</v>
      </c>
      <c r="J20" s="1" t="n">
        <v>7.05</v>
      </c>
      <c r="K20" s="1" t="n">
        <v>0</v>
      </c>
      <c r="L20" s="1" t="s">
        <v>19</v>
      </c>
      <c r="M20" s="1" t="n">
        <v>1600104</v>
      </c>
      <c r="N20" s="1" t="n">
        <v>0.04</v>
      </c>
      <c r="O20" s="1" t="s">
        <v>20</v>
      </c>
      <c r="P20" s="1" t="n">
        <v>7.05</v>
      </c>
      <c r="Q20" s="1" t="n">
        <v>0</v>
      </c>
      <c r="R20" s="1" t="n">
        <v>496107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</row>
    <row r="21" customFormat="false" ht="15" hidden="false" customHeight="false" outlineLevel="0" collapsed="false">
      <c r="A21" s="1" t="s">
        <v>38</v>
      </c>
      <c r="B21" s="1" t="n">
        <v>1160</v>
      </c>
      <c r="C21" s="1" t="n">
        <v>0</v>
      </c>
      <c r="D21" s="1" t="n">
        <v>355696</v>
      </c>
      <c r="E21" s="1" t="n">
        <v>0</v>
      </c>
      <c r="F21" s="1" t="n">
        <v>510</v>
      </c>
      <c r="G21" s="1" t="n">
        <v>0</v>
      </c>
      <c r="H21" s="1" t="n">
        <v>1</v>
      </c>
      <c r="I21" s="1" t="n">
        <v>7.263</v>
      </c>
      <c r="J21" s="1" t="n">
        <v>7.45</v>
      </c>
      <c r="K21" s="1" t="n">
        <v>0</v>
      </c>
      <c r="L21" s="1" t="s">
        <v>19</v>
      </c>
      <c r="M21" s="1" t="n">
        <v>1669215</v>
      </c>
      <c r="N21" s="1" t="n">
        <v>0.04</v>
      </c>
      <c r="O21" s="1" t="s">
        <v>20</v>
      </c>
      <c r="P21" s="1" t="n">
        <v>7.45</v>
      </c>
      <c r="Q21" s="1" t="n">
        <v>0</v>
      </c>
      <c r="R21" s="1" t="n">
        <v>515915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</row>
    <row r="22" customFormat="false" ht="15" hidden="false" customHeight="false" outlineLevel="0" collapsed="false">
      <c r="A22" s="1" t="s">
        <v>39</v>
      </c>
      <c r="B22" s="1" t="n">
        <v>1900</v>
      </c>
      <c r="C22" s="1" t="n">
        <v>3</v>
      </c>
      <c r="D22" s="1" t="n">
        <v>361000</v>
      </c>
      <c r="E22" s="1" t="n">
        <v>0</v>
      </c>
      <c r="F22" s="1" t="n">
        <v>443</v>
      </c>
      <c r="G22" s="1" t="n">
        <v>0</v>
      </c>
      <c r="H22" s="1" t="n">
        <v>1</v>
      </c>
      <c r="I22" s="1" t="n">
        <v>6.214</v>
      </c>
      <c r="J22" s="1" t="n">
        <v>6.38</v>
      </c>
      <c r="K22" s="1" t="n">
        <v>0</v>
      </c>
      <c r="L22" s="1" t="s">
        <v>19</v>
      </c>
      <c r="M22" s="1" t="n">
        <v>1405476</v>
      </c>
      <c r="N22" s="1" t="n">
        <v>0.04</v>
      </c>
      <c r="O22" s="1" t="s">
        <v>20</v>
      </c>
      <c r="P22" s="1" t="n">
        <v>6.38</v>
      </c>
      <c r="Q22" s="1" t="n">
        <v>0</v>
      </c>
      <c r="R22" s="1" t="n">
        <v>439871</v>
      </c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</row>
    <row r="23" customFormat="false" ht="15" hidden="false" customHeight="false" outlineLevel="0" collapsed="false">
      <c r="A23" s="1" t="s">
        <v>40</v>
      </c>
      <c r="B23" s="1" t="n">
        <v>2111</v>
      </c>
      <c r="C23" s="1" t="n">
        <v>2</v>
      </c>
      <c r="D23" s="1" t="n">
        <v>395308</v>
      </c>
      <c r="E23" s="1" t="n">
        <v>0</v>
      </c>
      <c r="F23" s="1" t="n">
        <v>473</v>
      </c>
      <c r="G23" s="1" t="n">
        <v>0</v>
      </c>
      <c r="H23" s="1" t="n">
        <v>1</v>
      </c>
      <c r="I23" s="1" t="n">
        <v>6.514</v>
      </c>
      <c r="J23" s="1" t="n">
        <v>6.68</v>
      </c>
      <c r="K23" s="1" t="n">
        <v>0</v>
      </c>
      <c r="L23" s="1" t="s">
        <v>19</v>
      </c>
      <c r="M23" s="1" t="n">
        <v>1497152</v>
      </c>
      <c r="N23" s="1" t="n">
        <v>0.04</v>
      </c>
      <c r="O23" s="1" t="s">
        <v>20</v>
      </c>
      <c r="P23" s="1" t="n">
        <v>6.68</v>
      </c>
      <c r="Q23" s="1" t="n">
        <v>0</v>
      </c>
      <c r="R23" s="1" t="n">
        <v>467989</v>
      </c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</row>
    <row r="24" customFormat="false" ht="15" hidden="false" customHeight="false" outlineLevel="0" collapsed="false">
      <c r="A24" s="1" t="s">
        <v>41</v>
      </c>
      <c r="B24" s="1" t="n">
        <v>1674</v>
      </c>
      <c r="C24" s="1" t="n">
        <v>0</v>
      </c>
      <c r="D24" s="1" t="n">
        <v>498101</v>
      </c>
      <c r="E24" s="1" t="n">
        <v>0</v>
      </c>
      <c r="F24" s="1" t="n">
        <v>590</v>
      </c>
      <c r="G24" s="1" t="n">
        <v>0</v>
      </c>
      <c r="H24" s="1" t="n">
        <v>1</v>
      </c>
      <c r="I24" s="1" t="n">
        <v>8.926</v>
      </c>
      <c r="J24" s="1" t="n">
        <v>9.15</v>
      </c>
      <c r="K24" s="1" t="n">
        <v>0</v>
      </c>
      <c r="L24" s="1" t="s">
        <v>19</v>
      </c>
      <c r="M24" s="1" t="n">
        <v>2094012</v>
      </c>
      <c r="N24" s="1" t="n">
        <v>0.05</v>
      </c>
      <c r="O24" s="1" t="s">
        <v>20</v>
      </c>
      <c r="P24" s="1" t="n">
        <v>9.15</v>
      </c>
      <c r="Q24" s="1" t="n">
        <v>0</v>
      </c>
      <c r="R24" s="1" t="n">
        <v>603131</v>
      </c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</row>
    <row r="25" customFormat="false" ht="15" hidden="false" customHeight="false" outlineLevel="0" collapsed="false">
      <c r="A25" s="1" t="s">
        <v>42</v>
      </c>
      <c r="B25" s="1" t="n">
        <v>2186</v>
      </c>
      <c r="C25" s="1" t="n">
        <v>2</v>
      </c>
      <c r="D25" s="1" t="n">
        <v>601587</v>
      </c>
      <c r="E25" s="1" t="n">
        <v>0</v>
      </c>
      <c r="F25" s="1" t="n">
        <v>701</v>
      </c>
      <c r="G25" s="1" t="n">
        <v>0</v>
      </c>
      <c r="H25" s="1" t="n">
        <v>1</v>
      </c>
      <c r="I25" s="1" t="n">
        <v>10.648</v>
      </c>
      <c r="J25" s="1" t="n">
        <v>10.91</v>
      </c>
      <c r="K25" s="1" t="n">
        <v>0</v>
      </c>
      <c r="L25" s="1" t="s">
        <v>19</v>
      </c>
      <c r="M25" s="1" t="n">
        <v>2493125</v>
      </c>
      <c r="N25" s="1" t="n">
        <v>0.07</v>
      </c>
      <c r="O25" s="1" t="s">
        <v>20</v>
      </c>
      <c r="P25" s="1" t="n">
        <v>10.91</v>
      </c>
      <c r="Q25" s="1" t="n">
        <v>0</v>
      </c>
      <c r="R25" s="1" t="n">
        <v>692010</v>
      </c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</row>
    <row r="26" customFormat="false" ht="15" hidden="false" customHeight="false" outlineLevel="0" collapsed="false">
      <c r="A26" s="1" t="s">
        <v>43</v>
      </c>
      <c r="B26" s="1" t="n">
        <v>1887</v>
      </c>
      <c r="C26" s="1" t="n">
        <v>0</v>
      </c>
      <c r="D26" s="1" t="n">
        <v>447546</v>
      </c>
      <c r="E26" s="1" t="n">
        <v>0</v>
      </c>
      <c r="F26" s="1" t="n">
        <v>642</v>
      </c>
      <c r="G26" s="1" t="n">
        <v>0</v>
      </c>
      <c r="H26" s="1" t="n">
        <v>1</v>
      </c>
      <c r="I26" s="1" t="n">
        <v>9.77</v>
      </c>
      <c r="J26" s="1" t="n">
        <v>10.01</v>
      </c>
      <c r="K26" s="1" t="n">
        <v>0</v>
      </c>
      <c r="L26" s="1" t="s">
        <v>19</v>
      </c>
      <c r="M26" s="1" t="n">
        <v>2265581</v>
      </c>
      <c r="N26" s="1" t="n">
        <v>0.05</v>
      </c>
      <c r="O26" s="1" t="s">
        <v>20</v>
      </c>
      <c r="P26" s="1" t="n">
        <v>10.01</v>
      </c>
      <c r="Q26" s="1" t="n">
        <v>0</v>
      </c>
      <c r="R26" s="1" t="n">
        <v>644643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</row>
    <row r="27" customFormat="false" ht="15" hidden="false" customHeight="false" outlineLevel="0" collapsed="false">
      <c r="A27" s="1" t="s">
        <v>44</v>
      </c>
      <c r="B27" s="1" t="n">
        <v>1621</v>
      </c>
      <c r="C27" s="1" t="n">
        <v>51</v>
      </c>
      <c r="D27" s="1" t="n">
        <v>608170</v>
      </c>
      <c r="E27" s="1" t="n">
        <v>0</v>
      </c>
      <c r="F27" s="1" t="n">
        <v>704</v>
      </c>
      <c r="G27" s="1" t="n">
        <v>0</v>
      </c>
      <c r="H27" s="1" t="n">
        <v>1</v>
      </c>
      <c r="I27" s="1" t="n">
        <v>10.645</v>
      </c>
      <c r="J27" s="1" t="n">
        <v>10.89</v>
      </c>
      <c r="K27" s="1" t="n">
        <v>0</v>
      </c>
      <c r="L27" s="1" t="s">
        <v>19</v>
      </c>
      <c r="M27" s="1" t="n">
        <v>2503597</v>
      </c>
      <c r="N27" s="1" t="n">
        <v>0.08</v>
      </c>
      <c r="O27" s="1" t="s">
        <v>20</v>
      </c>
      <c r="P27" s="1" t="n">
        <v>10.89</v>
      </c>
      <c r="Q27" s="1" t="n">
        <v>0</v>
      </c>
      <c r="R27" s="1" t="n">
        <v>695334</v>
      </c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</row>
    <row r="28" customFormat="false" ht="15" hidden="false" customHeight="false" outlineLevel="0" collapsed="false">
      <c r="A28" s="1" t="s">
        <v>45</v>
      </c>
      <c r="B28" s="1" t="n">
        <v>2226</v>
      </c>
      <c r="C28" s="1" t="n">
        <v>0</v>
      </c>
      <c r="D28" s="1" t="n">
        <v>512982</v>
      </c>
      <c r="E28" s="1" t="n">
        <v>0</v>
      </c>
      <c r="F28" s="1" t="n">
        <v>598</v>
      </c>
      <c r="G28" s="1" t="n">
        <v>0</v>
      </c>
      <c r="H28" s="1" t="n">
        <v>1</v>
      </c>
      <c r="I28" s="1" t="n">
        <v>9.177</v>
      </c>
      <c r="J28" s="1" t="n">
        <v>9.41</v>
      </c>
      <c r="K28" s="1" t="n">
        <v>0</v>
      </c>
      <c r="L28" s="1" t="s">
        <v>19</v>
      </c>
      <c r="M28" s="1" t="n">
        <v>2144847</v>
      </c>
      <c r="N28" s="1" t="n">
        <v>0.05</v>
      </c>
      <c r="O28" s="1" t="s">
        <v>20</v>
      </c>
      <c r="P28" s="1" t="n">
        <v>9.41</v>
      </c>
      <c r="Q28" s="1" t="n">
        <v>0</v>
      </c>
      <c r="R28" s="1" t="n">
        <v>616389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</row>
    <row r="29" customFormat="false" ht="15" hidden="false" customHeight="false" outlineLevel="0" collapsed="false">
      <c r="A29" s="1" t="s">
        <v>46</v>
      </c>
      <c r="B29" s="1" t="n">
        <v>3461</v>
      </c>
      <c r="C29" s="1" t="n">
        <v>77</v>
      </c>
      <c r="D29" s="1" t="n">
        <v>605285</v>
      </c>
      <c r="E29" s="1" t="n">
        <v>0</v>
      </c>
      <c r="F29" s="1" t="n">
        <v>706</v>
      </c>
      <c r="G29" s="1" t="n">
        <v>0</v>
      </c>
      <c r="H29" s="1" t="n">
        <v>1</v>
      </c>
      <c r="I29" s="1" t="n">
        <v>10.759</v>
      </c>
      <c r="J29" s="1" t="n">
        <v>10.98</v>
      </c>
      <c r="K29" s="1" t="n">
        <v>1</v>
      </c>
      <c r="L29" s="1" t="s">
        <v>19</v>
      </c>
      <c r="M29" s="1" t="n">
        <v>2503597</v>
      </c>
      <c r="N29" s="1" t="n">
        <v>0.12</v>
      </c>
      <c r="O29" s="1" t="s">
        <v>20</v>
      </c>
      <c r="P29" s="1" t="n">
        <v>10.98</v>
      </c>
      <c r="Q29" s="1" t="n">
        <v>0</v>
      </c>
      <c r="R29" s="1" t="n">
        <v>695334</v>
      </c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</row>
    <row r="30" customFormat="false" ht="15" hidden="false" customHeight="false" outlineLevel="0" collapsed="false">
      <c r="A30" s="1" t="s">
        <v>47</v>
      </c>
      <c r="B30" s="1" t="n">
        <v>2230</v>
      </c>
      <c r="C30" s="1" t="n">
        <v>6</v>
      </c>
      <c r="D30" s="1" t="n">
        <v>518398</v>
      </c>
      <c r="E30" s="1" t="n">
        <v>0</v>
      </c>
      <c r="F30" s="1" t="n">
        <v>606</v>
      </c>
      <c r="G30" s="1" t="n">
        <v>0</v>
      </c>
      <c r="H30" s="1" t="n">
        <v>1</v>
      </c>
      <c r="I30" s="1" t="n">
        <v>9.163</v>
      </c>
      <c r="J30" s="1" t="n">
        <v>9.4</v>
      </c>
      <c r="K30" s="1" t="n">
        <v>0</v>
      </c>
      <c r="L30" s="1" t="s">
        <v>19</v>
      </c>
      <c r="M30" s="1" t="n">
        <v>2159343</v>
      </c>
      <c r="N30" s="1" t="n">
        <v>0.06</v>
      </c>
      <c r="O30" s="1" t="s">
        <v>20</v>
      </c>
      <c r="P30" s="1" t="n">
        <v>9.4</v>
      </c>
      <c r="Q30" s="1" t="n">
        <v>0</v>
      </c>
      <c r="R30" s="1" t="n">
        <v>621375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</row>
    <row r="31" customFormat="false" ht="15" hidden="false" customHeight="false" outlineLevel="0" collapsed="false">
      <c r="A31" s="1" t="s">
        <v>48</v>
      </c>
      <c r="B31" s="1" t="n">
        <v>4466</v>
      </c>
      <c r="C31" s="1" t="n">
        <v>89</v>
      </c>
      <c r="D31" s="1" t="n">
        <v>621551</v>
      </c>
      <c r="E31" s="1" t="n">
        <v>0</v>
      </c>
      <c r="F31" s="1" t="n">
        <v>771</v>
      </c>
      <c r="G31" s="1" t="n">
        <v>0</v>
      </c>
      <c r="H31" s="1" t="n">
        <v>1</v>
      </c>
      <c r="I31" s="1" t="n">
        <v>12.196</v>
      </c>
      <c r="J31" s="1" t="n">
        <v>12.48</v>
      </c>
      <c r="K31" s="1" t="n">
        <v>1</v>
      </c>
      <c r="L31" s="1" t="s">
        <v>19</v>
      </c>
      <c r="M31" s="1" t="n">
        <v>2827189</v>
      </c>
      <c r="N31" s="1" t="n">
        <v>0.14</v>
      </c>
      <c r="O31" s="1" t="s">
        <v>20</v>
      </c>
      <c r="P31" s="1" t="n">
        <v>12.48</v>
      </c>
      <c r="Q31" s="1" t="n">
        <v>0</v>
      </c>
      <c r="R31" s="1" t="n">
        <v>752883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</row>
    <row r="32" customFormat="false" ht="15" hidden="false" customHeight="false" outlineLevel="0" collapsed="false">
      <c r="A32" s="1" t="s">
        <v>49</v>
      </c>
      <c r="B32" s="1" t="n">
        <v>6950</v>
      </c>
      <c r="C32" s="1" t="n">
        <v>390</v>
      </c>
      <c r="D32" s="1" t="n">
        <v>575850</v>
      </c>
      <c r="E32" s="1" t="n">
        <v>0</v>
      </c>
      <c r="F32" s="1" t="n">
        <v>823</v>
      </c>
      <c r="G32" s="1" t="n">
        <v>0</v>
      </c>
      <c r="H32" s="1" t="n">
        <v>1</v>
      </c>
      <c r="I32" s="1" t="n">
        <v>13.221</v>
      </c>
      <c r="J32" s="1" t="n">
        <v>13.52</v>
      </c>
      <c r="K32" s="1" t="n">
        <v>3</v>
      </c>
      <c r="L32" s="1" t="s">
        <v>19</v>
      </c>
      <c r="M32" s="1" t="n">
        <v>3040494</v>
      </c>
      <c r="N32" s="1" t="n">
        <v>0.28</v>
      </c>
      <c r="O32" s="1" t="s">
        <v>20</v>
      </c>
      <c r="P32" s="1" t="n">
        <v>13.52</v>
      </c>
      <c r="Q32" s="1" t="n">
        <v>0</v>
      </c>
      <c r="R32" s="1" t="n">
        <v>799607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</row>
    <row r="33" customFormat="false" ht="15" hidden="false" customHeight="false" outlineLevel="0" collapsed="false">
      <c r="A33" s="1" t="s">
        <v>50</v>
      </c>
      <c r="B33" s="1" t="n">
        <v>6976</v>
      </c>
      <c r="C33" s="1" t="n">
        <v>153</v>
      </c>
      <c r="D33" s="1" t="n">
        <v>627111</v>
      </c>
      <c r="E33" s="1" t="n">
        <v>0</v>
      </c>
      <c r="F33" s="1" t="n">
        <v>773</v>
      </c>
      <c r="G33" s="1" t="n">
        <v>0</v>
      </c>
      <c r="H33" s="1" t="n">
        <v>1</v>
      </c>
      <c r="I33" s="1" t="n">
        <v>12.265</v>
      </c>
      <c r="J33" s="1" t="n">
        <v>12.52</v>
      </c>
      <c r="K33" s="1" t="n">
        <v>2</v>
      </c>
      <c r="L33" s="1" t="s">
        <v>19</v>
      </c>
      <c r="M33" s="1" t="n">
        <v>2837701</v>
      </c>
      <c r="N33" s="1" t="n">
        <v>0.2</v>
      </c>
      <c r="O33" s="1" t="s">
        <v>20</v>
      </c>
      <c r="P33" s="1" t="n">
        <v>12.52</v>
      </c>
      <c r="Q33" s="1" t="n">
        <v>0</v>
      </c>
      <c r="R33" s="1" t="n">
        <v>756223</v>
      </c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</row>
    <row r="34" customFormat="false" ht="15" hidden="false" customHeight="false" outlineLevel="0" collapsed="false">
      <c r="A34" s="1" t="s">
        <v>51</v>
      </c>
      <c r="B34" s="1" t="n">
        <v>2395</v>
      </c>
      <c r="C34" s="1" t="n">
        <v>3</v>
      </c>
      <c r="D34" s="1" t="n">
        <v>619833</v>
      </c>
      <c r="E34" s="1" t="n">
        <v>0</v>
      </c>
      <c r="F34" s="1" t="n">
        <v>768</v>
      </c>
      <c r="G34" s="1" t="n">
        <v>0</v>
      </c>
      <c r="H34" s="1" t="n">
        <v>1</v>
      </c>
      <c r="I34" s="1" t="n">
        <v>12.065</v>
      </c>
      <c r="J34" s="1" t="n">
        <v>12.35</v>
      </c>
      <c r="K34" s="1" t="n">
        <v>0</v>
      </c>
      <c r="L34" s="1" t="s">
        <v>19</v>
      </c>
      <c r="M34" s="1" t="n">
        <v>2823145</v>
      </c>
      <c r="N34" s="1" t="n">
        <v>0.07</v>
      </c>
      <c r="O34" s="1" t="s">
        <v>20</v>
      </c>
      <c r="P34" s="1" t="n">
        <v>12.35</v>
      </c>
      <c r="Q34" s="1" t="n">
        <v>0</v>
      </c>
      <c r="R34" s="1" t="n">
        <v>751213</v>
      </c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</row>
    <row r="35" customFormat="false" ht="15" hidden="false" customHeight="false" outlineLevel="0" collapsed="false">
      <c r="A35" s="1" t="s">
        <v>52</v>
      </c>
      <c r="B35" s="1" t="n">
        <v>2362</v>
      </c>
      <c r="C35" s="1" t="n">
        <v>0</v>
      </c>
      <c r="D35" s="1" t="n">
        <v>736842</v>
      </c>
      <c r="E35" s="1" t="n">
        <v>0</v>
      </c>
      <c r="F35" s="1" t="n">
        <v>859</v>
      </c>
      <c r="G35" s="1" t="n">
        <v>0</v>
      </c>
      <c r="H35" s="1" t="n">
        <v>1</v>
      </c>
      <c r="I35" s="1" t="n">
        <v>13.975</v>
      </c>
      <c r="J35" s="1" t="n">
        <v>14.27</v>
      </c>
      <c r="K35" s="1" t="n">
        <v>0</v>
      </c>
      <c r="L35" s="1" t="s">
        <v>19</v>
      </c>
      <c r="M35" s="1" t="n">
        <v>3292779</v>
      </c>
      <c r="N35" s="1" t="n">
        <v>0.08</v>
      </c>
      <c r="O35" s="1" t="s">
        <v>20</v>
      </c>
      <c r="P35" s="1" t="n">
        <v>14.27</v>
      </c>
      <c r="Q35" s="1" t="n">
        <v>0</v>
      </c>
      <c r="R35" s="1" t="n">
        <v>845532</v>
      </c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</row>
    <row r="36" customFormat="false" ht="15" hidden="false" customHeight="false" outlineLevel="0" collapsed="false">
      <c r="A36" s="1" t="s">
        <v>53</v>
      </c>
      <c r="B36" s="1" t="n">
        <v>2629</v>
      </c>
      <c r="C36" s="1" t="n">
        <v>72</v>
      </c>
      <c r="D36" s="1" t="n">
        <v>625249</v>
      </c>
      <c r="E36" s="1" t="n">
        <v>0</v>
      </c>
      <c r="F36" s="1" t="n">
        <v>771</v>
      </c>
      <c r="G36" s="1" t="n">
        <v>0</v>
      </c>
      <c r="H36" s="1" t="n">
        <v>1</v>
      </c>
      <c r="I36" s="1" t="n">
        <v>12.177</v>
      </c>
      <c r="J36" s="1" t="n">
        <v>12.46</v>
      </c>
      <c r="K36" s="1" t="n">
        <v>0</v>
      </c>
      <c r="L36" s="1" t="s">
        <v>19</v>
      </c>
      <c r="M36" s="1" t="n">
        <v>2837701</v>
      </c>
      <c r="N36" s="1" t="n">
        <v>0.09</v>
      </c>
      <c r="O36" s="1" t="s">
        <v>20</v>
      </c>
      <c r="P36" s="1" t="n">
        <v>12.46</v>
      </c>
      <c r="Q36" s="1" t="n">
        <v>0</v>
      </c>
      <c r="R36" s="1" t="n">
        <v>756223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</row>
    <row r="37" customFormat="false" ht="15" hidden="false" customHeight="false" outlineLevel="0" collapsed="false">
      <c r="A37" s="1" t="s">
        <v>54</v>
      </c>
      <c r="B37" s="1" t="n">
        <v>2372</v>
      </c>
      <c r="C37" s="1" t="n">
        <v>2</v>
      </c>
      <c r="D37" s="1" t="n">
        <v>643180</v>
      </c>
      <c r="E37" s="1" t="n">
        <v>0</v>
      </c>
      <c r="F37" s="1" t="n">
        <v>793</v>
      </c>
      <c r="G37" s="1" t="n">
        <v>0</v>
      </c>
      <c r="H37" s="1" t="n">
        <v>1</v>
      </c>
      <c r="I37" s="1" t="n">
        <v>12.274</v>
      </c>
      <c r="J37" s="1" t="n">
        <v>12.56</v>
      </c>
      <c r="K37" s="1" t="n">
        <v>0</v>
      </c>
      <c r="L37" s="1" t="s">
        <v>19</v>
      </c>
      <c r="M37" s="1" t="n">
        <v>2901978</v>
      </c>
      <c r="N37" s="1" t="n">
        <v>0.07</v>
      </c>
      <c r="O37" s="1" t="s">
        <v>20</v>
      </c>
      <c r="P37" s="1" t="n">
        <v>12.56</v>
      </c>
      <c r="Q37" s="1" t="n">
        <v>0</v>
      </c>
      <c r="R37" s="1" t="n">
        <v>771217</v>
      </c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</row>
    <row r="38" customFormat="false" ht="15" hidden="false" customHeight="false" outlineLevel="0" collapsed="false">
      <c r="A38" s="1" t="s">
        <v>55</v>
      </c>
      <c r="B38" s="1" t="n">
        <v>18533</v>
      </c>
      <c r="C38" s="1" t="n">
        <v>224</v>
      </c>
      <c r="D38" s="1" t="n">
        <v>722068</v>
      </c>
      <c r="E38" s="1" t="n">
        <v>0</v>
      </c>
      <c r="F38" s="1" t="n">
        <v>922</v>
      </c>
      <c r="G38" s="1" t="n">
        <v>0</v>
      </c>
      <c r="H38" s="1" t="n">
        <v>1</v>
      </c>
      <c r="I38" s="1" t="n">
        <v>15.316</v>
      </c>
      <c r="J38" s="1" t="n">
        <v>15.63</v>
      </c>
      <c r="K38" s="1" t="n">
        <v>2</v>
      </c>
      <c r="L38" s="1" t="s">
        <v>19</v>
      </c>
      <c r="M38" s="1" t="n">
        <v>3532875</v>
      </c>
      <c r="N38" s="1" t="n">
        <v>0.34</v>
      </c>
      <c r="O38" s="1" t="s">
        <v>20</v>
      </c>
      <c r="P38" s="1" t="n">
        <v>15.63</v>
      </c>
      <c r="Q38" s="1" t="n">
        <v>0</v>
      </c>
      <c r="R38" s="1" t="n">
        <v>906978</v>
      </c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</row>
    <row r="39" customFormat="false" ht="15" hidden="false" customHeight="false" outlineLevel="0" collapsed="false">
      <c r="A39" s="1" t="s">
        <v>56</v>
      </c>
      <c r="B39" s="1" t="n">
        <v>380</v>
      </c>
      <c r="C39" s="1" t="n">
        <v>0</v>
      </c>
      <c r="D39" s="1" t="n">
        <v>147686</v>
      </c>
      <c r="E39" s="1" t="n">
        <v>0</v>
      </c>
      <c r="F39" s="1" t="n">
        <v>164</v>
      </c>
      <c r="G39" s="1" t="n">
        <v>0</v>
      </c>
      <c r="H39" s="1" t="n">
        <v>1</v>
      </c>
      <c r="I39" s="1" t="n">
        <v>2.093</v>
      </c>
      <c r="J39" s="1" t="n">
        <v>2.15</v>
      </c>
      <c r="K39" s="1" t="n">
        <v>0</v>
      </c>
      <c r="L39" s="1" t="s">
        <v>19</v>
      </c>
      <c r="M39" s="1" t="n">
        <v>423697</v>
      </c>
      <c r="N39" s="1" t="n">
        <v>0.01</v>
      </c>
      <c r="O39" s="1" t="s">
        <v>20</v>
      </c>
      <c r="P39" s="1" t="n">
        <v>2.15</v>
      </c>
      <c r="Q39" s="1" t="n">
        <v>0</v>
      </c>
      <c r="R39" s="1" t="n">
        <v>159335</v>
      </c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</row>
    <row r="40" customFormat="false" ht="15" hidden="false" customHeight="false" outlineLevel="0" collapsed="false">
      <c r="A40" s="1" t="s">
        <v>57</v>
      </c>
      <c r="B40" s="1" t="n">
        <v>1095</v>
      </c>
      <c r="C40" s="1" t="n">
        <v>0</v>
      </c>
      <c r="D40" s="1" t="n">
        <v>701280</v>
      </c>
      <c r="E40" s="1" t="n">
        <v>0</v>
      </c>
      <c r="F40" s="1" t="n">
        <v>448</v>
      </c>
      <c r="G40" s="1" t="n">
        <v>0</v>
      </c>
      <c r="H40" s="1" t="n">
        <v>1</v>
      </c>
      <c r="I40" s="1" t="n">
        <v>5.598</v>
      </c>
      <c r="J40" s="1" t="n">
        <v>5.77</v>
      </c>
      <c r="K40" s="1" t="n">
        <v>0</v>
      </c>
      <c r="L40" s="1" t="s">
        <v>19</v>
      </c>
      <c r="M40" s="1" t="n">
        <v>1222170</v>
      </c>
      <c r="N40" s="1" t="n">
        <v>0.05</v>
      </c>
      <c r="O40" s="1" t="s">
        <v>20</v>
      </c>
      <c r="P40" s="1" t="n">
        <v>5.77</v>
      </c>
      <c r="Q40" s="1" t="n">
        <v>0</v>
      </c>
      <c r="R40" s="1" t="n">
        <v>439341</v>
      </c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</row>
    <row r="41" customFormat="false" ht="15" hidden="false" customHeight="false" outlineLevel="0" collapsed="false">
      <c r="A41" s="1" t="s">
        <v>58</v>
      </c>
      <c r="B41" s="1" t="n">
        <v>2254</v>
      </c>
      <c r="C41" s="1" t="n">
        <v>167</v>
      </c>
      <c r="D41" s="1" t="n">
        <v>430577</v>
      </c>
      <c r="E41" s="1" t="n">
        <v>0</v>
      </c>
      <c r="F41" s="1" t="n">
        <v>300</v>
      </c>
      <c r="G41" s="1" t="n">
        <v>0</v>
      </c>
      <c r="H41" s="1" t="n">
        <v>1</v>
      </c>
      <c r="I41" s="1" t="n">
        <v>4.024</v>
      </c>
      <c r="J41" s="1" t="n">
        <v>4.12</v>
      </c>
      <c r="K41" s="1" t="n">
        <v>1</v>
      </c>
      <c r="L41" s="1" t="s">
        <v>19</v>
      </c>
      <c r="M41" s="1" t="n">
        <v>849463</v>
      </c>
      <c r="N41" s="1" t="n">
        <v>0.13</v>
      </c>
      <c r="O41" s="1" t="s">
        <v>20</v>
      </c>
      <c r="P41" s="1" t="n">
        <v>4.12</v>
      </c>
      <c r="Q41" s="1" t="n">
        <v>0</v>
      </c>
      <c r="R41" s="1" t="n">
        <v>307725</v>
      </c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</row>
    <row r="42" customFormat="false" ht="15" hidden="false" customHeight="false" outlineLevel="0" collapsed="false">
      <c r="A42" s="1" t="s">
        <v>59</v>
      </c>
      <c r="B42" s="1" t="n">
        <v>1766</v>
      </c>
      <c r="C42" s="1" t="n">
        <v>0</v>
      </c>
      <c r="D42" s="1" t="n">
        <v>549457</v>
      </c>
      <c r="E42" s="1" t="n">
        <v>0</v>
      </c>
      <c r="F42" s="1" t="n">
        <v>384</v>
      </c>
      <c r="G42" s="1" t="n">
        <v>0</v>
      </c>
      <c r="H42" s="1" t="n">
        <v>1</v>
      </c>
      <c r="I42" s="1" t="n">
        <v>4.887</v>
      </c>
      <c r="J42" s="1" t="n">
        <v>5.03</v>
      </c>
      <c r="K42" s="1" t="n">
        <v>0</v>
      </c>
      <c r="L42" s="1" t="s">
        <v>19</v>
      </c>
      <c r="M42" s="1" t="n">
        <v>1049999</v>
      </c>
      <c r="N42" s="1" t="n">
        <v>0.05</v>
      </c>
      <c r="O42" s="1" t="s">
        <v>20</v>
      </c>
      <c r="P42" s="1" t="n">
        <v>5.03</v>
      </c>
      <c r="Q42" s="1" t="n">
        <v>0</v>
      </c>
      <c r="R42" s="1" t="n">
        <v>381912</v>
      </c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</row>
    <row r="43" customFormat="false" ht="15" hidden="false" customHeight="false" outlineLevel="0" collapsed="false">
      <c r="A43" s="1" t="s">
        <v>60</v>
      </c>
      <c r="B43" s="1" t="n">
        <v>1466</v>
      </c>
      <c r="C43" s="1" t="n">
        <v>0</v>
      </c>
      <c r="D43" s="1" t="n">
        <v>460414</v>
      </c>
      <c r="E43" s="1" t="n">
        <v>0</v>
      </c>
      <c r="F43" s="1" t="n">
        <v>372</v>
      </c>
      <c r="G43" s="1" t="n">
        <v>0</v>
      </c>
      <c r="H43" s="1" t="n">
        <v>1</v>
      </c>
      <c r="I43" s="1" t="n">
        <v>4.685</v>
      </c>
      <c r="J43" s="1" t="n">
        <v>4.81</v>
      </c>
      <c r="K43" s="1" t="n">
        <v>0</v>
      </c>
      <c r="L43" s="1" t="s">
        <v>19</v>
      </c>
      <c r="M43" s="1" t="n">
        <v>1020426</v>
      </c>
      <c r="N43" s="1" t="n">
        <v>0.04</v>
      </c>
      <c r="O43" s="1" t="s">
        <v>20</v>
      </c>
      <c r="P43" s="1" t="n">
        <v>4.81</v>
      </c>
      <c r="Q43" s="1" t="n">
        <v>0</v>
      </c>
      <c r="R43" s="1" t="n">
        <v>367238</v>
      </c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</row>
    <row r="44" customFormat="false" ht="15" hidden="false" customHeight="false" outlineLevel="0" collapsed="false">
      <c r="A44" s="1" t="s">
        <v>61</v>
      </c>
      <c r="B44" s="1" t="n">
        <v>482</v>
      </c>
      <c r="C44" s="1" t="n">
        <v>0</v>
      </c>
      <c r="D44" s="1" t="n">
        <v>338592</v>
      </c>
      <c r="E44" s="1" t="n">
        <v>0</v>
      </c>
      <c r="F44" s="1" t="n">
        <v>271</v>
      </c>
      <c r="G44" s="1" t="n">
        <v>0</v>
      </c>
      <c r="H44" s="1" t="n">
        <v>1</v>
      </c>
      <c r="I44" s="1" t="n">
        <v>3.433</v>
      </c>
      <c r="J44" s="1" t="n">
        <v>3.53</v>
      </c>
      <c r="K44" s="1" t="n">
        <v>0</v>
      </c>
      <c r="L44" s="1" t="s">
        <v>19</v>
      </c>
      <c r="M44" s="1" t="n">
        <v>750285</v>
      </c>
      <c r="N44" s="1" t="n">
        <v>0.02</v>
      </c>
      <c r="O44" s="1" t="s">
        <v>20</v>
      </c>
      <c r="P44" s="1" t="n">
        <v>3.53</v>
      </c>
      <c r="Q44" s="1" t="n">
        <v>0</v>
      </c>
      <c r="R44" s="1" t="n">
        <v>272193</v>
      </c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</row>
    <row r="45" customFormat="false" ht="15" hidden="false" customHeight="false" outlineLevel="0" collapsed="false">
      <c r="A45" s="1" t="s">
        <v>62</v>
      </c>
      <c r="B45" s="1" t="n">
        <v>1950</v>
      </c>
      <c r="C45" s="1" t="n">
        <v>0</v>
      </c>
      <c r="D45" s="1" t="n">
        <v>450160</v>
      </c>
      <c r="E45" s="1" t="n">
        <v>0</v>
      </c>
      <c r="F45" s="1" t="n">
        <v>354</v>
      </c>
      <c r="G45" s="1" t="n">
        <v>0</v>
      </c>
      <c r="H45" s="1" t="n">
        <v>1</v>
      </c>
      <c r="I45" s="1" t="n">
        <v>4.38</v>
      </c>
      <c r="J45" s="1" t="n">
        <v>4.51</v>
      </c>
      <c r="K45" s="1" t="n">
        <v>0</v>
      </c>
      <c r="L45" s="1" t="s">
        <v>19</v>
      </c>
      <c r="M45" s="1" t="n">
        <v>928495</v>
      </c>
      <c r="N45" s="1" t="n">
        <v>0.04</v>
      </c>
      <c r="O45" s="1" t="s">
        <v>20</v>
      </c>
      <c r="P45" s="1" t="n">
        <v>4.51</v>
      </c>
      <c r="Q45" s="1" t="n">
        <v>0</v>
      </c>
      <c r="R45" s="1" t="n">
        <v>346382</v>
      </c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</row>
    <row r="46" customFormat="false" ht="15" hidden="false" customHeight="false" outlineLevel="0" collapsed="false">
      <c r="A46" s="1" t="s">
        <v>63</v>
      </c>
      <c r="B46" s="1" t="n">
        <v>2078</v>
      </c>
      <c r="C46" s="1" t="n">
        <v>3</v>
      </c>
      <c r="D46" s="1" t="n">
        <v>874968</v>
      </c>
      <c r="E46" s="1" t="n">
        <v>0</v>
      </c>
      <c r="F46" s="1" t="n">
        <v>537</v>
      </c>
      <c r="G46" s="1" t="n">
        <v>0</v>
      </c>
      <c r="H46" s="1" t="n">
        <v>1</v>
      </c>
      <c r="I46" s="1" t="n">
        <v>7.19</v>
      </c>
      <c r="J46" s="1" t="n">
        <v>7.39</v>
      </c>
      <c r="K46" s="1" t="n">
        <v>0</v>
      </c>
      <c r="L46" s="1" t="s">
        <v>19</v>
      </c>
      <c r="M46" s="1" t="n">
        <v>1626147</v>
      </c>
      <c r="N46" s="1" t="n">
        <v>0.07</v>
      </c>
      <c r="O46" s="1" t="s">
        <v>20</v>
      </c>
      <c r="P46" s="1" t="n">
        <v>7.39</v>
      </c>
      <c r="Q46" s="1" t="n">
        <v>0</v>
      </c>
      <c r="R46" s="1" t="n">
        <v>541653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</row>
    <row r="47" customFormat="false" ht="15" hidden="false" customHeight="false" outlineLevel="0" collapsed="false">
      <c r="A47" s="1" t="s">
        <v>64</v>
      </c>
      <c r="B47" s="1" t="n">
        <v>1769</v>
      </c>
      <c r="C47" s="1" t="n">
        <v>0</v>
      </c>
      <c r="D47" s="1" t="n">
        <v>580257</v>
      </c>
      <c r="E47" s="1" t="n">
        <v>0</v>
      </c>
      <c r="F47" s="1" t="n">
        <v>453</v>
      </c>
      <c r="G47" s="1" t="n">
        <v>0</v>
      </c>
      <c r="H47" s="1" t="n">
        <v>1</v>
      </c>
      <c r="I47" s="1" t="n">
        <v>5.855</v>
      </c>
      <c r="J47" s="1" t="n">
        <v>6.03</v>
      </c>
      <c r="K47" s="1" t="n">
        <v>0</v>
      </c>
      <c r="L47" s="1" t="s">
        <v>19</v>
      </c>
      <c r="M47" s="1" t="n">
        <v>1286752</v>
      </c>
      <c r="N47" s="1" t="n">
        <v>0.05</v>
      </c>
      <c r="O47" s="1" t="s">
        <v>20</v>
      </c>
      <c r="P47" s="1" t="n">
        <v>6.03</v>
      </c>
      <c r="Q47" s="1" t="n">
        <v>0</v>
      </c>
      <c r="R47" s="1" t="n">
        <v>445144</v>
      </c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</row>
    <row r="48" customFormat="false" ht="15" hidden="false" customHeight="false" outlineLevel="0" collapsed="false">
      <c r="A48" s="1" t="s">
        <v>65</v>
      </c>
      <c r="B48" s="1" t="n">
        <v>1183</v>
      </c>
      <c r="C48" s="1" t="n">
        <v>0</v>
      </c>
      <c r="D48" s="1" t="n">
        <v>349849</v>
      </c>
      <c r="E48" s="1" t="n">
        <v>0</v>
      </c>
      <c r="F48" s="1" t="n">
        <v>337</v>
      </c>
      <c r="G48" s="1" t="n">
        <v>0</v>
      </c>
      <c r="H48" s="1" t="n">
        <v>1</v>
      </c>
      <c r="I48" s="1" t="n">
        <v>4.386</v>
      </c>
      <c r="J48" s="1" t="n">
        <v>4.51</v>
      </c>
      <c r="K48" s="1" t="n">
        <v>0</v>
      </c>
      <c r="L48" s="1" t="s">
        <v>19</v>
      </c>
      <c r="M48" s="1" t="n">
        <v>953731</v>
      </c>
      <c r="N48" s="1" t="n">
        <v>0.03</v>
      </c>
      <c r="O48" s="1" t="s">
        <v>20</v>
      </c>
      <c r="P48" s="1" t="n">
        <v>4.51</v>
      </c>
      <c r="Q48" s="1" t="n">
        <v>0</v>
      </c>
      <c r="R48" s="1" t="n">
        <v>333959</v>
      </c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</row>
    <row r="49" customFormat="false" ht="15" hidden="false" customHeight="false" outlineLevel="0" collapsed="false">
      <c r="A49" s="1" t="s">
        <v>66</v>
      </c>
      <c r="B49" s="1" t="n">
        <v>1308</v>
      </c>
      <c r="C49" s="1" t="n">
        <v>3</v>
      </c>
      <c r="D49" s="1" t="n">
        <v>716719</v>
      </c>
      <c r="E49" s="1" t="n">
        <v>0</v>
      </c>
      <c r="F49" s="1" t="n">
        <v>495</v>
      </c>
      <c r="G49" s="1" t="n">
        <v>0</v>
      </c>
      <c r="H49" s="1" t="n">
        <v>1</v>
      </c>
      <c r="I49" s="1" t="n">
        <v>6.722</v>
      </c>
      <c r="J49" s="1" t="n">
        <v>6.91</v>
      </c>
      <c r="K49" s="1" t="n">
        <v>0</v>
      </c>
      <c r="L49" s="1" t="s">
        <v>19</v>
      </c>
      <c r="M49" s="1" t="n">
        <v>1507550</v>
      </c>
      <c r="N49" s="1" t="n">
        <v>0.06</v>
      </c>
      <c r="O49" s="1" t="s">
        <v>20</v>
      </c>
      <c r="P49" s="1" t="n">
        <v>6.91</v>
      </c>
      <c r="Q49" s="1" t="n">
        <v>0</v>
      </c>
      <c r="R49" s="1" t="n">
        <v>500750</v>
      </c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</row>
    <row r="50" customFormat="false" ht="15" hidden="false" customHeight="false" outlineLevel="0" collapsed="false">
      <c r="A50" s="1" t="s">
        <v>67</v>
      </c>
      <c r="B50" s="1" t="n">
        <v>3380</v>
      </c>
      <c r="C50" s="1" t="n">
        <v>61</v>
      </c>
      <c r="D50" s="1" t="n">
        <v>845474</v>
      </c>
      <c r="E50" s="1" t="n">
        <v>0</v>
      </c>
      <c r="F50" s="1" t="n">
        <v>562</v>
      </c>
      <c r="G50" s="1" t="n">
        <v>0</v>
      </c>
      <c r="H50" s="1" t="n">
        <v>1</v>
      </c>
      <c r="I50" s="1" t="n">
        <v>7.776</v>
      </c>
      <c r="J50" s="1" t="n">
        <v>7.99</v>
      </c>
      <c r="K50" s="1" t="n">
        <v>1</v>
      </c>
      <c r="L50" s="1" t="s">
        <v>19</v>
      </c>
      <c r="M50" s="1" t="n">
        <v>1746035</v>
      </c>
      <c r="N50" s="1" t="n">
        <v>0.17</v>
      </c>
      <c r="O50" s="1" t="s">
        <v>20</v>
      </c>
      <c r="P50" s="1" t="n">
        <v>7.99</v>
      </c>
      <c r="Q50" s="1" t="n">
        <v>0</v>
      </c>
      <c r="R50" s="1" t="n">
        <v>576288</v>
      </c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</row>
    <row r="51" customFormat="false" ht="15" hidden="false" customHeight="false" outlineLevel="0" collapsed="false">
      <c r="A51" s="1" t="s">
        <v>68</v>
      </c>
      <c r="B51" s="1" t="n">
        <v>860</v>
      </c>
      <c r="C51" s="1" t="n">
        <v>0</v>
      </c>
      <c r="D51" s="1" t="n">
        <v>509595</v>
      </c>
      <c r="E51" s="1" t="n">
        <v>0</v>
      </c>
      <c r="F51" s="1" t="n">
        <v>420</v>
      </c>
      <c r="G51" s="1" t="n">
        <v>0</v>
      </c>
      <c r="H51" s="1" t="n">
        <v>1</v>
      </c>
      <c r="I51" s="1" t="n">
        <v>5.481</v>
      </c>
      <c r="J51" s="1" t="n">
        <v>5.63</v>
      </c>
      <c r="K51" s="1" t="n">
        <v>0</v>
      </c>
      <c r="L51" s="1" t="s">
        <v>19</v>
      </c>
      <c r="M51" s="1" t="n">
        <v>1191947</v>
      </c>
      <c r="N51" s="1" t="n">
        <v>0.04</v>
      </c>
      <c r="O51" s="1" t="s">
        <v>20</v>
      </c>
      <c r="P51" s="1" t="n">
        <v>5.63</v>
      </c>
      <c r="Q51" s="1" t="n">
        <v>0</v>
      </c>
      <c r="R51" s="1" t="n">
        <v>414476</v>
      </c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</row>
    <row r="52" customFormat="false" ht="15" hidden="false" customHeight="false" outlineLevel="0" collapsed="false">
      <c r="A52" s="1" t="s">
        <v>69</v>
      </c>
      <c r="B52" s="1" t="n">
        <v>1065</v>
      </c>
      <c r="C52" s="1" t="n">
        <v>0</v>
      </c>
      <c r="D52" s="1" t="n">
        <v>454973</v>
      </c>
      <c r="E52" s="1" t="n">
        <v>0</v>
      </c>
      <c r="F52" s="1" t="n">
        <v>415</v>
      </c>
      <c r="G52" s="1" t="n">
        <v>0</v>
      </c>
      <c r="H52" s="1" t="n">
        <v>1</v>
      </c>
      <c r="I52" s="1" t="n">
        <v>5.361</v>
      </c>
      <c r="J52" s="1" t="n">
        <v>5.52</v>
      </c>
      <c r="K52" s="1" t="n">
        <v>0</v>
      </c>
      <c r="L52" s="1" t="s">
        <v>19</v>
      </c>
      <c r="M52" s="1" t="n">
        <v>1179347</v>
      </c>
      <c r="N52" s="1" t="n">
        <v>0.04</v>
      </c>
      <c r="O52" s="1" t="s">
        <v>20</v>
      </c>
      <c r="P52" s="1" t="n">
        <v>5.52</v>
      </c>
      <c r="Q52" s="1" t="n">
        <v>0</v>
      </c>
      <c r="R52" s="1" t="n">
        <v>409222</v>
      </c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</row>
    <row r="53" customFormat="false" ht="15" hidden="false" customHeight="false" outlineLevel="0" collapsed="false">
      <c r="A53" s="1" t="s">
        <v>70</v>
      </c>
      <c r="B53" s="1" t="n">
        <v>2227</v>
      </c>
      <c r="C53" s="1" t="n">
        <v>1</v>
      </c>
      <c r="D53" s="1" t="n">
        <v>926511</v>
      </c>
      <c r="E53" s="1" t="n">
        <v>0</v>
      </c>
      <c r="F53" s="1" t="n">
        <v>603</v>
      </c>
      <c r="G53" s="1" t="n">
        <v>0</v>
      </c>
      <c r="H53" s="1" t="n">
        <v>1</v>
      </c>
      <c r="I53" s="1" t="n">
        <v>8.527</v>
      </c>
      <c r="J53" s="1" t="n">
        <v>8.75</v>
      </c>
      <c r="K53" s="1" t="n">
        <v>0</v>
      </c>
      <c r="L53" s="1" t="s">
        <v>19</v>
      </c>
      <c r="M53" s="1" t="n">
        <v>1954079</v>
      </c>
      <c r="N53" s="1" t="n">
        <v>0.08</v>
      </c>
      <c r="O53" s="1" t="s">
        <v>20</v>
      </c>
      <c r="P53" s="1" t="n">
        <v>8.75</v>
      </c>
      <c r="Q53" s="1" t="n">
        <v>0</v>
      </c>
      <c r="R53" s="1" t="n">
        <v>618646</v>
      </c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</row>
    <row r="54" customFormat="false" ht="15" hidden="false" customHeight="false" outlineLevel="0" collapsed="false">
      <c r="A54" s="1" t="s">
        <v>71</v>
      </c>
      <c r="B54" s="1" t="n">
        <v>1838</v>
      </c>
      <c r="C54" s="1" t="n">
        <v>1</v>
      </c>
      <c r="D54" s="1" t="n">
        <v>1287958</v>
      </c>
      <c r="E54" s="1" t="n">
        <v>0</v>
      </c>
      <c r="F54" s="1" t="n">
        <v>774</v>
      </c>
      <c r="G54" s="1" t="n">
        <v>0</v>
      </c>
      <c r="H54" s="1" t="n">
        <v>1</v>
      </c>
      <c r="I54" s="1" t="n">
        <v>10.927</v>
      </c>
      <c r="J54" s="1" t="n">
        <v>11.21</v>
      </c>
      <c r="K54" s="1" t="n">
        <v>0</v>
      </c>
      <c r="L54" s="1" t="s">
        <v>19</v>
      </c>
      <c r="M54" s="1" t="n">
        <v>2497489</v>
      </c>
      <c r="N54" s="1" t="n">
        <v>0.09</v>
      </c>
      <c r="O54" s="1" t="s">
        <v>20</v>
      </c>
      <c r="P54" s="1" t="n">
        <v>11.21</v>
      </c>
      <c r="Q54" s="1" t="n">
        <v>0</v>
      </c>
      <c r="R54" s="1" t="n">
        <v>764480</v>
      </c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</row>
    <row r="55" customFormat="false" ht="15" hidden="false" customHeight="false" outlineLevel="0" collapsed="false">
      <c r="A55" s="1" t="s">
        <v>72</v>
      </c>
      <c r="B55" s="1" t="n">
        <v>2757</v>
      </c>
      <c r="C55" s="1" t="n">
        <v>2</v>
      </c>
      <c r="D55" s="1" t="n">
        <v>1090244</v>
      </c>
      <c r="E55" s="1" t="n">
        <v>0</v>
      </c>
      <c r="F55" s="1" t="n">
        <v>725</v>
      </c>
      <c r="G55" s="1" t="n">
        <v>0</v>
      </c>
      <c r="H55" s="1" t="n">
        <v>1</v>
      </c>
      <c r="I55" s="1" t="n">
        <v>10.253</v>
      </c>
      <c r="J55" s="1" t="n">
        <v>10.5</v>
      </c>
      <c r="K55" s="1" t="n">
        <v>0</v>
      </c>
      <c r="L55" s="1" t="s">
        <v>19</v>
      </c>
      <c r="M55" s="1" t="n">
        <v>2304631</v>
      </c>
      <c r="N55" s="1" t="n">
        <v>0.09</v>
      </c>
      <c r="O55" s="1" t="s">
        <v>20</v>
      </c>
      <c r="P55" s="1" t="n">
        <v>10.5</v>
      </c>
      <c r="Q55" s="1" t="n">
        <v>0</v>
      </c>
      <c r="R55" s="1" t="n">
        <v>721828</v>
      </c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</row>
    <row r="56" customFormat="false" ht="15" hidden="false" customHeight="false" outlineLevel="0" collapsed="false">
      <c r="A56" s="1" t="s">
        <v>73</v>
      </c>
      <c r="B56" s="1" t="n">
        <v>2140</v>
      </c>
      <c r="C56" s="1" t="n">
        <v>1</v>
      </c>
      <c r="D56" s="1" t="n">
        <v>879018</v>
      </c>
      <c r="E56" s="1" t="n">
        <v>0</v>
      </c>
      <c r="F56" s="1" t="n">
        <v>638</v>
      </c>
      <c r="G56" s="1" t="n">
        <v>0</v>
      </c>
      <c r="H56" s="1" t="n">
        <v>1</v>
      </c>
      <c r="I56" s="1" t="n">
        <v>8.867</v>
      </c>
      <c r="J56" s="1" t="n">
        <v>9.09</v>
      </c>
      <c r="K56" s="1" t="n">
        <v>0</v>
      </c>
      <c r="L56" s="1" t="s">
        <v>19</v>
      </c>
      <c r="M56" s="1" t="n">
        <v>2024961</v>
      </c>
      <c r="N56" s="1" t="n">
        <v>0.08</v>
      </c>
      <c r="O56" s="1" t="s">
        <v>20</v>
      </c>
      <c r="P56" s="1" t="n">
        <v>9.09</v>
      </c>
      <c r="Q56" s="1" t="n">
        <v>0</v>
      </c>
      <c r="R56" s="1" t="n">
        <v>640624</v>
      </c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</row>
    <row r="57" customFormat="false" ht="15" hidden="false" customHeight="false" outlineLevel="0" collapsed="false">
      <c r="A57" s="1" t="s">
        <v>74</v>
      </c>
      <c r="B57" s="1" t="n">
        <v>2626</v>
      </c>
      <c r="C57" s="1" t="n">
        <v>1</v>
      </c>
      <c r="D57" s="1" t="n">
        <v>1105216</v>
      </c>
      <c r="E57" s="1" t="n">
        <v>0</v>
      </c>
      <c r="F57" s="1" t="n">
        <v>707</v>
      </c>
      <c r="G57" s="1" t="n">
        <v>0</v>
      </c>
      <c r="H57" s="1" t="n">
        <v>1</v>
      </c>
      <c r="I57" s="1" t="n">
        <v>9.832</v>
      </c>
      <c r="J57" s="1" t="n">
        <v>10.09</v>
      </c>
      <c r="K57" s="1" t="n">
        <v>0</v>
      </c>
      <c r="L57" s="1" t="s">
        <v>19</v>
      </c>
      <c r="M57" s="1" t="n">
        <v>2275686</v>
      </c>
      <c r="N57" s="1" t="n">
        <v>0.09</v>
      </c>
      <c r="O57" s="1" t="s">
        <v>20</v>
      </c>
      <c r="P57" s="1" t="n">
        <v>10.09</v>
      </c>
      <c r="Q57" s="1" t="n">
        <v>0</v>
      </c>
      <c r="R57" s="1" t="n">
        <v>709516</v>
      </c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</row>
    <row r="58" customFormat="false" ht="15" hidden="false" customHeight="false" outlineLevel="0" collapsed="false">
      <c r="A58" s="1" t="s">
        <v>75</v>
      </c>
      <c r="B58" s="1" t="n">
        <v>1817</v>
      </c>
      <c r="C58" s="1" t="n">
        <v>0</v>
      </c>
      <c r="D58" s="1" t="n">
        <v>805644</v>
      </c>
      <c r="E58" s="1" t="n">
        <v>0</v>
      </c>
      <c r="F58" s="1" t="n">
        <v>582</v>
      </c>
      <c r="G58" s="1" t="n">
        <v>0</v>
      </c>
      <c r="H58" s="1" t="n">
        <v>1</v>
      </c>
      <c r="I58" s="1" t="n">
        <v>8.135</v>
      </c>
      <c r="J58" s="1" t="n">
        <v>8.36</v>
      </c>
      <c r="K58" s="1" t="n">
        <v>0</v>
      </c>
      <c r="L58" s="1" t="s">
        <v>19</v>
      </c>
      <c r="M58" s="1" t="n">
        <v>1863573</v>
      </c>
      <c r="N58" s="1" t="n">
        <v>0.06</v>
      </c>
      <c r="O58" s="1" t="s">
        <v>20</v>
      </c>
      <c r="P58" s="1" t="n">
        <v>8.36</v>
      </c>
      <c r="Q58" s="1" t="n">
        <v>0</v>
      </c>
      <c r="R58" s="1" t="n">
        <v>593189</v>
      </c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</row>
    <row r="59" customFormat="false" ht="15" hidden="false" customHeight="false" outlineLevel="0" collapsed="false">
      <c r="A59" s="1" t="s">
        <v>76</v>
      </c>
      <c r="B59" s="1" t="n">
        <v>2551</v>
      </c>
      <c r="C59" s="1" t="n">
        <v>0</v>
      </c>
      <c r="D59" s="1" t="n">
        <v>1154134</v>
      </c>
      <c r="E59" s="1" t="n">
        <v>0</v>
      </c>
      <c r="F59" s="1" t="n">
        <v>740</v>
      </c>
      <c r="G59" s="1" t="n">
        <v>0</v>
      </c>
      <c r="H59" s="1" t="n">
        <v>1</v>
      </c>
      <c r="I59" s="1" t="n">
        <v>10.477</v>
      </c>
      <c r="J59" s="1" t="n">
        <v>10.75</v>
      </c>
      <c r="K59" s="1" t="n">
        <v>0</v>
      </c>
      <c r="L59" s="1" t="s">
        <v>19</v>
      </c>
      <c r="M59" s="1" t="n">
        <v>2386786</v>
      </c>
      <c r="N59" s="1" t="n">
        <v>0.09</v>
      </c>
      <c r="O59" s="1" t="s">
        <v>20</v>
      </c>
      <c r="P59" s="1" t="n">
        <v>10.75</v>
      </c>
      <c r="Q59" s="1" t="n">
        <v>0</v>
      </c>
      <c r="R59" s="1" t="n">
        <v>738737</v>
      </c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</row>
    <row r="60" customFormat="false" ht="15" hidden="false" customHeight="false" outlineLevel="0" collapsed="false">
      <c r="A60" s="1" t="s">
        <v>77</v>
      </c>
      <c r="B60" s="1" t="n">
        <v>2750</v>
      </c>
      <c r="C60" s="1" t="n">
        <v>1</v>
      </c>
      <c r="D60" s="1" t="n">
        <v>1165329</v>
      </c>
      <c r="E60" s="1" t="n">
        <v>0</v>
      </c>
      <c r="F60" s="1" t="n">
        <v>809</v>
      </c>
      <c r="G60" s="1" t="n">
        <v>0</v>
      </c>
      <c r="H60" s="1" t="n">
        <v>1</v>
      </c>
      <c r="I60" s="1" t="n">
        <v>11.566</v>
      </c>
      <c r="J60" s="1" t="n">
        <v>11.85</v>
      </c>
      <c r="K60" s="1" t="n">
        <v>0</v>
      </c>
      <c r="L60" s="1" t="s">
        <v>19</v>
      </c>
      <c r="M60" s="1" t="n">
        <v>2663066</v>
      </c>
      <c r="N60" s="1" t="n">
        <v>0.1</v>
      </c>
      <c r="O60" s="1" t="s">
        <v>20</v>
      </c>
      <c r="P60" s="1" t="n">
        <v>11.85</v>
      </c>
      <c r="Q60" s="1" t="n">
        <v>0</v>
      </c>
      <c r="R60" s="1" t="n">
        <v>788507</v>
      </c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</row>
    <row r="61" customFormat="false" ht="15" hidden="false" customHeight="false" outlineLevel="0" collapsed="false">
      <c r="A61" s="1" t="s">
        <v>78</v>
      </c>
      <c r="B61" s="1" t="n">
        <v>2538</v>
      </c>
      <c r="C61" s="1" t="n">
        <v>4</v>
      </c>
      <c r="D61" s="1" t="n">
        <v>1075673</v>
      </c>
      <c r="E61" s="1" t="n">
        <v>0</v>
      </c>
      <c r="F61" s="1" t="n">
        <v>772</v>
      </c>
      <c r="G61" s="1" t="n">
        <v>0</v>
      </c>
      <c r="H61" s="1" t="n">
        <v>1</v>
      </c>
      <c r="I61" s="1" t="n">
        <v>11.166</v>
      </c>
      <c r="J61" s="1" t="n">
        <v>11.44</v>
      </c>
      <c r="K61" s="1" t="n">
        <v>0</v>
      </c>
      <c r="L61" s="1" t="s">
        <v>19</v>
      </c>
      <c r="M61" s="1" t="n">
        <v>2553565</v>
      </c>
      <c r="N61" s="1" t="n">
        <v>0.09</v>
      </c>
      <c r="O61" s="1" t="s">
        <v>20</v>
      </c>
      <c r="P61" s="1" t="n">
        <v>11.44</v>
      </c>
      <c r="Q61" s="1" t="n">
        <v>0</v>
      </c>
      <c r="R61" s="1" t="n">
        <v>752072</v>
      </c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</row>
    <row r="62" customFormat="false" ht="15" hidden="false" customHeight="false" outlineLevel="0" collapsed="false">
      <c r="A62" s="1" t="s">
        <v>79</v>
      </c>
      <c r="B62" s="1" t="n">
        <v>2444</v>
      </c>
      <c r="C62" s="1" t="n">
        <v>2</v>
      </c>
      <c r="D62" s="1" t="n">
        <v>1456559</v>
      </c>
      <c r="E62" s="1" t="n">
        <v>0</v>
      </c>
      <c r="F62" s="1" t="n">
        <v>895</v>
      </c>
      <c r="G62" s="1" t="n">
        <v>0</v>
      </c>
      <c r="H62" s="1" t="n">
        <v>1</v>
      </c>
      <c r="I62" s="1" t="n">
        <v>13.303</v>
      </c>
      <c r="J62" s="1" t="n">
        <v>13.64</v>
      </c>
      <c r="K62" s="1" t="n">
        <v>0</v>
      </c>
      <c r="L62" s="1" t="s">
        <v>19</v>
      </c>
      <c r="M62" s="1" t="n">
        <v>3098951</v>
      </c>
      <c r="N62" s="1" t="n">
        <v>0.11</v>
      </c>
      <c r="O62" s="1" t="s">
        <v>20</v>
      </c>
      <c r="P62" s="1" t="n">
        <v>13.64</v>
      </c>
      <c r="Q62" s="1" t="n">
        <v>0</v>
      </c>
      <c r="R62" s="1" t="n">
        <v>890363</v>
      </c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</row>
    <row r="63" customFormat="false" ht="15" hidden="false" customHeight="false" outlineLevel="0" collapsed="false">
      <c r="A63" s="1" t="s">
        <v>80</v>
      </c>
      <c r="B63" s="1" t="n">
        <v>2819</v>
      </c>
      <c r="C63" s="1" t="n">
        <v>1</v>
      </c>
      <c r="D63" s="1" t="n">
        <v>1107580</v>
      </c>
      <c r="E63" s="1" t="n">
        <v>0</v>
      </c>
      <c r="F63" s="1" t="n">
        <v>803</v>
      </c>
      <c r="G63" s="1" t="n">
        <v>0</v>
      </c>
      <c r="H63" s="1" t="n">
        <v>1</v>
      </c>
      <c r="I63" s="1" t="n">
        <v>11.479</v>
      </c>
      <c r="J63" s="1" t="n">
        <v>11.76</v>
      </c>
      <c r="K63" s="1" t="n">
        <v>0</v>
      </c>
      <c r="L63" s="1" t="s">
        <v>19</v>
      </c>
      <c r="M63" s="1" t="n">
        <v>2646488</v>
      </c>
      <c r="N63" s="1" t="n">
        <v>0.09</v>
      </c>
      <c r="O63" s="1" t="s">
        <v>20</v>
      </c>
      <c r="P63" s="1" t="n">
        <v>11.76</v>
      </c>
      <c r="Q63" s="1" t="n">
        <v>0</v>
      </c>
      <c r="R63" s="1" t="n">
        <v>781686</v>
      </c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</row>
    <row r="64" customFormat="false" ht="15" hidden="false" customHeight="false" outlineLevel="0" collapsed="false">
      <c r="A64" s="1" t="s">
        <v>81</v>
      </c>
      <c r="B64" s="1" t="n">
        <v>2421</v>
      </c>
      <c r="C64" s="1" t="n">
        <v>1</v>
      </c>
      <c r="D64" s="1" t="n">
        <v>1491704</v>
      </c>
      <c r="E64" s="1" t="n">
        <v>0</v>
      </c>
      <c r="F64" s="1" t="n">
        <v>922</v>
      </c>
      <c r="G64" s="1" t="n">
        <v>0</v>
      </c>
      <c r="H64" s="1" t="n">
        <v>1</v>
      </c>
      <c r="I64" s="1" t="n">
        <v>13.551</v>
      </c>
      <c r="J64" s="1" t="n">
        <v>13.88</v>
      </c>
      <c r="K64" s="1" t="n">
        <v>0</v>
      </c>
      <c r="L64" s="1" t="s">
        <v>19</v>
      </c>
      <c r="M64" s="1" t="n">
        <v>3206782</v>
      </c>
      <c r="N64" s="1" t="n">
        <v>0.11</v>
      </c>
      <c r="O64" s="1" t="s">
        <v>20</v>
      </c>
      <c r="P64" s="1" t="n">
        <v>13.88</v>
      </c>
      <c r="Q64" s="1" t="n">
        <v>0</v>
      </c>
      <c r="R64" s="1" t="n">
        <v>920040</v>
      </c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</row>
    <row r="65" customFormat="false" ht="15" hidden="false" customHeight="false" outlineLevel="0" collapsed="false">
      <c r="A65" s="1" t="s">
        <v>82</v>
      </c>
      <c r="B65" s="1" t="n">
        <v>2641</v>
      </c>
      <c r="C65" s="1" t="n">
        <v>0</v>
      </c>
      <c r="D65" s="1" t="n">
        <v>1164562</v>
      </c>
      <c r="E65" s="1" t="n">
        <v>0</v>
      </c>
      <c r="F65" s="1" t="n">
        <v>817</v>
      </c>
      <c r="G65" s="1" t="n">
        <v>0</v>
      </c>
      <c r="H65" s="1" t="n">
        <v>1</v>
      </c>
      <c r="I65" s="1" t="n">
        <v>11.846</v>
      </c>
      <c r="J65" s="1" t="n">
        <v>12.11</v>
      </c>
      <c r="K65" s="1" t="n">
        <v>0</v>
      </c>
      <c r="L65" s="1" t="s">
        <v>19</v>
      </c>
      <c r="M65" s="1" t="n">
        <v>2735074</v>
      </c>
      <c r="N65" s="1" t="n">
        <v>0.09</v>
      </c>
      <c r="O65" s="1" t="s">
        <v>20</v>
      </c>
      <c r="P65" s="1" t="n">
        <v>12.11</v>
      </c>
      <c r="Q65" s="1" t="n">
        <v>0</v>
      </c>
      <c r="R65" s="1" t="n">
        <v>804421</v>
      </c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</row>
    <row r="66" customFormat="false" ht="15" hidden="false" customHeight="false" outlineLevel="0" collapsed="false">
      <c r="A66" s="1" t="s">
        <v>83</v>
      </c>
      <c r="B66" s="1" t="n">
        <v>2595</v>
      </c>
      <c r="C66" s="1" t="n">
        <v>2</v>
      </c>
      <c r="D66" s="1" t="n">
        <v>1402290</v>
      </c>
      <c r="E66" s="1" t="n">
        <v>0</v>
      </c>
      <c r="F66" s="1" t="n">
        <v>880</v>
      </c>
      <c r="G66" s="1" t="n">
        <v>0</v>
      </c>
      <c r="H66" s="1" t="n">
        <v>1</v>
      </c>
      <c r="I66" s="1" t="n">
        <v>12.877</v>
      </c>
      <c r="J66" s="1" t="n">
        <v>13.17</v>
      </c>
      <c r="K66" s="1" t="n">
        <v>0</v>
      </c>
      <c r="L66" s="1" t="s">
        <v>19</v>
      </c>
      <c r="M66" s="1" t="n">
        <v>3059509</v>
      </c>
      <c r="N66" s="1" t="n">
        <v>0.12</v>
      </c>
      <c r="O66" s="1" t="s">
        <v>20</v>
      </c>
      <c r="P66" s="1" t="n">
        <v>13.17</v>
      </c>
      <c r="Q66" s="1" t="n">
        <v>0</v>
      </c>
      <c r="R66" s="1" t="n">
        <v>873828</v>
      </c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</row>
    <row r="67" customFormat="false" ht="15" hidden="false" customHeight="false" outlineLevel="0" collapsed="false">
      <c r="A67" s="1" t="s">
        <v>84</v>
      </c>
      <c r="B67" s="1" t="n">
        <v>6038</v>
      </c>
      <c r="C67" s="1" t="n">
        <v>112</v>
      </c>
      <c r="D67" s="1" t="n">
        <v>1742767</v>
      </c>
      <c r="E67" s="1" t="n">
        <v>0</v>
      </c>
      <c r="F67" s="1" t="n">
        <v>1041</v>
      </c>
      <c r="G67" s="1" t="n">
        <v>0</v>
      </c>
      <c r="H67" s="1" t="n">
        <v>1</v>
      </c>
      <c r="I67" s="1" t="n">
        <v>16.428</v>
      </c>
      <c r="J67" s="1" t="n">
        <v>16.77</v>
      </c>
      <c r="K67" s="1" t="n">
        <v>1</v>
      </c>
      <c r="L67" s="1" t="s">
        <v>19</v>
      </c>
      <c r="M67" s="1" t="n">
        <v>3883956</v>
      </c>
      <c r="N67" s="1" t="n">
        <v>0.35</v>
      </c>
      <c r="O67" s="1" t="s">
        <v>20</v>
      </c>
      <c r="P67" s="1" t="n">
        <v>16.77</v>
      </c>
      <c r="Q67" s="1" t="n">
        <v>0</v>
      </c>
      <c r="R67" s="1" t="n">
        <v>1050690</v>
      </c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</row>
    <row r="68" customFormat="false" ht="15" hidden="false" customHeight="false" outlineLevel="0" collapsed="false">
      <c r="A68" s="1" t="s">
        <v>85</v>
      </c>
      <c r="B68" s="1" t="n">
        <v>3346</v>
      </c>
      <c r="C68" s="1" t="n">
        <v>3</v>
      </c>
      <c r="D68" s="1" t="n">
        <v>1522281</v>
      </c>
      <c r="E68" s="1" t="n">
        <v>0</v>
      </c>
      <c r="F68" s="1" t="n">
        <v>966</v>
      </c>
      <c r="G68" s="1" t="n">
        <v>0</v>
      </c>
      <c r="H68" s="1" t="n">
        <v>1</v>
      </c>
      <c r="I68" s="1" t="n">
        <v>15.027</v>
      </c>
      <c r="J68" s="1" t="n">
        <v>15.34</v>
      </c>
      <c r="K68" s="1" t="n">
        <v>0</v>
      </c>
      <c r="L68" s="1" t="s">
        <v>19</v>
      </c>
      <c r="M68" s="1" t="n">
        <v>3536943</v>
      </c>
      <c r="N68" s="1" t="n">
        <v>0.15</v>
      </c>
      <c r="O68" s="1" t="s">
        <v>20</v>
      </c>
      <c r="P68" s="1" t="n">
        <v>15.34</v>
      </c>
      <c r="Q68" s="1" t="n">
        <v>0</v>
      </c>
      <c r="R68" s="1" t="n">
        <v>970320</v>
      </c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</row>
    <row r="69" customFormat="false" ht="15" hidden="false" customHeight="false" outlineLevel="0" collapsed="false">
      <c r="A69" s="1" t="s">
        <v>86</v>
      </c>
      <c r="B69" s="1" t="n">
        <v>3032</v>
      </c>
      <c r="C69" s="1" t="n">
        <v>1</v>
      </c>
      <c r="D69" s="1" t="n">
        <v>1555768</v>
      </c>
      <c r="E69" s="1" t="n">
        <v>0</v>
      </c>
      <c r="F69" s="1" t="n">
        <v>990</v>
      </c>
      <c r="G69" s="1" t="n">
        <v>0</v>
      </c>
      <c r="H69" s="1" t="n">
        <v>1</v>
      </c>
      <c r="I69" s="1" t="n">
        <v>15.445</v>
      </c>
      <c r="J69" s="1" t="n">
        <v>15.77</v>
      </c>
      <c r="K69" s="1" t="n">
        <v>0</v>
      </c>
      <c r="L69" s="1" t="s">
        <v>19</v>
      </c>
      <c r="M69" s="1" t="n">
        <v>3643975</v>
      </c>
      <c r="N69" s="1" t="n">
        <v>0.12</v>
      </c>
      <c r="O69" s="1" t="s">
        <v>20</v>
      </c>
      <c r="P69" s="1" t="n">
        <v>15.77</v>
      </c>
      <c r="Q69" s="1" t="n">
        <v>0</v>
      </c>
      <c r="R69" s="1" t="n">
        <v>999570</v>
      </c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</row>
    <row r="70" customFormat="false" ht="15" hidden="false" customHeight="false" outlineLevel="0" collapsed="false">
      <c r="A70" s="1" t="s">
        <v>87</v>
      </c>
      <c r="B70" s="1" t="n">
        <v>3281</v>
      </c>
      <c r="C70" s="1" t="n">
        <v>3</v>
      </c>
      <c r="D70" s="1" t="n">
        <v>1469415</v>
      </c>
      <c r="E70" s="1" t="n">
        <v>0</v>
      </c>
      <c r="F70" s="1" t="n">
        <v>956</v>
      </c>
      <c r="G70" s="1" t="n">
        <v>0</v>
      </c>
      <c r="H70" s="1" t="n">
        <v>1</v>
      </c>
      <c r="I70" s="1" t="n">
        <v>14.751</v>
      </c>
      <c r="J70" s="1" t="n">
        <v>15.05</v>
      </c>
      <c r="K70" s="1" t="n">
        <v>0</v>
      </c>
      <c r="L70" s="1" t="s">
        <v>19</v>
      </c>
      <c r="M70" s="1" t="n">
        <v>3497393</v>
      </c>
      <c r="N70" s="1" t="n">
        <v>0.14</v>
      </c>
      <c r="O70" s="1" t="s">
        <v>20</v>
      </c>
      <c r="P70" s="1" t="n">
        <v>15.05</v>
      </c>
      <c r="Q70" s="1" t="n">
        <v>0</v>
      </c>
      <c r="R70" s="1" t="n">
        <v>955409</v>
      </c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</row>
    <row r="71" customFormat="false" ht="15" hidden="false" customHeight="false" outlineLevel="0" collapsed="false">
      <c r="A71" s="1" t="s">
        <v>88</v>
      </c>
      <c r="B71" s="1" t="n">
        <v>3433</v>
      </c>
      <c r="C71" s="1" t="n">
        <v>1</v>
      </c>
      <c r="D71" s="1" t="n">
        <v>1610156</v>
      </c>
      <c r="E71" s="1" t="n">
        <v>0</v>
      </c>
      <c r="F71" s="1" t="n">
        <v>1022</v>
      </c>
      <c r="G71" s="1" t="n">
        <v>0</v>
      </c>
      <c r="H71" s="1" t="n">
        <v>1</v>
      </c>
      <c r="I71" s="1" t="n">
        <v>16.032</v>
      </c>
      <c r="J71" s="1" t="n">
        <v>16.41</v>
      </c>
      <c r="K71" s="1" t="n">
        <v>0</v>
      </c>
      <c r="L71" s="1" t="s">
        <v>19</v>
      </c>
      <c r="M71" s="1" t="n">
        <v>3774562</v>
      </c>
      <c r="N71" s="1" t="n">
        <v>0.15</v>
      </c>
      <c r="O71" s="1" t="s">
        <v>20</v>
      </c>
      <c r="P71" s="1" t="n">
        <v>16.41</v>
      </c>
      <c r="Q71" s="1" t="n">
        <v>0</v>
      </c>
      <c r="R71" s="1" t="n">
        <v>1030455</v>
      </c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</row>
    <row r="72" customFormat="false" ht="15" hidden="false" customHeight="false" outlineLevel="0" collapsed="false">
      <c r="A72" s="1" t="s">
        <v>89</v>
      </c>
      <c r="B72" s="1" t="n">
        <v>3342</v>
      </c>
      <c r="C72" s="1" t="n">
        <v>5</v>
      </c>
      <c r="D72" s="1" t="n">
        <v>1462002</v>
      </c>
      <c r="E72" s="1" t="n">
        <v>0</v>
      </c>
      <c r="F72" s="1" t="n">
        <v>965</v>
      </c>
      <c r="G72" s="1" t="n">
        <v>0</v>
      </c>
      <c r="H72" s="1" t="n">
        <v>1</v>
      </c>
      <c r="I72" s="1" t="n">
        <v>15.128</v>
      </c>
      <c r="J72" s="1" t="n">
        <v>15.44</v>
      </c>
      <c r="K72" s="1" t="n">
        <v>0</v>
      </c>
      <c r="L72" s="1" t="s">
        <v>19</v>
      </c>
      <c r="M72" s="1" t="n">
        <v>3520315</v>
      </c>
      <c r="N72" s="1" t="n">
        <v>0.14</v>
      </c>
      <c r="O72" s="1" t="s">
        <v>20</v>
      </c>
      <c r="P72" s="1" t="n">
        <v>15.44</v>
      </c>
      <c r="Q72" s="1" t="n">
        <v>0</v>
      </c>
      <c r="R72" s="1" t="n">
        <v>963133</v>
      </c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</row>
    <row r="73" customFormat="false" ht="15" hidden="false" customHeight="false" outlineLevel="0" collapsed="false">
      <c r="A73" s="1" t="s">
        <v>90</v>
      </c>
      <c r="B73" s="1" t="n">
        <v>3912</v>
      </c>
      <c r="C73" s="1" t="n">
        <v>3</v>
      </c>
      <c r="D73" s="1" t="n">
        <v>1873312</v>
      </c>
      <c r="E73" s="1" t="n">
        <v>0</v>
      </c>
      <c r="F73" s="1" t="n">
        <v>1088</v>
      </c>
      <c r="G73" s="1" t="n">
        <v>0</v>
      </c>
      <c r="H73" s="1" t="n">
        <v>1</v>
      </c>
      <c r="I73" s="1" t="n">
        <v>17.361</v>
      </c>
      <c r="J73" s="1" t="n">
        <v>17.79</v>
      </c>
      <c r="K73" s="1" t="n">
        <v>0</v>
      </c>
      <c r="L73" s="1" t="s">
        <v>19</v>
      </c>
      <c r="M73" s="1" t="n">
        <v>4143316</v>
      </c>
      <c r="N73" s="1" t="n">
        <v>0.16</v>
      </c>
      <c r="O73" s="1" t="s">
        <v>20</v>
      </c>
      <c r="P73" s="1" t="n">
        <v>17.79</v>
      </c>
      <c r="Q73" s="1" t="n">
        <v>0</v>
      </c>
      <c r="R73" s="1" t="n">
        <v>1101810</v>
      </c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</row>
    <row r="74" customFormat="false" ht="15" hidden="false" customHeight="false" outlineLevel="0" collapsed="false">
      <c r="A74" s="1" t="s">
        <v>91</v>
      </c>
      <c r="B74" s="1" t="n">
        <v>52490</v>
      </c>
      <c r="C74" s="1" t="n">
        <v>437</v>
      </c>
      <c r="D74" s="1" t="n">
        <v>1849434</v>
      </c>
      <c r="E74" s="1" t="n">
        <v>0</v>
      </c>
      <c r="F74" s="1" t="n">
        <v>1162</v>
      </c>
      <c r="G74" s="1" t="n">
        <v>0</v>
      </c>
      <c r="H74" s="1" t="n">
        <v>1</v>
      </c>
      <c r="I74" s="1" t="n">
        <v>19.917</v>
      </c>
      <c r="J74" s="1" t="n">
        <v>20.36</v>
      </c>
      <c r="K74" s="1" t="n">
        <v>3</v>
      </c>
      <c r="L74" s="1" t="s">
        <v>19</v>
      </c>
      <c r="M74" s="1" t="n">
        <v>4456080</v>
      </c>
      <c r="N74" s="1" t="n">
        <v>1.07</v>
      </c>
      <c r="O74" s="1" t="s">
        <v>20</v>
      </c>
      <c r="P74" s="1" t="n">
        <v>20.36</v>
      </c>
      <c r="Q74" s="1" t="n">
        <v>0</v>
      </c>
      <c r="R74" s="1" t="n">
        <v>1182845</v>
      </c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</row>
    <row r="75" customFormat="false" ht="15" hidden="false" customHeight="false" outlineLevel="0" collapsed="false">
      <c r="A75" s="1" t="s">
        <v>92</v>
      </c>
      <c r="B75" s="1" t="n">
        <v>1406</v>
      </c>
      <c r="C75" s="1" t="n">
        <v>0</v>
      </c>
      <c r="D75" s="1" t="n">
        <v>565469</v>
      </c>
      <c r="E75" s="1" t="n">
        <v>0</v>
      </c>
      <c r="F75" s="1" t="n">
        <v>287</v>
      </c>
      <c r="G75" s="1" t="n">
        <v>0</v>
      </c>
      <c r="H75" s="1" t="n">
        <v>1</v>
      </c>
      <c r="I75" s="1" t="n">
        <v>3.711</v>
      </c>
      <c r="J75" s="1" t="n">
        <v>3.82</v>
      </c>
      <c r="K75" s="1" t="n">
        <v>0</v>
      </c>
      <c r="L75" s="1" t="s">
        <v>19</v>
      </c>
      <c r="M75" s="1" t="n">
        <v>809042</v>
      </c>
      <c r="N75" s="1" t="n">
        <v>0.04</v>
      </c>
      <c r="O75" s="1" t="s">
        <v>20</v>
      </c>
      <c r="P75" s="1" t="n">
        <v>3.82</v>
      </c>
      <c r="Q75" s="1" t="n">
        <v>0</v>
      </c>
      <c r="R75" s="1" t="n">
        <v>299551</v>
      </c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</row>
    <row r="76" customFormat="false" ht="15" hidden="false" customHeight="false" outlineLevel="0" collapsed="false">
      <c r="A76" s="1" t="s">
        <v>93</v>
      </c>
      <c r="B76" s="1" t="n">
        <v>449</v>
      </c>
      <c r="C76" s="1" t="n">
        <v>0</v>
      </c>
      <c r="D76" s="1" t="n">
        <v>283815</v>
      </c>
      <c r="E76" s="1" t="n">
        <v>0</v>
      </c>
      <c r="F76" s="1" t="n">
        <v>179</v>
      </c>
      <c r="G76" s="1" t="n">
        <v>0</v>
      </c>
      <c r="H76" s="1" t="n">
        <v>1</v>
      </c>
      <c r="I76" s="1" t="n">
        <v>2.354</v>
      </c>
      <c r="J76" s="1" t="n">
        <v>2.42</v>
      </c>
      <c r="K76" s="1" t="n">
        <v>0</v>
      </c>
      <c r="L76" s="1" t="s">
        <v>19</v>
      </c>
      <c r="M76" s="1" t="n">
        <v>501834</v>
      </c>
      <c r="N76" s="1" t="n">
        <v>0.02</v>
      </c>
      <c r="O76" s="1" t="s">
        <v>20</v>
      </c>
      <c r="P76" s="1" t="n">
        <v>2.42</v>
      </c>
      <c r="Q76" s="1" t="n">
        <v>0</v>
      </c>
      <c r="R76" s="1" t="n">
        <v>185228</v>
      </c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</row>
    <row r="77" customFormat="false" ht="15" hidden="false" customHeight="false" outlineLevel="0" collapsed="false">
      <c r="A77" s="1" t="s">
        <v>94</v>
      </c>
      <c r="B77" s="1" t="n">
        <v>959</v>
      </c>
      <c r="C77" s="1" t="n">
        <v>0</v>
      </c>
      <c r="D77" s="1" t="n">
        <v>444957</v>
      </c>
      <c r="E77" s="1" t="n">
        <v>0</v>
      </c>
      <c r="F77" s="1" t="n">
        <v>239</v>
      </c>
      <c r="G77" s="1" t="n">
        <v>0</v>
      </c>
      <c r="H77" s="1" t="n">
        <v>1</v>
      </c>
      <c r="I77" s="1" t="n">
        <v>2.833</v>
      </c>
      <c r="J77" s="1" t="n">
        <v>2.92</v>
      </c>
      <c r="K77" s="1" t="n">
        <v>0</v>
      </c>
      <c r="L77" s="1" t="s">
        <v>19</v>
      </c>
      <c r="M77" s="1" t="n">
        <v>641327</v>
      </c>
      <c r="N77" s="1" t="n">
        <v>0.03</v>
      </c>
      <c r="O77" s="1" t="s">
        <v>20</v>
      </c>
      <c r="P77" s="1" t="n">
        <v>2.92</v>
      </c>
      <c r="Q77" s="1" t="n">
        <v>0</v>
      </c>
      <c r="R77" s="1" t="n">
        <v>244777</v>
      </c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</row>
    <row r="78" customFormat="false" ht="15" hidden="false" customHeight="false" outlineLevel="0" collapsed="false">
      <c r="A78" s="1" t="s">
        <v>95</v>
      </c>
      <c r="B78" s="1" t="n">
        <v>759</v>
      </c>
      <c r="C78" s="1" t="n">
        <v>1</v>
      </c>
      <c r="D78" s="1" t="n">
        <v>569063</v>
      </c>
      <c r="E78" s="1" t="n">
        <v>0</v>
      </c>
      <c r="F78" s="1" t="n">
        <v>275</v>
      </c>
      <c r="G78" s="1" t="n">
        <v>0</v>
      </c>
      <c r="H78" s="1" t="n">
        <v>1</v>
      </c>
      <c r="I78" s="1" t="n">
        <v>3.537</v>
      </c>
      <c r="J78" s="1" t="n">
        <v>3.64</v>
      </c>
      <c r="K78" s="1" t="n">
        <v>0</v>
      </c>
      <c r="L78" s="1" t="s">
        <v>19</v>
      </c>
      <c r="M78" s="1" t="n">
        <v>780124</v>
      </c>
      <c r="N78" s="1" t="n">
        <v>0.04</v>
      </c>
      <c r="O78" s="1" t="s">
        <v>20</v>
      </c>
      <c r="P78" s="1" t="n">
        <v>3.64</v>
      </c>
      <c r="Q78" s="1" t="n">
        <v>0</v>
      </c>
      <c r="R78" s="1" t="n">
        <v>288854</v>
      </c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</row>
    <row r="79" customFormat="false" ht="15" hidden="false" customHeight="false" outlineLevel="0" collapsed="false">
      <c r="A79" s="1" t="s">
        <v>96</v>
      </c>
      <c r="B79" s="1" t="n">
        <v>1082</v>
      </c>
      <c r="C79" s="1" t="n">
        <v>0</v>
      </c>
      <c r="D79" s="1" t="n">
        <v>496120</v>
      </c>
      <c r="E79" s="1" t="n">
        <v>0</v>
      </c>
      <c r="F79" s="1" t="n">
        <v>251</v>
      </c>
      <c r="G79" s="1" t="n">
        <v>0</v>
      </c>
      <c r="H79" s="1" t="n">
        <v>1</v>
      </c>
      <c r="I79" s="1" t="n">
        <v>3.192</v>
      </c>
      <c r="J79" s="1" t="n">
        <v>3.28</v>
      </c>
      <c r="K79" s="1" t="n">
        <v>0</v>
      </c>
      <c r="L79" s="1" t="s">
        <v>19</v>
      </c>
      <c r="M79" s="1" t="n">
        <v>664163</v>
      </c>
      <c r="N79" s="1" t="n">
        <v>0.04</v>
      </c>
      <c r="O79" s="1" t="s">
        <v>20</v>
      </c>
      <c r="P79" s="1" t="n">
        <v>3.28</v>
      </c>
      <c r="Q79" s="1" t="n">
        <v>0</v>
      </c>
      <c r="R79" s="1" t="n">
        <v>253961</v>
      </c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</row>
    <row r="80" customFormat="false" ht="15" hidden="false" customHeight="false" outlineLevel="0" collapsed="false">
      <c r="A80" s="1" t="s">
        <v>97</v>
      </c>
      <c r="B80" s="1" t="n">
        <v>1170</v>
      </c>
      <c r="C80" s="1" t="n">
        <v>0</v>
      </c>
      <c r="D80" s="1" t="n">
        <v>596919</v>
      </c>
      <c r="E80" s="1" t="n">
        <v>0</v>
      </c>
      <c r="F80" s="1" t="n">
        <v>285</v>
      </c>
      <c r="G80" s="1" t="n">
        <v>0</v>
      </c>
      <c r="H80" s="1" t="n">
        <v>1</v>
      </c>
      <c r="I80" s="1" t="n">
        <v>3.666</v>
      </c>
      <c r="J80" s="1" t="n">
        <v>3.77</v>
      </c>
      <c r="K80" s="1" t="n">
        <v>0</v>
      </c>
      <c r="L80" s="1" t="s">
        <v>19</v>
      </c>
      <c r="M80" s="1" t="n">
        <v>802968</v>
      </c>
      <c r="N80" s="1" t="n">
        <v>0.04</v>
      </c>
      <c r="O80" s="1" t="s">
        <v>20</v>
      </c>
      <c r="P80" s="1" t="n">
        <v>3.77</v>
      </c>
      <c r="Q80" s="1" t="n">
        <v>0</v>
      </c>
      <c r="R80" s="1" t="n">
        <v>298645</v>
      </c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</row>
    <row r="81" customFormat="false" ht="15" hidden="false" customHeight="false" outlineLevel="0" collapsed="false">
      <c r="A81" s="1" t="s">
        <v>98</v>
      </c>
      <c r="B81" s="1" t="n">
        <v>433</v>
      </c>
      <c r="C81" s="1" t="n">
        <v>0</v>
      </c>
      <c r="D81" s="1" t="n">
        <v>284784</v>
      </c>
      <c r="E81" s="1" t="n">
        <v>0</v>
      </c>
      <c r="F81" s="1" t="n">
        <v>180</v>
      </c>
      <c r="G81" s="1" t="n">
        <v>0</v>
      </c>
      <c r="H81" s="1" t="n">
        <v>1</v>
      </c>
      <c r="I81" s="1" t="n">
        <v>2.357</v>
      </c>
      <c r="J81" s="1" t="n">
        <v>2.42</v>
      </c>
      <c r="K81" s="1" t="n">
        <v>0</v>
      </c>
      <c r="L81" s="1" t="s">
        <v>19</v>
      </c>
      <c r="M81" s="1" t="n">
        <v>498398</v>
      </c>
      <c r="N81" s="1" t="n">
        <v>0.02</v>
      </c>
      <c r="O81" s="1" t="s">
        <v>20</v>
      </c>
      <c r="P81" s="1" t="n">
        <v>2.42</v>
      </c>
      <c r="Q81" s="1" t="n">
        <v>0</v>
      </c>
      <c r="R81" s="1" t="n">
        <v>184777</v>
      </c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</row>
    <row r="82" customFormat="false" ht="15" hidden="false" customHeight="false" outlineLevel="0" collapsed="false">
      <c r="A82" s="1" t="s">
        <v>99</v>
      </c>
      <c r="B82" s="1" t="n">
        <v>1204</v>
      </c>
      <c r="C82" s="1" t="n">
        <v>1</v>
      </c>
      <c r="D82" s="1" t="n">
        <v>866482</v>
      </c>
      <c r="E82" s="1" t="n">
        <v>0</v>
      </c>
      <c r="F82" s="1" t="n">
        <v>419</v>
      </c>
      <c r="G82" s="1" t="n">
        <v>0</v>
      </c>
      <c r="H82" s="1" t="n">
        <v>1</v>
      </c>
      <c r="I82" s="1" t="n">
        <v>5.657</v>
      </c>
      <c r="J82" s="1" t="n">
        <v>5.81</v>
      </c>
      <c r="K82" s="1" t="n">
        <v>0</v>
      </c>
      <c r="L82" s="1" t="s">
        <v>19</v>
      </c>
      <c r="M82" s="1" t="n">
        <v>1269512</v>
      </c>
      <c r="N82" s="1" t="n">
        <v>0.06</v>
      </c>
      <c r="O82" s="1" t="s">
        <v>20</v>
      </c>
      <c r="P82" s="1" t="n">
        <v>5.81</v>
      </c>
      <c r="Q82" s="1" t="n">
        <v>0</v>
      </c>
      <c r="R82" s="1" t="n">
        <v>427885</v>
      </c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</row>
    <row r="83" customFormat="false" ht="15" hidden="false" customHeight="false" outlineLevel="0" collapsed="false">
      <c r="A83" s="1" t="s">
        <v>100</v>
      </c>
      <c r="B83" s="1" t="n">
        <v>1619</v>
      </c>
      <c r="C83" s="1" t="n">
        <v>2</v>
      </c>
      <c r="D83" s="1" t="n">
        <v>830071</v>
      </c>
      <c r="E83" s="1" t="n">
        <v>0</v>
      </c>
      <c r="F83" s="1" t="n">
        <v>385</v>
      </c>
      <c r="G83" s="1" t="n">
        <v>0</v>
      </c>
      <c r="H83" s="1" t="n">
        <v>1</v>
      </c>
      <c r="I83" s="1" t="n">
        <v>5.259</v>
      </c>
      <c r="J83" s="1" t="n">
        <v>5.4</v>
      </c>
      <c r="K83" s="1" t="n">
        <v>0</v>
      </c>
      <c r="L83" s="1" t="s">
        <v>19</v>
      </c>
      <c r="M83" s="1" t="n">
        <v>1153348</v>
      </c>
      <c r="N83" s="1" t="n">
        <v>0.06</v>
      </c>
      <c r="O83" s="1" t="s">
        <v>20</v>
      </c>
      <c r="P83" s="1" t="n">
        <v>5.4</v>
      </c>
      <c r="Q83" s="1" t="n">
        <v>0</v>
      </c>
      <c r="R83" s="1" t="n">
        <v>399591</v>
      </c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</row>
    <row r="84" customFormat="false" ht="15" hidden="false" customHeight="false" outlineLevel="0" collapsed="false">
      <c r="A84" s="1" t="s">
        <v>101</v>
      </c>
      <c r="B84" s="1" t="n">
        <v>1281</v>
      </c>
      <c r="C84" s="1" t="n">
        <v>2</v>
      </c>
      <c r="D84" s="1" t="n">
        <v>927048</v>
      </c>
      <c r="E84" s="1" t="n">
        <v>0</v>
      </c>
      <c r="F84" s="1" t="n">
        <v>427</v>
      </c>
      <c r="G84" s="1" t="n">
        <v>0</v>
      </c>
      <c r="H84" s="1" t="n">
        <v>1</v>
      </c>
      <c r="I84" s="1" t="n">
        <v>5.226</v>
      </c>
      <c r="J84" s="1" t="n">
        <v>5.38</v>
      </c>
      <c r="K84" s="1" t="n">
        <v>0</v>
      </c>
      <c r="L84" s="1" t="s">
        <v>19</v>
      </c>
      <c r="M84" s="1" t="n">
        <v>1295314</v>
      </c>
      <c r="N84" s="1" t="n">
        <v>0.06</v>
      </c>
      <c r="O84" s="1" t="s">
        <v>20</v>
      </c>
      <c r="P84" s="1" t="n">
        <v>5.38</v>
      </c>
      <c r="Q84" s="1" t="n">
        <v>0</v>
      </c>
      <c r="R84" s="1" t="n">
        <v>437483</v>
      </c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</row>
    <row r="85" customFormat="false" ht="15" hidden="false" customHeight="false" outlineLevel="0" collapsed="false">
      <c r="A85" s="1" t="s">
        <v>102</v>
      </c>
      <c r="B85" s="1" t="n">
        <v>1869</v>
      </c>
      <c r="C85" s="1" t="n">
        <v>1</v>
      </c>
      <c r="D85" s="1" t="n">
        <v>934178</v>
      </c>
      <c r="E85" s="1" t="n">
        <v>0</v>
      </c>
      <c r="F85" s="1" t="n">
        <v>438</v>
      </c>
      <c r="G85" s="1" t="n">
        <v>0</v>
      </c>
      <c r="H85" s="1" t="n">
        <v>1</v>
      </c>
      <c r="I85" s="1" t="n">
        <v>6.015</v>
      </c>
      <c r="J85" s="1" t="n">
        <v>6.18</v>
      </c>
      <c r="K85" s="1" t="n">
        <v>0</v>
      </c>
      <c r="L85" s="1" t="s">
        <v>19</v>
      </c>
      <c r="M85" s="1" t="n">
        <v>1341203</v>
      </c>
      <c r="N85" s="1" t="n">
        <v>0.07</v>
      </c>
      <c r="O85" s="1" t="s">
        <v>20</v>
      </c>
      <c r="P85" s="1" t="n">
        <v>6.18</v>
      </c>
      <c r="Q85" s="1" t="n">
        <v>0</v>
      </c>
      <c r="R85" s="1" t="n">
        <v>451952</v>
      </c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</row>
    <row r="86" customFormat="false" ht="15" hidden="false" customHeight="false" outlineLevel="0" collapsed="false">
      <c r="A86" s="1" t="s">
        <v>103</v>
      </c>
      <c r="B86" s="1" t="n">
        <v>1641</v>
      </c>
      <c r="C86" s="1" t="n">
        <v>1</v>
      </c>
      <c r="D86" s="1" t="n">
        <v>969369</v>
      </c>
      <c r="E86" s="1" t="n">
        <v>0</v>
      </c>
      <c r="F86" s="1" t="n">
        <v>440</v>
      </c>
      <c r="G86" s="1" t="n">
        <v>0</v>
      </c>
      <c r="H86" s="1" t="n">
        <v>1</v>
      </c>
      <c r="I86" s="1" t="n">
        <v>6.007</v>
      </c>
      <c r="J86" s="1" t="n">
        <v>6.17</v>
      </c>
      <c r="K86" s="1" t="n">
        <v>0</v>
      </c>
      <c r="L86" s="1" t="s">
        <v>19</v>
      </c>
      <c r="M86" s="1" t="n">
        <v>1344105</v>
      </c>
      <c r="N86" s="1" t="n">
        <v>0.07</v>
      </c>
      <c r="O86" s="1" t="s">
        <v>20</v>
      </c>
      <c r="P86" s="1" t="n">
        <v>6.17</v>
      </c>
      <c r="Q86" s="1" t="n">
        <v>0</v>
      </c>
      <c r="R86" s="1" t="n">
        <v>453891</v>
      </c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</row>
    <row r="87" customFormat="false" ht="15" hidden="false" customHeight="false" outlineLevel="0" collapsed="false">
      <c r="A87" s="1" t="s">
        <v>104</v>
      </c>
      <c r="B87" s="1" t="n">
        <v>1523</v>
      </c>
      <c r="C87" s="1" t="n">
        <v>1</v>
      </c>
      <c r="D87" s="1" t="n">
        <v>858543</v>
      </c>
      <c r="E87" s="1" t="n">
        <v>0</v>
      </c>
      <c r="F87" s="1" t="n">
        <v>395</v>
      </c>
      <c r="G87" s="1" t="n">
        <v>0</v>
      </c>
      <c r="H87" s="1" t="n">
        <v>1</v>
      </c>
      <c r="I87" s="1" t="n">
        <v>4.9</v>
      </c>
      <c r="J87" s="1" t="n">
        <v>5.05</v>
      </c>
      <c r="K87" s="1" t="n">
        <v>0</v>
      </c>
      <c r="L87" s="1" t="s">
        <v>19</v>
      </c>
      <c r="M87" s="1" t="n">
        <v>1183160</v>
      </c>
      <c r="N87" s="1" t="n">
        <v>0.06</v>
      </c>
      <c r="O87" s="1" t="s">
        <v>20</v>
      </c>
      <c r="P87" s="1" t="n">
        <v>5.05</v>
      </c>
      <c r="Q87" s="1" t="n">
        <v>0</v>
      </c>
      <c r="R87" s="1" t="n">
        <v>410420</v>
      </c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</row>
    <row r="88" customFormat="false" ht="15" hidden="false" customHeight="false" outlineLevel="0" collapsed="false">
      <c r="A88" s="1" t="s">
        <v>105</v>
      </c>
      <c r="B88" s="1" t="n">
        <v>761</v>
      </c>
      <c r="C88" s="1" t="n">
        <v>2</v>
      </c>
      <c r="D88" s="1" t="n">
        <v>539168</v>
      </c>
      <c r="E88" s="1" t="n">
        <v>0</v>
      </c>
      <c r="F88" s="1" t="n">
        <v>277</v>
      </c>
      <c r="G88" s="1" t="n">
        <v>0</v>
      </c>
      <c r="H88" s="1" t="n">
        <v>1</v>
      </c>
      <c r="I88" s="1" t="n">
        <v>3.748</v>
      </c>
      <c r="J88" s="1" t="n">
        <v>3.85</v>
      </c>
      <c r="K88" s="1" t="n">
        <v>0</v>
      </c>
      <c r="L88" s="1" t="s">
        <v>19</v>
      </c>
      <c r="M88" s="1" t="n">
        <v>866647</v>
      </c>
      <c r="N88" s="1" t="n">
        <v>0.04</v>
      </c>
      <c r="O88" s="1" t="s">
        <v>20</v>
      </c>
      <c r="P88" s="1" t="n">
        <v>3.85</v>
      </c>
      <c r="Q88" s="1" t="n">
        <v>0</v>
      </c>
      <c r="R88" s="1" t="n">
        <v>292355</v>
      </c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</row>
    <row r="89" customFormat="false" ht="15" hidden="false" customHeight="false" outlineLevel="0" collapsed="false">
      <c r="A89" s="1" t="s">
        <v>106</v>
      </c>
      <c r="B89" s="1" t="n">
        <v>2997</v>
      </c>
      <c r="C89" s="1" t="n">
        <v>50</v>
      </c>
      <c r="D89" s="1" t="n">
        <v>1118076</v>
      </c>
      <c r="E89" s="1" t="n">
        <v>0</v>
      </c>
      <c r="F89" s="1" t="n">
        <v>514</v>
      </c>
      <c r="G89" s="1" t="n">
        <v>0</v>
      </c>
      <c r="H89" s="1" t="n">
        <v>1</v>
      </c>
      <c r="I89" s="1" t="n">
        <v>7.441</v>
      </c>
      <c r="J89" s="1" t="n">
        <v>7.63</v>
      </c>
      <c r="K89" s="1" t="n">
        <v>0</v>
      </c>
      <c r="L89" s="1" t="s">
        <v>19</v>
      </c>
      <c r="M89" s="1" t="n">
        <v>1701108</v>
      </c>
      <c r="N89" s="1" t="n">
        <v>0.1</v>
      </c>
      <c r="O89" s="1" t="s">
        <v>20</v>
      </c>
      <c r="P89" s="1" t="n">
        <v>7.63</v>
      </c>
      <c r="Q89" s="1" t="n">
        <v>0</v>
      </c>
      <c r="R89" s="1" t="n">
        <v>539015</v>
      </c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</row>
    <row r="90" customFormat="false" ht="15" hidden="false" customHeight="false" outlineLevel="0" collapsed="false">
      <c r="A90" s="1" t="s">
        <v>107</v>
      </c>
      <c r="B90" s="1" t="n">
        <v>42441</v>
      </c>
      <c r="C90" s="1" t="n">
        <v>218</v>
      </c>
      <c r="D90" s="1" t="n">
        <v>1151095</v>
      </c>
      <c r="E90" s="1" t="n">
        <v>0</v>
      </c>
      <c r="F90" s="1" t="n">
        <v>528</v>
      </c>
      <c r="G90" s="1" t="n">
        <v>0</v>
      </c>
      <c r="H90" s="1" t="n">
        <v>1</v>
      </c>
      <c r="I90" s="1" t="n">
        <v>8.855</v>
      </c>
      <c r="J90" s="1" t="n">
        <v>9.05</v>
      </c>
      <c r="K90" s="1" t="n">
        <v>2</v>
      </c>
      <c r="L90" s="1" t="s">
        <v>19</v>
      </c>
      <c r="M90" s="1" t="n">
        <v>1736612</v>
      </c>
      <c r="N90" s="1" t="n">
        <v>1.35</v>
      </c>
      <c r="O90" s="1" t="s">
        <v>20</v>
      </c>
      <c r="P90" s="1" t="n">
        <v>9.05</v>
      </c>
      <c r="Q90" s="1" t="n">
        <v>0</v>
      </c>
      <c r="R90" s="1" t="n">
        <v>551700</v>
      </c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</row>
    <row r="91" customFormat="false" ht="15" hidden="false" customHeight="false" outlineLevel="0" collapsed="false">
      <c r="A91" s="1" t="s">
        <v>108</v>
      </c>
      <c r="B91" s="1" t="n">
        <v>23037</v>
      </c>
      <c r="C91" s="1" t="n">
        <v>467</v>
      </c>
      <c r="D91" s="1" t="n">
        <v>1314034</v>
      </c>
      <c r="E91" s="1" t="n">
        <v>0</v>
      </c>
      <c r="F91" s="1" t="n">
        <v>567</v>
      </c>
      <c r="G91" s="1" t="n">
        <v>0</v>
      </c>
      <c r="H91" s="1" t="n">
        <v>1</v>
      </c>
      <c r="I91" s="1" t="n">
        <v>8.918</v>
      </c>
      <c r="J91" s="1" t="n">
        <v>9.12</v>
      </c>
      <c r="K91" s="1" t="n">
        <v>3</v>
      </c>
      <c r="L91" s="1" t="s">
        <v>19</v>
      </c>
      <c r="M91" s="1" t="n">
        <v>1936277</v>
      </c>
      <c r="N91" s="1" t="n">
        <v>1.06</v>
      </c>
      <c r="O91" s="1" t="s">
        <v>20</v>
      </c>
      <c r="P91" s="1" t="n">
        <v>9.12</v>
      </c>
      <c r="Q91" s="1" t="n">
        <v>0</v>
      </c>
      <c r="R91" s="1" t="n">
        <v>597861</v>
      </c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</row>
    <row r="92" customFormat="false" ht="15" hidden="false" customHeight="false" outlineLevel="0" collapsed="false">
      <c r="A92" s="1" t="s">
        <v>109</v>
      </c>
      <c r="B92" s="1" t="n">
        <v>97284</v>
      </c>
      <c r="C92" s="1" t="n">
        <v>3417</v>
      </c>
      <c r="D92" s="1" t="n">
        <v>1288370</v>
      </c>
      <c r="E92" s="1" t="n">
        <v>0</v>
      </c>
      <c r="F92" s="1" t="n">
        <v>564</v>
      </c>
      <c r="G92" s="1" t="n">
        <v>0</v>
      </c>
      <c r="H92" s="1" t="n">
        <v>1</v>
      </c>
      <c r="I92" s="1" t="n">
        <v>14.373</v>
      </c>
      <c r="J92" s="1" t="n">
        <v>14.56</v>
      </c>
      <c r="K92" s="1" t="n">
        <v>15</v>
      </c>
      <c r="L92" s="1" t="s">
        <v>19</v>
      </c>
      <c r="M92" s="1" t="n">
        <v>1936337</v>
      </c>
      <c r="N92" s="1" t="n">
        <v>6.12</v>
      </c>
      <c r="O92" s="1" t="s">
        <v>20</v>
      </c>
      <c r="P92" s="1" t="n">
        <v>14.56</v>
      </c>
      <c r="Q92" s="1" t="n">
        <v>0</v>
      </c>
      <c r="R92" s="1" t="n">
        <v>599338</v>
      </c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</row>
    <row r="93" customFormat="false" ht="15" hidden="false" customHeight="false" outlineLevel="0" collapsed="false">
      <c r="A93" s="1" t="s">
        <v>110</v>
      </c>
      <c r="B93" s="1" t="n">
        <v>1908</v>
      </c>
      <c r="C93" s="1" t="n">
        <v>1</v>
      </c>
      <c r="D93" s="1" t="n">
        <v>1258219</v>
      </c>
      <c r="E93" s="1" t="n">
        <v>0</v>
      </c>
      <c r="F93" s="1" t="n">
        <v>551</v>
      </c>
      <c r="G93" s="1" t="n">
        <v>0</v>
      </c>
      <c r="H93" s="1" t="n">
        <v>1</v>
      </c>
      <c r="I93" s="1" t="n">
        <v>8.065</v>
      </c>
      <c r="J93" s="1" t="n">
        <v>8.28</v>
      </c>
      <c r="K93" s="1" t="n">
        <v>0</v>
      </c>
      <c r="L93" s="1" t="s">
        <v>19</v>
      </c>
      <c r="M93" s="1" t="n">
        <v>1870487</v>
      </c>
      <c r="N93" s="1" t="n">
        <v>0.08</v>
      </c>
      <c r="O93" s="1" t="s">
        <v>20</v>
      </c>
      <c r="P93" s="1" t="n">
        <v>8.28</v>
      </c>
      <c r="Q93" s="1" t="n">
        <v>0</v>
      </c>
      <c r="R93" s="1" t="n">
        <v>578687</v>
      </c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</row>
    <row r="94" customFormat="false" ht="15" hidden="false" customHeight="false" outlineLevel="0" collapsed="false">
      <c r="A94" s="1" t="s">
        <v>111</v>
      </c>
      <c r="B94" s="1" t="n">
        <v>38969</v>
      </c>
      <c r="C94" s="1" t="n">
        <v>851</v>
      </c>
      <c r="D94" s="1" t="n">
        <v>1343607</v>
      </c>
      <c r="E94" s="1" t="n">
        <v>0</v>
      </c>
      <c r="F94" s="1" t="n">
        <v>572</v>
      </c>
      <c r="G94" s="1" t="n">
        <v>0</v>
      </c>
      <c r="H94" s="1" t="n">
        <v>1</v>
      </c>
      <c r="I94" s="1" t="n">
        <v>10.152</v>
      </c>
      <c r="J94" s="1" t="n">
        <v>10.41</v>
      </c>
      <c r="K94" s="1" t="n">
        <v>6</v>
      </c>
      <c r="L94" s="1" t="s">
        <v>19</v>
      </c>
      <c r="M94" s="1" t="n">
        <v>1968161</v>
      </c>
      <c r="N94" s="1" t="n">
        <v>1.82</v>
      </c>
      <c r="O94" s="1" t="s">
        <v>20</v>
      </c>
      <c r="P94" s="1" t="n">
        <v>10.41</v>
      </c>
      <c r="Q94" s="1" t="n">
        <v>0</v>
      </c>
      <c r="R94" s="1" t="n">
        <v>607748</v>
      </c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</row>
    <row r="95" customFormat="false" ht="15" hidden="false" customHeight="false" outlineLevel="0" collapsed="false">
      <c r="A95" s="1" t="s">
        <v>112</v>
      </c>
      <c r="B95" s="1" t="n">
        <v>3174</v>
      </c>
      <c r="C95" s="1" t="n">
        <v>2</v>
      </c>
      <c r="D95" s="1" t="n">
        <v>1208605</v>
      </c>
      <c r="E95" s="1" t="n">
        <v>0</v>
      </c>
      <c r="F95" s="1" t="n">
        <v>533</v>
      </c>
      <c r="G95" s="1" t="n">
        <v>0</v>
      </c>
      <c r="H95" s="1" t="n">
        <v>1</v>
      </c>
      <c r="I95" s="1" t="n">
        <v>7.546</v>
      </c>
      <c r="J95" s="1" t="n">
        <v>7.75</v>
      </c>
      <c r="K95" s="1" t="n">
        <v>0</v>
      </c>
      <c r="L95" s="1" t="s">
        <v>19</v>
      </c>
      <c r="M95" s="1" t="n">
        <v>1756988</v>
      </c>
      <c r="N95" s="1" t="n">
        <v>0.09</v>
      </c>
      <c r="O95" s="1" t="s">
        <v>20</v>
      </c>
      <c r="P95" s="1" t="n">
        <v>7.75</v>
      </c>
      <c r="Q95" s="1" t="n">
        <v>0</v>
      </c>
      <c r="R95" s="1" t="n">
        <v>559666</v>
      </c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</row>
    <row r="96" customFormat="false" ht="15" hidden="false" customHeight="false" outlineLevel="0" collapsed="false">
      <c r="A96" s="1" t="s">
        <v>113</v>
      </c>
      <c r="B96" s="1" t="n">
        <v>4264</v>
      </c>
      <c r="C96" s="1" t="n">
        <v>47</v>
      </c>
      <c r="D96" s="1" t="n">
        <v>1559512</v>
      </c>
      <c r="E96" s="1" t="n">
        <v>0</v>
      </c>
      <c r="F96" s="1" t="n">
        <v>680</v>
      </c>
      <c r="G96" s="1" t="n">
        <v>0</v>
      </c>
      <c r="H96" s="1" t="n">
        <v>1</v>
      </c>
      <c r="I96" s="1" t="n">
        <v>10.306</v>
      </c>
      <c r="J96" s="1" t="n">
        <v>10.55</v>
      </c>
      <c r="K96" s="1" t="n">
        <v>0</v>
      </c>
      <c r="L96" s="1" t="s">
        <v>19</v>
      </c>
      <c r="M96" s="1" t="n">
        <v>2399698</v>
      </c>
      <c r="N96" s="1" t="n">
        <v>0.14</v>
      </c>
      <c r="O96" s="1" t="s">
        <v>20</v>
      </c>
      <c r="P96" s="1" t="n">
        <v>10.55</v>
      </c>
      <c r="Q96" s="1" t="n">
        <v>0</v>
      </c>
      <c r="R96" s="1" t="n">
        <v>700967</v>
      </c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</row>
    <row r="97" customFormat="false" ht="15" hidden="false" customHeight="false" outlineLevel="0" collapsed="false">
      <c r="A97" s="1" t="s">
        <v>114</v>
      </c>
      <c r="B97" s="1" t="n">
        <v>39947</v>
      </c>
      <c r="C97" s="1" t="n">
        <v>1230</v>
      </c>
      <c r="D97" s="1" t="n">
        <v>1533140</v>
      </c>
      <c r="E97" s="1" t="n">
        <v>0</v>
      </c>
      <c r="F97" s="1" t="n">
        <v>683</v>
      </c>
      <c r="G97" s="1" t="n">
        <v>0</v>
      </c>
      <c r="H97" s="1" t="n">
        <v>1</v>
      </c>
      <c r="I97" s="1" t="n">
        <v>12.5</v>
      </c>
      <c r="J97" s="1" t="n">
        <v>12.72</v>
      </c>
      <c r="K97" s="1" t="n">
        <v>10</v>
      </c>
      <c r="L97" s="1" t="s">
        <v>19</v>
      </c>
      <c r="M97" s="1" t="n">
        <v>2398951</v>
      </c>
      <c r="N97" s="1" t="n">
        <v>2.2</v>
      </c>
      <c r="O97" s="1" t="s">
        <v>20</v>
      </c>
      <c r="P97" s="1" t="n">
        <v>12.72</v>
      </c>
      <c r="Q97" s="1" t="n">
        <v>0</v>
      </c>
      <c r="R97" s="1" t="n">
        <v>702291</v>
      </c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</row>
    <row r="98" customFormat="false" ht="15" hidden="false" customHeight="false" outlineLevel="0" collapsed="false">
      <c r="A98" s="1" t="s">
        <v>115</v>
      </c>
      <c r="B98" s="1" t="n">
        <v>104653</v>
      </c>
      <c r="C98" s="1" t="n">
        <v>2404</v>
      </c>
      <c r="D98" s="1" t="n">
        <v>1700461</v>
      </c>
      <c r="E98" s="1" t="n">
        <v>0</v>
      </c>
      <c r="F98" s="1" t="n">
        <v>741</v>
      </c>
      <c r="G98" s="1" t="n">
        <v>0</v>
      </c>
      <c r="H98" s="1" t="n">
        <v>1</v>
      </c>
      <c r="I98" s="1" t="n">
        <v>17.256</v>
      </c>
      <c r="J98" s="1" t="n">
        <v>17.5</v>
      </c>
      <c r="K98" s="1" t="n">
        <v>13</v>
      </c>
      <c r="L98" s="1" t="s">
        <v>19</v>
      </c>
      <c r="M98" s="1" t="n">
        <v>2618448</v>
      </c>
      <c r="N98" s="1" t="n">
        <v>6.17</v>
      </c>
      <c r="O98" s="1" t="s">
        <v>20</v>
      </c>
      <c r="P98" s="1" t="n">
        <v>17.5</v>
      </c>
      <c r="Q98" s="1" t="n">
        <v>0</v>
      </c>
      <c r="R98" s="1" t="n">
        <v>745478</v>
      </c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</row>
    <row r="99" customFormat="false" ht="15" hidden="false" customHeight="false" outlineLevel="0" collapsed="false">
      <c r="A99" s="1" t="s">
        <v>116</v>
      </c>
      <c r="B99" s="1" t="n">
        <v>86431</v>
      </c>
      <c r="C99" s="1" t="n">
        <v>2946</v>
      </c>
      <c r="D99" s="1" t="n">
        <v>1553624</v>
      </c>
      <c r="E99" s="1" t="n">
        <v>0</v>
      </c>
      <c r="F99" s="1" t="n">
        <v>678</v>
      </c>
      <c r="G99" s="1" t="n">
        <v>0</v>
      </c>
      <c r="H99" s="1" t="n">
        <v>1</v>
      </c>
      <c r="I99" s="1" t="n">
        <v>15.466</v>
      </c>
      <c r="J99" s="1" t="n">
        <v>15.7</v>
      </c>
      <c r="K99" s="1" t="n">
        <v>14</v>
      </c>
      <c r="L99" s="1" t="s">
        <v>19</v>
      </c>
      <c r="M99" s="1" t="n">
        <v>2386441</v>
      </c>
      <c r="N99" s="1" t="n">
        <v>5.28</v>
      </c>
      <c r="O99" s="1" t="s">
        <v>20</v>
      </c>
      <c r="P99" s="1" t="n">
        <v>15.7</v>
      </c>
      <c r="Q99" s="1" t="n">
        <v>0</v>
      </c>
      <c r="R99" s="1" t="n">
        <v>698142</v>
      </c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</row>
    <row r="100" customFormat="false" ht="15" hidden="false" customHeight="false" outlineLevel="0" collapsed="false">
      <c r="A100" s="1" t="s">
        <v>117</v>
      </c>
      <c r="B100" s="1" t="n">
        <v>90478</v>
      </c>
      <c r="C100" s="1" t="n">
        <v>1338</v>
      </c>
      <c r="D100" s="1" t="n">
        <v>1552752</v>
      </c>
      <c r="E100" s="1" t="n">
        <v>0</v>
      </c>
      <c r="F100" s="1" t="n">
        <v>678</v>
      </c>
      <c r="G100" s="1" t="n">
        <v>0</v>
      </c>
      <c r="H100" s="1" t="n">
        <v>1</v>
      </c>
      <c r="I100" s="1" t="n">
        <v>12.981</v>
      </c>
      <c r="J100" s="1" t="n">
        <v>13.22</v>
      </c>
      <c r="K100" s="1" t="n">
        <v>7</v>
      </c>
      <c r="L100" s="1" t="s">
        <v>19</v>
      </c>
      <c r="M100" s="1" t="n">
        <v>2386441</v>
      </c>
      <c r="N100" s="1" t="n">
        <v>3.28</v>
      </c>
      <c r="O100" s="1" t="s">
        <v>20</v>
      </c>
      <c r="P100" s="1" t="n">
        <v>13.22</v>
      </c>
      <c r="Q100" s="1" t="n">
        <v>0</v>
      </c>
      <c r="R100" s="1" t="n">
        <v>698140</v>
      </c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</row>
    <row r="101" customFormat="false" ht="15" hidden="false" customHeight="false" outlineLevel="0" collapsed="false">
      <c r="A101" s="1" t="s">
        <v>118</v>
      </c>
      <c r="B101" s="1" t="n">
        <v>3325</v>
      </c>
      <c r="C101" s="1" t="n">
        <v>6</v>
      </c>
      <c r="D101" s="1" t="n">
        <v>1758689</v>
      </c>
      <c r="E101" s="1" t="n">
        <v>0</v>
      </c>
      <c r="F101" s="1" t="n">
        <v>749</v>
      </c>
      <c r="G101" s="1" t="n">
        <v>0</v>
      </c>
      <c r="H101" s="1" t="n">
        <v>1</v>
      </c>
      <c r="I101" s="1" t="n">
        <v>11.516</v>
      </c>
      <c r="J101" s="1" t="n">
        <v>11.79</v>
      </c>
      <c r="K101" s="1" t="n">
        <v>0</v>
      </c>
      <c r="L101" s="1" t="s">
        <v>19</v>
      </c>
      <c r="M101" s="1" t="n">
        <v>2650400</v>
      </c>
      <c r="N101" s="1" t="n">
        <v>0.17</v>
      </c>
      <c r="O101" s="1" t="s">
        <v>20</v>
      </c>
      <c r="P101" s="1" t="n">
        <v>11.79</v>
      </c>
      <c r="Q101" s="1" t="n">
        <v>0</v>
      </c>
      <c r="R101" s="1" t="n">
        <v>753676</v>
      </c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</row>
    <row r="102" customFormat="false" ht="15" hidden="false" customHeight="false" outlineLevel="0" collapsed="false">
      <c r="A102" s="1" t="s">
        <v>119</v>
      </c>
      <c r="B102" s="1" t="n">
        <v>3247</v>
      </c>
      <c r="C102" s="1" t="n">
        <v>2</v>
      </c>
      <c r="D102" s="1" t="n">
        <v>1598216</v>
      </c>
      <c r="E102" s="1" t="n">
        <v>0</v>
      </c>
      <c r="F102" s="1" t="n">
        <v>689</v>
      </c>
      <c r="G102" s="1" t="n">
        <v>0</v>
      </c>
      <c r="H102" s="1" t="n">
        <v>1</v>
      </c>
      <c r="I102" s="1" t="n">
        <v>10.43</v>
      </c>
      <c r="J102" s="1" t="n">
        <v>10.68</v>
      </c>
      <c r="K102" s="1" t="n">
        <v>0</v>
      </c>
      <c r="L102" s="1" t="s">
        <v>19</v>
      </c>
      <c r="M102" s="1" t="n">
        <v>2434335</v>
      </c>
      <c r="N102" s="1" t="n">
        <v>0.11</v>
      </c>
      <c r="O102" s="1" t="s">
        <v>20</v>
      </c>
      <c r="P102" s="1" t="n">
        <v>10.68</v>
      </c>
      <c r="Q102" s="1" t="n">
        <v>0</v>
      </c>
      <c r="R102" s="1" t="n">
        <v>713081</v>
      </c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</row>
    <row r="103" customFormat="false" ht="15" hidden="false" customHeight="false" outlineLevel="0" collapsed="false">
      <c r="A103" s="1" t="s">
        <v>120</v>
      </c>
      <c r="B103" s="1" t="n">
        <v>6639</v>
      </c>
      <c r="C103" s="1" t="n">
        <v>53</v>
      </c>
      <c r="D103" s="1" t="n">
        <v>1977029</v>
      </c>
      <c r="E103" s="1" t="n">
        <v>0</v>
      </c>
      <c r="F103" s="1" t="n">
        <v>841</v>
      </c>
      <c r="G103" s="1" t="n">
        <v>0</v>
      </c>
      <c r="H103" s="1" t="n">
        <v>1</v>
      </c>
      <c r="I103" s="1" t="n">
        <v>13.357</v>
      </c>
      <c r="J103" s="1" t="n">
        <v>13.69</v>
      </c>
      <c r="K103" s="1" t="n">
        <v>0</v>
      </c>
      <c r="L103" s="1" t="s">
        <v>19</v>
      </c>
      <c r="M103" s="1" t="n">
        <v>3151913</v>
      </c>
      <c r="N103" s="1" t="n">
        <v>0.19</v>
      </c>
      <c r="O103" s="1" t="s">
        <v>20</v>
      </c>
      <c r="P103" s="1" t="n">
        <v>13.69</v>
      </c>
      <c r="Q103" s="1" t="n">
        <v>0</v>
      </c>
      <c r="R103" s="1" t="n">
        <v>853352</v>
      </c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</row>
    <row r="104" customFormat="false" ht="15" hidden="false" customHeight="false" outlineLevel="0" collapsed="false">
      <c r="A104" s="1" t="s">
        <v>121</v>
      </c>
      <c r="B104" s="1" t="n">
        <v>23116</v>
      </c>
      <c r="C104" s="1" t="n">
        <v>254</v>
      </c>
      <c r="D104" s="1" t="n">
        <v>1976130</v>
      </c>
      <c r="E104" s="1" t="n">
        <v>0</v>
      </c>
      <c r="F104" s="1" t="n">
        <v>843</v>
      </c>
      <c r="G104" s="1" t="n">
        <v>0</v>
      </c>
      <c r="H104" s="1" t="n">
        <v>1</v>
      </c>
      <c r="I104" s="1" t="n">
        <v>14.133</v>
      </c>
      <c r="J104" s="1" t="n">
        <v>14.47</v>
      </c>
      <c r="K104" s="1" t="n">
        <v>2</v>
      </c>
      <c r="L104" s="1" t="s">
        <v>19</v>
      </c>
      <c r="M104" s="1" t="n">
        <v>3151913</v>
      </c>
      <c r="N104" s="1" t="n">
        <v>1.06</v>
      </c>
      <c r="O104" s="1" t="s">
        <v>20</v>
      </c>
      <c r="P104" s="1" t="n">
        <v>14.47</v>
      </c>
      <c r="Q104" s="1" t="n">
        <v>0</v>
      </c>
      <c r="R104" s="1" t="n">
        <v>853350</v>
      </c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</row>
    <row r="105" customFormat="false" ht="15" hidden="false" customHeight="false" outlineLevel="0" collapsed="false">
      <c r="A105" s="1" t="s">
        <v>122</v>
      </c>
      <c r="B105" s="1" t="n">
        <v>103046</v>
      </c>
      <c r="C105" s="1" t="n">
        <v>1606</v>
      </c>
      <c r="D105" s="1" t="n">
        <v>2034625</v>
      </c>
      <c r="E105" s="1" t="n">
        <v>0</v>
      </c>
      <c r="F105" s="1" t="n">
        <v>850</v>
      </c>
      <c r="G105" s="1" t="n">
        <v>0</v>
      </c>
      <c r="H105" s="1" t="n">
        <v>1</v>
      </c>
      <c r="I105" s="1" t="n">
        <v>19.787</v>
      </c>
      <c r="J105" s="1" t="n">
        <v>20.07</v>
      </c>
      <c r="K105" s="1" t="n">
        <v>10</v>
      </c>
      <c r="L105" s="1" t="s">
        <v>19</v>
      </c>
      <c r="M105" s="1" t="n">
        <v>3183985</v>
      </c>
      <c r="N105" s="1" t="n">
        <v>6.42</v>
      </c>
      <c r="O105" s="1" t="s">
        <v>20</v>
      </c>
      <c r="P105" s="1" t="n">
        <v>20.07</v>
      </c>
      <c r="Q105" s="1" t="n">
        <v>0</v>
      </c>
      <c r="R105" s="1" t="n">
        <v>861340</v>
      </c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</row>
    <row r="106" customFormat="false" ht="15" hidden="false" customHeight="false" outlineLevel="0" collapsed="false">
      <c r="A106" s="1" t="s">
        <v>123</v>
      </c>
      <c r="B106" s="1" t="n">
        <v>3708</v>
      </c>
      <c r="C106" s="1" t="n">
        <v>2</v>
      </c>
      <c r="D106" s="1" t="n">
        <v>2007019</v>
      </c>
      <c r="E106" s="1" t="n">
        <v>0</v>
      </c>
      <c r="F106" s="1" t="n">
        <v>849</v>
      </c>
      <c r="G106" s="1" t="n">
        <v>0</v>
      </c>
      <c r="H106" s="1" t="n">
        <v>1</v>
      </c>
      <c r="I106" s="1" t="n">
        <v>13.083</v>
      </c>
      <c r="J106" s="1" t="n">
        <v>13.39</v>
      </c>
      <c r="K106" s="1" t="n">
        <v>0</v>
      </c>
      <c r="L106" s="1" t="s">
        <v>19</v>
      </c>
      <c r="M106" s="1" t="n">
        <v>3184053</v>
      </c>
      <c r="N106" s="1" t="n">
        <v>0.15</v>
      </c>
      <c r="O106" s="1" t="s">
        <v>20</v>
      </c>
      <c r="P106" s="1" t="n">
        <v>13.39</v>
      </c>
      <c r="Q106" s="1" t="n">
        <v>0</v>
      </c>
      <c r="R106" s="1" t="n">
        <v>863457</v>
      </c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</row>
    <row r="107" customFormat="false" ht="15" hidden="false" customHeight="false" outlineLevel="0" collapsed="false">
      <c r="A107" s="1" t="s">
        <v>124</v>
      </c>
      <c r="B107" s="1" t="n">
        <v>93010</v>
      </c>
      <c r="C107" s="1" t="n">
        <v>825</v>
      </c>
      <c r="D107" s="1" t="n">
        <v>2045826</v>
      </c>
      <c r="E107" s="1" t="n">
        <v>0</v>
      </c>
      <c r="F107" s="1" t="n">
        <v>850</v>
      </c>
      <c r="G107" s="1" t="n">
        <v>0</v>
      </c>
      <c r="H107" s="1" t="n">
        <v>1</v>
      </c>
      <c r="I107" s="1" t="n">
        <v>16.713</v>
      </c>
      <c r="J107" s="1" t="n">
        <v>17.05</v>
      </c>
      <c r="K107" s="1" t="n">
        <v>6</v>
      </c>
      <c r="L107" s="1" t="s">
        <v>19</v>
      </c>
      <c r="M107" s="1" t="n">
        <v>3187909</v>
      </c>
      <c r="N107" s="1" t="n">
        <v>3.36</v>
      </c>
      <c r="O107" s="1" t="s">
        <v>20</v>
      </c>
      <c r="P107" s="1" t="n">
        <v>17.05</v>
      </c>
      <c r="Q107" s="1" t="n">
        <v>0</v>
      </c>
      <c r="R107" s="1" t="n">
        <v>864194</v>
      </c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</row>
    <row r="108" customFormat="false" ht="15" hidden="false" customHeight="false" outlineLevel="0" collapsed="false">
      <c r="A108" s="1" t="s">
        <v>125</v>
      </c>
      <c r="B108" s="1" t="n">
        <v>3698</v>
      </c>
      <c r="C108" s="1" t="n">
        <v>1</v>
      </c>
      <c r="D108" s="1" t="n">
        <v>2180657</v>
      </c>
      <c r="E108" s="1" t="n">
        <v>0</v>
      </c>
      <c r="F108" s="1" t="n">
        <v>891</v>
      </c>
      <c r="G108" s="1" t="n">
        <v>0</v>
      </c>
      <c r="H108" s="1" t="n">
        <v>1</v>
      </c>
      <c r="I108" s="1" t="n">
        <v>14.153</v>
      </c>
      <c r="J108" s="1" t="n">
        <v>14.51</v>
      </c>
      <c r="K108" s="1" t="n">
        <v>0</v>
      </c>
      <c r="L108" s="1" t="s">
        <v>19</v>
      </c>
      <c r="M108" s="1" t="n">
        <v>3421358</v>
      </c>
      <c r="N108" s="1" t="n">
        <v>0.14</v>
      </c>
      <c r="O108" s="1" t="s">
        <v>20</v>
      </c>
      <c r="P108" s="1" t="n">
        <v>14.51</v>
      </c>
      <c r="Q108" s="1" t="n">
        <v>0</v>
      </c>
      <c r="R108" s="1" t="n">
        <v>903518</v>
      </c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</row>
    <row r="109" customFormat="false" ht="15" hidden="false" customHeight="false" outlineLevel="0" collapsed="false">
      <c r="A109" s="1" t="s">
        <v>126</v>
      </c>
      <c r="B109" s="1" t="n">
        <v>21857</v>
      </c>
      <c r="C109" s="1" t="n">
        <v>348</v>
      </c>
      <c r="D109" s="1" t="n">
        <v>2028933</v>
      </c>
      <c r="E109" s="1" t="n">
        <v>0</v>
      </c>
      <c r="F109" s="1" t="n">
        <v>848</v>
      </c>
      <c r="G109" s="1" t="n">
        <v>0</v>
      </c>
      <c r="H109" s="1" t="n">
        <v>1</v>
      </c>
      <c r="I109" s="1" t="n">
        <v>13.844</v>
      </c>
      <c r="J109" s="1" t="n">
        <v>14.16</v>
      </c>
      <c r="K109" s="1" t="n">
        <v>4</v>
      </c>
      <c r="L109" s="1" t="s">
        <v>19</v>
      </c>
      <c r="M109" s="1" t="n">
        <v>3169497</v>
      </c>
      <c r="N109" s="1" t="n">
        <v>0.88</v>
      </c>
      <c r="O109" s="1" t="s">
        <v>20</v>
      </c>
      <c r="P109" s="1" t="n">
        <v>14.16</v>
      </c>
      <c r="Q109" s="1" t="n">
        <v>0</v>
      </c>
      <c r="R109" s="1" t="n">
        <v>859190</v>
      </c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</row>
    <row r="110" customFormat="false" ht="15" hidden="false" customHeight="false" outlineLevel="0" collapsed="false">
      <c r="A110" s="1" t="s">
        <v>127</v>
      </c>
      <c r="B110" s="1" t="n">
        <v>25414</v>
      </c>
      <c r="C110" s="1" t="n">
        <v>125</v>
      </c>
      <c r="D110" s="1" t="n">
        <v>2341109</v>
      </c>
      <c r="E110" s="1" t="n">
        <v>0</v>
      </c>
      <c r="F110" s="1" t="n">
        <v>982</v>
      </c>
      <c r="G110" s="1" t="n">
        <v>0</v>
      </c>
      <c r="H110" s="1" t="n">
        <v>1</v>
      </c>
      <c r="I110" s="1" t="n">
        <v>15.388</v>
      </c>
      <c r="J110" s="1" t="n">
        <v>15.76</v>
      </c>
      <c r="K110" s="1" t="n">
        <v>2</v>
      </c>
      <c r="L110" s="1" t="s">
        <v>19</v>
      </c>
      <c r="M110" s="1" t="n">
        <v>3842144</v>
      </c>
      <c r="N110" s="1" t="n">
        <v>0.48</v>
      </c>
      <c r="O110" s="1" t="s">
        <v>20</v>
      </c>
      <c r="P110" s="1" t="n">
        <v>15.76</v>
      </c>
      <c r="Q110" s="1" t="n">
        <v>0</v>
      </c>
      <c r="R110" s="1" t="n">
        <v>1015585</v>
      </c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</row>
    <row r="111" customFormat="false" ht="15" hidden="false" customHeight="false" outlineLevel="0" collapsed="false">
      <c r="A111" s="1" t="s">
        <v>128</v>
      </c>
      <c r="B111" s="1" t="n">
        <v>776</v>
      </c>
      <c r="C111" s="1" t="n">
        <v>0</v>
      </c>
      <c r="D111" s="1" t="n">
        <v>500309</v>
      </c>
      <c r="E111" s="1" t="n">
        <v>0</v>
      </c>
      <c r="F111" s="1" t="n">
        <v>259</v>
      </c>
      <c r="G111" s="1" t="n">
        <v>0</v>
      </c>
      <c r="H111" s="1" t="n">
        <v>1</v>
      </c>
      <c r="I111" s="1" t="n">
        <v>3.256</v>
      </c>
      <c r="J111" s="1" t="n">
        <v>3.35</v>
      </c>
      <c r="K111" s="1" t="n">
        <v>0</v>
      </c>
      <c r="L111" s="1" t="s">
        <v>19</v>
      </c>
      <c r="M111" s="1" t="n">
        <v>685827</v>
      </c>
      <c r="N111" s="1" t="n">
        <v>0.04</v>
      </c>
      <c r="O111" s="1" t="s">
        <v>20</v>
      </c>
      <c r="P111" s="1" t="n">
        <v>3.35</v>
      </c>
      <c r="Q111" s="1" t="n">
        <v>0</v>
      </c>
      <c r="R111" s="1" t="n">
        <v>266937</v>
      </c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</row>
    <row r="112" customFormat="false" ht="15" hidden="false" customHeight="false" outlineLevel="0" collapsed="false">
      <c r="A112" s="1" t="s">
        <v>129</v>
      </c>
      <c r="B112" s="1" t="n">
        <v>1085</v>
      </c>
      <c r="C112" s="1" t="n">
        <v>0</v>
      </c>
      <c r="D112" s="1" t="n">
        <v>474324</v>
      </c>
      <c r="E112" s="1" t="n">
        <v>0</v>
      </c>
      <c r="F112" s="1" t="n">
        <v>245</v>
      </c>
      <c r="G112" s="1" t="n">
        <v>0</v>
      </c>
      <c r="H112" s="1" t="n">
        <v>1</v>
      </c>
      <c r="I112" s="1" t="n">
        <v>3.133</v>
      </c>
      <c r="J112" s="1" t="n">
        <v>3.23</v>
      </c>
      <c r="K112" s="1" t="n">
        <v>0</v>
      </c>
      <c r="L112" s="1" t="s">
        <v>19</v>
      </c>
      <c r="M112" s="1" t="n">
        <v>663947</v>
      </c>
      <c r="N112" s="1" t="n">
        <v>0.03</v>
      </c>
      <c r="O112" s="1" t="s">
        <v>20</v>
      </c>
      <c r="P112" s="1" t="n">
        <v>3.23</v>
      </c>
      <c r="Q112" s="1" t="n">
        <v>0</v>
      </c>
      <c r="R112" s="1" t="n">
        <v>253960</v>
      </c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</row>
    <row r="113" customFormat="false" ht="15" hidden="false" customHeight="false" outlineLevel="0" collapsed="false">
      <c r="A113" s="1" t="s">
        <v>130</v>
      </c>
      <c r="B113" s="1" t="n">
        <v>646</v>
      </c>
      <c r="C113" s="1" t="n">
        <v>0</v>
      </c>
      <c r="D113" s="1" t="n">
        <v>299022</v>
      </c>
      <c r="E113" s="1" t="n">
        <v>0</v>
      </c>
      <c r="F113" s="1" t="n">
        <v>198</v>
      </c>
      <c r="G113" s="1" t="n">
        <v>0</v>
      </c>
      <c r="H113" s="1" t="n">
        <v>1</v>
      </c>
      <c r="I113" s="1" t="n">
        <v>2.368</v>
      </c>
      <c r="J113" s="1" t="n">
        <v>2.44</v>
      </c>
      <c r="K113" s="1" t="n">
        <v>0</v>
      </c>
      <c r="L113" s="1" t="s">
        <v>19</v>
      </c>
      <c r="M113" s="1" t="n">
        <v>511481</v>
      </c>
      <c r="N113" s="1" t="n">
        <v>0.03</v>
      </c>
      <c r="O113" s="1" t="s">
        <v>20</v>
      </c>
      <c r="P113" s="1" t="n">
        <v>2.44</v>
      </c>
      <c r="Q113" s="1" t="n">
        <v>0</v>
      </c>
      <c r="R113" s="1" t="n">
        <v>201120</v>
      </c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</row>
    <row r="114" customFormat="false" ht="15" hidden="false" customHeight="false" outlineLevel="0" collapsed="false">
      <c r="A114" s="1" t="s">
        <v>131</v>
      </c>
      <c r="B114" s="1" t="n">
        <v>621</v>
      </c>
      <c r="C114" s="1" t="n">
        <v>0</v>
      </c>
      <c r="D114" s="1" t="n">
        <v>377548</v>
      </c>
      <c r="E114" s="1" t="n">
        <v>0</v>
      </c>
      <c r="F114" s="1" t="n">
        <v>257</v>
      </c>
      <c r="G114" s="1" t="n">
        <v>0</v>
      </c>
      <c r="H114" s="1" t="n">
        <v>1</v>
      </c>
      <c r="I114" s="1" t="n">
        <v>3.281</v>
      </c>
      <c r="J114" s="1" t="n">
        <v>3.38</v>
      </c>
      <c r="K114" s="1" t="n">
        <v>0</v>
      </c>
      <c r="L114" s="1" t="s">
        <v>19</v>
      </c>
      <c r="M114" s="1" t="n">
        <v>678513</v>
      </c>
      <c r="N114" s="1" t="n">
        <v>0.03</v>
      </c>
      <c r="O114" s="1" t="s">
        <v>20</v>
      </c>
      <c r="P114" s="1" t="n">
        <v>3.38</v>
      </c>
      <c r="Q114" s="1" t="n">
        <v>0</v>
      </c>
      <c r="R114" s="1" t="n">
        <v>263228</v>
      </c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</row>
    <row r="115" customFormat="false" ht="15" hidden="false" customHeight="false" outlineLevel="0" collapsed="false">
      <c r="A115" s="1" t="s">
        <v>132</v>
      </c>
      <c r="B115" s="1" t="n">
        <v>2069</v>
      </c>
      <c r="C115" s="1" t="n">
        <v>0</v>
      </c>
      <c r="D115" s="1" t="n">
        <v>435080</v>
      </c>
      <c r="E115" s="1" t="n">
        <v>0</v>
      </c>
      <c r="F115" s="1" t="n">
        <v>266</v>
      </c>
      <c r="G115" s="1" t="n">
        <v>0</v>
      </c>
      <c r="H115" s="1" t="n">
        <v>1</v>
      </c>
      <c r="I115" s="1" t="n">
        <v>3.423</v>
      </c>
      <c r="J115" s="1" t="n">
        <v>3.52</v>
      </c>
      <c r="K115" s="1" t="n">
        <v>0</v>
      </c>
      <c r="L115" s="1" t="s">
        <v>19</v>
      </c>
      <c r="M115" s="1" t="n">
        <v>736354</v>
      </c>
      <c r="N115" s="1" t="n">
        <v>0.04</v>
      </c>
      <c r="O115" s="1" t="s">
        <v>20</v>
      </c>
      <c r="P115" s="1" t="n">
        <v>3.52</v>
      </c>
      <c r="Q115" s="1" t="n">
        <v>0</v>
      </c>
      <c r="R115" s="1" t="n">
        <v>278123</v>
      </c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</row>
    <row r="116" customFormat="false" ht="15" hidden="false" customHeight="false" outlineLevel="0" collapsed="false">
      <c r="A116" s="1" t="s">
        <v>133</v>
      </c>
      <c r="B116" s="1" t="n">
        <v>758</v>
      </c>
      <c r="C116" s="1" t="n">
        <v>0</v>
      </c>
      <c r="D116" s="1" t="n">
        <v>344151</v>
      </c>
      <c r="E116" s="1" t="n">
        <v>0</v>
      </c>
      <c r="F116" s="1" t="n">
        <v>218</v>
      </c>
      <c r="G116" s="1" t="n">
        <v>0</v>
      </c>
      <c r="H116" s="1" t="n">
        <v>1</v>
      </c>
      <c r="I116" s="1" t="n">
        <v>2.869</v>
      </c>
      <c r="J116" s="1" t="n">
        <v>2.95</v>
      </c>
      <c r="K116" s="1" t="n">
        <v>0</v>
      </c>
      <c r="L116" s="1" t="s">
        <v>19</v>
      </c>
      <c r="M116" s="1" t="n">
        <v>601202</v>
      </c>
      <c r="N116" s="1" t="n">
        <v>0.03</v>
      </c>
      <c r="O116" s="1" t="s">
        <v>20</v>
      </c>
      <c r="P116" s="1" t="n">
        <v>2.95</v>
      </c>
      <c r="Q116" s="1" t="n">
        <v>0</v>
      </c>
      <c r="R116" s="1" t="n">
        <v>224348</v>
      </c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</row>
    <row r="117" customFormat="false" ht="15" hidden="false" customHeight="false" outlineLevel="0" collapsed="false">
      <c r="A117" s="1" t="s">
        <v>134</v>
      </c>
      <c r="B117" s="1" t="n">
        <v>1172</v>
      </c>
      <c r="C117" s="1" t="n">
        <v>0</v>
      </c>
      <c r="D117" s="1" t="n">
        <v>614489</v>
      </c>
      <c r="E117" s="1" t="n">
        <v>0</v>
      </c>
      <c r="F117" s="1" t="n">
        <v>331</v>
      </c>
      <c r="G117" s="1" t="n">
        <v>0</v>
      </c>
      <c r="H117" s="1" t="n">
        <v>1</v>
      </c>
      <c r="I117" s="1" t="n">
        <v>4.312</v>
      </c>
      <c r="J117" s="1" t="n">
        <v>4.43</v>
      </c>
      <c r="K117" s="1" t="n">
        <v>0</v>
      </c>
      <c r="L117" s="1" t="s">
        <v>19</v>
      </c>
      <c r="M117" s="1" t="n">
        <v>922528</v>
      </c>
      <c r="N117" s="1" t="n">
        <v>0.05</v>
      </c>
      <c r="O117" s="1" t="s">
        <v>20</v>
      </c>
      <c r="P117" s="1" t="n">
        <v>4.43</v>
      </c>
      <c r="Q117" s="1" t="n">
        <v>0</v>
      </c>
      <c r="R117" s="1" t="n">
        <v>345786</v>
      </c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</row>
    <row r="118" customFormat="false" ht="15" hidden="false" customHeight="false" outlineLevel="0" collapsed="false">
      <c r="A118" s="1" t="s">
        <v>135</v>
      </c>
      <c r="B118" s="1" t="n">
        <v>1770</v>
      </c>
      <c r="C118" s="1" t="n">
        <v>55</v>
      </c>
      <c r="D118" s="1" t="n">
        <v>755354</v>
      </c>
      <c r="E118" s="1" t="n">
        <v>0</v>
      </c>
      <c r="F118" s="1" t="n">
        <v>376</v>
      </c>
      <c r="G118" s="1" t="n">
        <v>0</v>
      </c>
      <c r="H118" s="1" t="n">
        <v>1</v>
      </c>
      <c r="I118" s="1" t="n">
        <v>5.039</v>
      </c>
      <c r="J118" s="1" t="n">
        <v>5.17</v>
      </c>
      <c r="K118" s="1" t="n">
        <v>0</v>
      </c>
      <c r="L118" s="1" t="s">
        <v>19</v>
      </c>
      <c r="M118" s="1" t="n">
        <v>1097032</v>
      </c>
      <c r="N118" s="1" t="n">
        <v>0.08</v>
      </c>
      <c r="O118" s="1" t="s">
        <v>20</v>
      </c>
      <c r="P118" s="1" t="n">
        <v>5.17</v>
      </c>
      <c r="Q118" s="1" t="n">
        <v>0</v>
      </c>
      <c r="R118" s="1" t="n">
        <v>389155</v>
      </c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</row>
    <row r="119" customFormat="false" ht="15" hidden="false" customHeight="false" outlineLevel="0" collapsed="false">
      <c r="A119" s="1" t="s">
        <v>136</v>
      </c>
      <c r="B119" s="1" t="n">
        <v>26027</v>
      </c>
      <c r="C119" s="1" t="n">
        <v>514</v>
      </c>
      <c r="D119" s="1" t="n">
        <v>949484</v>
      </c>
      <c r="E119" s="1" t="n">
        <v>0</v>
      </c>
      <c r="F119" s="1" t="n">
        <v>476</v>
      </c>
      <c r="G119" s="1" t="n">
        <v>0</v>
      </c>
      <c r="H119" s="1" t="n">
        <v>1</v>
      </c>
      <c r="I119" s="1" t="n">
        <v>7.451</v>
      </c>
      <c r="J119" s="1" t="n">
        <v>7.64</v>
      </c>
      <c r="K119" s="1" t="n">
        <v>5</v>
      </c>
      <c r="L119" s="1" t="s">
        <v>19</v>
      </c>
      <c r="M119" s="1" t="n">
        <v>1436457</v>
      </c>
      <c r="N119" s="1" t="n">
        <v>1.12</v>
      </c>
      <c r="O119" s="1" t="s">
        <v>20</v>
      </c>
      <c r="P119" s="1" t="n">
        <v>7.64</v>
      </c>
      <c r="Q119" s="1" t="n">
        <v>0</v>
      </c>
      <c r="R119" s="1" t="n">
        <v>493043</v>
      </c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</row>
    <row r="120" customFormat="false" ht="15" hidden="false" customHeight="false" outlineLevel="0" collapsed="false">
      <c r="A120" s="1" t="s">
        <v>137</v>
      </c>
      <c r="B120" s="1" t="n">
        <v>1069</v>
      </c>
      <c r="C120" s="1" t="n">
        <v>3</v>
      </c>
      <c r="D120" s="1" t="n">
        <v>520340</v>
      </c>
      <c r="E120" s="1" t="n">
        <v>0</v>
      </c>
      <c r="F120" s="1" t="n">
        <v>336</v>
      </c>
      <c r="G120" s="1" t="n">
        <v>0</v>
      </c>
      <c r="H120" s="1" t="n">
        <v>1</v>
      </c>
      <c r="I120" s="1" t="n">
        <v>4.263</v>
      </c>
      <c r="J120" s="1" t="n">
        <v>4.38</v>
      </c>
      <c r="K120" s="1" t="n">
        <v>0</v>
      </c>
      <c r="L120" s="1" t="s">
        <v>19</v>
      </c>
      <c r="M120" s="1" t="n">
        <v>981559</v>
      </c>
      <c r="N120" s="1" t="n">
        <v>0.04</v>
      </c>
      <c r="O120" s="1" t="s">
        <v>20</v>
      </c>
      <c r="P120" s="1" t="n">
        <v>4.38</v>
      </c>
      <c r="Q120" s="1" t="n">
        <v>0</v>
      </c>
      <c r="R120" s="1" t="n">
        <v>349876</v>
      </c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</row>
    <row r="121" customFormat="false" ht="15" hidden="false" customHeight="false" outlineLevel="0" collapsed="false">
      <c r="A121" s="1" t="s">
        <v>138</v>
      </c>
      <c r="B121" s="1" t="n">
        <v>1483</v>
      </c>
      <c r="C121" s="1" t="n">
        <v>2</v>
      </c>
      <c r="D121" s="1" t="n">
        <v>630111</v>
      </c>
      <c r="E121" s="1" t="n">
        <v>0</v>
      </c>
      <c r="F121" s="1" t="n">
        <v>371</v>
      </c>
      <c r="G121" s="1" t="n">
        <v>0</v>
      </c>
      <c r="H121" s="1" t="n">
        <v>1</v>
      </c>
      <c r="I121" s="1" t="n">
        <v>4.994</v>
      </c>
      <c r="J121" s="1" t="n">
        <v>5.13</v>
      </c>
      <c r="K121" s="1" t="n">
        <v>0</v>
      </c>
      <c r="L121" s="1" t="s">
        <v>19</v>
      </c>
      <c r="M121" s="1" t="n">
        <v>1093363</v>
      </c>
      <c r="N121" s="1" t="n">
        <v>0.05</v>
      </c>
      <c r="O121" s="1" t="s">
        <v>20</v>
      </c>
      <c r="P121" s="1" t="n">
        <v>5.13</v>
      </c>
      <c r="Q121" s="1" t="n">
        <v>0</v>
      </c>
      <c r="R121" s="1" t="n">
        <v>387197</v>
      </c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</row>
    <row r="122" customFormat="false" ht="15" hidden="false" customHeight="false" outlineLevel="0" collapsed="false">
      <c r="A122" s="1" t="s">
        <v>139</v>
      </c>
      <c r="B122" s="1" t="n">
        <v>22503</v>
      </c>
      <c r="C122" s="1" t="n">
        <v>280</v>
      </c>
      <c r="D122" s="1" t="n">
        <v>762463</v>
      </c>
      <c r="E122" s="1" t="n">
        <v>0</v>
      </c>
      <c r="F122" s="1" t="n">
        <v>411</v>
      </c>
      <c r="G122" s="1" t="n">
        <v>0</v>
      </c>
      <c r="H122" s="1" t="n">
        <v>1</v>
      </c>
      <c r="I122" s="1" t="n">
        <v>6.682</v>
      </c>
      <c r="J122" s="1" t="n">
        <v>6.84</v>
      </c>
      <c r="K122" s="1" t="n">
        <v>2</v>
      </c>
      <c r="L122" s="1" t="s">
        <v>19</v>
      </c>
      <c r="M122" s="1" t="n">
        <v>1238015</v>
      </c>
      <c r="N122" s="1" t="n">
        <v>1.11</v>
      </c>
      <c r="O122" s="1" t="s">
        <v>20</v>
      </c>
      <c r="P122" s="1" t="n">
        <v>6.84</v>
      </c>
      <c r="Q122" s="1" t="n">
        <v>0</v>
      </c>
      <c r="R122" s="1" t="n">
        <v>426002</v>
      </c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</row>
    <row r="123" customFormat="false" ht="15" hidden="false" customHeight="false" outlineLevel="0" collapsed="false">
      <c r="A123" s="1" t="s">
        <v>140</v>
      </c>
      <c r="B123" s="1" t="n">
        <v>1289</v>
      </c>
      <c r="C123" s="1" t="n">
        <v>1</v>
      </c>
      <c r="D123" s="1" t="n">
        <v>705225</v>
      </c>
      <c r="E123" s="1" t="n">
        <v>0</v>
      </c>
      <c r="F123" s="1" t="n">
        <v>397</v>
      </c>
      <c r="G123" s="1" t="n">
        <v>0</v>
      </c>
      <c r="H123" s="1" t="n">
        <v>1</v>
      </c>
      <c r="I123" s="1" t="n">
        <v>5.313</v>
      </c>
      <c r="J123" s="1" t="n">
        <v>5.46</v>
      </c>
      <c r="K123" s="1" t="n">
        <v>0</v>
      </c>
      <c r="L123" s="1" t="s">
        <v>19</v>
      </c>
      <c r="M123" s="1" t="n">
        <v>1158928</v>
      </c>
      <c r="N123" s="1" t="n">
        <v>0.05</v>
      </c>
      <c r="O123" s="1" t="s">
        <v>20</v>
      </c>
      <c r="P123" s="1" t="n">
        <v>5.46</v>
      </c>
      <c r="Q123" s="1" t="n">
        <v>0</v>
      </c>
      <c r="R123" s="1" t="n">
        <v>409253</v>
      </c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</row>
    <row r="124" customFormat="false" ht="15" hidden="false" customHeight="false" outlineLevel="0" collapsed="false">
      <c r="A124" s="1" t="s">
        <v>141</v>
      </c>
      <c r="B124" s="1" t="n">
        <v>1162</v>
      </c>
      <c r="C124" s="1" t="n">
        <v>2</v>
      </c>
      <c r="D124" s="1" t="n">
        <v>465732</v>
      </c>
      <c r="E124" s="1" t="n">
        <v>0</v>
      </c>
      <c r="F124" s="1" t="n">
        <v>328</v>
      </c>
      <c r="G124" s="1" t="n">
        <v>0</v>
      </c>
      <c r="H124" s="1" t="n">
        <v>1</v>
      </c>
      <c r="I124" s="1" t="n">
        <v>4.268</v>
      </c>
      <c r="J124" s="1" t="n">
        <v>4.39</v>
      </c>
      <c r="K124" s="1" t="n">
        <v>0</v>
      </c>
      <c r="L124" s="1" t="s">
        <v>19</v>
      </c>
      <c r="M124" s="1" t="n">
        <v>957955</v>
      </c>
      <c r="N124" s="1" t="n">
        <v>0.04</v>
      </c>
      <c r="O124" s="1" t="s">
        <v>20</v>
      </c>
      <c r="P124" s="1" t="n">
        <v>4.39</v>
      </c>
      <c r="Q124" s="1" t="n">
        <v>0</v>
      </c>
      <c r="R124" s="1" t="n">
        <v>341104</v>
      </c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</row>
    <row r="125" customFormat="false" ht="15" hidden="false" customHeight="false" outlineLevel="0" collapsed="false">
      <c r="A125" s="1" t="s">
        <v>142</v>
      </c>
      <c r="B125" s="1" t="n">
        <v>3234</v>
      </c>
      <c r="C125" s="1" t="n">
        <v>4</v>
      </c>
      <c r="D125" s="1" t="n">
        <v>1042869</v>
      </c>
      <c r="E125" s="1" t="n">
        <v>0</v>
      </c>
      <c r="F125" s="1" t="n">
        <v>509</v>
      </c>
      <c r="G125" s="1" t="n">
        <v>0</v>
      </c>
      <c r="H125" s="1" t="n">
        <v>1</v>
      </c>
      <c r="I125" s="1" t="n">
        <v>7.206</v>
      </c>
      <c r="J125" s="1" t="n">
        <v>7.4</v>
      </c>
      <c r="K125" s="1" t="n">
        <v>0</v>
      </c>
      <c r="L125" s="1" t="s">
        <v>19</v>
      </c>
      <c r="M125" s="1" t="n">
        <v>1644483</v>
      </c>
      <c r="N125" s="1" t="n">
        <v>0.09</v>
      </c>
      <c r="O125" s="1" t="s">
        <v>20</v>
      </c>
      <c r="P125" s="1" t="n">
        <v>7.4</v>
      </c>
      <c r="Q125" s="1" t="n">
        <v>0</v>
      </c>
      <c r="R125" s="1" t="n">
        <v>534476</v>
      </c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</row>
    <row r="126" customFormat="false" ht="15" hidden="false" customHeight="false" outlineLevel="0" collapsed="false">
      <c r="A126" s="1" t="s">
        <v>143</v>
      </c>
      <c r="B126" s="1" t="n">
        <v>2223</v>
      </c>
      <c r="C126" s="1" t="n">
        <v>3</v>
      </c>
      <c r="D126" s="1" t="n">
        <v>918626</v>
      </c>
      <c r="E126" s="1" t="n">
        <v>0</v>
      </c>
      <c r="F126" s="1" t="n">
        <v>500</v>
      </c>
      <c r="G126" s="1" t="n">
        <v>0</v>
      </c>
      <c r="H126" s="1" t="n">
        <v>1</v>
      </c>
      <c r="I126" s="1" t="n">
        <v>7.029</v>
      </c>
      <c r="J126" s="1" t="n">
        <v>7.21</v>
      </c>
      <c r="K126" s="1" t="n">
        <v>0</v>
      </c>
      <c r="L126" s="1" t="s">
        <v>19</v>
      </c>
      <c r="M126" s="1" t="n">
        <v>1588878</v>
      </c>
      <c r="N126" s="1" t="n">
        <v>0.08</v>
      </c>
      <c r="O126" s="1" t="s">
        <v>20</v>
      </c>
      <c r="P126" s="1" t="n">
        <v>7.21</v>
      </c>
      <c r="Q126" s="1" t="n">
        <v>0</v>
      </c>
      <c r="R126" s="1" t="n">
        <v>522526</v>
      </c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</row>
    <row r="127" customFormat="false" ht="15" hidden="false" customHeight="false" outlineLevel="0" collapsed="false">
      <c r="A127" s="1" t="s">
        <v>144</v>
      </c>
      <c r="B127" s="1" t="n">
        <v>1900</v>
      </c>
      <c r="C127" s="1" t="n">
        <v>3</v>
      </c>
      <c r="D127" s="1" t="n">
        <v>787908</v>
      </c>
      <c r="E127" s="1" t="n">
        <v>0</v>
      </c>
      <c r="F127" s="1" t="n">
        <v>460</v>
      </c>
      <c r="G127" s="1" t="n">
        <v>0</v>
      </c>
      <c r="H127" s="1" t="n">
        <v>1</v>
      </c>
      <c r="I127" s="1" t="n">
        <v>6.313</v>
      </c>
      <c r="J127" s="1" t="n">
        <v>6.48</v>
      </c>
      <c r="K127" s="1" t="n">
        <v>0</v>
      </c>
      <c r="L127" s="1" t="s">
        <v>19</v>
      </c>
      <c r="M127" s="1" t="n">
        <v>1448596</v>
      </c>
      <c r="N127" s="1" t="n">
        <v>0.06</v>
      </c>
      <c r="O127" s="1" t="s">
        <v>20</v>
      </c>
      <c r="P127" s="1" t="n">
        <v>6.48</v>
      </c>
      <c r="Q127" s="1" t="n">
        <v>0</v>
      </c>
      <c r="R127" s="1" t="n">
        <v>474175</v>
      </c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</row>
    <row r="128" customFormat="false" ht="15" hidden="false" customHeight="false" outlineLevel="0" collapsed="false">
      <c r="A128" s="1" t="s">
        <v>145</v>
      </c>
      <c r="B128" s="1" t="n">
        <v>23824</v>
      </c>
      <c r="C128" s="1" t="n">
        <v>156</v>
      </c>
      <c r="D128" s="1" t="n">
        <v>1114338</v>
      </c>
      <c r="E128" s="1" t="n">
        <v>0</v>
      </c>
      <c r="F128" s="1" t="n">
        <v>530</v>
      </c>
      <c r="G128" s="1" t="n">
        <v>0</v>
      </c>
      <c r="H128" s="1" t="n">
        <v>1</v>
      </c>
      <c r="I128" s="1" t="n">
        <v>7.934</v>
      </c>
      <c r="J128" s="1" t="n">
        <v>8.14</v>
      </c>
      <c r="K128" s="1" t="n">
        <v>2</v>
      </c>
      <c r="L128" s="1" t="s">
        <v>19</v>
      </c>
      <c r="M128" s="1" t="n">
        <v>1717155</v>
      </c>
      <c r="N128" s="1" t="n">
        <v>0.69</v>
      </c>
      <c r="O128" s="1" t="s">
        <v>20</v>
      </c>
      <c r="P128" s="1" t="n">
        <v>8.14</v>
      </c>
      <c r="Q128" s="1" t="n">
        <v>0</v>
      </c>
      <c r="R128" s="1" t="n">
        <v>559996</v>
      </c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</row>
    <row r="129" customFormat="false" ht="15" hidden="false" customHeight="false" outlineLevel="0" collapsed="false">
      <c r="A129" s="1" t="s">
        <v>146</v>
      </c>
      <c r="B129" s="1" t="n">
        <v>2866</v>
      </c>
      <c r="C129" s="1" t="n">
        <v>5</v>
      </c>
      <c r="D129" s="1" t="n">
        <v>1190204</v>
      </c>
      <c r="E129" s="1" t="n">
        <v>0</v>
      </c>
      <c r="F129" s="1" t="n">
        <v>579</v>
      </c>
      <c r="G129" s="1" t="n">
        <v>0</v>
      </c>
      <c r="H129" s="1" t="n">
        <v>1</v>
      </c>
      <c r="I129" s="1" t="n">
        <v>8.298</v>
      </c>
      <c r="J129" s="1" t="n">
        <v>8.55</v>
      </c>
      <c r="K129" s="1" t="n">
        <v>0</v>
      </c>
      <c r="L129" s="1" t="s">
        <v>19</v>
      </c>
      <c r="M129" s="1" t="n">
        <v>1939544</v>
      </c>
      <c r="N129" s="1" t="n">
        <v>0.11</v>
      </c>
      <c r="O129" s="1" t="s">
        <v>20</v>
      </c>
      <c r="P129" s="1" t="n">
        <v>8.55</v>
      </c>
      <c r="Q129" s="1" t="n">
        <v>0</v>
      </c>
      <c r="R129" s="1" t="n">
        <v>617153</v>
      </c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</row>
    <row r="130" customFormat="false" ht="15" hidden="false" customHeight="false" outlineLevel="0" collapsed="false">
      <c r="A130" s="1" t="s">
        <v>147</v>
      </c>
      <c r="B130" s="1" t="n">
        <v>5039</v>
      </c>
      <c r="C130" s="1" t="n">
        <v>6</v>
      </c>
      <c r="D130" s="1" t="n">
        <v>1049283</v>
      </c>
      <c r="E130" s="1" t="n">
        <v>0</v>
      </c>
      <c r="F130" s="1" t="n">
        <v>529</v>
      </c>
      <c r="G130" s="1" t="n">
        <v>0</v>
      </c>
      <c r="H130" s="1" t="n">
        <v>1</v>
      </c>
      <c r="I130" s="1" t="n">
        <v>7.539</v>
      </c>
      <c r="J130" s="1" t="n">
        <v>7.74</v>
      </c>
      <c r="K130" s="1" t="n">
        <v>0</v>
      </c>
      <c r="L130" s="1" t="s">
        <v>19</v>
      </c>
      <c r="M130" s="1" t="n">
        <v>1710832</v>
      </c>
      <c r="N130" s="1" t="n">
        <v>0.1</v>
      </c>
      <c r="O130" s="1" t="s">
        <v>20</v>
      </c>
      <c r="P130" s="1" t="n">
        <v>7.74</v>
      </c>
      <c r="Q130" s="1" t="n">
        <v>0</v>
      </c>
      <c r="R130" s="1" t="n">
        <v>557184</v>
      </c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</row>
    <row r="131" customFormat="false" ht="15" hidden="false" customHeight="false" outlineLevel="0" collapsed="false">
      <c r="A131" s="1" t="s">
        <v>148</v>
      </c>
      <c r="B131" s="1" t="n">
        <v>1948</v>
      </c>
      <c r="C131" s="1" t="n">
        <v>3</v>
      </c>
      <c r="D131" s="1" t="n">
        <v>660662</v>
      </c>
      <c r="E131" s="1" t="n">
        <v>0</v>
      </c>
      <c r="F131" s="1" t="n">
        <v>431</v>
      </c>
      <c r="G131" s="1" t="n">
        <v>0</v>
      </c>
      <c r="H131" s="1" t="n">
        <v>1</v>
      </c>
      <c r="I131" s="1" t="n">
        <v>5.997</v>
      </c>
      <c r="J131" s="1" t="n">
        <v>6.16</v>
      </c>
      <c r="K131" s="1" t="n">
        <v>0</v>
      </c>
      <c r="L131" s="1" t="s">
        <v>19</v>
      </c>
      <c r="M131" s="1" t="n">
        <v>1344579</v>
      </c>
      <c r="N131" s="1" t="n">
        <v>0.06</v>
      </c>
      <c r="O131" s="1" t="s">
        <v>20</v>
      </c>
      <c r="P131" s="1" t="n">
        <v>6.16</v>
      </c>
      <c r="Q131" s="1" t="n">
        <v>0</v>
      </c>
      <c r="R131" s="1" t="n">
        <v>441005</v>
      </c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</row>
    <row r="132" customFormat="false" ht="15" hidden="false" customHeight="false" outlineLevel="0" collapsed="false">
      <c r="A132" s="1" t="s">
        <v>149</v>
      </c>
      <c r="B132" s="1" t="n">
        <v>4004</v>
      </c>
      <c r="C132" s="1" t="n">
        <v>6</v>
      </c>
      <c r="D132" s="1" t="n">
        <v>1149734</v>
      </c>
      <c r="E132" s="1" t="n">
        <v>0</v>
      </c>
      <c r="F132" s="1" t="n">
        <v>588</v>
      </c>
      <c r="G132" s="1" t="n">
        <v>0</v>
      </c>
      <c r="H132" s="1" t="n">
        <v>1</v>
      </c>
      <c r="I132" s="1" t="n">
        <v>8.785</v>
      </c>
      <c r="J132" s="1" t="n">
        <v>9.01</v>
      </c>
      <c r="K132" s="1" t="n">
        <v>0</v>
      </c>
      <c r="L132" s="1" t="s">
        <v>19</v>
      </c>
      <c r="M132" s="1" t="n">
        <v>2051665</v>
      </c>
      <c r="N132" s="1" t="n">
        <v>0.11</v>
      </c>
      <c r="O132" s="1" t="s">
        <v>20</v>
      </c>
      <c r="P132" s="1" t="n">
        <v>9.01</v>
      </c>
      <c r="Q132" s="1" t="n">
        <v>0</v>
      </c>
      <c r="R132" s="1" t="n">
        <v>623621</v>
      </c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</row>
    <row r="133" customFormat="false" ht="15" hidden="false" customHeight="false" outlineLevel="0" collapsed="false">
      <c r="A133" s="1" t="s">
        <v>150</v>
      </c>
      <c r="B133" s="1" t="n">
        <v>3595</v>
      </c>
      <c r="C133" s="1" t="n">
        <v>21</v>
      </c>
      <c r="D133" s="1" t="n">
        <v>1357346</v>
      </c>
      <c r="E133" s="1" t="n">
        <v>0</v>
      </c>
      <c r="F133" s="1" t="n">
        <v>685</v>
      </c>
      <c r="G133" s="1" t="n">
        <v>0</v>
      </c>
      <c r="H133" s="1" t="n">
        <v>1</v>
      </c>
      <c r="I133" s="1" t="n">
        <v>10.297</v>
      </c>
      <c r="J133" s="1" t="n">
        <v>10.55</v>
      </c>
      <c r="K133" s="1" t="n">
        <v>0</v>
      </c>
      <c r="L133" s="1" t="s">
        <v>19</v>
      </c>
      <c r="M133" s="1" t="n">
        <v>2356776</v>
      </c>
      <c r="N133" s="1" t="n">
        <v>0.13</v>
      </c>
      <c r="O133" s="1" t="s">
        <v>20</v>
      </c>
      <c r="P133" s="1" t="n">
        <v>10.55</v>
      </c>
      <c r="Q133" s="1" t="n">
        <v>0</v>
      </c>
      <c r="R133" s="1" t="n">
        <v>708312</v>
      </c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</row>
    <row r="134" customFormat="false" ht="15" hidden="false" customHeight="false" outlineLevel="0" collapsed="false">
      <c r="A134" s="1" t="s">
        <v>151</v>
      </c>
      <c r="B134" s="1" t="n">
        <v>3197</v>
      </c>
      <c r="C134" s="1" t="n">
        <v>5</v>
      </c>
      <c r="D134" s="1" t="n">
        <v>1214442</v>
      </c>
      <c r="E134" s="1" t="n">
        <v>0</v>
      </c>
      <c r="F134" s="1" t="n">
        <v>605</v>
      </c>
      <c r="G134" s="1" t="n">
        <v>0</v>
      </c>
      <c r="H134" s="1" t="n">
        <v>1</v>
      </c>
      <c r="I134" s="1" t="n">
        <v>8.868</v>
      </c>
      <c r="J134" s="1" t="n">
        <v>9.1</v>
      </c>
      <c r="K134" s="1" t="n">
        <v>0</v>
      </c>
      <c r="L134" s="1" t="s">
        <v>19</v>
      </c>
      <c r="M134" s="1" t="n">
        <v>2126887</v>
      </c>
      <c r="N134" s="1" t="n">
        <v>0.1</v>
      </c>
      <c r="O134" s="1" t="s">
        <v>20</v>
      </c>
      <c r="P134" s="1" t="n">
        <v>9.1</v>
      </c>
      <c r="Q134" s="1" t="n">
        <v>0</v>
      </c>
      <c r="R134" s="1" t="n">
        <v>648087</v>
      </c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</row>
    <row r="135" customFormat="false" ht="15" hidden="false" customHeight="false" outlineLevel="0" collapsed="false">
      <c r="A135" s="1" t="s">
        <v>152</v>
      </c>
      <c r="B135" s="1" t="n">
        <v>3086</v>
      </c>
      <c r="C135" s="1" t="n">
        <v>34</v>
      </c>
      <c r="D135" s="1" t="n">
        <v>1432923</v>
      </c>
      <c r="E135" s="1" t="n">
        <v>0</v>
      </c>
      <c r="F135" s="1" t="n">
        <v>683</v>
      </c>
      <c r="G135" s="1" t="n">
        <v>0</v>
      </c>
      <c r="H135" s="1" t="n">
        <v>1</v>
      </c>
      <c r="I135" s="1" t="n">
        <v>10.027</v>
      </c>
      <c r="J135" s="1" t="n">
        <v>10.27</v>
      </c>
      <c r="K135" s="1" t="n">
        <v>0</v>
      </c>
      <c r="L135" s="1" t="s">
        <v>19</v>
      </c>
      <c r="M135" s="1" t="n">
        <v>2350136</v>
      </c>
      <c r="N135" s="1" t="n">
        <v>0.11</v>
      </c>
      <c r="O135" s="1" t="s">
        <v>20</v>
      </c>
      <c r="P135" s="1" t="n">
        <v>10.27</v>
      </c>
      <c r="Q135" s="1" t="n">
        <v>0</v>
      </c>
      <c r="R135" s="1" t="n">
        <v>707358</v>
      </c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</row>
    <row r="136" customFormat="false" ht="15" hidden="false" customHeight="false" outlineLevel="0" collapsed="false">
      <c r="A136" s="1" t="s">
        <v>153</v>
      </c>
      <c r="B136" s="1" t="n">
        <v>2620</v>
      </c>
      <c r="C136" s="1" t="n">
        <v>7</v>
      </c>
      <c r="D136" s="1" t="n">
        <v>1013434</v>
      </c>
      <c r="E136" s="1" t="n">
        <v>0</v>
      </c>
      <c r="F136" s="1" t="n">
        <v>562</v>
      </c>
      <c r="G136" s="1" t="n">
        <v>0</v>
      </c>
      <c r="H136" s="1" t="n">
        <v>1</v>
      </c>
      <c r="I136" s="1" t="n">
        <v>8.418</v>
      </c>
      <c r="J136" s="1" t="n">
        <v>8.64</v>
      </c>
      <c r="K136" s="1" t="n">
        <v>0</v>
      </c>
      <c r="L136" s="1" t="s">
        <v>19</v>
      </c>
      <c r="M136" s="1" t="n">
        <v>1946036</v>
      </c>
      <c r="N136" s="1" t="n">
        <v>0.09</v>
      </c>
      <c r="O136" s="1" t="s">
        <v>20</v>
      </c>
      <c r="P136" s="1" t="n">
        <v>8.64</v>
      </c>
      <c r="Q136" s="1" t="n">
        <v>0</v>
      </c>
      <c r="R136" s="1" t="n">
        <v>591965</v>
      </c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</row>
    <row r="137" customFormat="false" ht="15" hidden="false" customHeight="false" outlineLevel="0" collapsed="false">
      <c r="A137" s="1" t="s">
        <v>154</v>
      </c>
      <c r="B137" s="1" t="n">
        <v>2811</v>
      </c>
      <c r="C137" s="1" t="n">
        <v>8</v>
      </c>
      <c r="D137" s="1" t="n">
        <v>1446543</v>
      </c>
      <c r="E137" s="1" t="n">
        <v>0</v>
      </c>
      <c r="F137" s="1" t="n">
        <v>746</v>
      </c>
      <c r="G137" s="1" t="n">
        <v>0</v>
      </c>
      <c r="H137" s="1" t="n">
        <v>1</v>
      </c>
      <c r="I137" s="1" t="n">
        <v>11.097</v>
      </c>
      <c r="J137" s="1" t="n">
        <v>11.37</v>
      </c>
      <c r="K137" s="1" t="n">
        <v>0</v>
      </c>
      <c r="L137" s="1" t="s">
        <v>19</v>
      </c>
      <c r="M137" s="1" t="n">
        <v>2530191</v>
      </c>
      <c r="N137" s="1" t="n">
        <v>0.12</v>
      </c>
      <c r="O137" s="1" t="s">
        <v>20</v>
      </c>
      <c r="P137" s="1" t="n">
        <v>11.37</v>
      </c>
      <c r="Q137" s="1" t="n">
        <v>0</v>
      </c>
      <c r="R137" s="1" t="n">
        <v>757073</v>
      </c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</row>
    <row r="138" customFormat="false" ht="15" hidden="false" customHeight="false" outlineLevel="0" collapsed="false">
      <c r="A138" s="1" t="s">
        <v>155</v>
      </c>
      <c r="B138" s="1" t="n">
        <v>33127</v>
      </c>
      <c r="C138" s="1" t="n">
        <v>208</v>
      </c>
      <c r="D138" s="1" t="n">
        <v>1436331</v>
      </c>
      <c r="E138" s="1" t="n">
        <v>0</v>
      </c>
      <c r="F138" s="1" t="n">
        <v>712</v>
      </c>
      <c r="G138" s="1" t="n">
        <v>0</v>
      </c>
      <c r="H138" s="1" t="n">
        <v>1</v>
      </c>
      <c r="I138" s="1" t="n">
        <v>11.117</v>
      </c>
      <c r="J138" s="1" t="n">
        <v>11.37</v>
      </c>
      <c r="K138" s="1" t="n">
        <v>2</v>
      </c>
      <c r="L138" s="1" t="s">
        <v>19</v>
      </c>
      <c r="M138" s="1" t="n">
        <v>2439351</v>
      </c>
      <c r="N138" s="1" t="n">
        <v>0.78</v>
      </c>
      <c r="O138" s="1" t="s">
        <v>20</v>
      </c>
      <c r="P138" s="1" t="n">
        <v>11.37</v>
      </c>
      <c r="Q138" s="1" t="n">
        <v>0</v>
      </c>
      <c r="R138" s="1" t="n">
        <v>734441</v>
      </c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</row>
    <row r="139" customFormat="false" ht="15" hidden="false" customHeight="false" outlineLevel="0" collapsed="false">
      <c r="A139" s="1" t="s">
        <v>156</v>
      </c>
      <c r="B139" s="1" t="n">
        <v>5131</v>
      </c>
      <c r="C139" s="1" t="n">
        <v>22</v>
      </c>
      <c r="D139" s="1" t="n">
        <v>1545850</v>
      </c>
      <c r="E139" s="1" t="n">
        <v>0</v>
      </c>
      <c r="F139" s="1" t="n">
        <v>780</v>
      </c>
      <c r="G139" s="1" t="n">
        <v>0</v>
      </c>
      <c r="H139" s="1" t="n">
        <v>1</v>
      </c>
      <c r="I139" s="1" t="n">
        <v>12.231</v>
      </c>
      <c r="J139" s="1" t="n">
        <v>12.53</v>
      </c>
      <c r="K139" s="1" t="n">
        <v>0</v>
      </c>
      <c r="L139" s="1" t="s">
        <v>19</v>
      </c>
      <c r="M139" s="1" t="n">
        <v>2817167</v>
      </c>
      <c r="N139" s="1" t="n">
        <v>0.16</v>
      </c>
      <c r="O139" s="1" t="s">
        <v>20</v>
      </c>
      <c r="P139" s="1" t="n">
        <v>12.53</v>
      </c>
      <c r="Q139" s="1" t="n">
        <v>0</v>
      </c>
      <c r="R139" s="1" t="n">
        <v>797382</v>
      </c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</row>
    <row r="140" customFormat="false" ht="15" hidden="false" customHeight="false" outlineLevel="0" collapsed="false">
      <c r="A140" s="1" t="s">
        <v>157</v>
      </c>
      <c r="B140" s="1" t="n">
        <v>7457</v>
      </c>
      <c r="C140" s="1" t="n">
        <v>9</v>
      </c>
      <c r="D140" s="1" t="n">
        <v>1855351</v>
      </c>
      <c r="E140" s="1" t="n">
        <v>0</v>
      </c>
      <c r="F140" s="1" t="n">
        <v>860</v>
      </c>
      <c r="G140" s="1" t="n">
        <v>0</v>
      </c>
      <c r="H140" s="1" t="n">
        <v>1</v>
      </c>
      <c r="I140" s="1" t="n">
        <v>13.594</v>
      </c>
      <c r="J140" s="1" t="n">
        <v>13.93</v>
      </c>
      <c r="K140" s="1" t="n">
        <v>0</v>
      </c>
      <c r="L140" s="1" t="s">
        <v>19</v>
      </c>
      <c r="M140" s="1" t="n">
        <v>3159990</v>
      </c>
      <c r="N140" s="1" t="n">
        <v>0.19</v>
      </c>
      <c r="O140" s="1" t="s">
        <v>20</v>
      </c>
      <c r="P140" s="1" t="n">
        <v>13.93</v>
      </c>
      <c r="Q140" s="1" t="n">
        <v>0</v>
      </c>
      <c r="R140" s="1" t="n">
        <v>881549</v>
      </c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</row>
    <row r="141" customFormat="false" ht="15" hidden="false" customHeight="false" outlineLevel="0" collapsed="false">
      <c r="A141" s="1" t="s">
        <v>158</v>
      </c>
      <c r="B141" s="1" t="n">
        <v>3858</v>
      </c>
      <c r="C141" s="1" t="n">
        <v>39</v>
      </c>
      <c r="D141" s="1" t="n">
        <v>1549850</v>
      </c>
      <c r="E141" s="1" t="n">
        <v>0</v>
      </c>
      <c r="F141" s="1" t="n">
        <v>780</v>
      </c>
      <c r="G141" s="1" t="n">
        <v>0</v>
      </c>
      <c r="H141" s="1" t="n">
        <v>1</v>
      </c>
      <c r="I141" s="1" t="n">
        <v>12.041</v>
      </c>
      <c r="J141" s="1" t="n">
        <v>12.33</v>
      </c>
      <c r="K141" s="1" t="n">
        <v>0</v>
      </c>
      <c r="L141" s="1" t="s">
        <v>19</v>
      </c>
      <c r="M141" s="1" t="n">
        <v>2810007</v>
      </c>
      <c r="N141" s="1" t="n">
        <v>0.14</v>
      </c>
      <c r="O141" s="1" t="s">
        <v>20</v>
      </c>
      <c r="P141" s="1" t="n">
        <v>12.33</v>
      </c>
      <c r="Q141" s="1" t="n">
        <v>0</v>
      </c>
      <c r="R141" s="1" t="n">
        <v>798153</v>
      </c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</row>
    <row r="142" customFormat="false" ht="15" hidden="false" customHeight="false" outlineLevel="0" collapsed="false">
      <c r="A142" s="1" t="s">
        <v>159</v>
      </c>
      <c r="B142" s="1" t="n">
        <v>4536</v>
      </c>
      <c r="C142" s="1" t="n">
        <v>7</v>
      </c>
      <c r="D142" s="1" t="n">
        <v>1634387</v>
      </c>
      <c r="E142" s="1" t="n">
        <v>0</v>
      </c>
      <c r="F142" s="1" t="n">
        <v>830</v>
      </c>
      <c r="G142" s="1" t="n">
        <v>0</v>
      </c>
      <c r="H142" s="1" t="n">
        <v>1</v>
      </c>
      <c r="I142" s="1" t="n">
        <v>12.955</v>
      </c>
      <c r="J142" s="1" t="n">
        <v>13.24</v>
      </c>
      <c r="K142" s="1" t="n">
        <v>0</v>
      </c>
      <c r="L142" s="1" t="s">
        <v>19</v>
      </c>
      <c r="M142" s="1" t="n">
        <v>2990179</v>
      </c>
      <c r="N142" s="1" t="n">
        <v>0.14</v>
      </c>
      <c r="O142" s="1" t="s">
        <v>20</v>
      </c>
      <c r="P142" s="1" t="n">
        <v>13.24</v>
      </c>
      <c r="Q142" s="1" t="n">
        <v>0</v>
      </c>
      <c r="R142" s="1" t="n">
        <v>846082</v>
      </c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</row>
    <row r="143" customFormat="false" ht="15" hidden="false" customHeight="false" outlineLevel="0" collapsed="false">
      <c r="A143" s="1" t="s">
        <v>160</v>
      </c>
      <c r="B143" s="1" t="n">
        <v>3379</v>
      </c>
      <c r="C143" s="1" t="n">
        <v>10</v>
      </c>
      <c r="D143" s="1" t="n">
        <v>1780851</v>
      </c>
      <c r="E143" s="1" t="n">
        <v>0</v>
      </c>
      <c r="F143" s="1" t="n">
        <v>862</v>
      </c>
      <c r="G143" s="1" t="n">
        <v>0</v>
      </c>
      <c r="H143" s="1" t="n">
        <v>1</v>
      </c>
      <c r="I143" s="1" t="n">
        <v>13.107</v>
      </c>
      <c r="J143" s="1" t="n">
        <v>13.4</v>
      </c>
      <c r="K143" s="1" t="n">
        <v>0</v>
      </c>
      <c r="L143" s="1" t="s">
        <v>19</v>
      </c>
      <c r="M143" s="1" t="n">
        <v>3163996</v>
      </c>
      <c r="N143" s="1" t="n">
        <v>0.14</v>
      </c>
      <c r="O143" s="1" t="s">
        <v>20</v>
      </c>
      <c r="P143" s="1" t="n">
        <v>13.4</v>
      </c>
      <c r="Q143" s="1" t="n">
        <v>0</v>
      </c>
      <c r="R143" s="1" t="n">
        <v>883963</v>
      </c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</row>
    <row r="144" customFormat="false" ht="15" hidden="false" customHeight="false" outlineLevel="0" collapsed="false">
      <c r="A144" s="1" t="s">
        <v>161</v>
      </c>
      <c r="B144" s="1" t="n">
        <v>3514</v>
      </c>
      <c r="C144" s="1" t="n">
        <v>7</v>
      </c>
      <c r="D144" s="1" t="n">
        <v>1489933</v>
      </c>
      <c r="E144" s="1" t="n">
        <v>0</v>
      </c>
      <c r="F144" s="1" t="n">
        <v>780</v>
      </c>
      <c r="G144" s="1" t="n">
        <v>0</v>
      </c>
      <c r="H144" s="1" t="n">
        <v>1</v>
      </c>
      <c r="I144" s="1" t="n">
        <v>12.266</v>
      </c>
      <c r="J144" s="1" t="n">
        <v>12.53</v>
      </c>
      <c r="K144" s="1" t="n">
        <v>0</v>
      </c>
      <c r="L144" s="1" t="s">
        <v>19</v>
      </c>
      <c r="M144" s="1" t="n">
        <v>2812827</v>
      </c>
      <c r="N144" s="1" t="n">
        <v>0.13</v>
      </c>
      <c r="O144" s="1" t="s">
        <v>20</v>
      </c>
      <c r="P144" s="1" t="n">
        <v>12.53</v>
      </c>
      <c r="Q144" s="1" t="n">
        <v>0</v>
      </c>
      <c r="R144" s="1" t="n">
        <v>797205</v>
      </c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</row>
    <row r="145" customFormat="false" ht="15" hidden="false" customHeight="false" outlineLevel="0" collapsed="false">
      <c r="A145" s="1" t="s">
        <v>162</v>
      </c>
      <c r="B145" s="1" t="n">
        <v>239545</v>
      </c>
      <c r="C145" s="1" t="n">
        <v>758</v>
      </c>
      <c r="D145" s="1" t="n">
        <v>1624215</v>
      </c>
      <c r="E145" s="1" t="n">
        <v>0</v>
      </c>
      <c r="F145" s="1" t="n">
        <v>809</v>
      </c>
      <c r="G145" s="1" t="n">
        <v>0</v>
      </c>
      <c r="H145" s="1" t="n">
        <v>1</v>
      </c>
      <c r="I145" s="1" t="n">
        <v>19.466</v>
      </c>
      <c r="J145" s="1" t="n">
        <v>19.74</v>
      </c>
      <c r="K145" s="1" t="n">
        <v>6</v>
      </c>
      <c r="L145" s="1" t="s">
        <v>19</v>
      </c>
      <c r="M145" s="1" t="n">
        <v>2899099</v>
      </c>
      <c r="N145" s="1" t="n">
        <v>6.99</v>
      </c>
      <c r="O145" s="1" t="s">
        <v>20</v>
      </c>
      <c r="P145" s="1" t="n">
        <v>19.74</v>
      </c>
      <c r="Q145" s="1" t="n">
        <v>0</v>
      </c>
      <c r="R145" s="1" t="n">
        <v>823354</v>
      </c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</row>
    <row r="146" customFormat="false" ht="15" hidden="false" customHeight="false" outlineLevel="0" collapsed="false">
      <c r="A146" s="1" t="s">
        <v>163</v>
      </c>
      <c r="B146" s="1" t="n">
        <v>10112</v>
      </c>
      <c r="C146" s="1" t="n">
        <v>10</v>
      </c>
      <c r="D146" s="1" t="n">
        <v>1866906</v>
      </c>
      <c r="E146" s="1" t="n">
        <v>0</v>
      </c>
      <c r="F146" s="1" t="n">
        <v>938</v>
      </c>
      <c r="G146" s="1" t="n">
        <v>0</v>
      </c>
      <c r="H146" s="1" t="n">
        <v>1</v>
      </c>
      <c r="I146" s="1" t="n">
        <v>14.872</v>
      </c>
      <c r="J146" s="1" t="n">
        <v>15.24</v>
      </c>
      <c r="K146" s="1" t="n">
        <v>0</v>
      </c>
      <c r="L146" s="1" t="s">
        <v>19</v>
      </c>
      <c r="M146" s="1" t="n">
        <v>3504106</v>
      </c>
      <c r="N146" s="1" t="n">
        <v>0.16</v>
      </c>
      <c r="O146" s="1" t="s">
        <v>20</v>
      </c>
      <c r="P146" s="1" t="n">
        <v>15.24</v>
      </c>
      <c r="Q146" s="1" t="n">
        <v>0</v>
      </c>
      <c r="R146" s="1" t="n">
        <v>974317</v>
      </c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</row>
    <row r="147" customFormat="false" ht="15" hidden="false" customHeight="false" outlineLevel="0" collapsed="false">
      <c r="A147" s="1" t="s">
        <v>164</v>
      </c>
      <c r="B147" s="1" t="n">
        <v>1205</v>
      </c>
      <c r="C147" s="1" t="n">
        <v>0</v>
      </c>
      <c r="D147" s="1" t="n">
        <v>651124</v>
      </c>
      <c r="E147" s="1" t="n">
        <v>0</v>
      </c>
      <c r="F147" s="1" t="n">
        <v>385</v>
      </c>
      <c r="G147" s="1" t="n">
        <v>0</v>
      </c>
      <c r="H147" s="1" t="n">
        <v>1</v>
      </c>
      <c r="I147" s="1" t="n">
        <v>4.923</v>
      </c>
      <c r="J147" s="1" t="n">
        <v>5.07</v>
      </c>
      <c r="K147" s="1" t="n">
        <v>0</v>
      </c>
      <c r="L147" s="1" t="s">
        <v>19</v>
      </c>
      <c r="M147" s="1" t="n">
        <v>1065228</v>
      </c>
      <c r="N147" s="1" t="n">
        <v>0.05</v>
      </c>
      <c r="O147" s="1" t="s">
        <v>20</v>
      </c>
      <c r="P147" s="1" t="n">
        <v>5.07</v>
      </c>
      <c r="Q147" s="1" t="n">
        <v>0</v>
      </c>
      <c r="R147" s="1" t="n">
        <v>381018</v>
      </c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</row>
    <row r="148" customFormat="false" ht="15" hidden="false" customHeight="false" outlineLevel="0" collapsed="false">
      <c r="A148" s="1" t="s">
        <v>165</v>
      </c>
      <c r="B148" s="1" t="n">
        <v>755</v>
      </c>
      <c r="C148" s="1" t="n">
        <v>0</v>
      </c>
      <c r="D148" s="1" t="n">
        <v>310233</v>
      </c>
      <c r="E148" s="1" t="n">
        <v>0</v>
      </c>
      <c r="F148" s="1" t="n">
        <v>264</v>
      </c>
      <c r="G148" s="1" t="n">
        <v>0</v>
      </c>
      <c r="H148" s="1" t="n">
        <v>1</v>
      </c>
      <c r="I148" s="1" t="n">
        <v>3.087</v>
      </c>
      <c r="J148" s="1" t="n">
        <v>3.18</v>
      </c>
      <c r="K148" s="1" t="n">
        <v>0</v>
      </c>
      <c r="L148" s="1" t="s">
        <v>19</v>
      </c>
      <c r="M148" s="1" t="n">
        <v>701685</v>
      </c>
      <c r="N148" s="1" t="n">
        <v>0.02</v>
      </c>
      <c r="O148" s="1" t="s">
        <v>20</v>
      </c>
      <c r="P148" s="1" t="n">
        <v>3.18</v>
      </c>
      <c r="Q148" s="1" t="n">
        <v>0</v>
      </c>
      <c r="R148" s="1" t="n">
        <v>260455</v>
      </c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</row>
    <row r="149" customFormat="false" ht="15" hidden="false" customHeight="false" outlineLevel="0" collapsed="false">
      <c r="A149" s="1" t="s">
        <v>166</v>
      </c>
      <c r="B149" s="1" t="n">
        <v>1096</v>
      </c>
      <c r="C149" s="1" t="n">
        <v>0</v>
      </c>
      <c r="D149" s="1" t="n">
        <v>364975</v>
      </c>
      <c r="E149" s="1" t="n">
        <v>0</v>
      </c>
      <c r="F149" s="1" t="n">
        <v>288</v>
      </c>
      <c r="G149" s="1" t="n">
        <v>0</v>
      </c>
      <c r="H149" s="1" t="n">
        <v>1</v>
      </c>
      <c r="I149" s="1" t="n">
        <v>3.644</v>
      </c>
      <c r="J149" s="1" t="n">
        <v>3.75</v>
      </c>
      <c r="K149" s="1" t="n">
        <v>0</v>
      </c>
      <c r="L149" s="1" t="s">
        <v>19</v>
      </c>
      <c r="M149" s="1" t="n">
        <v>799324</v>
      </c>
      <c r="N149" s="1" t="n">
        <v>0.03</v>
      </c>
      <c r="O149" s="1" t="s">
        <v>20</v>
      </c>
      <c r="P149" s="1" t="n">
        <v>3.75</v>
      </c>
      <c r="Q149" s="1" t="n">
        <v>0</v>
      </c>
      <c r="R149" s="1" t="n">
        <v>287296</v>
      </c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</row>
    <row r="150" customFormat="false" ht="15" hidden="false" customHeight="false" outlineLevel="0" collapsed="false">
      <c r="A150" s="1" t="s">
        <v>167</v>
      </c>
      <c r="B150" s="1" t="n">
        <v>939</v>
      </c>
      <c r="C150" s="1" t="n">
        <v>1</v>
      </c>
      <c r="D150" s="1" t="n">
        <v>351164</v>
      </c>
      <c r="E150" s="1" t="n">
        <v>0</v>
      </c>
      <c r="F150" s="1" t="n">
        <v>281</v>
      </c>
      <c r="G150" s="1" t="n">
        <v>0</v>
      </c>
      <c r="H150" s="1" t="n">
        <v>1</v>
      </c>
      <c r="I150" s="1" t="n">
        <v>3.088</v>
      </c>
      <c r="J150" s="1" t="n">
        <v>3.19</v>
      </c>
      <c r="K150" s="1" t="n">
        <v>0</v>
      </c>
      <c r="L150" s="1" t="s">
        <v>19</v>
      </c>
      <c r="M150" s="1" t="n">
        <v>735073</v>
      </c>
      <c r="N150" s="1" t="n">
        <v>0.03</v>
      </c>
      <c r="O150" s="1" t="s">
        <v>20</v>
      </c>
      <c r="P150" s="1" t="n">
        <v>3.19</v>
      </c>
      <c r="Q150" s="1" t="n">
        <v>0</v>
      </c>
      <c r="R150" s="1" t="n">
        <v>274305</v>
      </c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</row>
    <row r="151" customFormat="false" ht="15" hidden="false" customHeight="false" outlineLevel="0" collapsed="false">
      <c r="A151" s="1" t="s">
        <v>168</v>
      </c>
      <c r="B151" s="1" t="n">
        <v>1211</v>
      </c>
      <c r="C151" s="1" t="n">
        <v>0</v>
      </c>
      <c r="D151" s="1" t="n">
        <v>556849</v>
      </c>
      <c r="E151" s="1" t="n">
        <v>0</v>
      </c>
      <c r="F151" s="1" t="n">
        <v>352</v>
      </c>
      <c r="G151" s="1" t="n">
        <v>0</v>
      </c>
      <c r="H151" s="1" t="n">
        <v>1</v>
      </c>
      <c r="I151" s="1" t="n">
        <v>3.97</v>
      </c>
      <c r="J151" s="1" t="n">
        <v>4.1</v>
      </c>
      <c r="K151" s="1" t="n">
        <v>0</v>
      </c>
      <c r="L151" s="1" t="s">
        <v>19</v>
      </c>
      <c r="M151" s="1" t="n">
        <v>961645</v>
      </c>
      <c r="N151" s="1" t="n">
        <v>0.04</v>
      </c>
      <c r="O151" s="1" t="s">
        <v>20</v>
      </c>
      <c r="P151" s="1" t="n">
        <v>4.1</v>
      </c>
      <c r="Q151" s="1" t="n">
        <v>0</v>
      </c>
      <c r="R151" s="1" t="n">
        <v>347628</v>
      </c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</row>
    <row r="152" customFormat="false" ht="15" hidden="false" customHeight="false" outlineLevel="0" collapsed="false">
      <c r="A152" s="1" t="s">
        <v>169</v>
      </c>
      <c r="B152" s="1" t="n">
        <v>1102</v>
      </c>
      <c r="C152" s="1" t="n">
        <v>0</v>
      </c>
      <c r="D152" s="1" t="n">
        <v>631009</v>
      </c>
      <c r="E152" s="1" t="n">
        <v>0</v>
      </c>
      <c r="F152" s="1" t="n">
        <v>391</v>
      </c>
      <c r="G152" s="1" t="n">
        <v>0</v>
      </c>
      <c r="H152" s="1" t="n">
        <v>1</v>
      </c>
      <c r="I152" s="1" t="n">
        <v>4.846</v>
      </c>
      <c r="J152" s="1" t="n">
        <v>4.99</v>
      </c>
      <c r="K152" s="1" t="n">
        <v>0</v>
      </c>
      <c r="L152" s="1" t="s">
        <v>19</v>
      </c>
      <c r="M152" s="1" t="n">
        <v>1069136</v>
      </c>
      <c r="N152" s="1" t="n">
        <v>0.05</v>
      </c>
      <c r="O152" s="1" t="s">
        <v>20</v>
      </c>
      <c r="P152" s="1" t="n">
        <v>4.99</v>
      </c>
      <c r="Q152" s="1" t="n">
        <v>0</v>
      </c>
      <c r="R152" s="1" t="n">
        <v>381709</v>
      </c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</row>
    <row r="153" customFormat="false" ht="15" hidden="false" customHeight="false" outlineLevel="0" collapsed="false">
      <c r="A153" s="1" t="s">
        <v>170</v>
      </c>
      <c r="B153" s="1" t="n">
        <v>1183</v>
      </c>
      <c r="C153" s="1" t="n">
        <v>0</v>
      </c>
      <c r="D153" s="1" t="n">
        <v>646621</v>
      </c>
      <c r="E153" s="1" t="n">
        <v>0</v>
      </c>
      <c r="F153" s="1" t="n">
        <v>385</v>
      </c>
      <c r="G153" s="1" t="n">
        <v>0</v>
      </c>
      <c r="H153" s="1" t="n">
        <v>1</v>
      </c>
      <c r="I153" s="1" t="n">
        <v>4.755</v>
      </c>
      <c r="J153" s="1" t="n">
        <v>4.9</v>
      </c>
      <c r="K153" s="1" t="n">
        <v>0</v>
      </c>
      <c r="L153" s="1" t="s">
        <v>19</v>
      </c>
      <c r="M153" s="1" t="n">
        <v>1060084</v>
      </c>
      <c r="N153" s="1" t="n">
        <v>0.04</v>
      </c>
      <c r="O153" s="1" t="s">
        <v>20</v>
      </c>
      <c r="P153" s="1" t="n">
        <v>4.9</v>
      </c>
      <c r="Q153" s="1" t="n">
        <v>0</v>
      </c>
      <c r="R153" s="1" t="n">
        <v>379388</v>
      </c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</row>
    <row r="154" customFormat="false" ht="15" hidden="false" customHeight="false" outlineLevel="0" collapsed="false">
      <c r="A154" s="1" t="s">
        <v>171</v>
      </c>
      <c r="B154" s="1" t="n">
        <v>4522</v>
      </c>
      <c r="C154" s="1" t="n">
        <v>157</v>
      </c>
      <c r="D154" s="1" t="n">
        <v>840205</v>
      </c>
      <c r="E154" s="1" t="n">
        <v>0</v>
      </c>
      <c r="F154" s="1" t="n">
        <v>517</v>
      </c>
      <c r="G154" s="1" t="n">
        <v>0</v>
      </c>
      <c r="H154" s="1" t="n">
        <v>1</v>
      </c>
      <c r="I154" s="1" t="n">
        <v>7.126</v>
      </c>
      <c r="J154" s="1" t="n">
        <v>7.32</v>
      </c>
      <c r="K154" s="1" t="n">
        <v>2</v>
      </c>
      <c r="L154" s="1" t="s">
        <v>19</v>
      </c>
      <c r="M154" s="1" t="n">
        <v>1593170</v>
      </c>
      <c r="N154" s="1" t="n">
        <v>0.2</v>
      </c>
      <c r="O154" s="1" t="s">
        <v>20</v>
      </c>
      <c r="P154" s="1" t="n">
        <v>7.32</v>
      </c>
      <c r="Q154" s="1" t="n">
        <v>0</v>
      </c>
      <c r="R154" s="1" t="n">
        <v>522021</v>
      </c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</row>
    <row r="155" customFormat="false" ht="15" hidden="false" customHeight="false" outlineLevel="0" collapsed="false">
      <c r="A155" s="1" t="s">
        <v>172</v>
      </c>
      <c r="B155" s="1" t="n">
        <v>2382</v>
      </c>
      <c r="C155" s="1" t="n">
        <v>0</v>
      </c>
      <c r="D155" s="1" t="n">
        <v>789851</v>
      </c>
      <c r="E155" s="1" t="n">
        <v>0</v>
      </c>
      <c r="F155" s="1" t="n">
        <v>501</v>
      </c>
      <c r="G155" s="1" t="n">
        <v>0</v>
      </c>
      <c r="H155" s="1" t="n">
        <v>1</v>
      </c>
      <c r="I155" s="1" t="n">
        <v>6.523</v>
      </c>
      <c r="J155" s="1" t="n">
        <v>6.71</v>
      </c>
      <c r="K155" s="1" t="n">
        <v>0</v>
      </c>
      <c r="L155" s="1" t="s">
        <v>19</v>
      </c>
      <c r="M155" s="1" t="n">
        <v>1538903</v>
      </c>
      <c r="N155" s="1" t="n">
        <v>0.05</v>
      </c>
      <c r="O155" s="1" t="s">
        <v>20</v>
      </c>
      <c r="P155" s="1" t="n">
        <v>6.71</v>
      </c>
      <c r="Q155" s="1" t="n">
        <v>0</v>
      </c>
      <c r="R155" s="1" t="n">
        <v>507017</v>
      </c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</row>
    <row r="156" customFormat="false" ht="15" hidden="false" customHeight="false" outlineLevel="0" collapsed="false">
      <c r="A156" s="1" t="s">
        <v>173</v>
      </c>
      <c r="B156" s="1" t="n">
        <v>1878</v>
      </c>
      <c r="C156" s="1" t="n">
        <v>0</v>
      </c>
      <c r="D156" s="1" t="n">
        <v>747012</v>
      </c>
      <c r="E156" s="1" t="n">
        <v>0</v>
      </c>
      <c r="F156" s="1" t="n">
        <v>486</v>
      </c>
      <c r="G156" s="1" t="n">
        <v>0</v>
      </c>
      <c r="H156" s="1" t="n">
        <v>1</v>
      </c>
      <c r="I156" s="1" t="n">
        <v>6.602</v>
      </c>
      <c r="J156" s="1" t="n">
        <v>6.79</v>
      </c>
      <c r="K156" s="1" t="n">
        <v>0</v>
      </c>
      <c r="L156" s="1" t="s">
        <v>19</v>
      </c>
      <c r="M156" s="1" t="n">
        <v>1501580</v>
      </c>
      <c r="N156" s="1" t="n">
        <v>0.06</v>
      </c>
      <c r="O156" s="1" t="s">
        <v>20</v>
      </c>
      <c r="P156" s="1" t="n">
        <v>6.79</v>
      </c>
      <c r="Q156" s="1" t="n">
        <v>0</v>
      </c>
      <c r="R156" s="1" t="n">
        <v>491245</v>
      </c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</row>
    <row r="157" customFormat="false" ht="15" hidden="false" customHeight="false" outlineLevel="0" collapsed="false">
      <c r="A157" s="1" t="s">
        <v>174</v>
      </c>
      <c r="B157" s="1" t="n">
        <v>2356</v>
      </c>
      <c r="C157" s="1" t="n">
        <v>2</v>
      </c>
      <c r="D157" s="1" t="n">
        <v>761809</v>
      </c>
      <c r="E157" s="1" t="n">
        <v>0</v>
      </c>
      <c r="F157" s="1" t="n">
        <v>483</v>
      </c>
      <c r="G157" s="1" t="n">
        <v>0</v>
      </c>
      <c r="H157" s="1" t="n">
        <v>1</v>
      </c>
      <c r="I157" s="1" t="n">
        <v>6.364</v>
      </c>
      <c r="J157" s="1" t="n">
        <v>6.55</v>
      </c>
      <c r="K157" s="1" t="n">
        <v>0</v>
      </c>
      <c r="L157" s="1" t="s">
        <v>19</v>
      </c>
      <c r="M157" s="1" t="n">
        <v>1430918</v>
      </c>
      <c r="N157" s="1" t="n">
        <v>0.06</v>
      </c>
      <c r="O157" s="1" t="s">
        <v>20</v>
      </c>
      <c r="P157" s="1" t="n">
        <v>6.55</v>
      </c>
      <c r="Q157" s="1" t="n">
        <v>0</v>
      </c>
      <c r="R157" s="1" t="n">
        <v>483528</v>
      </c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</row>
    <row r="158" customFormat="false" ht="15" hidden="false" customHeight="false" outlineLevel="0" collapsed="false">
      <c r="A158" s="1" t="s">
        <v>175</v>
      </c>
      <c r="B158" s="1" t="n">
        <v>2417</v>
      </c>
      <c r="C158" s="1" t="n">
        <v>0</v>
      </c>
      <c r="D158" s="1" t="n">
        <v>938249</v>
      </c>
      <c r="E158" s="1" t="n">
        <v>0</v>
      </c>
      <c r="F158" s="1" t="n">
        <v>544</v>
      </c>
      <c r="G158" s="1" t="n">
        <v>0</v>
      </c>
      <c r="H158" s="1" t="n">
        <v>1</v>
      </c>
      <c r="I158" s="1" t="n">
        <v>7.454</v>
      </c>
      <c r="J158" s="1" t="n">
        <v>7.66</v>
      </c>
      <c r="K158" s="1" t="n">
        <v>0</v>
      </c>
      <c r="L158" s="1" t="s">
        <v>19</v>
      </c>
      <c r="M158" s="1" t="n">
        <v>1697038</v>
      </c>
      <c r="N158" s="1" t="n">
        <v>0.07</v>
      </c>
      <c r="O158" s="1" t="s">
        <v>20</v>
      </c>
      <c r="P158" s="1" t="n">
        <v>7.66</v>
      </c>
      <c r="Q158" s="1" t="n">
        <v>0</v>
      </c>
      <c r="R158" s="1" t="n">
        <v>551779</v>
      </c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</row>
    <row r="159" customFormat="false" ht="15" hidden="false" customHeight="false" outlineLevel="0" collapsed="false">
      <c r="A159" s="1" t="s">
        <v>176</v>
      </c>
      <c r="B159" s="1" t="n">
        <v>2115</v>
      </c>
      <c r="C159" s="1" t="n">
        <v>0</v>
      </c>
      <c r="D159" s="1" t="n">
        <v>950132</v>
      </c>
      <c r="E159" s="1" t="n">
        <v>0</v>
      </c>
      <c r="F159" s="1" t="n">
        <v>536</v>
      </c>
      <c r="G159" s="1" t="n">
        <v>0</v>
      </c>
      <c r="H159" s="1" t="n">
        <v>1</v>
      </c>
      <c r="I159" s="1" t="n">
        <v>6.731</v>
      </c>
      <c r="J159" s="1" t="n">
        <v>6.93</v>
      </c>
      <c r="K159" s="1" t="n">
        <v>0</v>
      </c>
      <c r="L159" s="1" t="s">
        <v>19</v>
      </c>
      <c r="M159" s="1" t="n">
        <v>1681952</v>
      </c>
      <c r="N159" s="1" t="n">
        <v>0.07</v>
      </c>
      <c r="O159" s="1" t="s">
        <v>20</v>
      </c>
      <c r="P159" s="1" t="n">
        <v>6.93</v>
      </c>
      <c r="Q159" s="1" t="n">
        <v>0</v>
      </c>
      <c r="R159" s="1" t="n">
        <v>548226</v>
      </c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</row>
    <row r="160" customFormat="false" ht="15" hidden="false" customHeight="false" outlineLevel="0" collapsed="false">
      <c r="A160" s="1" t="s">
        <v>177</v>
      </c>
      <c r="B160" s="1" t="n">
        <v>2401</v>
      </c>
      <c r="C160" s="1" t="n">
        <v>19</v>
      </c>
      <c r="D160" s="1" t="n">
        <v>639749</v>
      </c>
      <c r="E160" s="1" t="n">
        <v>0</v>
      </c>
      <c r="F160" s="1" t="n">
        <v>452</v>
      </c>
      <c r="G160" s="1" t="n">
        <v>0</v>
      </c>
      <c r="H160" s="1" t="n">
        <v>1</v>
      </c>
      <c r="I160" s="1" t="n">
        <v>5.916</v>
      </c>
      <c r="J160" s="1" t="n">
        <v>6.09</v>
      </c>
      <c r="K160" s="1" t="n">
        <v>0</v>
      </c>
      <c r="L160" s="1" t="s">
        <v>19</v>
      </c>
      <c r="M160" s="1" t="n">
        <v>1322387</v>
      </c>
      <c r="N160" s="1" t="n">
        <v>0.06</v>
      </c>
      <c r="O160" s="1" t="s">
        <v>20</v>
      </c>
      <c r="P160" s="1" t="n">
        <v>6.09</v>
      </c>
      <c r="Q160" s="1" t="n">
        <v>0</v>
      </c>
      <c r="R160" s="1" t="n">
        <v>449179</v>
      </c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</row>
    <row r="161" customFormat="false" ht="15" hidden="false" customHeight="false" outlineLevel="0" collapsed="false">
      <c r="A161" s="1" t="s">
        <v>178</v>
      </c>
      <c r="B161" s="1" t="n">
        <v>2782</v>
      </c>
      <c r="C161" s="1" t="n">
        <v>0</v>
      </c>
      <c r="D161" s="1" t="n">
        <v>965213</v>
      </c>
      <c r="E161" s="1" t="n">
        <v>0</v>
      </c>
      <c r="F161" s="1" t="n">
        <v>620</v>
      </c>
      <c r="G161" s="1" t="n">
        <v>0</v>
      </c>
      <c r="H161" s="1" t="n">
        <v>1</v>
      </c>
      <c r="I161" s="1" t="n">
        <v>8.756</v>
      </c>
      <c r="J161" s="1" t="n">
        <v>8.99</v>
      </c>
      <c r="K161" s="1" t="n">
        <v>0</v>
      </c>
      <c r="L161" s="1" t="s">
        <v>19</v>
      </c>
      <c r="M161" s="1" t="n">
        <v>2018541</v>
      </c>
      <c r="N161" s="1" t="n">
        <v>0.08</v>
      </c>
      <c r="O161" s="1" t="s">
        <v>20</v>
      </c>
      <c r="P161" s="1" t="n">
        <v>8.99</v>
      </c>
      <c r="Q161" s="1" t="n">
        <v>0</v>
      </c>
      <c r="R161" s="1" t="n">
        <v>625705</v>
      </c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</row>
    <row r="162" customFormat="false" ht="15" hidden="false" customHeight="false" outlineLevel="0" collapsed="false">
      <c r="A162" s="1" t="s">
        <v>179</v>
      </c>
      <c r="B162" s="1" t="n">
        <v>2763</v>
      </c>
      <c r="C162" s="1" t="n">
        <v>0</v>
      </c>
      <c r="D162" s="1" t="n">
        <v>1146116</v>
      </c>
      <c r="E162" s="1" t="n">
        <v>0</v>
      </c>
      <c r="F162" s="1" t="n">
        <v>674</v>
      </c>
      <c r="G162" s="1" t="n">
        <v>0</v>
      </c>
      <c r="H162" s="1" t="n">
        <v>1</v>
      </c>
      <c r="I162" s="1" t="n">
        <v>8.744</v>
      </c>
      <c r="J162" s="1" t="n">
        <v>8.98</v>
      </c>
      <c r="K162" s="1" t="n">
        <v>0</v>
      </c>
      <c r="L162" s="1" t="s">
        <v>19</v>
      </c>
      <c r="M162" s="1" t="n">
        <v>2197303</v>
      </c>
      <c r="N162" s="1" t="n">
        <v>0.08</v>
      </c>
      <c r="O162" s="1" t="s">
        <v>20</v>
      </c>
      <c r="P162" s="1" t="n">
        <v>8.98</v>
      </c>
      <c r="Q162" s="1" t="n">
        <v>0</v>
      </c>
      <c r="R162" s="1" t="n">
        <v>677086</v>
      </c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</row>
    <row r="163" customFormat="false" ht="15" hidden="false" customHeight="false" outlineLevel="0" collapsed="false">
      <c r="A163" s="1" t="s">
        <v>180</v>
      </c>
      <c r="B163" s="1" t="n">
        <v>4075</v>
      </c>
      <c r="C163" s="1" t="n">
        <v>60</v>
      </c>
      <c r="D163" s="1" t="n">
        <v>1231281</v>
      </c>
      <c r="E163" s="1" t="n">
        <v>0</v>
      </c>
      <c r="F163" s="1" t="n">
        <v>698</v>
      </c>
      <c r="G163" s="1" t="n">
        <v>0</v>
      </c>
      <c r="H163" s="1" t="n">
        <v>1</v>
      </c>
      <c r="I163" s="1" t="n">
        <v>9.387</v>
      </c>
      <c r="J163" s="1" t="n">
        <v>9.64</v>
      </c>
      <c r="K163" s="1" t="n">
        <v>1</v>
      </c>
      <c r="L163" s="1" t="s">
        <v>19</v>
      </c>
      <c r="M163" s="1" t="n">
        <v>2353443</v>
      </c>
      <c r="N163" s="1" t="n">
        <v>0.15</v>
      </c>
      <c r="O163" s="1" t="s">
        <v>20</v>
      </c>
      <c r="P163" s="1" t="n">
        <v>9.64</v>
      </c>
      <c r="Q163" s="1" t="n">
        <v>0</v>
      </c>
      <c r="R163" s="1" t="n">
        <v>706445</v>
      </c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</row>
    <row r="164" customFormat="false" ht="15" hidden="false" customHeight="false" outlineLevel="0" collapsed="false">
      <c r="A164" s="1" t="s">
        <v>181</v>
      </c>
      <c r="B164" s="1" t="n">
        <v>2120</v>
      </c>
      <c r="C164" s="1" t="n">
        <v>0</v>
      </c>
      <c r="D164" s="1" t="n">
        <v>1076653</v>
      </c>
      <c r="E164" s="1" t="n">
        <v>0</v>
      </c>
      <c r="F164" s="1" t="n">
        <v>666</v>
      </c>
      <c r="G164" s="1" t="n">
        <v>0</v>
      </c>
      <c r="H164" s="1" t="n">
        <v>1</v>
      </c>
      <c r="I164" s="1" t="n">
        <v>8.618</v>
      </c>
      <c r="J164" s="1" t="n">
        <v>8.86</v>
      </c>
      <c r="K164" s="1" t="n">
        <v>0</v>
      </c>
      <c r="L164" s="1" t="s">
        <v>19</v>
      </c>
      <c r="M164" s="1" t="n">
        <v>2140857</v>
      </c>
      <c r="N164" s="1" t="n">
        <v>0.08</v>
      </c>
      <c r="O164" s="1" t="s">
        <v>20</v>
      </c>
      <c r="P164" s="1" t="n">
        <v>8.86</v>
      </c>
      <c r="Q164" s="1" t="n">
        <v>0</v>
      </c>
      <c r="R164" s="1" t="n">
        <v>661915</v>
      </c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</row>
    <row r="165" customFormat="false" ht="15" hidden="false" customHeight="false" outlineLevel="0" collapsed="false">
      <c r="A165" s="1" t="s">
        <v>182</v>
      </c>
      <c r="B165" s="1" t="n">
        <v>21990</v>
      </c>
      <c r="C165" s="1" t="n">
        <v>245</v>
      </c>
      <c r="D165" s="1" t="n">
        <v>1293864</v>
      </c>
      <c r="E165" s="1" t="n">
        <v>0</v>
      </c>
      <c r="F165" s="1" t="n">
        <v>735</v>
      </c>
      <c r="G165" s="1" t="n">
        <v>0</v>
      </c>
      <c r="H165" s="1" t="n">
        <v>1</v>
      </c>
      <c r="I165" s="1" t="n">
        <v>11.151</v>
      </c>
      <c r="J165" s="1" t="n">
        <v>11.42</v>
      </c>
      <c r="K165" s="1" t="n">
        <v>2</v>
      </c>
      <c r="L165" s="1" t="s">
        <v>19</v>
      </c>
      <c r="M165" s="1" t="n">
        <v>2422058</v>
      </c>
      <c r="N165" s="1" t="n">
        <v>0.82</v>
      </c>
      <c r="O165" s="1" t="s">
        <v>20</v>
      </c>
      <c r="P165" s="1" t="n">
        <v>11.42</v>
      </c>
      <c r="Q165" s="1" t="n">
        <v>0</v>
      </c>
      <c r="R165" s="1" t="n">
        <v>724819</v>
      </c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</row>
    <row r="166" customFormat="false" ht="15" hidden="false" customHeight="false" outlineLevel="0" collapsed="false">
      <c r="A166" s="1" t="s">
        <v>183</v>
      </c>
      <c r="B166" s="1" t="n">
        <v>4803</v>
      </c>
      <c r="C166" s="1" t="n">
        <v>87</v>
      </c>
      <c r="D166" s="1" t="n">
        <v>1195450</v>
      </c>
      <c r="E166" s="1" t="n">
        <v>0</v>
      </c>
      <c r="F166" s="1" t="n">
        <v>690</v>
      </c>
      <c r="G166" s="1" t="n">
        <v>0</v>
      </c>
      <c r="H166" s="1" t="n">
        <v>1</v>
      </c>
      <c r="I166" s="1" t="n">
        <v>10.091</v>
      </c>
      <c r="J166" s="1" t="n">
        <v>10.32</v>
      </c>
      <c r="K166" s="1" t="n">
        <v>1</v>
      </c>
      <c r="L166" s="1" t="s">
        <v>19</v>
      </c>
      <c r="M166" s="1" t="n">
        <v>2314542</v>
      </c>
      <c r="N166" s="1" t="n">
        <v>0.19</v>
      </c>
      <c r="O166" s="1" t="s">
        <v>20</v>
      </c>
      <c r="P166" s="1" t="n">
        <v>10.32</v>
      </c>
      <c r="Q166" s="1" t="n">
        <v>0</v>
      </c>
      <c r="R166" s="1" t="n">
        <v>697372</v>
      </c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</row>
    <row r="167" customFormat="false" ht="15" hidden="false" customHeight="false" outlineLevel="0" collapsed="false">
      <c r="A167" s="1" t="s">
        <v>184</v>
      </c>
      <c r="B167" s="1" t="n">
        <v>2636</v>
      </c>
      <c r="C167" s="1" t="n">
        <v>0</v>
      </c>
      <c r="D167" s="1" t="n">
        <v>1014256</v>
      </c>
      <c r="E167" s="1" t="n">
        <v>0</v>
      </c>
      <c r="F167" s="1" t="n">
        <v>635</v>
      </c>
      <c r="G167" s="1" t="n">
        <v>0</v>
      </c>
      <c r="H167" s="1" t="n">
        <v>1</v>
      </c>
      <c r="I167" s="1" t="n">
        <v>9.013</v>
      </c>
      <c r="J167" s="1" t="n">
        <v>9.25</v>
      </c>
      <c r="K167" s="1" t="n">
        <v>0</v>
      </c>
      <c r="L167" s="1" t="s">
        <v>19</v>
      </c>
      <c r="M167" s="1" t="n">
        <v>2071719</v>
      </c>
      <c r="N167" s="1" t="n">
        <v>0.08</v>
      </c>
      <c r="O167" s="1" t="s">
        <v>20</v>
      </c>
      <c r="P167" s="1" t="n">
        <v>9.25</v>
      </c>
      <c r="Q167" s="1" t="n">
        <v>0</v>
      </c>
      <c r="R167" s="1" t="n">
        <v>642988</v>
      </c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</row>
    <row r="168" customFormat="false" ht="15" hidden="false" customHeight="false" outlineLevel="0" collapsed="false">
      <c r="A168" s="1" t="s">
        <v>185</v>
      </c>
      <c r="B168" s="1" t="n">
        <v>71208</v>
      </c>
      <c r="C168" s="1" t="n">
        <v>1541</v>
      </c>
      <c r="D168" s="1" t="n">
        <v>1555689</v>
      </c>
      <c r="E168" s="1" t="n">
        <v>0</v>
      </c>
      <c r="F168" s="1" t="n">
        <v>880</v>
      </c>
      <c r="G168" s="1" t="n">
        <v>0</v>
      </c>
      <c r="H168" s="1" t="n">
        <v>1</v>
      </c>
      <c r="I168" s="1" t="n">
        <v>14.893</v>
      </c>
      <c r="J168" s="1" t="n">
        <v>15.18</v>
      </c>
      <c r="K168" s="1" t="n">
        <v>11</v>
      </c>
      <c r="L168" s="1" t="s">
        <v>19</v>
      </c>
      <c r="M168" s="1" t="n">
        <v>3141740</v>
      </c>
      <c r="N168" s="1" t="n">
        <v>2.81</v>
      </c>
      <c r="O168" s="1" t="s">
        <v>20</v>
      </c>
      <c r="P168" s="1" t="n">
        <v>15.18</v>
      </c>
      <c r="Q168" s="1" t="n">
        <v>0</v>
      </c>
      <c r="R168" s="1" t="n">
        <v>870198</v>
      </c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</row>
    <row r="169" customFormat="false" ht="15" hidden="false" customHeight="false" outlineLevel="0" collapsed="false">
      <c r="A169" s="1" t="s">
        <v>186</v>
      </c>
      <c r="B169" s="1" t="n">
        <v>3253</v>
      </c>
      <c r="C169" s="1" t="n">
        <v>3</v>
      </c>
      <c r="D169" s="1" t="n">
        <v>1398791</v>
      </c>
      <c r="E169" s="1" t="n">
        <v>0</v>
      </c>
      <c r="F169" s="1" t="n">
        <v>833</v>
      </c>
      <c r="G169" s="1" t="n">
        <v>0</v>
      </c>
      <c r="H169" s="1" t="n">
        <v>1</v>
      </c>
      <c r="I169" s="1" t="n">
        <v>11.317</v>
      </c>
      <c r="J169" s="1" t="n">
        <v>11.59</v>
      </c>
      <c r="K169" s="1" t="n">
        <v>0</v>
      </c>
      <c r="L169" s="1" t="s">
        <v>19</v>
      </c>
      <c r="M169" s="1" t="n">
        <v>2879542</v>
      </c>
      <c r="N169" s="1" t="n">
        <v>0.1</v>
      </c>
      <c r="O169" s="1" t="s">
        <v>20</v>
      </c>
      <c r="P169" s="1" t="n">
        <v>11.59</v>
      </c>
      <c r="Q169" s="1" t="n">
        <v>0</v>
      </c>
      <c r="R169" s="1" t="n">
        <v>820930</v>
      </c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</row>
    <row r="170" customFormat="false" ht="15" hidden="false" customHeight="false" outlineLevel="0" collapsed="false">
      <c r="A170" s="1" t="s">
        <v>187</v>
      </c>
      <c r="B170" s="1" t="n">
        <v>14068</v>
      </c>
      <c r="C170" s="1" t="n">
        <v>1166</v>
      </c>
      <c r="D170" s="1" t="n">
        <v>1302665</v>
      </c>
      <c r="E170" s="1" t="n">
        <v>0</v>
      </c>
      <c r="F170" s="1" t="n">
        <v>806</v>
      </c>
      <c r="G170" s="1" t="n">
        <v>0</v>
      </c>
      <c r="H170" s="1" t="n">
        <v>1</v>
      </c>
      <c r="I170" s="1" t="n">
        <v>11.573</v>
      </c>
      <c r="J170" s="1" t="n">
        <v>11.84</v>
      </c>
      <c r="K170" s="1" t="n">
        <v>8</v>
      </c>
      <c r="L170" s="1" t="s">
        <v>19</v>
      </c>
      <c r="M170" s="1" t="n">
        <v>2778898</v>
      </c>
      <c r="N170" s="1" t="n">
        <v>0.7</v>
      </c>
      <c r="O170" s="1" t="s">
        <v>20</v>
      </c>
      <c r="P170" s="1" t="n">
        <v>11.84</v>
      </c>
      <c r="Q170" s="1" t="n">
        <v>0</v>
      </c>
      <c r="R170" s="1" t="n">
        <v>793104</v>
      </c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</row>
    <row r="171" customFormat="false" ht="15" hidden="false" customHeight="false" outlineLevel="0" collapsed="false">
      <c r="A171" s="1" t="s">
        <v>188</v>
      </c>
      <c r="B171" s="1" t="n">
        <v>10001</v>
      </c>
      <c r="C171" s="1" t="n">
        <v>161</v>
      </c>
      <c r="D171" s="1" t="n">
        <v>1667872</v>
      </c>
      <c r="E171" s="1" t="n">
        <v>0</v>
      </c>
      <c r="F171" s="1" t="n">
        <v>904</v>
      </c>
      <c r="G171" s="1" t="n">
        <v>0</v>
      </c>
      <c r="H171" s="1" t="n">
        <v>1</v>
      </c>
      <c r="I171" s="1" t="n">
        <v>13.816</v>
      </c>
      <c r="J171" s="1" t="n">
        <v>14.14</v>
      </c>
      <c r="K171" s="1" t="n">
        <v>2</v>
      </c>
      <c r="L171" s="1" t="s">
        <v>19</v>
      </c>
      <c r="M171" s="1" t="n">
        <v>3272230</v>
      </c>
      <c r="N171" s="1" t="n">
        <v>0.35</v>
      </c>
      <c r="O171" s="1" t="s">
        <v>20</v>
      </c>
      <c r="P171" s="1" t="n">
        <v>14.14</v>
      </c>
      <c r="Q171" s="1" t="n">
        <v>0</v>
      </c>
      <c r="R171" s="1" t="n">
        <v>902490</v>
      </c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</row>
    <row r="172" customFormat="false" ht="15" hidden="false" customHeight="false" outlineLevel="0" collapsed="false">
      <c r="A172" s="1" t="s">
        <v>189</v>
      </c>
      <c r="B172" s="1" t="n">
        <v>3099</v>
      </c>
      <c r="C172" s="1" t="n">
        <v>3</v>
      </c>
      <c r="D172" s="1" t="n">
        <v>1419099</v>
      </c>
      <c r="E172" s="1" t="n">
        <v>0</v>
      </c>
      <c r="F172" s="1" t="n">
        <v>837</v>
      </c>
      <c r="G172" s="1" t="n">
        <v>0</v>
      </c>
      <c r="H172" s="1" t="n">
        <v>1</v>
      </c>
      <c r="I172" s="1" t="n">
        <v>12.38</v>
      </c>
      <c r="J172" s="1" t="n">
        <v>12.69</v>
      </c>
      <c r="K172" s="1" t="n">
        <v>0</v>
      </c>
      <c r="L172" s="1" t="s">
        <v>19</v>
      </c>
      <c r="M172" s="1" t="n">
        <v>2904720</v>
      </c>
      <c r="N172" s="1" t="n">
        <v>0.1</v>
      </c>
      <c r="O172" s="1" t="s">
        <v>20</v>
      </c>
      <c r="P172" s="1" t="n">
        <v>12.69</v>
      </c>
      <c r="Q172" s="1" t="n">
        <v>0</v>
      </c>
      <c r="R172" s="1" t="n">
        <v>829578</v>
      </c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</row>
    <row r="173" customFormat="false" ht="15" hidden="false" customHeight="false" outlineLevel="0" collapsed="false">
      <c r="A173" s="1" t="s">
        <v>190</v>
      </c>
      <c r="B173" s="1" t="n">
        <v>5438</v>
      </c>
      <c r="C173" s="1" t="n">
        <v>139</v>
      </c>
      <c r="D173" s="1" t="n">
        <v>1282029</v>
      </c>
      <c r="E173" s="1" t="n">
        <v>0</v>
      </c>
      <c r="F173" s="1" t="n">
        <v>808</v>
      </c>
      <c r="G173" s="1" t="n">
        <v>0</v>
      </c>
      <c r="H173" s="1" t="n">
        <v>1</v>
      </c>
      <c r="I173" s="1" t="n">
        <v>11.974</v>
      </c>
      <c r="J173" s="1" t="n">
        <v>12.27</v>
      </c>
      <c r="K173" s="1" t="n">
        <v>1</v>
      </c>
      <c r="L173" s="1" t="s">
        <v>19</v>
      </c>
      <c r="M173" s="1" t="n">
        <v>2782886</v>
      </c>
      <c r="N173" s="1" t="n">
        <v>0.24</v>
      </c>
      <c r="O173" s="1" t="s">
        <v>20</v>
      </c>
      <c r="P173" s="1" t="n">
        <v>12.27</v>
      </c>
      <c r="Q173" s="1" t="n">
        <v>0</v>
      </c>
      <c r="R173" s="1" t="n">
        <v>794761</v>
      </c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</row>
    <row r="174" customFormat="false" ht="15" hidden="false" customHeight="false" outlineLevel="0" collapsed="false">
      <c r="A174" s="1" t="s">
        <v>191</v>
      </c>
      <c r="B174" s="1" t="n">
        <v>3312</v>
      </c>
      <c r="C174" s="1" t="n">
        <v>0</v>
      </c>
      <c r="D174" s="1" t="n">
        <v>1403436</v>
      </c>
      <c r="E174" s="1" t="n">
        <v>0</v>
      </c>
      <c r="F174" s="1" t="n">
        <v>836</v>
      </c>
      <c r="G174" s="1" t="n">
        <v>0</v>
      </c>
      <c r="H174" s="1" t="n">
        <v>1</v>
      </c>
      <c r="I174" s="1" t="n">
        <v>11.4</v>
      </c>
      <c r="J174" s="1" t="n">
        <v>11.67</v>
      </c>
      <c r="K174" s="1" t="n">
        <v>0</v>
      </c>
      <c r="L174" s="1" t="s">
        <v>19</v>
      </c>
      <c r="M174" s="1" t="n">
        <v>2883530</v>
      </c>
      <c r="N174" s="1" t="n">
        <v>0.09</v>
      </c>
      <c r="O174" s="1" t="s">
        <v>20</v>
      </c>
      <c r="P174" s="1" t="n">
        <v>11.67</v>
      </c>
      <c r="Q174" s="1" t="n">
        <v>0</v>
      </c>
      <c r="R174" s="1" t="n">
        <v>822584</v>
      </c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</row>
    <row r="175" customFormat="false" ht="15" hidden="false" customHeight="false" outlineLevel="0" collapsed="false">
      <c r="A175" s="1" t="s">
        <v>192</v>
      </c>
      <c r="B175" s="1" t="n">
        <v>2852</v>
      </c>
      <c r="C175" s="1" t="n">
        <v>2</v>
      </c>
      <c r="D175" s="1" t="n">
        <v>1744593</v>
      </c>
      <c r="E175" s="1" t="n">
        <v>0</v>
      </c>
      <c r="F175" s="1" t="n">
        <v>979</v>
      </c>
      <c r="G175" s="1" t="n">
        <v>0</v>
      </c>
      <c r="H175" s="1" t="n">
        <v>1</v>
      </c>
      <c r="I175" s="1" t="n">
        <v>15.649</v>
      </c>
      <c r="J175" s="1" t="n">
        <v>16.03</v>
      </c>
      <c r="K175" s="1" t="n">
        <v>0</v>
      </c>
      <c r="L175" s="1" t="s">
        <v>19</v>
      </c>
      <c r="M175" s="1" t="n">
        <v>3746765</v>
      </c>
      <c r="N175" s="1" t="n">
        <v>0.14</v>
      </c>
      <c r="O175" s="1" t="s">
        <v>20</v>
      </c>
      <c r="P175" s="1" t="n">
        <v>16.03</v>
      </c>
      <c r="Q175" s="1" t="n">
        <v>0</v>
      </c>
      <c r="R175" s="1" t="n">
        <v>990949</v>
      </c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</row>
    <row r="176" customFormat="false" ht="15" hidden="false" customHeight="false" outlineLevel="0" collapsed="false">
      <c r="A176" s="1" t="s">
        <v>193</v>
      </c>
      <c r="B176" s="1" t="n">
        <v>15496</v>
      </c>
      <c r="C176" s="1" t="n">
        <v>702</v>
      </c>
      <c r="D176" s="1" t="n">
        <v>1871121</v>
      </c>
      <c r="E176" s="1" t="n">
        <v>0</v>
      </c>
      <c r="F176" s="1" t="n">
        <v>1016</v>
      </c>
      <c r="G176" s="1" t="n">
        <v>0</v>
      </c>
      <c r="H176" s="1" t="n">
        <v>1</v>
      </c>
      <c r="I176" s="1" t="n">
        <v>16.865</v>
      </c>
      <c r="J176" s="1" t="n">
        <v>17.26</v>
      </c>
      <c r="K176" s="1" t="n">
        <v>3</v>
      </c>
      <c r="L176" s="1" t="s">
        <v>19</v>
      </c>
      <c r="M176" s="1" t="n">
        <v>3892879</v>
      </c>
      <c r="N176" s="1" t="n">
        <v>0.83</v>
      </c>
      <c r="O176" s="1" t="s">
        <v>20</v>
      </c>
      <c r="P176" s="1" t="n">
        <v>17.26</v>
      </c>
      <c r="Q176" s="1" t="n">
        <v>0</v>
      </c>
      <c r="R176" s="1" t="n">
        <v>1027564</v>
      </c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</row>
    <row r="177" customFormat="false" ht="15" hidden="false" customHeight="false" outlineLevel="0" collapsed="false">
      <c r="A177" s="1" t="s">
        <v>194</v>
      </c>
      <c r="B177" s="1" t="n">
        <v>188156</v>
      </c>
      <c r="C177" s="1" t="n">
        <v>2257</v>
      </c>
      <c r="D177" s="1" t="n">
        <v>1798356</v>
      </c>
      <c r="E177" s="1" t="n">
        <v>0</v>
      </c>
      <c r="F177" s="1" t="n">
        <v>1001</v>
      </c>
      <c r="G177" s="1" t="n">
        <v>0</v>
      </c>
      <c r="H177" s="1" t="n">
        <v>1</v>
      </c>
      <c r="I177" s="1" t="n">
        <v>22.666</v>
      </c>
      <c r="J177" s="1" t="n">
        <v>22.99</v>
      </c>
      <c r="K177" s="1" t="n">
        <v>12</v>
      </c>
      <c r="L177" s="1" t="s">
        <v>19</v>
      </c>
      <c r="M177" s="1" t="n">
        <v>3808462</v>
      </c>
      <c r="N177" s="1" t="n">
        <v>7.93</v>
      </c>
      <c r="O177" s="1" t="s">
        <v>20</v>
      </c>
      <c r="P177" s="1" t="n">
        <v>22.99</v>
      </c>
      <c r="Q177" s="1" t="n">
        <v>0</v>
      </c>
      <c r="R177" s="1" t="n">
        <v>1008407</v>
      </c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</row>
    <row r="178" customFormat="false" ht="15" hidden="false" customHeight="false" outlineLevel="0" collapsed="false">
      <c r="A178" s="1" t="s">
        <v>195</v>
      </c>
      <c r="B178" s="1" t="n">
        <v>49883</v>
      </c>
      <c r="C178" s="1" t="n">
        <v>1512</v>
      </c>
      <c r="D178" s="1" t="n">
        <v>2008833</v>
      </c>
      <c r="E178" s="1" t="n">
        <v>0</v>
      </c>
      <c r="F178" s="1" t="n">
        <v>1055</v>
      </c>
      <c r="G178" s="1" t="n">
        <v>0</v>
      </c>
      <c r="H178" s="1" t="n">
        <v>1</v>
      </c>
      <c r="I178" s="1" t="n">
        <v>19.979</v>
      </c>
      <c r="J178" s="1" t="n">
        <v>20.38</v>
      </c>
      <c r="K178" s="1" t="n">
        <v>9</v>
      </c>
      <c r="L178" s="1" t="s">
        <v>19</v>
      </c>
      <c r="M178" s="1" t="n">
        <v>4146423</v>
      </c>
      <c r="N178" s="1" t="n">
        <v>2.81</v>
      </c>
      <c r="O178" s="1" t="s">
        <v>20</v>
      </c>
      <c r="P178" s="1" t="n">
        <v>20.38</v>
      </c>
      <c r="Q178" s="1" t="n">
        <v>0</v>
      </c>
      <c r="R178" s="1" t="n">
        <v>1064215</v>
      </c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</row>
    <row r="179" customFormat="false" ht="15" hidden="false" customHeight="false" outlineLevel="0" collapsed="false">
      <c r="A179" s="1" t="s">
        <v>196</v>
      </c>
      <c r="B179" s="1" t="n">
        <v>86172</v>
      </c>
      <c r="C179" s="1" t="n">
        <v>2972</v>
      </c>
      <c r="D179" s="1" t="n">
        <v>1723833</v>
      </c>
      <c r="E179" s="1" t="n">
        <v>0</v>
      </c>
      <c r="F179" s="1" t="n">
        <v>985</v>
      </c>
      <c r="G179" s="1" t="n">
        <v>0</v>
      </c>
      <c r="H179" s="1" t="n">
        <v>1</v>
      </c>
      <c r="I179" s="1" t="n">
        <v>20.669</v>
      </c>
      <c r="J179" s="1" t="n">
        <v>21</v>
      </c>
      <c r="K179" s="1" t="n">
        <v>20</v>
      </c>
      <c r="L179" s="1" t="s">
        <v>19</v>
      </c>
      <c r="M179" s="1" t="n">
        <v>3750773</v>
      </c>
      <c r="N179" s="1" t="n">
        <v>6.2</v>
      </c>
      <c r="O179" s="1" t="s">
        <v>20</v>
      </c>
      <c r="P179" s="1" t="n">
        <v>21</v>
      </c>
      <c r="Q179" s="1" t="n">
        <v>0</v>
      </c>
      <c r="R179" s="1" t="n">
        <v>992614</v>
      </c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</row>
    <row r="180" customFormat="false" ht="15" hidden="false" customHeight="false" outlineLevel="0" collapsed="false">
      <c r="A180" s="1" t="s">
        <v>197</v>
      </c>
      <c r="B180" s="1" t="n">
        <v>124084</v>
      </c>
      <c r="C180" s="1" t="n">
        <v>693</v>
      </c>
      <c r="D180" s="1" t="n">
        <v>1854286</v>
      </c>
      <c r="E180" s="1" t="n">
        <v>0</v>
      </c>
      <c r="F180" s="1" t="n">
        <v>1010</v>
      </c>
      <c r="G180" s="1" t="n">
        <v>0</v>
      </c>
      <c r="H180" s="1" t="n">
        <v>1</v>
      </c>
      <c r="I180" s="1" t="n">
        <v>20.022</v>
      </c>
      <c r="J180" s="1" t="n">
        <v>20.39</v>
      </c>
      <c r="K180" s="1" t="n">
        <v>6</v>
      </c>
      <c r="L180" s="1" t="s">
        <v>19</v>
      </c>
      <c r="M180" s="1" t="n">
        <v>3868547</v>
      </c>
      <c r="N180" s="1" t="n">
        <v>3.98</v>
      </c>
      <c r="O180" s="1" t="s">
        <v>20</v>
      </c>
      <c r="P180" s="1" t="n">
        <v>20.39</v>
      </c>
      <c r="Q180" s="1" t="n">
        <v>0</v>
      </c>
      <c r="R180" s="1" t="n">
        <v>1020061</v>
      </c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</row>
    <row r="181" customFormat="false" ht="15" hidden="false" customHeight="false" outlineLevel="0" collapsed="false">
      <c r="A181" s="1" t="s">
        <v>198</v>
      </c>
      <c r="B181" s="1" t="n">
        <v>225819</v>
      </c>
      <c r="C181" s="1" t="n">
        <v>11030</v>
      </c>
      <c r="D181" s="1" t="n">
        <v>1749320</v>
      </c>
      <c r="E181" s="1" t="n">
        <v>0</v>
      </c>
      <c r="F181" s="1" t="n">
        <v>986</v>
      </c>
      <c r="G181" s="1" t="n">
        <v>0</v>
      </c>
      <c r="H181" s="1" t="n">
        <v>1</v>
      </c>
      <c r="I181" s="1" t="n">
        <v>30.745</v>
      </c>
      <c r="J181" s="1" t="n">
        <v>31.07</v>
      </c>
      <c r="K181" s="1" t="n">
        <v>50</v>
      </c>
      <c r="L181" s="1" t="s">
        <v>19</v>
      </c>
      <c r="M181" s="1" t="n">
        <v>3750773</v>
      </c>
      <c r="N181" s="1" t="n">
        <v>15.2</v>
      </c>
      <c r="O181" s="1" t="s">
        <v>20</v>
      </c>
      <c r="P181" s="1" t="n">
        <v>31.07</v>
      </c>
      <c r="Q181" s="1" t="n">
        <v>0</v>
      </c>
      <c r="R181" s="1" t="n">
        <v>992615</v>
      </c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</row>
    <row r="182" customFormat="false" ht="15" hidden="false" customHeight="false" outlineLevel="0" collapsed="false">
      <c r="A182" s="1" t="s">
        <v>199</v>
      </c>
      <c r="B182" s="1" t="n">
        <v>178184</v>
      </c>
      <c r="C182" s="1" t="n">
        <v>1916</v>
      </c>
      <c r="D182" s="1" t="n">
        <v>2098324</v>
      </c>
      <c r="E182" s="1" t="n">
        <v>0</v>
      </c>
      <c r="F182" s="1" t="n">
        <v>1169</v>
      </c>
      <c r="G182" s="1" t="n">
        <v>0</v>
      </c>
      <c r="H182" s="1" t="n">
        <v>1</v>
      </c>
      <c r="I182" s="1" t="n">
        <v>26.546</v>
      </c>
      <c r="J182" s="1" t="n">
        <v>26.97</v>
      </c>
      <c r="K182" s="1" t="n">
        <v>13</v>
      </c>
      <c r="L182" s="1" t="s">
        <v>19</v>
      </c>
      <c r="M182" s="1" t="n">
        <v>4638537</v>
      </c>
      <c r="N182" s="1" t="n">
        <v>7.27</v>
      </c>
      <c r="O182" s="1" t="s">
        <v>20</v>
      </c>
      <c r="P182" s="1" t="n">
        <v>26.97</v>
      </c>
      <c r="Q182" s="1" t="n">
        <v>0</v>
      </c>
      <c r="R182" s="1" t="n">
        <v>1192305</v>
      </c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</row>
    <row r="183" customFormat="false" ht="15" hidden="false" customHeight="false" outlineLevel="0" collapsed="false">
      <c r="A183" s="1" t="s">
        <v>200</v>
      </c>
      <c r="B183" s="1" t="n">
        <v>621</v>
      </c>
      <c r="C183" s="1" t="n">
        <v>0</v>
      </c>
      <c r="D183" s="1" t="n">
        <v>98217</v>
      </c>
      <c r="E183" s="1" t="n">
        <v>0</v>
      </c>
      <c r="F183" s="1" t="n">
        <v>194</v>
      </c>
      <c r="G183" s="1" t="n">
        <v>0</v>
      </c>
      <c r="H183" s="1" t="n">
        <v>1</v>
      </c>
      <c r="I183" s="1" t="n">
        <v>2.499</v>
      </c>
      <c r="J183" s="1" t="n">
        <v>2.57</v>
      </c>
      <c r="K183" s="1" t="n">
        <v>0</v>
      </c>
      <c r="L183" s="1" t="s">
        <v>19</v>
      </c>
      <c r="M183" s="1" t="n">
        <v>541138</v>
      </c>
      <c r="N183" s="1" t="n">
        <v>0.01</v>
      </c>
      <c r="O183" s="1" t="s">
        <v>20</v>
      </c>
      <c r="P183" s="1" t="n">
        <v>2.57</v>
      </c>
      <c r="Q183" s="1" t="n">
        <v>0</v>
      </c>
      <c r="R183" s="1" t="n">
        <v>195361</v>
      </c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</row>
    <row r="184" customFormat="false" ht="15" hidden="false" customHeight="false" outlineLevel="0" collapsed="false">
      <c r="A184" s="1" t="s">
        <v>201</v>
      </c>
      <c r="B184" s="1" t="n">
        <v>319</v>
      </c>
      <c r="C184" s="1" t="n">
        <v>0</v>
      </c>
      <c r="D184" s="1" t="n">
        <v>98267</v>
      </c>
      <c r="E184" s="1" t="n">
        <v>0</v>
      </c>
      <c r="F184" s="1" t="n">
        <v>137</v>
      </c>
      <c r="G184" s="1" t="n">
        <v>0</v>
      </c>
      <c r="H184" s="1" t="n">
        <v>1</v>
      </c>
      <c r="I184" s="1" t="n">
        <v>1.913</v>
      </c>
      <c r="J184" s="1" t="n">
        <v>1.96</v>
      </c>
      <c r="K184" s="1" t="n">
        <v>0</v>
      </c>
      <c r="L184" s="1" t="s">
        <v>19</v>
      </c>
      <c r="M184" s="1" t="n">
        <v>399212</v>
      </c>
      <c r="N184" s="1" t="n">
        <v>0.01</v>
      </c>
      <c r="O184" s="1" t="s">
        <v>20</v>
      </c>
      <c r="P184" s="1" t="n">
        <v>1.96</v>
      </c>
      <c r="Q184" s="1" t="n">
        <v>0</v>
      </c>
      <c r="R184" s="1" t="n">
        <v>143113</v>
      </c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</row>
    <row r="185" customFormat="false" ht="15" hidden="false" customHeight="false" outlineLevel="0" collapsed="false">
      <c r="A185" s="1" t="s">
        <v>202</v>
      </c>
      <c r="B185" s="1" t="n">
        <v>532</v>
      </c>
      <c r="C185" s="1" t="n">
        <v>0</v>
      </c>
      <c r="D185" s="1" t="n">
        <v>141055</v>
      </c>
      <c r="E185" s="1" t="n">
        <v>0</v>
      </c>
      <c r="F185" s="1" t="n">
        <v>191</v>
      </c>
      <c r="G185" s="1" t="n">
        <v>0</v>
      </c>
      <c r="H185" s="1" t="n">
        <v>1</v>
      </c>
      <c r="I185" s="1" t="n">
        <v>2.446</v>
      </c>
      <c r="J185" s="1" t="n">
        <v>2.51</v>
      </c>
      <c r="K185" s="1" t="n">
        <v>0</v>
      </c>
      <c r="L185" s="1" t="s">
        <v>19</v>
      </c>
      <c r="M185" s="1" t="n">
        <v>533326</v>
      </c>
      <c r="N185" s="1" t="n">
        <v>0.01</v>
      </c>
      <c r="O185" s="1" t="s">
        <v>20</v>
      </c>
      <c r="P185" s="1" t="n">
        <v>2.51</v>
      </c>
      <c r="Q185" s="1" t="n">
        <v>0</v>
      </c>
      <c r="R185" s="1" t="n">
        <v>193487</v>
      </c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</row>
    <row r="186" customFormat="false" ht="15" hidden="false" customHeight="false" outlineLevel="0" collapsed="false">
      <c r="A186" s="1" t="s">
        <v>203</v>
      </c>
      <c r="B186" s="1" t="n">
        <v>645</v>
      </c>
      <c r="C186" s="1" t="n">
        <v>0</v>
      </c>
      <c r="D186" s="1" t="n">
        <v>166526</v>
      </c>
      <c r="E186" s="1" t="n">
        <v>0</v>
      </c>
      <c r="F186" s="1" t="n">
        <v>173</v>
      </c>
      <c r="G186" s="1" t="n">
        <v>0</v>
      </c>
      <c r="H186" s="1" t="n">
        <v>1</v>
      </c>
      <c r="I186" s="1" t="n">
        <v>1.925</v>
      </c>
      <c r="J186" s="1" t="n">
        <v>1.99</v>
      </c>
      <c r="K186" s="1" t="n">
        <v>0</v>
      </c>
      <c r="L186" s="1" t="s">
        <v>19</v>
      </c>
      <c r="M186" s="1" t="n">
        <v>472331</v>
      </c>
      <c r="N186" s="1" t="n">
        <v>0.01</v>
      </c>
      <c r="O186" s="1" t="s">
        <v>20</v>
      </c>
      <c r="P186" s="1" t="n">
        <v>1.99</v>
      </c>
      <c r="Q186" s="1" t="n">
        <v>0</v>
      </c>
      <c r="R186" s="1" t="n">
        <v>173907</v>
      </c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</row>
    <row r="187" customFormat="false" ht="15" hidden="false" customHeight="false" outlineLevel="0" collapsed="false">
      <c r="A187" s="1" t="s">
        <v>204</v>
      </c>
      <c r="B187" s="1" t="n">
        <v>589</v>
      </c>
      <c r="C187" s="1" t="n">
        <v>0</v>
      </c>
      <c r="D187" s="1" t="n">
        <v>133677</v>
      </c>
      <c r="E187" s="1" t="n">
        <v>0</v>
      </c>
      <c r="F187" s="1" t="n">
        <v>150</v>
      </c>
      <c r="G187" s="1" t="n">
        <v>0</v>
      </c>
      <c r="H187" s="1" t="n">
        <v>1</v>
      </c>
      <c r="I187" s="1" t="n">
        <v>1.927</v>
      </c>
      <c r="J187" s="1" t="n">
        <v>1.98</v>
      </c>
      <c r="K187" s="1" t="n">
        <v>0</v>
      </c>
      <c r="L187" s="1" t="s">
        <v>19</v>
      </c>
      <c r="M187" s="1" t="n">
        <v>410883</v>
      </c>
      <c r="N187" s="1" t="n">
        <v>0.01</v>
      </c>
      <c r="O187" s="1" t="s">
        <v>20</v>
      </c>
      <c r="P187" s="1" t="n">
        <v>1.98</v>
      </c>
      <c r="Q187" s="1" t="n">
        <v>0</v>
      </c>
      <c r="R187" s="1" t="n">
        <v>151514</v>
      </c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</row>
    <row r="188" customFormat="false" ht="15" hidden="false" customHeight="false" outlineLevel="0" collapsed="false">
      <c r="A188" s="1" t="s">
        <v>205</v>
      </c>
      <c r="B188" s="1" t="n">
        <v>1034</v>
      </c>
      <c r="C188" s="1" t="n">
        <v>0</v>
      </c>
      <c r="D188" s="1" t="n">
        <v>225391</v>
      </c>
      <c r="E188" s="1" t="n">
        <v>0</v>
      </c>
      <c r="F188" s="1" t="n">
        <v>230</v>
      </c>
      <c r="G188" s="1" t="n">
        <v>0</v>
      </c>
      <c r="H188" s="1" t="n">
        <v>1</v>
      </c>
      <c r="I188" s="1" t="n">
        <v>3.014</v>
      </c>
      <c r="J188" s="1" t="n">
        <v>3.1</v>
      </c>
      <c r="K188" s="1" t="n">
        <v>0</v>
      </c>
      <c r="L188" s="1" t="s">
        <v>19</v>
      </c>
      <c r="M188" s="1" t="n">
        <v>636884</v>
      </c>
      <c r="N188" s="1" t="n">
        <v>0.02</v>
      </c>
      <c r="O188" s="1" t="s">
        <v>20</v>
      </c>
      <c r="P188" s="1" t="n">
        <v>3.1</v>
      </c>
      <c r="Q188" s="1" t="n">
        <v>0</v>
      </c>
      <c r="R188" s="1" t="n">
        <v>229878</v>
      </c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</row>
    <row r="189" customFormat="false" ht="15" hidden="false" customHeight="false" outlineLevel="0" collapsed="false">
      <c r="A189" s="1" t="s">
        <v>206</v>
      </c>
      <c r="B189" s="1" t="n">
        <v>572</v>
      </c>
      <c r="C189" s="1" t="n">
        <v>0</v>
      </c>
      <c r="D189" s="1" t="n">
        <v>290759</v>
      </c>
      <c r="E189" s="1" t="n">
        <v>0</v>
      </c>
      <c r="F189" s="1" t="n">
        <v>221</v>
      </c>
      <c r="G189" s="1" t="n">
        <v>0</v>
      </c>
      <c r="H189" s="1" t="n">
        <v>1</v>
      </c>
      <c r="I189" s="1" t="n">
        <v>2.838</v>
      </c>
      <c r="J189" s="1" t="n">
        <v>2.92</v>
      </c>
      <c r="K189" s="1" t="n">
        <v>0</v>
      </c>
      <c r="L189" s="1" t="s">
        <v>19</v>
      </c>
      <c r="M189" s="1" t="n">
        <v>613684</v>
      </c>
      <c r="N189" s="1" t="n">
        <v>0.02</v>
      </c>
      <c r="O189" s="1" t="s">
        <v>20</v>
      </c>
      <c r="P189" s="1" t="n">
        <v>2.92</v>
      </c>
      <c r="Q189" s="1" t="n">
        <v>0</v>
      </c>
      <c r="R189" s="1" t="n">
        <v>221930</v>
      </c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</row>
    <row r="190" customFormat="false" ht="15" hidden="false" customHeight="false" outlineLevel="0" collapsed="false">
      <c r="A190" s="1" t="s">
        <v>207</v>
      </c>
      <c r="B190" s="1" t="n">
        <v>944</v>
      </c>
      <c r="C190" s="1" t="n">
        <v>4</v>
      </c>
      <c r="D190" s="1" t="n">
        <v>183212</v>
      </c>
      <c r="E190" s="1" t="n">
        <v>0</v>
      </c>
      <c r="F190" s="1" t="n">
        <v>279</v>
      </c>
      <c r="G190" s="1" t="n">
        <v>0</v>
      </c>
      <c r="H190" s="1" t="n">
        <v>1</v>
      </c>
      <c r="I190" s="1" t="n">
        <v>3.475</v>
      </c>
      <c r="J190" s="1" t="n">
        <v>3.59</v>
      </c>
      <c r="K190" s="1" t="n">
        <v>0</v>
      </c>
      <c r="L190" s="1" t="s">
        <v>19</v>
      </c>
      <c r="M190" s="1" t="n">
        <v>869213</v>
      </c>
      <c r="N190" s="1" t="n">
        <v>0.02</v>
      </c>
      <c r="O190" s="1" t="s">
        <v>20</v>
      </c>
      <c r="P190" s="1" t="n">
        <v>3.59</v>
      </c>
      <c r="Q190" s="1" t="n">
        <v>0</v>
      </c>
      <c r="R190" s="1" t="n">
        <v>286700</v>
      </c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</row>
    <row r="191" customFormat="false" ht="15" hidden="false" customHeight="false" outlineLevel="0" collapsed="false">
      <c r="A191" s="1" t="s">
        <v>208</v>
      </c>
      <c r="B191" s="1" t="n">
        <v>991</v>
      </c>
      <c r="C191" s="1" t="n">
        <v>8</v>
      </c>
      <c r="D191" s="1" t="n">
        <v>209454</v>
      </c>
      <c r="E191" s="1" t="n">
        <v>0</v>
      </c>
      <c r="F191" s="1" t="n">
        <v>236</v>
      </c>
      <c r="G191" s="1" t="n">
        <v>0</v>
      </c>
      <c r="H191" s="1" t="n">
        <v>1</v>
      </c>
      <c r="I191" s="1" t="n">
        <v>2.862</v>
      </c>
      <c r="J191" s="1" t="n">
        <v>2.95</v>
      </c>
      <c r="K191" s="1" t="n">
        <v>0</v>
      </c>
      <c r="L191" s="1" t="s">
        <v>19</v>
      </c>
      <c r="M191" s="1" t="n">
        <v>713659</v>
      </c>
      <c r="N191" s="1" t="n">
        <v>0.02</v>
      </c>
      <c r="O191" s="1" t="s">
        <v>20</v>
      </c>
      <c r="P191" s="1" t="n">
        <v>2.95</v>
      </c>
      <c r="Q191" s="1" t="n">
        <v>0</v>
      </c>
      <c r="R191" s="1" t="n">
        <v>239752</v>
      </c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</row>
    <row r="192" customFormat="false" ht="15" hidden="false" customHeight="false" outlineLevel="0" collapsed="false">
      <c r="A192" s="1" t="s">
        <v>209</v>
      </c>
      <c r="B192" s="1" t="n">
        <v>1109</v>
      </c>
      <c r="C192" s="1" t="n">
        <v>3</v>
      </c>
      <c r="D192" s="1" t="n">
        <v>286651</v>
      </c>
      <c r="E192" s="1" t="n">
        <v>0</v>
      </c>
      <c r="F192" s="1" t="n">
        <v>336</v>
      </c>
      <c r="G192" s="1" t="n">
        <v>0</v>
      </c>
      <c r="H192" s="1" t="n">
        <v>1</v>
      </c>
      <c r="I192" s="1" t="n">
        <v>4.648</v>
      </c>
      <c r="J192" s="1" t="n">
        <v>4.77</v>
      </c>
      <c r="K192" s="1" t="n">
        <v>0</v>
      </c>
      <c r="L192" s="1" t="s">
        <v>19</v>
      </c>
      <c r="M192" s="1" t="n">
        <v>1043866</v>
      </c>
      <c r="N192" s="1" t="n">
        <v>0.03</v>
      </c>
      <c r="O192" s="1" t="s">
        <v>20</v>
      </c>
      <c r="P192" s="1" t="n">
        <v>4.77</v>
      </c>
      <c r="Q192" s="1" t="n">
        <v>0</v>
      </c>
      <c r="R192" s="1" t="n">
        <v>343040</v>
      </c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</row>
    <row r="193" customFormat="false" ht="15" hidden="false" customHeight="false" outlineLevel="0" collapsed="false">
      <c r="A193" s="1" t="s">
        <v>210</v>
      </c>
      <c r="B193" s="1" t="n">
        <v>1636</v>
      </c>
      <c r="C193" s="1" t="n">
        <v>3</v>
      </c>
      <c r="D193" s="1" t="n">
        <v>263233</v>
      </c>
      <c r="E193" s="1" t="n">
        <v>0</v>
      </c>
      <c r="F193" s="1" t="n">
        <v>293</v>
      </c>
      <c r="G193" s="1" t="n">
        <v>0</v>
      </c>
      <c r="H193" s="1" t="n">
        <v>1</v>
      </c>
      <c r="I193" s="1" t="n">
        <v>4.019</v>
      </c>
      <c r="J193" s="1" t="n">
        <v>4.13</v>
      </c>
      <c r="K193" s="1" t="n">
        <v>0</v>
      </c>
      <c r="L193" s="1" t="s">
        <v>19</v>
      </c>
      <c r="M193" s="1" t="n">
        <v>905301</v>
      </c>
      <c r="N193" s="1" t="n">
        <v>0.03</v>
      </c>
      <c r="O193" s="1" t="s">
        <v>20</v>
      </c>
      <c r="P193" s="1" t="n">
        <v>4.13</v>
      </c>
      <c r="Q193" s="1" t="n">
        <v>0</v>
      </c>
      <c r="R193" s="1" t="n">
        <v>304542</v>
      </c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</row>
    <row r="194" customFormat="false" ht="15" hidden="false" customHeight="false" outlineLevel="0" collapsed="false">
      <c r="A194" s="1" t="s">
        <v>211</v>
      </c>
      <c r="B194" s="1" t="n">
        <v>1203</v>
      </c>
      <c r="C194" s="1" t="n">
        <v>2</v>
      </c>
      <c r="D194" s="1" t="n">
        <v>273955</v>
      </c>
      <c r="E194" s="1" t="n">
        <v>0</v>
      </c>
      <c r="F194" s="1" t="n">
        <v>293</v>
      </c>
      <c r="G194" s="1" t="n">
        <v>0</v>
      </c>
      <c r="H194" s="1" t="n">
        <v>1</v>
      </c>
      <c r="I194" s="1" t="n">
        <v>3.99</v>
      </c>
      <c r="J194" s="1" t="n">
        <v>4.1</v>
      </c>
      <c r="K194" s="1" t="n">
        <v>0</v>
      </c>
      <c r="L194" s="1" t="s">
        <v>19</v>
      </c>
      <c r="M194" s="1" t="n">
        <v>895699</v>
      </c>
      <c r="N194" s="1" t="n">
        <v>0.03</v>
      </c>
      <c r="O194" s="1" t="s">
        <v>20</v>
      </c>
      <c r="P194" s="1" t="n">
        <v>4.1</v>
      </c>
      <c r="Q194" s="1" t="n">
        <v>0</v>
      </c>
      <c r="R194" s="1" t="n">
        <v>300786</v>
      </c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</row>
    <row r="195" customFormat="false" ht="15" hidden="false" customHeight="false" outlineLevel="0" collapsed="false">
      <c r="A195" s="1" t="s">
        <v>212</v>
      </c>
      <c r="B195" s="1" t="n">
        <v>999</v>
      </c>
      <c r="C195" s="1" t="n">
        <v>12</v>
      </c>
      <c r="D195" s="1" t="n">
        <v>357877</v>
      </c>
      <c r="E195" s="1" t="n">
        <v>0</v>
      </c>
      <c r="F195" s="1" t="n">
        <v>325</v>
      </c>
      <c r="G195" s="1" t="n">
        <v>0</v>
      </c>
      <c r="H195" s="1" t="n">
        <v>1</v>
      </c>
      <c r="I195" s="1" t="n">
        <v>4.538</v>
      </c>
      <c r="J195" s="1" t="n">
        <v>4.66</v>
      </c>
      <c r="K195" s="1" t="n">
        <v>0</v>
      </c>
      <c r="L195" s="1" t="s">
        <v>19</v>
      </c>
      <c r="M195" s="1" t="n">
        <v>1007248</v>
      </c>
      <c r="N195" s="1" t="n">
        <v>0.05</v>
      </c>
      <c r="O195" s="1" t="s">
        <v>20</v>
      </c>
      <c r="P195" s="1" t="n">
        <v>4.66</v>
      </c>
      <c r="Q195" s="1" t="n">
        <v>0</v>
      </c>
      <c r="R195" s="1" t="n">
        <v>331046</v>
      </c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</row>
    <row r="196" customFormat="false" ht="15" hidden="false" customHeight="false" outlineLevel="0" collapsed="false">
      <c r="A196" s="1" t="s">
        <v>213</v>
      </c>
      <c r="B196" s="1" t="n">
        <v>716</v>
      </c>
      <c r="C196" s="1" t="n">
        <v>2</v>
      </c>
      <c r="D196" s="1" t="n">
        <v>280207</v>
      </c>
      <c r="E196" s="1" t="n">
        <v>0</v>
      </c>
      <c r="F196" s="1" t="n">
        <v>332</v>
      </c>
      <c r="G196" s="1" t="n">
        <v>0</v>
      </c>
      <c r="H196" s="1" t="n">
        <v>1</v>
      </c>
      <c r="I196" s="1" t="n">
        <v>4.637</v>
      </c>
      <c r="J196" s="1" t="n">
        <v>4.76</v>
      </c>
      <c r="K196" s="1" t="n">
        <v>0</v>
      </c>
      <c r="L196" s="1" t="s">
        <v>19</v>
      </c>
      <c r="M196" s="1" t="n">
        <v>1034264</v>
      </c>
      <c r="N196" s="1" t="n">
        <v>0.03</v>
      </c>
      <c r="O196" s="1" t="s">
        <v>20</v>
      </c>
      <c r="P196" s="1" t="n">
        <v>4.76</v>
      </c>
      <c r="Q196" s="1" t="n">
        <v>0</v>
      </c>
      <c r="R196" s="1" t="n">
        <v>339283</v>
      </c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</row>
    <row r="197" customFormat="false" ht="15" hidden="false" customHeight="false" outlineLevel="0" collapsed="false">
      <c r="A197" s="1" t="s">
        <v>214</v>
      </c>
      <c r="B197" s="1" t="n">
        <v>1203</v>
      </c>
      <c r="C197" s="1" t="n">
        <v>3</v>
      </c>
      <c r="D197" s="1" t="n">
        <v>266468</v>
      </c>
      <c r="E197" s="1" t="n">
        <v>0</v>
      </c>
      <c r="F197" s="1" t="n">
        <v>339</v>
      </c>
      <c r="G197" s="1" t="n">
        <v>0</v>
      </c>
      <c r="H197" s="1" t="n">
        <v>1</v>
      </c>
      <c r="I197" s="1" t="n">
        <v>4.768</v>
      </c>
      <c r="J197" s="1" t="n">
        <v>4.89</v>
      </c>
      <c r="K197" s="1" t="n">
        <v>0</v>
      </c>
      <c r="L197" s="1" t="s">
        <v>19</v>
      </c>
      <c r="M197" s="1" t="n">
        <v>1111337</v>
      </c>
      <c r="N197" s="1" t="n">
        <v>0.03</v>
      </c>
      <c r="O197" s="1" t="s">
        <v>20</v>
      </c>
      <c r="P197" s="1" t="n">
        <v>4.89</v>
      </c>
      <c r="Q197" s="1" t="n">
        <v>0</v>
      </c>
      <c r="R197" s="1" t="n">
        <v>344449</v>
      </c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</row>
    <row r="198" customFormat="false" ht="15" hidden="false" customHeight="false" outlineLevel="0" collapsed="false">
      <c r="A198" s="1" t="s">
        <v>215</v>
      </c>
      <c r="B198" s="1" t="n">
        <v>1091</v>
      </c>
      <c r="C198" s="1" t="n">
        <v>9</v>
      </c>
      <c r="D198" s="1" t="n">
        <v>207874</v>
      </c>
      <c r="E198" s="1" t="n">
        <v>0</v>
      </c>
      <c r="F198" s="1" t="n">
        <v>331</v>
      </c>
      <c r="G198" s="1" t="n">
        <v>0</v>
      </c>
      <c r="H198" s="1" t="n">
        <v>1</v>
      </c>
      <c r="I198" s="1" t="n">
        <v>4.29</v>
      </c>
      <c r="J198" s="1" t="n">
        <v>4.41</v>
      </c>
      <c r="K198" s="1" t="n">
        <v>0</v>
      </c>
      <c r="L198" s="1" t="s">
        <v>19</v>
      </c>
      <c r="M198" s="1" t="n">
        <v>1095613</v>
      </c>
      <c r="N198" s="1" t="n">
        <v>0.02</v>
      </c>
      <c r="O198" s="1" t="s">
        <v>20</v>
      </c>
      <c r="P198" s="1" t="n">
        <v>4.41</v>
      </c>
      <c r="Q198" s="1" t="n">
        <v>0</v>
      </c>
      <c r="R198" s="1" t="n">
        <v>337377</v>
      </c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</row>
    <row r="199" customFormat="false" ht="15" hidden="false" customHeight="false" outlineLevel="0" collapsed="false">
      <c r="A199" s="1" t="s">
        <v>216</v>
      </c>
      <c r="B199" s="1" t="n">
        <v>1348</v>
      </c>
      <c r="C199" s="1" t="n">
        <v>5</v>
      </c>
      <c r="D199" s="1" t="n">
        <v>344800</v>
      </c>
      <c r="E199" s="1" t="n">
        <v>0</v>
      </c>
      <c r="F199" s="1" t="n">
        <v>451</v>
      </c>
      <c r="G199" s="1" t="n">
        <v>0</v>
      </c>
      <c r="H199" s="1" t="n">
        <v>1</v>
      </c>
      <c r="I199" s="1" t="n">
        <v>5.91</v>
      </c>
      <c r="J199" s="1" t="n">
        <v>6.08</v>
      </c>
      <c r="K199" s="1" t="n">
        <v>0</v>
      </c>
      <c r="L199" s="1" t="s">
        <v>19</v>
      </c>
      <c r="M199" s="1" t="n">
        <v>1509476</v>
      </c>
      <c r="N199" s="1" t="n">
        <v>0.04</v>
      </c>
      <c r="O199" s="1" t="s">
        <v>20</v>
      </c>
      <c r="P199" s="1" t="n">
        <v>6.08</v>
      </c>
      <c r="Q199" s="1" t="n">
        <v>0</v>
      </c>
      <c r="R199" s="1" t="n">
        <v>452424</v>
      </c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</row>
    <row r="200" customFormat="false" ht="15" hidden="false" customHeight="false" outlineLevel="0" collapsed="false">
      <c r="A200" s="1" t="s">
        <v>217</v>
      </c>
      <c r="B200" s="1" t="n">
        <v>1269</v>
      </c>
      <c r="C200" s="1" t="n">
        <v>6</v>
      </c>
      <c r="D200" s="1" t="n">
        <v>327082</v>
      </c>
      <c r="E200" s="1" t="n">
        <v>0</v>
      </c>
      <c r="F200" s="1" t="n">
        <v>418</v>
      </c>
      <c r="G200" s="1" t="n">
        <v>0</v>
      </c>
      <c r="H200" s="1" t="n">
        <v>1</v>
      </c>
      <c r="I200" s="1" t="n">
        <v>5.905</v>
      </c>
      <c r="J200" s="1" t="n">
        <v>6.06</v>
      </c>
      <c r="K200" s="1" t="n">
        <v>0</v>
      </c>
      <c r="L200" s="1" t="s">
        <v>19</v>
      </c>
      <c r="M200" s="1" t="n">
        <v>1347042</v>
      </c>
      <c r="N200" s="1" t="n">
        <v>0.04</v>
      </c>
      <c r="O200" s="1" t="s">
        <v>20</v>
      </c>
      <c r="P200" s="1" t="n">
        <v>6.06</v>
      </c>
      <c r="Q200" s="1" t="n">
        <v>0</v>
      </c>
      <c r="R200" s="1" t="n">
        <v>412849</v>
      </c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</row>
    <row r="201" customFormat="false" ht="15" hidden="false" customHeight="false" outlineLevel="0" collapsed="false">
      <c r="A201" s="1" t="s">
        <v>218</v>
      </c>
      <c r="B201" s="1" t="n">
        <v>1548</v>
      </c>
      <c r="C201" s="1" t="n">
        <v>3</v>
      </c>
      <c r="D201" s="1" t="n">
        <v>306703</v>
      </c>
      <c r="E201" s="1" t="n">
        <v>0</v>
      </c>
      <c r="F201" s="1" t="n">
        <v>368</v>
      </c>
      <c r="G201" s="1" t="n">
        <v>0</v>
      </c>
      <c r="H201" s="1" t="n">
        <v>1</v>
      </c>
      <c r="I201" s="1" t="n">
        <v>5.213</v>
      </c>
      <c r="J201" s="1" t="n">
        <v>5.34</v>
      </c>
      <c r="K201" s="1" t="n">
        <v>0</v>
      </c>
      <c r="L201" s="1" t="s">
        <v>19</v>
      </c>
      <c r="M201" s="1" t="n">
        <v>1199412</v>
      </c>
      <c r="N201" s="1" t="n">
        <v>0.04</v>
      </c>
      <c r="O201" s="1" t="s">
        <v>20</v>
      </c>
      <c r="P201" s="1" t="n">
        <v>5.34</v>
      </c>
      <c r="Q201" s="1" t="n">
        <v>0</v>
      </c>
      <c r="R201" s="1" t="n">
        <v>371797</v>
      </c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</row>
    <row r="202" customFormat="false" ht="15" hidden="false" customHeight="false" outlineLevel="0" collapsed="false">
      <c r="A202" s="1" t="s">
        <v>219</v>
      </c>
      <c r="B202" s="1" t="n">
        <v>33228</v>
      </c>
      <c r="C202" s="1" t="n">
        <v>3816</v>
      </c>
      <c r="D202" s="1" t="n">
        <v>417930</v>
      </c>
      <c r="E202" s="1" t="n">
        <v>0</v>
      </c>
      <c r="F202" s="1" t="n">
        <v>445</v>
      </c>
      <c r="G202" s="1" t="n">
        <v>0</v>
      </c>
      <c r="H202" s="1" t="n">
        <v>1</v>
      </c>
      <c r="I202" s="1" t="n">
        <v>8.251</v>
      </c>
      <c r="J202" s="1" t="n">
        <v>8.42</v>
      </c>
      <c r="K202" s="1" t="n">
        <v>19</v>
      </c>
      <c r="L202" s="1" t="s">
        <v>19</v>
      </c>
      <c r="M202" s="1" t="n">
        <v>1477816</v>
      </c>
      <c r="N202" s="1" t="n">
        <v>1.93</v>
      </c>
      <c r="O202" s="1" t="s">
        <v>20</v>
      </c>
      <c r="P202" s="1" t="n">
        <v>8.42</v>
      </c>
      <c r="Q202" s="1" t="n">
        <v>0</v>
      </c>
      <c r="R202" s="1" t="n">
        <v>444029</v>
      </c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</row>
    <row r="203" customFormat="false" ht="15" hidden="false" customHeight="false" outlineLevel="0" collapsed="false">
      <c r="A203" s="1" t="s">
        <v>220</v>
      </c>
      <c r="B203" s="1" t="n">
        <v>1656</v>
      </c>
      <c r="C203" s="1" t="n">
        <v>8</v>
      </c>
      <c r="D203" s="1" t="n">
        <v>400746</v>
      </c>
      <c r="E203" s="1" t="n">
        <v>0</v>
      </c>
      <c r="F203" s="1" t="n">
        <v>408</v>
      </c>
      <c r="G203" s="1" t="n">
        <v>0</v>
      </c>
      <c r="H203" s="1" t="n">
        <v>1</v>
      </c>
      <c r="I203" s="1" t="n">
        <v>5.773</v>
      </c>
      <c r="J203" s="1" t="n">
        <v>5.92</v>
      </c>
      <c r="K203" s="1" t="n">
        <v>0</v>
      </c>
      <c r="L203" s="1" t="s">
        <v>19</v>
      </c>
      <c r="M203" s="1" t="n">
        <v>1310328</v>
      </c>
      <c r="N203" s="1" t="n">
        <v>0.04</v>
      </c>
      <c r="O203" s="1" t="s">
        <v>20</v>
      </c>
      <c r="P203" s="1" t="n">
        <v>5.92</v>
      </c>
      <c r="Q203" s="1" t="n">
        <v>0</v>
      </c>
      <c r="R203" s="1" t="n">
        <v>401555</v>
      </c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</row>
    <row r="204" customFormat="false" ht="15" hidden="false" customHeight="false" outlineLevel="0" collapsed="false">
      <c r="A204" s="1" t="s">
        <v>221</v>
      </c>
      <c r="B204" s="1" t="n">
        <v>1368</v>
      </c>
      <c r="C204" s="1" t="n">
        <v>5</v>
      </c>
      <c r="D204" s="1" t="n">
        <v>253050</v>
      </c>
      <c r="E204" s="1" t="n">
        <v>0</v>
      </c>
      <c r="F204" s="1" t="n">
        <v>462</v>
      </c>
      <c r="G204" s="1" t="n">
        <v>0</v>
      </c>
      <c r="H204" s="1" t="n">
        <v>1</v>
      </c>
      <c r="I204" s="1" t="n">
        <v>6.196</v>
      </c>
      <c r="J204" s="1" t="n">
        <v>6.33</v>
      </c>
      <c r="K204" s="1" t="n">
        <v>0</v>
      </c>
      <c r="L204" s="1" t="s">
        <v>19</v>
      </c>
      <c r="M204" s="1" t="n">
        <v>1607803</v>
      </c>
      <c r="N204" s="1" t="n">
        <v>0.03</v>
      </c>
      <c r="O204" s="1" t="s">
        <v>20</v>
      </c>
      <c r="P204" s="1" t="n">
        <v>6.33</v>
      </c>
      <c r="Q204" s="1" t="n">
        <v>0</v>
      </c>
      <c r="R204" s="1" t="n">
        <v>459922</v>
      </c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</row>
    <row r="205" customFormat="false" ht="15" hidden="false" customHeight="false" outlineLevel="0" collapsed="false">
      <c r="A205" s="1" t="s">
        <v>222</v>
      </c>
      <c r="B205" s="1" t="n">
        <v>1868</v>
      </c>
      <c r="C205" s="1" t="n">
        <v>4</v>
      </c>
      <c r="D205" s="1" t="n">
        <v>329846</v>
      </c>
      <c r="E205" s="1" t="n">
        <v>0</v>
      </c>
      <c r="F205" s="1" t="n">
        <v>489</v>
      </c>
      <c r="G205" s="1" t="n">
        <v>0</v>
      </c>
      <c r="H205" s="1" t="n">
        <v>1</v>
      </c>
      <c r="I205" s="1" t="n">
        <v>7.236</v>
      </c>
      <c r="J205" s="1" t="n">
        <v>7.41</v>
      </c>
      <c r="K205" s="1" t="n">
        <v>0</v>
      </c>
      <c r="L205" s="1" t="s">
        <v>19</v>
      </c>
      <c r="M205" s="1" t="n">
        <v>1738931</v>
      </c>
      <c r="N205" s="1" t="n">
        <v>0.04</v>
      </c>
      <c r="O205" s="1" t="s">
        <v>20</v>
      </c>
      <c r="P205" s="1" t="n">
        <v>7.41</v>
      </c>
      <c r="Q205" s="1" t="n">
        <v>0</v>
      </c>
      <c r="R205" s="1" t="n">
        <v>492180</v>
      </c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</row>
    <row r="206" customFormat="false" ht="15" hidden="false" customHeight="false" outlineLevel="0" collapsed="false">
      <c r="A206" s="1" t="s">
        <v>223</v>
      </c>
      <c r="B206" s="1" t="n">
        <v>1422</v>
      </c>
      <c r="C206" s="1" t="n">
        <v>7</v>
      </c>
      <c r="D206" s="1" t="n">
        <v>251574</v>
      </c>
      <c r="E206" s="1" t="n">
        <v>0</v>
      </c>
      <c r="F206" s="1" t="n">
        <v>439</v>
      </c>
      <c r="G206" s="1" t="n">
        <v>0</v>
      </c>
      <c r="H206" s="1" t="n">
        <v>1</v>
      </c>
      <c r="I206" s="1" t="n">
        <v>6.504</v>
      </c>
      <c r="J206" s="1" t="n">
        <v>6.67</v>
      </c>
      <c r="K206" s="1" t="n">
        <v>0</v>
      </c>
      <c r="L206" s="1" t="s">
        <v>19</v>
      </c>
      <c r="M206" s="1" t="n">
        <v>1533995</v>
      </c>
      <c r="N206" s="1" t="n">
        <v>0.03</v>
      </c>
      <c r="O206" s="1" t="s">
        <v>20</v>
      </c>
      <c r="P206" s="1" t="n">
        <v>6.67</v>
      </c>
      <c r="Q206" s="1" t="n">
        <v>0</v>
      </c>
      <c r="R206" s="1" t="n">
        <v>435362</v>
      </c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</row>
    <row r="207" customFormat="false" ht="15" hidden="false" customHeight="false" outlineLevel="0" collapsed="false">
      <c r="A207" s="1" t="s">
        <v>224</v>
      </c>
      <c r="B207" s="1" t="n">
        <v>3104</v>
      </c>
      <c r="C207" s="1" t="n">
        <v>9</v>
      </c>
      <c r="D207" s="1" t="n">
        <v>380575</v>
      </c>
      <c r="E207" s="1" t="n">
        <v>0</v>
      </c>
      <c r="F207" s="1" t="n">
        <v>485</v>
      </c>
      <c r="G207" s="1" t="n">
        <v>0</v>
      </c>
      <c r="H207" s="1" t="n">
        <v>1</v>
      </c>
      <c r="I207" s="1" t="n">
        <v>7.176</v>
      </c>
      <c r="J207" s="1" t="n">
        <v>7.35</v>
      </c>
      <c r="K207" s="1" t="n">
        <v>0</v>
      </c>
      <c r="L207" s="1" t="s">
        <v>19</v>
      </c>
      <c r="M207" s="1" t="n">
        <v>1696163</v>
      </c>
      <c r="N207" s="1" t="n">
        <v>0.06</v>
      </c>
      <c r="O207" s="1" t="s">
        <v>20</v>
      </c>
      <c r="P207" s="1" t="n">
        <v>7.35</v>
      </c>
      <c r="Q207" s="1" t="n">
        <v>0</v>
      </c>
      <c r="R207" s="1" t="n">
        <v>485549</v>
      </c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</row>
    <row r="208" customFormat="false" ht="15" hidden="false" customHeight="false" outlineLevel="0" collapsed="false">
      <c r="A208" s="1" t="s">
        <v>225</v>
      </c>
      <c r="B208" s="1" t="n">
        <v>1299</v>
      </c>
      <c r="C208" s="1" t="n">
        <v>6</v>
      </c>
      <c r="D208" s="1" t="n">
        <v>396889</v>
      </c>
      <c r="E208" s="1" t="n">
        <v>0</v>
      </c>
      <c r="F208" s="1" t="n">
        <v>522</v>
      </c>
      <c r="G208" s="1" t="n">
        <v>0</v>
      </c>
      <c r="H208" s="1" t="n">
        <v>1</v>
      </c>
      <c r="I208" s="1" t="n">
        <v>7.107</v>
      </c>
      <c r="J208" s="1" t="n">
        <v>7.27</v>
      </c>
      <c r="K208" s="1" t="n">
        <v>0</v>
      </c>
      <c r="L208" s="1" t="s">
        <v>19</v>
      </c>
      <c r="M208" s="1" t="n">
        <v>1858967</v>
      </c>
      <c r="N208" s="1" t="n">
        <v>0.04</v>
      </c>
      <c r="O208" s="1" t="s">
        <v>20</v>
      </c>
      <c r="P208" s="1" t="n">
        <v>7.27</v>
      </c>
      <c r="Q208" s="1" t="n">
        <v>0</v>
      </c>
      <c r="R208" s="1" t="n">
        <v>524380</v>
      </c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</row>
    <row r="209" customFormat="false" ht="15" hidden="false" customHeight="false" outlineLevel="0" collapsed="false">
      <c r="A209" s="1" t="s">
        <v>226</v>
      </c>
      <c r="B209" s="1" t="n">
        <v>1774</v>
      </c>
      <c r="C209" s="1" t="n">
        <v>8</v>
      </c>
      <c r="D209" s="1" t="n">
        <v>490229</v>
      </c>
      <c r="E209" s="1" t="n">
        <v>0</v>
      </c>
      <c r="F209" s="1" t="n">
        <v>545</v>
      </c>
      <c r="G209" s="1" t="n">
        <v>0</v>
      </c>
      <c r="H209" s="1" t="n">
        <v>1</v>
      </c>
      <c r="I209" s="1" t="n">
        <v>8.404</v>
      </c>
      <c r="J209" s="1" t="n">
        <v>8.61</v>
      </c>
      <c r="K209" s="1" t="n">
        <v>0</v>
      </c>
      <c r="L209" s="1" t="s">
        <v>19</v>
      </c>
      <c r="M209" s="1" t="n">
        <v>2008655</v>
      </c>
      <c r="N209" s="1" t="n">
        <v>0.06</v>
      </c>
      <c r="O209" s="1" t="s">
        <v>20</v>
      </c>
      <c r="P209" s="1" t="n">
        <v>8.61</v>
      </c>
      <c r="Q209" s="1" t="n">
        <v>0</v>
      </c>
      <c r="R209" s="1" t="n">
        <v>555629</v>
      </c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</row>
    <row r="210" customFormat="false" ht="15" hidden="false" customHeight="false" outlineLevel="0" collapsed="false">
      <c r="A210" s="1" t="s">
        <v>227</v>
      </c>
      <c r="B210" s="1" t="n">
        <v>4403</v>
      </c>
      <c r="C210" s="1" t="n">
        <v>11</v>
      </c>
      <c r="D210" s="1" t="n">
        <v>448273</v>
      </c>
      <c r="E210" s="1" t="n">
        <v>0</v>
      </c>
      <c r="F210" s="1" t="n">
        <v>473</v>
      </c>
      <c r="G210" s="1" t="n">
        <v>0</v>
      </c>
      <c r="H210" s="1" t="n">
        <v>1</v>
      </c>
      <c r="I210" s="1" t="n">
        <v>6.903</v>
      </c>
      <c r="J210" s="1" t="n">
        <v>7.07</v>
      </c>
      <c r="K210" s="1" t="n">
        <v>0</v>
      </c>
      <c r="L210" s="1" t="s">
        <v>19</v>
      </c>
      <c r="M210" s="1" t="n">
        <v>1659329</v>
      </c>
      <c r="N210" s="1" t="n">
        <v>0.07</v>
      </c>
      <c r="O210" s="1" t="s">
        <v>20</v>
      </c>
      <c r="P210" s="1" t="n">
        <v>7.07</v>
      </c>
      <c r="Q210" s="1" t="n">
        <v>0</v>
      </c>
      <c r="R210" s="1" t="n">
        <v>474184</v>
      </c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</row>
    <row r="211" customFormat="false" ht="15" hidden="false" customHeight="false" outlineLevel="0" collapsed="false">
      <c r="A211" s="1" t="s">
        <v>228</v>
      </c>
      <c r="B211" s="1" t="n">
        <v>3041</v>
      </c>
      <c r="C211" s="1" t="n">
        <v>9</v>
      </c>
      <c r="D211" s="1" t="n">
        <v>378622</v>
      </c>
      <c r="E211" s="1" t="n">
        <v>0</v>
      </c>
      <c r="F211" s="1" t="n">
        <v>555</v>
      </c>
      <c r="G211" s="1" t="n">
        <v>0</v>
      </c>
      <c r="H211" s="1" t="n">
        <v>1</v>
      </c>
      <c r="I211" s="1" t="n">
        <v>8.746</v>
      </c>
      <c r="J211" s="1" t="n">
        <v>8.95</v>
      </c>
      <c r="K211" s="1" t="n">
        <v>0</v>
      </c>
      <c r="L211" s="1" t="s">
        <v>19</v>
      </c>
      <c r="M211" s="1" t="n">
        <v>2107406</v>
      </c>
      <c r="N211" s="1" t="n">
        <v>0.06</v>
      </c>
      <c r="O211" s="1" t="s">
        <v>20</v>
      </c>
      <c r="P211" s="1" t="n">
        <v>8.95</v>
      </c>
      <c r="Q211" s="1" t="n">
        <v>0</v>
      </c>
      <c r="R211" s="1" t="n">
        <v>559843</v>
      </c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</row>
    <row r="212" customFormat="false" ht="15" hidden="false" customHeight="false" outlineLevel="0" collapsed="false">
      <c r="A212" s="1" t="s">
        <v>229</v>
      </c>
      <c r="B212" s="1" t="n">
        <v>6173</v>
      </c>
      <c r="C212" s="1" t="n">
        <v>13</v>
      </c>
      <c r="D212" s="1" t="n">
        <v>530033</v>
      </c>
      <c r="E212" s="1" t="n">
        <v>0</v>
      </c>
      <c r="F212" s="1" t="n">
        <v>580</v>
      </c>
      <c r="G212" s="1" t="n">
        <v>0</v>
      </c>
      <c r="H212" s="1" t="n">
        <v>1</v>
      </c>
      <c r="I212" s="1" t="n">
        <v>8.542</v>
      </c>
      <c r="J212" s="1" t="n">
        <v>8.76</v>
      </c>
      <c r="K212" s="1" t="n">
        <v>0</v>
      </c>
      <c r="L212" s="1" t="s">
        <v>19</v>
      </c>
      <c r="M212" s="1" t="n">
        <v>2221604</v>
      </c>
      <c r="N212" s="1" t="n">
        <v>0.08</v>
      </c>
      <c r="O212" s="1" t="s">
        <v>20</v>
      </c>
      <c r="P212" s="1" t="n">
        <v>8.76</v>
      </c>
      <c r="Q212" s="1" t="n">
        <v>0</v>
      </c>
      <c r="R212" s="1" t="n">
        <v>589455</v>
      </c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</row>
    <row r="213" customFormat="false" ht="15" hidden="false" customHeight="false" outlineLevel="0" collapsed="false">
      <c r="A213" s="1" t="s">
        <v>230</v>
      </c>
      <c r="B213" s="1" t="n">
        <v>4516</v>
      </c>
      <c r="C213" s="1" t="n">
        <v>12</v>
      </c>
      <c r="D213" s="1" t="n">
        <v>444033</v>
      </c>
      <c r="E213" s="1" t="n">
        <v>0</v>
      </c>
      <c r="F213" s="1" t="n">
        <v>583</v>
      </c>
      <c r="G213" s="1" t="n">
        <v>0</v>
      </c>
      <c r="H213" s="1" t="n">
        <v>1</v>
      </c>
      <c r="I213" s="1" t="n">
        <v>9.296</v>
      </c>
      <c r="J213" s="1" t="n">
        <v>9.48</v>
      </c>
      <c r="K213" s="1" t="n">
        <v>0</v>
      </c>
      <c r="L213" s="1" t="s">
        <v>19</v>
      </c>
      <c r="M213" s="1" t="n">
        <v>2253372</v>
      </c>
      <c r="N213" s="1" t="n">
        <v>0.08</v>
      </c>
      <c r="O213" s="1" t="s">
        <v>20</v>
      </c>
      <c r="P213" s="1" t="n">
        <v>9.48</v>
      </c>
      <c r="Q213" s="1" t="n">
        <v>0</v>
      </c>
      <c r="R213" s="1" t="n">
        <v>596932</v>
      </c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</row>
    <row r="214" customFormat="false" ht="15" hidden="false" customHeight="false" outlineLevel="0" collapsed="false">
      <c r="A214" s="1" t="s">
        <v>231</v>
      </c>
      <c r="B214" s="1" t="n">
        <v>8903</v>
      </c>
      <c r="C214" s="1" t="n">
        <v>145</v>
      </c>
      <c r="D214" s="1" t="n">
        <v>538495</v>
      </c>
      <c r="E214" s="1" t="n">
        <v>0</v>
      </c>
      <c r="F214" s="1" t="n">
        <v>613</v>
      </c>
      <c r="G214" s="1" t="n">
        <v>0</v>
      </c>
      <c r="H214" s="1" t="n">
        <v>1</v>
      </c>
      <c r="I214" s="1" t="n">
        <v>10.047</v>
      </c>
      <c r="J214" s="1" t="n">
        <v>10.28</v>
      </c>
      <c r="K214" s="1" t="n">
        <v>1</v>
      </c>
      <c r="L214" s="1" t="s">
        <v>19</v>
      </c>
      <c r="M214" s="1" t="n">
        <v>2403390</v>
      </c>
      <c r="N214" s="1" t="n">
        <v>0.19</v>
      </c>
      <c r="O214" s="1" t="s">
        <v>20</v>
      </c>
      <c r="P214" s="1" t="n">
        <v>10.28</v>
      </c>
      <c r="Q214" s="1" t="n">
        <v>0</v>
      </c>
      <c r="R214" s="1" t="n">
        <v>628313</v>
      </c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</row>
    <row r="215" customFormat="false" ht="15" hidden="false" customHeight="false" outlineLevel="0" collapsed="false">
      <c r="A215" s="1" t="s">
        <v>232</v>
      </c>
      <c r="B215" s="1" t="n">
        <v>52716</v>
      </c>
      <c r="C215" s="1" t="n">
        <v>511</v>
      </c>
      <c r="D215" s="1" t="n">
        <v>548123</v>
      </c>
      <c r="E215" s="1" t="n">
        <v>0</v>
      </c>
      <c r="F215" s="1" t="n">
        <v>612</v>
      </c>
      <c r="G215" s="1" t="n">
        <v>0</v>
      </c>
      <c r="H215" s="1" t="n">
        <v>1</v>
      </c>
      <c r="I215" s="1" t="n">
        <v>10.741</v>
      </c>
      <c r="J215" s="1" t="n">
        <v>10.97</v>
      </c>
      <c r="K215" s="1" t="n">
        <v>5</v>
      </c>
      <c r="L215" s="1" t="s">
        <v>19</v>
      </c>
      <c r="M215" s="1" t="n">
        <v>2403390</v>
      </c>
      <c r="N215" s="1" t="n">
        <v>0.85</v>
      </c>
      <c r="O215" s="1" t="s">
        <v>20</v>
      </c>
      <c r="P215" s="1" t="n">
        <v>10.97</v>
      </c>
      <c r="Q215" s="1" t="n">
        <v>0</v>
      </c>
      <c r="R215" s="1" t="n">
        <v>628315</v>
      </c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</row>
    <row r="216" customFormat="false" ht="15" hidden="false" customHeight="false" outlineLevel="0" collapsed="false">
      <c r="A216" s="1" t="s">
        <v>233</v>
      </c>
      <c r="B216" s="1" t="n">
        <v>5544</v>
      </c>
      <c r="C216" s="1" t="n">
        <v>13</v>
      </c>
      <c r="D216" s="1" t="n">
        <v>522832</v>
      </c>
      <c r="E216" s="1" t="n">
        <v>0</v>
      </c>
      <c r="F216" s="1" t="n">
        <v>577</v>
      </c>
      <c r="G216" s="1" t="n">
        <v>0</v>
      </c>
      <c r="H216" s="1" t="n">
        <v>1</v>
      </c>
      <c r="I216" s="1" t="n">
        <v>9.227</v>
      </c>
      <c r="J216" s="1" t="n">
        <v>9.44</v>
      </c>
      <c r="K216" s="1" t="n">
        <v>0</v>
      </c>
      <c r="L216" s="1" t="s">
        <v>19</v>
      </c>
      <c r="M216" s="1" t="n">
        <v>2211850</v>
      </c>
      <c r="N216" s="1" t="n">
        <v>0.09</v>
      </c>
      <c r="O216" s="1" t="s">
        <v>20</v>
      </c>
      <c r="P216" s="1" t="n">
        <v>9.44</v>
      </c>
      <c r="Q216" s="1" t="n">
        <v>0</v>
      </c>
      <c r="R216" s="1" t="n">
        <v>585518</v>
      </c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</row>
    <row r="217" customFormat="false" ht="15" hidden="false" customHeight="false" outlineLevel="0" collapsed="false">
      <c r="A217" s="1" t="s">
        <v>234</v>
      </c>
      <c r="B217" s="1" t="n">
        <v>4774</v>
      </c>
      <c r="C217" s="1" t="n">
        <v>29</v>
      </c>
      <c r="D217" s="1" t="n">
        <v>522483</v>
      </c>
      <c r="E217" s="1" t="n">
        <v>0</v>
      </c>
      <c r="F217" s="1" t="n">
        <v>580</v>
      </c>
      <c r="G217" s="1" t="n">
        <v>0</v>
      </c>
      <c r="H217" s="1" t="n">
        <v>1</v>
      </c>
      <c r="I217" s="1" t="n">
        <v>9.113</v>
      </c>
      <c r="J217" s="1" t="n">
        <v>9.32</v>
      </c>
      <c r="K217" s="1" t="n">
        <v>0</v>
      </c>
      <c r="L217" s="1" t="s">
        <v>19</v>
      </c>
      <c r="M217" s="1" t="n">
        <v>2221604</v>
      </c>
      <c r="N217" s="1" t="n">
        <v>0.08</v>
      </c>
      <c r="O217" s="1" t="s">
        <v>20</v>
      </c>
      <c r="P217" s="1" t="n">
        <v>9.32</v>
      </c>
      <c r="Q217" s="1" t="n">
        <v>0</v>
      </c>
      <c r="R217" s="1" t="n">
        <v>589456</v>
      </c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</row>
    <row r="218" customFormat="false" ht="15" hidden="false" customHeight="false" outlineLevel="0" collapsed="false">
      <c r="A218" s="1" t="s">
        <v>235</v>
      </c>
      <c r="B218" s="1" t="n">
        <v>15122</v>
      </c>
      <c r="C218" s="1" t="n">
        <v>468</v>
      </c>
      <c r="D218" s="1" t="n">
        <v>555638</v>
      </c>
      <c r="E218" s="1" t="n">
        <v>0</v>
      </c>
      <c r="F218" s="1" t="n">
        <v>715</v>
      </c>
      <c r="G218" s="1" t="n">
        <v>0</v>
      </c>
      <c r="H218" s="1" t="n">
        <v>1</v>
      </c>
      <c r="I218" s="1" t="n">
        <v>11.668</v>
      </c>
      <c r="J218" s="1" t="n">
        <v>11.92</v>
      </c>
      <c r="K218" s="1" t="n">
        <v>4</v>
      </c>
      <c r="L218" s="1" t="s">
        <v>19</v>
      </c>
      <c r="M218" s="1" t="n">
        <v>2686479</v>
      </c>
      <c r="N218" s="1" t="n">
        <v>0.46</v>
      </c>
      <c r="O218" s="1" t="s">
        <v>20</v>
      </c>
      <c r="P218" s="1" t="n">
        <v>11.92</v>
      </c>
      <c r="Q218" s="1" t="n">
        <v>0</v>
      </c>
      <c r="R218" s="1" t="n">
        <v>701597</v>
      </c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</row>
    <row r="219" customFormat="false" ht="15" hidden="false" customHeight="false" outlineLevel="0" collapsed="false">
      <c r="A219" s="1" t="s">
        <v>236</v>
      </c>
      <c r="B219" s="1" t="n">
        <v>667</v>
      </c>
      <c r="C219" s="1" t="n">
        <v>0</v>
      </c>
      <c r="D219" s="1" t="n">
        <v>253051</v>
      </c>
      <c r="E219" s="1" t="n">
        <v>0</v>
      </c>
      <c r="F219" s="1" t="n">
        <v>268</v>
      </c>
      <c r="G219" s="1" t="n">
        <v>0</v>
      </c>
      <c r="H219" s="1" t="n">
        <v>1</v>
      </c>
      <c r="I219" s="1" t="n">
        <v>3.254</v>
      </c>
      <c r="J219" s="1" t="n">
        <v>3.35</v>
      </c>
      <c r="K219" s="1" t="n">
        <v>0</v>
      </c>
      <c r="L219" s="1" t="s">
        <v>19</v>
      </c>
      <c r="M219" s="1" t="n">
        <v>737376</v>
      </c>
      <c r="N219" s="1" t="n">
        <v>0.02</v>
      </c>
      <c r="O219" s="1" t="s">
        <v>20</v>
      </c>
      <c r="P219" s="1" t="n">
        <v>3.35</v>
      </c>
      <c r="Q219" s="1" t="n">
        <v>0</v>
      </c>
      <c r="R219" s="1" t="n">
        <v>265243</v>
      </c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</row>
    <row r="220" customFormat="false" ht="15" hidden="false" customHeight="false" outlineLevel="0" collapsed="false">
      <c r="A220" s="1" t="s">
        <v>237</v>
      </c>
      <c r="B220" s="1" t="n">
        <v>367</v>
      </c>
      <c r="C220" s="1" t="n">
        <v>0</v>
      </c>
      <c r="D220" s="1" t="n">
        <v>222778</v>
      </c>
      <c r="E220" s="1" t="n">
        <v>0</v>
      </c>
      <c r="F220" s="1" t="n">
        <v>208</v>
      </c>
      <c r="G220" s="1" t="n">
        <v>0</v>
      </c>
      <c r="H220" s="1" t="n">
        <v>1</v>
      </c>
      <c r="I220" s="1" t="n">
        <v>2.504</v>
      </c>
      <c r="J220" s="1" t="n">
        <v>2.58</v>
      </c>
      <c r="K220" s="1" t="n">
        <v>0</v>
      </c>
      <c r="L220" s="1" t="s">
        <v>19</v>
      </c>
      <c r="M220" s="1" t="n">
        <v>539637</v>
      </c>
      <c r="N220" s="1" t="n">
        <v>0.02</v>
      </c>
      <c r="O220" s="1" t="s">
        <v>20</v>
      </c>
      <c r="P220" s="1" t="n">
        <v>2.58</v>
      </c>
      <c r="Q220" s="1" t="n">
        <v>0</v>
      </c>
      <c r="R220" s="1" t="n">
        <v>202941</v>
      </c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</row>
    <row r="221" customFormat="false" ht="15" hidden="false" customHeight="false" outlineLevel="0" collapsed="false">
      <c r="A221" s="1" t="s">
        <v>238</v>
      </c>
      <c r="B221" s="1" t="n">
        <v>950</v>
      </c>
      <c r="C221" s="1" t="n">
        <v>0</v>
      </c>
      <c r="D221" s="1" t="n">
        <v>221932</v>
      </c>
      <c r="E221" s="1" t="n">
        <v>0</v>
      </c>
      <c r="F221" s="1" t="n">
        <v>209</v>
      </c>
      <c r="G221" s="1" t="n">
        <v>0</v>
      </c>
      <c r="H221" s="1" t="n">
        <v>1</v>
      </c>
      <c r="I221" s="1" t="n">
        <v>2.642</v>
      </c>
      <c r="J221" s="1" t="n">
        <v>2.72</v>
      </c>
      <c r="K221" s="1" t="n">
        <v>0</v>
      </c>
      <c r="L221" s="1" t="s">
        <v>19</v>
      </c>
      <c r="M221" s="1" t="n">
        <v>556265</v>
      </c>
      <c r="N221" s="1" t="n">
        <v>0.02</v>
      </c>
      <c r="O221" s="1" t="s">
        <v>20</v>
      </c>
      <c r="P221" s="1" t="n">
        <v>2.72</v>
      </c>
      <c r="Q221" s="1" t="n">
        <v>0</v>
      </c>
      <c r="R221" s="1" t="n">
        <v>205670</v>
      </c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</row>
    <row r="222" customFormat="false" ht="15" hidden="false" customHeight="false" outlineLevel="0" collapsed="false">
      <c r="A222" s="1" t="s">
        <v>239</v>
      </c>
      <c r="B222" s="1" t="n">
        <v>331</v>
      </c>
      <c r="C222" s="1" t="n">
        <v>0</v>
      </c>
      <c r="D222" s="1" t="n">
        <v>83873</v>
      </c>
      <c r="E222" s="1" t="n">
        <v>0</v>
      </c>
      <c r="F222" s="1" t="n">
        <v>147</v>
      </c>
      <c r="G222" s="1" t="n">
        <v>0</v>
      </c>
      <c r="H222" s="1" t="n">
        <v>1</v>
      </c>
      <c r="I222" s="1" t="n">
        <v>1.971</v>
      </c>
      <c r="J222" s="1" t="n">
        <v>2.02</v>
      </c>
      <c r="K222" s="1" t="n">
        <v>0</v>
      </c>
      <c r="L222" s="1" t="s">
        <v>19</v>
      </c>
      <c r="M222" s="1" t="n">
        <v>408308</v>
      </c>
      <c r="N222" s="1" t="n">
        <v>0.01</v>
      </c>
      <c r="O222" s="1" t="s">
        <v>20</v>
      </c>
      <c r="P222" s="1" t="n">
        <v>2.02</v>
      </c>
      <c r="Q222" s="1" t="n">
        <v>0</v>
      </c>
      <c r="R222" s="1" t="n">
        <v>148186</v>
      </c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</row>
    <row r="223" customFormat="false" ht="15" hidden="false" customHeight="false" outlineLevel="0" collapsed="false">
      <c r="A223" s="1" t="s">
        <v>240</v>
      </c>
      <c r="B223" s="1" t="n">
        <v>345</v>
      </c>
      <c r="C223" s="1" t="n">
        <v>0</v>
      </c>
      <c r="D223" s="1" t="n">
        <v>229738</v>
      </c>
      <c r="E223" s="1" t="n">
        <v>0</v>
      </c>
      <c r="F223" s="1" t="n">
        <v>211</v>
      </c>
      <c r="G223" s="1" t="n">
        <v>0</v>
      </c>
      <c r="H223" s="1" t="n">
        <v>1</v>
      </c>
      <c r="I223" s="1" t="n">
        <v>2.562</v>
      </c>
      <c r="J223" s="1" t="n">
        <v>2.64</v>
      </c>
      <c r="K223" s="1" t="n">
        <v>0</v>
      </c>
      <c r="L223" s="1" t="s">
        <v>19</v>
      </c>
      <c r="M223" s="1" t="n">
        <v>546219</v>
      </c>
      <c r="N223" s="1" t="n">
        <v>0.02</v>
      </c>
      <c r="O223" s="1" t="s">
        <v>20</v>
      </c>
      <c r="P223" s="1" t="n">
        <v>2.64</v>
      </c>
      <c r="Q223" s="1" t="n">
        <v>0</v>
      </c>
      <c r="R223" s="1" t="n">
        <v>205677</v>
      </c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</row>
    <row r="224" customFormat="false" ht="15" hidden="false" customHeight="false" outlineLevel="0" collapsed="false">
      <c r="A224" s="1" t="s">
        <v>241</v>
      </c>
      <c r="B224" s="1" t="n">
        <v>265</v>
      </c>
      <c r="C224" s="1" t="n">
        <v>0</v>
      </c>
      <c r="D224" s="1" t="n">
        <v>58092</v>
      </c>
      <c r="E224" s="1" t="n">
        <v>0</v>
      </c>
      <c r="F224" s="1" t="n">
        <v>122</v>
      </c>
      <c r="G224" s="1" t="n">
        <v>0</v>
      </c>
      <c r="H224" s="1" t="n">
        <v>1</v>
      </c>
      <c r="I224" s="1" t="n">
        <v>1.595</v>
      </c>
      <c r="J224" s="1" t="n">
        <v>1.64</v>
      </c>
      <c r="K224" s="1" t="n">
        <v>0</v>
      </c>
      <c r="L224" s="1" t="s">
        <v>19</v>
      </c>
      <c r="M224" s="1" t="n">
        <v>334046</v>
      </c>
      <c r="N224" s="1" t="n">
        <v>0.01</v>
      </c>
      <c r="O224" s="1" t="s">
        <v>20</v>
      </c>
      <c r="P224" s="1" t="n">
        <v>1.64</v>
      </c>
      <c r="Q224" s="1" t="n">
        <v>0</v>
      </c>
      <c r="R224" s="1" t="n">
        <v>121881</v>
      </c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</row>
    <row r="225" customFormat="false" ht="15" hidden="false" customHeight="false" outlineLevel="0" collapsed="false">
      <c r="A225" s="1" t="s">
        <v>242</v>
      </c>
      <c r="B225" s="1" t="n">
        <v>1378</v>
      </c>
      <c r="C225" s="1" t="n">
        <v>3</v>
      </c>
      <c r="D225" s="1" t="n">
        <v>283942</v>
      </c>
      <c r="E225" s="1" t="n">
        <v>0</v>
      </c>
      <c r="F225" s="1" t="n">
        <v>304</v>
      </c>
      <c r="G225" s="1" t="n">
        <v>0</v>
      </c>
      <c r="H225" s="1" t="n">
        <v>1</v>
      </c>
      <c r="I225" s="1" t="n">
        <v>3.849</v>
      </c>
      <c r="J225" s="1" t="n">
        <v>3.97</v>
      </c>
      <c r="K225" s="1" t="n">
        <v>0</v>
      </c>
      <c r="L225" s="1" t="s">
        <v>19</v>
      </c>
      <c r="M225" s="1" t="n">
        <v>830585</v>
      </c>
      <c r="N225" s="1" t="n">
        <v>0.04</v>
      </c>
      <c r="O225" s="1" t="s">
        <v>20</v>
      </c>
      <c r="P225" s="1" t="n">
        <v>3.97</v>
      </c>
      <c r="Q225" s="1" t="n">
        <v>0</v>
      </c>
      <c r="R225" s="1" t="n">
        <v>306909</v>
      </c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</row>
    <row r="226" customFormat="false" ht="15" hidden="false" customHeight="false" outlineLevel="0" collapsed="false">
      <c r="A226" s="1" t="s">
        <v>243</v>
      </c>
      <c r="B226" s="1" t="n">
        <v>2844</v>
      </c>
      <c r="C226" s="1" t="n">
        <v>79</v>
      </c>
      <c r="D226" s="1" t="n">
        <v>316042</v>
      </c>
      <c r="E226" s="1" t="n">
        <v>0</v>
      </c>
      <c r="F226" s="1" t="n">
        <v>349</v>
      </c>
      <c r="G226" s="1" t="n">
        <v>0</v>
      </c>
      <c r="H226" s="1" t="n">
        <v>1</v>
      </c>
      <c r="I226" s="1" t="n">
        <v>4.69</v>
      </c>
      <c r="J226" s="1" t="n">
        <v>4.81</v>
      </c>
      <c r="K226" s="1" t="n">
        <v>1</v>
      </c>
      <c r="L226" s="1" t="s">
        <v>19</v>
      </c>
      <c r="M226" s="1" t="n">
        <v>1027765</v>
      </c>
      <c r="N226" s="1" t="n">
        <v>0.08</v>
      </c>
      <c r="O226" s="1" t="s">
        <v>20</v>
      </c>
      <c r="P226" s="1" t="n">
        <v>4.81</v>
      </c>
      <c r="Q226" s="1" t="n">
        <v>0</v>
      </c>
      <c r="R226" s="1" t="n">
        <v>346581</v>
      </c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</row>
    <row r="227" customFormat="false" ht="15" hidden="false" customHeight="false" outlineLevel="0" collapsed="false">
      <c r="A227" s="1" t="s">
        <v>244</v>
      </c>
      <c r="B227" s="1" t="n">
        <v>1364</v>
      </c>
      <c r="C227" s="1" t="n">
        <v>0</v>
      </c>
      <c r="D227" s="1" t="n">
        <v>272925</v>
      </c>
      <c r="E227" s="1" t="n">
        <v>0</v>
      </c>
      <c r="F227" s="1" t="n">
        <v>287</v>
      </c>
      <c r="G227" s="1" t="n">
        <v>0</v>
      </c>
      <c r="H227" s="1" t="n">
        <v>1</v>
      </c>
      <c r="I227" s="1" t="n">
        <v>3.694</v>
      </c>
      <c r="J227" s="1" t="n">
        <v>3.8</v>
      </c>
      <c r="K227" s="1" t="n">
        <v>0</v>
      </c>
      <c r="L227" s="1" t="s">
        <v>19</v>
      </c>
      <c r="M227" s="1" t="n">
        <v>826392</v>
      </c>
      <c r="N227" s="1" t="n">
        <v>0.03</v>
      </c>
      <c r="O227" s="1" t="s">
        <v>20</v>
      </c>
      <c r="P227" s="1" t="n">
        <v>3.8</v>
      </c>
      <c r="Q227" s="1" t="n">
        <v>0</v>
      </c>
      <c r="R227" s="1" t="n">
        <v>284041</v>
      </c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</row>
    <row r="228" customFormat="false" ht="15" hidden="false" customHeight="false" outlineLevel="0" collapsed="false">
      <c r="A228" s="1" t="s">
        <v>245</v>
      </c>
      <c r="B228" s="1" t="n">
        <v>933</v>
      </c>
      <c r="C228" s="1" t="n">
        <v>1</v>
      </c>
      <c r="D228" s="1" t="n">
        <v>171827</v>
      </c>
      <c r="E228" s="1" t="n">
        <v>0</v>
      </c>
      <c r="F228" s="1" t="n">
        <v>292</v>
      </c>
      <c r="G228" s="1" t="n">
        <v>0</v>
      </c>
      <c r="H228" s="1" t="n">
        <v>1</v>
      </c>
      <c r="I228" s="1" t="n">
        <v>3.651</v>
      </c>
      <c r="J228" s="1" t="n">
        <v>3.76</v>
      </c>
      <c r="K228" s="1" t="n">
        <v>0</v>
      </c>
      <c r="L228" s="1" t="s">
        <v>19</v>
      </c>
      <c r="M228" s="1" t="n">
        <v>821353</v>
      </c>
      <c r="N228" s="1" t="n">
        <v>0.02</v>
      </c>
      <c r="O228" s="1" t="s">
        <v>20</v>
      </c>
      <c r="P228" s="1" t="n">
        <v>3.76</v>
      </c>
      <c r="Q228" s="1" t="n">
        <v>0</v>
      </c>
      <c r="R228" s="1" t="n">
        <v>291667</v>
      </c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</row>
    <row r="229" customFormat="false" ht="15" hidden="false" customHeight="false" outlineLevel="0" collapsed="false">
      <c r="A229" s="1" t="s">
        <v>246</v>
      </c>
      <c r="B229" s="1" t="n">
        <v>1056</v>
      </c>
      <c r="C229" s="1" t="n">
        <v>9</v>
      </c>
      <c r="D229" s="1" t="n">
        <v>143834</v>
      </c>
      <c r="E229" s="1" t="n">
        <v>0</v>
      </c>
      <c r="F229" s="1" t="n">
        <v>224</v>
      </c>
      <c r="G229" s="1" t="n">
        <v>0</v>
      </c>
      <c r="H229" s="1" t="n">
        <v>1</v>
      </c>
      <c r="I229" s="1" t="n">
        <v>2.947</v>
      </c>
      <c r="J229" s="1" t="n">
        <v>3.03</v>
      </c>
      <c r="K229" s="1" t="n">
        <v>0</v>
      </c>
      <c r="L229" s="1" t="s">
        <v>19</v>
      </c>
      <c r="M229" s="1" t="n">
        <v>649820</v>
      </c>
      <c r="N229" s="1" t="n">
        <v>0.02</v>
      </c>
      <c r="O229" s="1" t="s">
        <v>20</v>
      </c>
      <c r="P229" s="1" t="n">
        <v>3.03</v>
      </c>
      <c r="Q229" s="1" t="n">
        <v>0</v>
      </c>
      <c r="R229" s="1" t="n">
        <v>220674</v>
      </c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</row>
    <row r="230" customFormat="false" ht="15" hidden="false" customHeight="false" outlineLevel="0" collapsed="false">
      <c r="A230" s="1" t="s">
        <v>247</v>
      </c>
      <c r="B230" s="1" t="n">
        <v>1534</v>
      </c>
      <c r="C230" s="1" t="n">
        <v>1</v>
      </c>
      <c r="D230" s="1" t="n">
        <v>578685</v>
      </c>
      <c r="E230" s="1" t="n">
        <v>0</v>
      </c>
      <c r="F230" s="1" t="n">
        <v>482</v>
      </c>
      <c r="G230" s="1" t="n">
        <v>0</v>
      </c>
      <c r="H230" s="1" t="n">
        <v>1</v>
      </c>
      <c r="I230" s="1" t="n">
        <v>6.203</v>
      </c>
      <c r="J230" s="1" t="n">
        <v>6.38</v>
      </c>
      <c r="K230" s="1" t="n">
        <v>0</v>
      </c>
      <c r="L230" s="1" t="s">
        <v>19</v>
      </c>
      <c r="M230" s="1" t="n">
        <v>1417185</v>
      </c>
      <c r="N230" s="1" t="n">
        <v>0.05</v>
      </c>
      <c r="O230" s="1" t="s">
        <v>20</v>
      </c>
      <c r="P230" s="1" t="n">
        <v>6.38</v>
      </c>
      <c r="Q230" s="1" t="n">
        <v>0</v>
      </c>
      <c r="R230" s="1" t="n">
        <v>474960</v>
      </c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</row>
    <row r="231" customFormat="false" ht="15" hidden="false" customHeight="false" outlineLevel="0" collapsed="false">
      <c r="A231" s="1" t="s">
        <v>248</v>
      </c>
      <c r="B231" s="1" t="n">
        <v>1939</v>
      </c>
      <c r="C231" s="1" t="n">
        <v>1</v>
      </c>
      <c r="D231" s="1" t="n">
        <v>318627</v>
      </c>
      <c r="E231" s="1" t="n">
        <v>0</v>
      </c>
      <c r="F231" s="1" t="n">
        <v>441</v>
      </c>
      <c r="G231" s="1" t="n">
        <v>0</v>
      </c>
      <c r="H231" s="1" t="n">
        <v>1</v>
      </c>
      <c r="I231" s="1" t="n">
        <v>5.771</v>
      </c>
      <c r="J231" s="1" t="n">
        <v>5.94</v>
      </c>
      <c r="K231" s="1" t="n">
        <v>0</v>
      </c>
      <c r="L231" s="1" t="s">
        <v>19</v>
      </c>
      <c r="M231" s="1" t="n">
        <v>1268609</v>
      </c>
      <c r="N231" s="1" t="n">
        <v>0.04</v>
      </c>
      <c r="O231" s="1" t="s">
        <v>20</v>
      </c>
      <c r="P231" s="1" t="n">
        <v>5.94</v>
      </c>
      <c r="Q231" s="1" t="n">
        <v>0</v>
      </c>
      <c r="R231" s="1" t="n">
        <v>435446</v>
      </c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</row>
    <row r="232" customFormat="false" ht="15" hidden="false" customHeight="false" outlineLevel="0" collapsed="false">
      <c r="A232" s="1" t="s">
        <v>249</v>
      </c>
      <c r="B232" s="1" t="n">
        <v>966</v>
      </c>
      <c r="C232" s="1" t="n">
        <v>0</v>
      </c>
      <c r="D232" s="1" t="n">
        <v>310418</v>
      </c>
      <c r="E232" s="1" t="n">
        <v>0</v>
      </c>
      <c r="F232" s="1" t="n">
        <v>404</v>
      </c>
      <c r="G232" s="1" t="n">
        <v>0</v>
      </c>
      <c r="H232" s="1" t="n">
        <v>1</v>
      </c>
      <c r="I232" s="1" t="n">
        <v>5.099</v>
      </c>
      <c r="J232" s="1" t="n">
        <v>5.24</v>
      </c>
      <c r="K232" s="1" t="n">
        <v>0</v>
      </c>
      <c r="L232" s="1" t="s">
        <v>19</v>
      </c>
      <c r="M232" s="1" t="n">
        <v>1144394</v>
      </c>
      <c r="N232" s="1" t="n">
        <v>0.03</v>
      </c>
      <c r="O232" s="1" t="s">
        <v>20</v>
      </c>
      <c r="P232" s="1" t="n">
        <v>5.24</v>
      </c>
      <c r="Q232" s="1" t="n">
        <v>0</v>
      </c>
      <c r="R232" s="1" t="n">
        <v>392372</v>
      </c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</row>
    <row r="233" customFormat="false" ht="15" hidden="false" customHeight="false" outlineLevel="0" collapsed="false">
      <c r="A233" s="1" t="s">
        <v>250</v>
      </c>
      <c r="B233" s="1" t="n">
        <v>1961</v>
      </c>
      <c r="C233" s="1" t="n">
        <v>3</v>
      </c>
      <c r="D233" s="1" t="n">
        <v>408997</v>
      </c>
      <c r="E233" s="1" t="n">
        <v>0</v>
      </c>
      <c r="F233" s="1" t="n">
        <v>448</v>
      </c>
      <c r="G233" s="1" t="n">
        <v>0</v>
      </c>
      <c r="H233" s="1" t="n">
        <v>1</v>
      </c>
      <c r="I233" s="1" t="n">
        <v>6.062</v>
      </c>
      <c r="J233" s="1" t="n">
        <v>6.23</v>
      </c>
      <c r="K233" s="1" t="n">
        <v>0</v>
      </c>
      <c r="L233" s="1" t="s">
        <v>19</v>
      </c>
      <c r="M233" s="1" t="n">
        <v>1356220</v>
      </c>
      <c r="N233" s="1" t="n">
        <v>0.04</v>
      </c>
      <c r="O233" s="1" t="s">
        <v>20</v>
      </c>
      <c r="P233" s="1" t="n">
        <v>6.23</v>
      </c>
      <c r="Q233" s="1" t="n">
        <v>0</v>
      </c>
      <c r="R233" s="1" t="n">
        <v>440936</v>
      </c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</row>
    <row r="234" customFormat="false" ht="15" hidden="false" customHeight="false" outlineLevel="0" collapsed="false">
      <c r="A234" s="1" t="s">
        <v>251</v>
      </c>
      <c r="B234" s="1" t="n">
        <v>1202</v>
      </c>
      <c r="C234" s="1" t="n">
        <v>2</v>
      </c>
      <c r="D234" s="1" t="n">
        <v>190245</v>
      </c>
      <c r="E234" s="1" t="n">
        <v>0</v>
      </c>
      <c r="F234" s="1" t="n">
        <v>378</v>
      </c>
      <c r="G234" s="1" t="n">
        <v>0</v>
      </c>
      <c r="H234" s="1" t="n">
        <v>1</v>
      </c>
      <c r="I234" s="1" t="n">
        <v>4.986</v>
      </c>
      <c r="J234" s="1" t="n">
        <v>5.12</v>
      </c>
      <c r="K234" s="1" t="n">
        <v>0</v>
      </c>
      <c r="L234" s="1" t="s">
        <v>19</v>
      </c>
      <c r="M234" s="1" t="n">
        <v>1105113</v>
      </c>
      <c r="N234" s="1" t="n">
        <v>0.03</v>
      </c>
      <c r="O234" s="1" t="s">
        <v>20</v>
      </c>
      <c r="P234" s="1" t="n">
        <v>5.12</v>
      </c>
      <c r="Q234" s="1" t="n">
        <v>0</v>
      </c>
      <c r="R234" s="1" t="n">
        <v>360926</v>
      </c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</row>
    <row r="235" customFormat="false" ht="15" hidden="false" customHeight="false" outlineLevel="0" collapsed="false">
      <c r="A235" s="1" t="s">
        <v>252</v>
      </c>
      <c r="B235" s="1" t="n">
        <v>3797</v>
      </c>
      <c r="C235" s="1" t="n">
        <v>5</v>
      </c>
      <c r="D235" s="1" t="n">
        <v>622023</v>
      </c>
      <c r="E235" s="1" t="n">
        <v>0</v>
      </c>
      <c r="F235" s="1" t="n">
        <v>631</v>
      </c>
      <c r="G235" s="1" t="n">
        <v>0</v>
      </c>
      <c r="H235" s="1" t="n">
        <v>1</v>
      </c>
      <c r="I235" s="1" t="n">
        <v>8.829</v>
      </c>
      <c r="J235" s="1" t="n">
        <v>9.05</v>
      </c>
      <c r="K235" s="1" t="n">
        <v>0</v>
      </c>
      <c r="L235" s="1" t="s">
        <v>19</v>
      </c>
      <c r="M235" s="1" t="n">
        <v>2051108</v>
      </c>
      <c r="N235" s="1" t="n">
        <v>0.06</v>
      </c>
      <c r="O235" s="1" t="s">
        <v>20</v>
      </c>
      <c r="P235" s="1" t="n">
        <v>9.05</v>
      </c>
      <c r="Q235" s="1" t="n">
        <v>0</v>
      </c>
      <c r="R235" s="1" t="n">
        <v>635540</v>
      </c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</row>
    <row r="236" customFormat="false" ht="15" hidden="false" customHeight="false" outlineLevel="0" collapsed="false">
      <c r="A236" s="1" t="s">
        <v>253</v>
      </c>
      <c r="B236" s="1" t="n">
        <v>4500</v>
      </c>
      <c r="C236" s="1" t="n">
        <v>3</v>
      </c>
      <c r="D236" s="1" t="n">
        <v>746819</v>
      </c>
      <c r="E236" s="1" t="n">
        <v>0</v>
      </c>
      <c r="F236" s="1" t="n">
        <v>659</v>
      </c>
      <c r="G236" s="1" t="n">
        <v>0</v>
      </c>
      <c r="H236" s="1" t="n">
        <v>1</v>
      </c>
      <c r="I236" s="1" t="n">
        <v>9.382</v>
      </c>
      <c r="J236" s="1" t="n">
        <v>9.63</v>
      </c>
      <c r="K236" s="1" t="n">
        <v>0</v>
      </c>
      <c r="L236" s="1" t="s">
        <v>19</v>
      </c>
      <c r="M236" s="1" t="n">
        <v>2156840</v>
      </c>
      <c r="N236" s="1" t="n">
        <v>0.07</v>
      </c>
      <c r="O236" s="1" t="s">
        <v>20</v>
      </c>
      <c r="P236" s="1" t="n">
        <v>9.63</v>
      </c>
      <c r="Q236" s="1" t="n">
        <v>0</v>
      </c>
      <c r="R236" s="1" t="n">
        <v>660423</v>
      </c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</row>
    <row r="237" customFormat="false" ht="15" hidden="false" customHeight="false" outlineLevel="0" collapsed="false">
      <c r="A237" s="1" t="s">
        <v>254</v>
      </c>
      <c r="B237" s="1" t="n">
        <v>2827</v>
      </c>
      <c r="C237" s="1" t="n">
        <v>2</v>
      </c>
      <c r="D237" s="1" t="n">
        <v>617412</v>
      </c>
      <c r="E237" s="1" t="n">
        <v>0</v>
      </c>
      <c r="F237" s="1" t="n">
        <v>589</v>
      </c>
      <c r="G237" s="1" t="n">
        <v>0</v>
      </c>
      <c r="H237" s="1" t="n">
        <v>1</v>
      </c>
      <c r="I237" s="1" t="n">
        <v>8.294</v>
      </c>
      <c r="J237" s="1" t="n">
        <v>8.52</v>
      </c>
      <c r="K237" s="1" t="n">
        <v>0</v>
      </c>
      <c r="L237" s="1" t="s">
        <v>19</v>
      </c>
      <c r="M237" s="1" t="n">
        <v>1921852</v>
      </c>
      <c r="N237" s="1" t="n">
        <v>0.06</v>
      </c>
      <c r="O237" s="1" t="s">
        <v>20</v>
      </c>
      <c r="P237" s="1" t="n">
        <v>8.52</v>
      </c>
      <c r="Q237" s="1" t="n">
        <v>0</v>
      </c>
      <c r="R237" s="1" t="n">
        <v>603775</v>
      </c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</row>
    <row r="238" customFormat="false" ht="15" hidden="false" customHeight="false" outlineLevel="0" collapsed="false">
      <c r="A238" s="1" t="s">
        <v>255</v>
      </c>
      <c r="B238" s="1" t="n">
        <v>3365</v>
      </c>
      <c r="C238" s="1" t="n">
        <v>2</v>
      </c>
      <c r="D238" s="1" t="n">
        <v>607186</v>
      </c>
      <c r="E238" s="1" t="n">
        <v>0</v>
      </c>
      <c r="F238" s="1" t="n">
        <v>531</v>
      </c>
      <c r="G238" s="1" t="n">
        <v>0</v>
      </c>
      <c r="H238" s="1" t="n">
        <v>1</v>
      </c>
      <c r="I238" s="1" t="n">
        <v>7.195</v>
      </c>
      <c r="J238" s="1" t="n">
        <v>7.39</v>
      </c>
      <c r="K238" s="1" t="n">
        <v>0</v>
      </c>
      <c r="L238" s="1" t="s">
        <v>19</v>
      </c>
      <c r="M238" s="1" t="n">
        <v>1669088</v>
      </c>
      <c r="N238" s="1" t="n">
        <v>0.06</v>
      </c>
      <c r="O238" s="1" t="s">
        <v>20</v>
      </c>
      <c r="P238" s="1" t="n">
        <v>7.39</v>
      </c>
      <c r="Q238" s="1" t="n">
        <v>0</v>
      </c>
      <c r="R238" s="1" t="n">
        <v>533188</v>
      </c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</row>
    <row r="239" customFormat="false" ht="15" hidden="false" customHeight="false" outlineLevel="0" collapsed="false">
      <c r="A239" s="1" t="s">
        <v>256</v>
      </c>
      <c r="B239" s="1" t="n">
        <v>1885</v>
      </c>
      <c r="C239" s="1" t="n">
        <v>1</v>
      </c>
      <c r="D239" s="1" t="n">
        <v>339855</v>
      </c>
      <c r="E239" s="1" t="n">
        <v>0</v>
      </c>
      <c r="F239" s="1" t="n">
        <v>458</v>
      </c>
      <c r="G239" s="1" t="n">
        <v>0</v>
      </c>
      <c r="H239" s="1" t="n">
        <v>1</v>
      </c>
      <c r="I239" s="1" t="n">
        <v>6.237</v>
      </c>
      <c r="J239" s="1" t="n">
        <v>6.41</v>
      </c>
      <c r="K239" s="1" t="n">
        <v>0</v>
      </c>
      <c r="L239" s="1" t="s">
        <v>19</v>
      </c>
      <c r="M239" s="1" t="n">
        <v>1405453</v>
      </c>
      <c r="N239" s="1" t="n">
        <v>0.03</v>
      </c>
      <c r="O239" s="1" t="s">
        <v>20</v>
      </c>
      <c r="P239" s="1" t="n">
        <v>6.41</v>
      </c>
      <c r="Q239" s="1" t="n">
        <v>0</v>
      </c>
      <c r="R239" s="1" t="n">
        <v>453998</v>
      </c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</row>
    <row r="240" customFormat="false" ht="15" hidden="false" customHeight="false" outlineLevel="0" collapsed="false">
      <c r="A240" s="1" t="s">
        <v>257</v>
      </c>
      <c r="B240" s="1" t="n">
        <v>2346</v>
      </c>
      <c r="C240" s="1" t="n">
        <v>2</v>
      </c>
      <c r="D240" s="1" t="n">
        <v>511151</v>
      </c>
      <c r="E240" s="1" t="n">
        <v>0</v>
      </c>
      <c r="F240" s="1" t="n">
        <v>540</v>
      </c>
      <c r="G240" s="1" t="n">
        <v>0</v>
      </c>
      <c r="H240" s="1" t="n">
        <v>1</v>
      </c>
      <c r="I240" s="1" t="n">
        <v>7.598</v>
      </c>
      <c r="J240" s="1" t="n">
        <v>7.8</v>
      </c>
      <c r="K240" s="1" t="n">
        <v>0</v>
      </c>
      <c r="L240" s="1" t="s">
        <v>19</v>
      </c>
      <c r="M240" s="1" t="n">
        <v>1786304</v>
      </c>
      <c r="N240" s="1" t="n">
        <v>0.05</v>
      </c>
      <c r="O240" s="1" t="s">
        <v>20</v>
      </c>
      <c r="P240" s="1" t="n">
        <v>7.8</v>
      </c>
      <c r="Q240" s="1" t="n">
        <v>0</v>
      </c>
      <c r="R240" s="1" t="n">
        <v>540052</v>
      </c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</row>
    <row r="241" customFormat="false" ht="15" hidden="false" customHeight="false" outlineLevel="0" collapsed="false">
      <c r="A241" s="1" t="s">
        <v>258</v>
      </c>
      <c r="B241" s="1" t="n">
        <v>2257</v>
      </c>
      <c r="C241" s="1" t="n">
        <v>8</v>
      </c>
      <c r="D241" s="1" t="n">
        <v>401523</v>
      </c>
      <c r="E241" s="1" t="n">
        <v>0</v>
      </c>
      <c r="F241" s="1" t="n">
        <v>453</v>
      </c>
      <c r="G241" s="1" t="n">
        <v>0</v>
      </c>
      <c r="H241" s="1" t="n">
        <v>1</v>
      </c>
      <c r="I241" s="1" t="n">
        <v>6.408</v>
      </c>
      <c r="J241" s="1" t="n">
        <v>6.58</v>
      </c>
      <c r="K241" s="1" t="n">
        <v>0</v>
      </c>
      <c r="L241" s="1" t="s">
        <v>19</v>
      </c>
      <c r="M241" s="1" t="n">
        <v>1481787</v>
      </c>
      <c r="N241" s="1" t="n">
        <v>0.05</v>
      </c>
      <c r="O241" s="1" t="s">
        <v>20</v>
      </c>
      <c r="P241" s="1" t="n">
        <v>6.58</v>
      </c>
      <c r="Q241" s="1" t="n">
        <v>0</v>
      </c>
      <c r="R241" s="1" t="n">
        <v>442844</v>
      </c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</row>
    <row r="242" customFormat="false" ht="15" hidden="false" customHeight="false" outlineLevel="0" collapsed="false">
      <c r="A242" s="1" t="s">
        <v>259</v>
      </c>
      <c r="B242" s="1" t="n">
        <v>2990</v>
      </c>
      <c r="C242" s="1" t="n">
        <v>2</v>
      </c>
      <c r="D242" s="1" t="n">
        <v>491543</v>
      </c>
      <c r="E242" s="1" t="n">
        <v>0</v>
      </c>
      <c r="F242" s="1" t="n">
        <v>675</v>
      </c>
      <c r="G242" s="1" t="n">
        <v>0</v>
      </c>
      <c r="H242" s="1" t="n">
        <v>1</v>
      </c>
      <c r="I242" s="1" t="n">
        <v>9.774</v>
      </c>
      <c r="J242" s="1" t="n">
        <v>10.02</v>
      </c>
      <c r="K242" s="1" t="n">
        <v>0</v>
      </c>
      <c r="L242" s="1" t="s">
        <v>19</v>
      </c>
      <c r="M242" s="1" t="n">
        <v>2274531</v>
      </c>
      <c r="N242" s="1" t="n">
        <v>0.05</v>
      </c>
      <c r="O242" s="1" t="s">
        <v>20</v>
      </c>
      <c r="P242" s="1" t="n">
        <v>10.02</v>
      </c>
      <c r="Q242" s="1" t="n">
        <v>0</v>
      </c>
      <c r="R242" s="1" t="n">
        <v>668392</v>
      </c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</row>
    <row r="243" customFormat="false" ht="15" hidden="false" customHeight="false" outlineLevel="0" collapsed="false">
      <c r="A243" s="1" t="s">
        <v>260</v>
      </c>
      <c r="B243" s="1" t="n">
        <v>2948</v>
      </c>
      <c r="C243" s="1" t="n">
        <v>2</v>
      </c>
      <c r="D243" s="1" t="n">
        <v>648214</v>
      </c>
      <c r="E243" s="1" t="n">
        <v>0</v>
      </c>
      <c r="F243" s="1" t="n">
        <v>692</v>
      </c>
      <c r="G243" s="1" t="n">
        <v>0</v>
      </c>
      <c r="H243" s="1" t="n">
        <v>1</v>
      </c>
      <c r="I243" s="1" t="n">
        <v>10.18</v>
      </c>
      <c r="J243" s="1" t="n">
        <v>10.43</v>
      </c>
      <c r="K243" s="1" t="n">
        <v>0</v>
      </c>
      <c r="L243" s="1" t="s">
        <v>19</v>
      </c>
      <c r="M243" s="1" t="n">
        <v>2329385</v>
      </c>
      <c r="N243" s="1" t="n">
        <v>0.07</v>
      </c>
      <c r="O243" s="1" t="s">
        <v>20</v>
      </c>
      <c r="P243" s="1" t="n">
        <v>10.43</v>
      </c>
      <c r="Q243" s="1" t="n">
        <v>0</v>
      </c>
      <c r="R243" s="1" t="n">
        <v>691930</v>
      </c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</row>
    <row r="244" customFormat="false" ht="15" hidden="false" customHeight="false" outlineLevel="0" collapsed="false">
      <c r="A244" s="1" t="s">
        <v>261</v>
      </c>
      <c r="B244" s="1" t="n">
        <v>2438</v>
      </c>
      <c r="C244" s="1" t="n">
        <v>1</v>
      </c>
      <c r="D244" s="1" t="n">
        <v>519744</v>
      </c>
      <c r="E244" s="1" t="n">
        <v>0</v>
      </c>
      <c r="F244" s="1" t="n">
        <v>585</v>
      </c>
      <c r="G244" s="1" t="n">
        <v>0</v>
      </c>
      <c r="H244" s="1" t="n">
        <v>1</v>
      </c>
      <c r="I244" s="1" t="n">
        <v>8.628</v>
      </c>
      <c r="J244" s="1" t="n">
        <v>8.85</v>
      </c>
      <c r="K244" s="1" t="n">
        <v>0</v>
      </c>
      <c r="L244" s="1" t="s">
        <v>19</v>
      </c>
      <c r="M244" s="1" t="n">
        <v>1985147</v>
      </c>
      <c r="N244" s="1" t="n">
        <v>0.05</v>
      </c>
      <c r="O244" s="1" t="s">
        <v>20</v>
      </c>
      <c r="P244" s="1" t="n">
        <v>8.85</v>
      </c>
      <c r="Q244" s="1" t="n">
        <v>0</v>
      </c>
      <c r="R244" s="1" t="n">
        <v>594700</v>
      </c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</row>
    <row r="245" customFormat="false" ht="15" hidden="false" customHeight="false" outlineLevel="0" collapsed="false">
      <c r="A245" s="1" t="s">
        <v>262</v>
      </c>
      <c r="B245" s="1" t="n">
        <v>3367</v>
      </c>
      <c r="C245" s="1" t="n">
        <v>6</v>
      </c>
      <c r="D245" s="1" t="n">
        <v>639519</v>
      </c>
      <c r="E245" s="1" t="n">
        <v>0</v>
      </c>
      <c r="F245" s="1" t="n">
        <v>622</v>
      </c>
      <c r="G245" s="1" t="n">
        <v>0</v>
      </c>
      <c r="H245" s="1" t="n">
        <v>1</v>
      </c>
      <c r="I245" s="1" t="n">
        <v>9.036</v>
      </c>
      <c r="J245" s="1" t="n">
        <v>9.25</v>
      </c>
      <c r="K245" s="1" t="n">
        <v>0</v>
      </c>
      <c r="L245" s="1" t="s">
        <v>19</v>
      </c>
      <c r="M245" s="1" t="n">
        <v>2075841</v>
      </c>
      <c r="N245" s="1" t="n">
        <v>0.07</v>
      </c>
      <c r="O245" s="1" t="s">
        <v>20</v>
      </c>
      <c r="P245" s="1" t="n">
        <v>9.25</v>
      </c>
      <c r="Q245" s="1" t="n">
        <v>0</v>
      </c>
      <c r="R245" s="1" t="n">
        <v>621065</v>
      </c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</row>
    <row r="246" customFormat="false" ht="15" hidden="false" customHeight="false" outlineLevel="0" collapsed="false">
      <c r="A246" s="1" t="s">
        <v>263</v>
      </c>
      <c r="B246" s="1" t="n">
        <v>2030</v>
      </c>
      <c r="C246" s="1" t="n">
        <v>1</v>
      </c>
      <c r="D246" s="1" t="n">
        <v>369701</v>
      </c>
      <c r="E246" s="1" t="n">
        <v>0</v>
      </c>
      <c r="F246" s="1" t="n">
        <v>543</v>
      </c>
      <c r="G246" s="1" t="n">
        <v>0</v>
      </c>
      <c r="H246" s="1" t="n">
        <v>1</v>
      </c>
      <c r="I246" s="1" t="n">
        <v>7.789</v>
      </c>
      <c r="J246" s="1" t="n">
        <v>7.99</v>
      </c>
      <c r="K246" s="1" t="n">
        <v>0</v>
      </c>
      <c r="L246" s="1" t="s">
        <v>19</v>
      </c>
      <c r="M246" s="1" t="n">
        <v>1811304</v>
      </c>
      <c r="N246" s="1" t="n">
        <v>0.04</v>
      </c>
      <c r="O246" s="1" t="s">
        <v>20</v>
      </c>
      <c r="P246" s="1" t="n">
        <v>7.99</v>
      </c>
      <c r="Q246" s="1" t="n">
        <v>0</v>
      </c>
      <c r="R246" s="1" t="n">
        <v>540341</v>
      </c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</row>
    <row r="247" customFormat="false" ht="15" hidden="false" customHeight="false" outlineLevel="0" collapsed="false">
      <c r="A247" s="1" t="s">
        <v>264</v>
      </c>
      <c r="B247" s="1" t="n">
        <v>2505</v>
      </c>
      <c r="C247" s="1" t="n">
        <v>3</v>
      </c>
      <c r="D247" s="1" t="n">
        <v>535200</v>
      </c>
      <c r="E247" s="1" t="n">
        <v>0</v>
      </c>
      <c r="F247" s="1" t="n">
        <v>608</v>
      </c>
      <c r="G247" s="1" t="n">
        <v>0</v>
      </c>
      <c r="H247" s="1" t="n">
        <v>1</v>
      </c>
      <c r="I247" s="1" t="n">
        <v>8.984</v>
      </c>
      <c r="J247" s="1" t="n">
        <v>9.21</v>
      </c>
      <c r="K247" s="1" t="n">
        <v>0</v>
      </c>
      <c r="L247" s="1" t="s">
        <v>19</v>
      </c>
      <c r="M247" s="1" t="n">
        <v>2172418</v>
      </c>
      <c r="N247" s="1" t="n">
        <v>0.06</v>
      </c>
      <c r="O247" s="1" t="s">
        <v>20</v>
      </c>
      <c r="P247" s="1" t="n">
        <v>9.21</v>
      </c>
      <c r="Q247" s="1" t="n">
        <v>0</v>
      </c>
      <c r="R247" s="1" t="n">
        <v>613923</v>
      </c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</row>
    <row r="248" customFormat="false" ht="15" hidden="false" customHeight="false" outlineLevel="0" collapsed="false">
      <c r="A248" s="1" t="s">
        <v>265</v>
      </c>
      <c r="B248" s="1" t="n">
        <v>3603</v>
      </c>
      <c r="C248" s="1" t="n">
        <v>3</v>
      </c>
      <c r="D248" s="1" t="n">
        <v>811432</v>
      </c>
      <c r="E248" s="1" t="n">
        <v>0</v>
      </c>
      <c r="F248" s="1" t="n">
        <v>837</v>
      </c>
      <c r="G248" s="1" t="n">
        <v>0</v>
      </c>
      <c r="H248" s="1" t="n">
        <v>1</v>
      </c>
      <c r="I248" s="1" t="n">
        <v>12.253</v>
      </c>
      <c r="J248" s="1" t="n">
        <v>12.55</v>
      </c>
      <c r="K248" s="1" t="n">
        <v>0</v>
      </c>
      <c r="L248" s="1" t="s">
        <v>19</v>
      </c>
      <c r="M248" s="1" t="n">
        <v>2923192</v>
      </c>
      <c r="N248" s="1" t="n">
        <v>0.08</v>
      </c>
      <c r="O248" s="1" t="s">
        <v>20</v>
      </c>
      <c r="P248" s="1" t="n">
        <v>12.55</v>
      </c>
      <c r="Q248" s="1" t="n">
        <v>0</v>
      </c>
      <c r="R248" s="1" t="n">
        <v>811944</v>
      </c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</row>
    <row r="249" customFormat="false" ht="15" hidden="false" customHeight="false" outlineLevel="0" collapsed="false">
      <c r="A249" s="1" t="s">
        <v>266</v>
      </c>
      <c r="B249" s="1" t="n">
        <v>4417</v>
      </c>
      <c r="C249" s="1" t="n">
        <v>1</v>
      </c>
      <c r="D249" s="1" t="n">
        <v>813794</v>
      </c>
      <c r="E249" s="1" t="n">
        <v>0</v>
      </c>
      <c r="F249" s="1" t="n">
        <v>852</v>
      </c>
      <c r="G249" s="1" t="n">
        <v>0</v>
      </c>
      <c r="H249" s="1" t="n">
        <v>1</v>
      </c>
      <c r="I249" s="1" t="n">
        <v>13.054</v>
      </c>
      <c r="J249" s="1" t="n">
        <v>13.36</v>
      </c>
      <c r="K249" s="1" t="n">
        <v>0</v>
      </c>
      <c r="L249" s="1" t="s">
        <v>19</v>
      </c>
      <c r="M249" s="1" t="n">
        <v>3075352</v>
      </c>
      <c r="N249" s="1" t="n">
        <v>0.08</v>
      </c>
      <c r="O249" s="1" t="s">
        <v>20</v>
      </c>
      <c r="P249" s="1" t="n">
        <v>13.36</v>
      </c>
      <c r="Q249" s="1" t="n">
        <v>0</v>
      </c>
      <c r="R249" s="1" t="n">
        <v>839903</v>
      </c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</row>
    <row r="250" customFormat="false" ht="15" hidden="false" customHeight="false" outlineLevel="0" collapsed="false">
      <c r="A250" s="1" t="s">
        <v>267</v>
      </c>
      <c r="B250" s="1" t="n">
        <v>2699</v>
      </c>
      <c r="C250" s="1" t="n">
        <v>2</v>
      </c>
      <c r="D250" s="1" t="n">
        <v>682027</v>
      </c>
      <c r="E250" s="1" t="n">
        <v>0</v>
      </c>
      <c r="F250" s="1" t="n">
        <v>803</v>
      </c>
      <c r="G250" s="1" t="n">
        <v>0</v>
      </c>
      <c r="H250" s="1" t="n">
        <v>1</v>
      </c>
      <c r="I250" s="1" t="n">
        <v>11.512</v>
      </c>
      <c r="J250" s="1" t="n">
        <v>11.79</v>
      </c>
      <c r="K250" s="1" t="n">
        <v>0</v>
      </c>
      <c r="L250" s="1" t="s">
        <v>19</v>
      </c>
      <c r="M250" s="1" t="n">
        <v>2803380</v>
      </c>
      <c r="N250" s="1" t="n">
        <v>0.07</v>
      </c>
      <c r="O250" s="1" t="s">
        <v>20</v>
      </c>
      <c r="P250" s="1" t="n">
        <v>11.79</v>
      </c>
      <c r="Q250" s="1" t="n">
        <v>0</v>
      </c>
      <c r="R250" s="1" t="n">
        <v>782269</v>
      </c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</row>
    <row r="251" customFormat="false" ht="15" hidden="false" customHeight="false" outlineLevel="0" collapsed="false">
      <c r="A251" s="1" t="s">
        <v>268</v>
      </c>
      <c r="B251" s="1" t="n">
        <v>3426</v>
      </c>
      <c r="C251" s="1" t="n">
        <v>3</v>
      </c>
      <c r="D251" s="1" t="n">
        <v>809686</v>
      </c>
      <c r="E251" s="1" t="n">
        <v>0</v>
      </c>
      <c r="F251" s="1" t="n">
        <v>831</v>
      </c>
      <c r="G251" s="1" t="n">
        <v>0</v>
      </c>
      <c r="H251" s="1" t="n">
        <v>1</v>
      </c>
      <c r="I251" s="1" t="n">
        <v>12.534</v>
      </c>
      <c r="J251" s="1" t="n">
        <v>12.83</v>
      </c>
      <c r="K251" s="1" t="n">
        <v>0</v>
      </c>
      <c r="L251" s="1" t="s">
        <v>19</v>
      </c>
      <c r="M251" s="1" t="n">
        <v>2909680</v>
      </c>
      <c r="N251" s="1" t="n">
        <v>0.09</v>
      </c>
      <c r="O251" s="1" t="s">
        <v>20</v>
      </c>
      <c r="P251" s="1" t="n">
        <v>12.83</v>
      </c>
      <c r="Q251" s="1" t="n">
        <v>0</v>
      </c>
      <c r="R251" s="1" t="n">
        <v>809148</v>
      </c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</row>
    <row r="252" customFormat="false" ht="15" hidden="false" customHeight="false" outlineLevel="0" collapsed="false">
      <c r="A252" s="1" t="s">
        <v>269</v>
      </c>
      <c r="B252" s="1" t="n">
        <v>4776</v>
      </c>
      <c r="C252" s="1" t="n">
        <v>27</v>
      </c>
      <c r="D252" s="1" t="n">
        <v>674922</v>
      </c>
      <c r="E252" s="1" t="n">
        <v>0</v>
      </c>
      <c r="F252" s="1" t="n">
        <v>733</v>
      </c>
      <c r="G252" s="1" t="n">
        <v>0</v>
      </c>
      <c r="H252" s="1" t="n">
        <v>1</v>
      </c>
      <c r="I252" s="1" t="n">
        <v>10.893</v>
      </c>
      <c r="J252" s="1" t="n">
        <v>11.15</v>
      </c>
      <c r="K252" s="1" t="n">
        <v>0</v>
      </c>
      <c r="L252" s="1" t="s">
        <v>19</v>
      </c>
      <c r="M252" s="1" t="n">
        <v>2549056</v>
      </c>
      <c r="N252" s="1" t="n">
        <v>0.09</v>
      </c>
      <c r="O252" s="1" t="s">
        <v>20</v>
      </c>
      <c r="P252" s="1" t="n">
        <v>11.15</v>
      </c>
      <c r="Q252" s="1" t="n">
        <v>0</v>
      </c>
      <c r="R252" s="1" t="n">
        <v>711288</v>
      </c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</row>
    <row r="253" customFormat="false" ht="15" hidden="false" customHeight="false" outlineLevel="0" collapsed="false">
      <c r="A253" s="1" t="s">
        <v>270</v>
      </c>
      <c r="B253" s="1" t="n">
        <v>2870</v>
      </c>
      <c r="C253" s="1" t="n">
        <v>2</v>
      </c>
      <c r="D253" s="1" t="n">
        <v>521588</v>
      </c>
      <c r="E253" s="1" t="n">
        <v>0</v>
      </c>
      <c r="F253" s="1" t="n">
        <v>751</v>
      </c>
      <c r="G253" s="1" t="n">
        <v>0</v>
      </c>
      <c r="H253" s="1" t="n">
        <v>1</v>
      </c>
      <c r="I253" s="1" t="n">
        <v>11.134</v>
      </c>
      <c r="J253" s="1" t="n">
        <v>11.4</v>
      </c>
      <c r="K253" s="1" t="n">
        <v>0</v>
      </c>
      <c r="L253" s="1" t="s">
        <v>19</v>
      </c>
      <c r="M253" s="1" t="n">
        <v>2601328</v>
      </c>
      <c r="N253" s="1" t="n">
        <v>0.06</v>
      </c>
      <c r="O253" s="1" t="s">
        <v>20</v>
      </c>
      <c r="P253" s="1" t="n">
        <v>11.4</v>
      </c>
      <c r="Q253" s="1" t="n">
        <v>0</v>
      </c>
      <c r="R253" s="1" t="n">
        <v>728064</v>
      </c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</row>
    <row r="254" customFormat="false" ht="15" hidden="false" customHeight="false" outlineLevel="0" collapsed="false">
      <c r="A254" s="1" t="s">
        <v>271</v>
      </c>
      <c r="B254" s="1" t="n">
        <v>4343</v>
      </c>
      <c r="C254" s="1" t="n">
        <v>6</v>
      </c>
      <c r="D254" s="1" t="n">
        <v>822790</v>
      </c>
      <c r="E254" s="1" t="n">
        <v>0</v>
      </c>
      <c r="F254" s="1" t="n">
        <v>908</v>
      </c>
      <c r="G254" s="1" t="n">
        <v>0</v>
      </c>
      <c r="H254" s="1" t="n">
        <v>1</v>
      </c>
      <c r="I254" s="1" t="n">
        <v>14.108</v>
      </c>
      <c r="J254" s="1" t="n">
        <v>14.45</v>
      </c>
      <c r="K254" s="1" t="n">
        <v>0</v>
      </c>
      <c r="L254" s="1" t="s">
        <v>19</v>
      </c>
      <c r="M254" s="1" t="n">
        <v>3309351</v>
      </c>
      <c r="N254" s="1" t="n">
        <v>0.08</v>
      </c>
      <c r="O254" s="1" t="s">
        <v>20</v>
      </c>
      <c r="P254" s="1" t="n">
        <v>14.45</v>
      </c>
      <c r="Q254" s="1" t="n">
        <v>0</v>
      </c>
      <c r="R254" s="1" t="n">
        <v>900549</v>
      </c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</row>
    <row r="255" customFormat="false" ht="15" hidden="false" customHeight="false" outlineLevel="0" collapsed="false">
      <c r="A255" s="1" t="s">
        <v>272</v>
      </c>
      <c r="B255" s="1" t="n">
        <v>544</v>
      </c>
      <c r="C255" s="1" t="n">
        <v>40</v>
      </c>
      <c r="D255" s="1" t="n">
        <v>114048</v>
      </c>
      <c r="E255" s="1" t="n">
        <v>0</v>
      </c>
      <c r="F255" s="1" t="n">
        <v>142</v>
      </c>
      <c r="G255" s="1" t="n">
        <v>0</v>
      </c>
      <c r="H255" s="1" t="n">
        <v>1</v>
      </c>
      <c r="I255" s="1" t="n">
        <v>1.927</v>
      </c>
      <c r="J255" s="1" t="n">
        <v>1.98</v>
      </c>
      <c r="K255" s="1" t="n">
        <v>0</v>
      </c>
      <c r="L255" s="1" t="s">
        <v>19</v>
      </c>
      <c r="M255" s="1" t="n">
        <v>401420</v>
      </c>
      <c r="N255" s="1" t="n">
        <v>0.02</v>
      </c>
      <c r="O255" s="1" t="s">
        <v>20</v>
      </c>
      <c r="P255" s="1" t="n">
        <v>1.98</v>
      </c>
      <c r="Q255" s="1" t="n">
        <v>0</v>
      </c>
      <c r="R255" s="1" t="n">
        <v>144068</v>
      </c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</row>
    <row r="256" customFormat="false" ht="15" hidden="false" customHeight="false" outlineLevel="0" collapsed="false">
      <c r="A256" s="1" t="s">
        <v>273</v>
      </c>
      <c r="B256" s="1" t="n">
        <v>719</v>
      </c>
      <c r="C256" s="1" t="n">
        <v>0</v>
      </c>
      <c r="D256" s="1" t="n">
        <v>168281</v>
      </c>
      <c r="E256" s="1" t="n">
        <v>0</v>
      </c>
      <c r="F256" s="1" t="n">
        <v>166</v>
      </c>
      <c r="G256" s="1" t="n">
        <v>0</v>
      </c>
      <c r="H256" s="1" t="n">
        <v>1</v>
      </c>
      <c r="I256" s="1" t="n">
        <v>2.115</v>
      </c>
      <c r="J256" s="1" t="n">
        <v>2.17</v>
      </c>
      <c r="K256" s="1" t="n">
        <v>0</v>
      </c>
      <c r="L256" s="1" t="s">
        <v>19</v>
      </c>
      <c r="M256" s="1" t="n">
        <v>465766</v>
      </c>
      <c r="N256" s="1" t="n">
        <v>0.01</v>
      </c>
      <c r="O256" s="1" t="s">
        <v>20</v>
      </c>
      <c r="P256" s="1" t="n">
        <v>2.17</v>
      </c>
      <c r="Q256" s="1" t="n">
        <v>0</v>
      </c>
      <c r="R256" s="1" t="n">
        <v>169132</v>
      </c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</row>
    <row r="257" customFormat="false" ht="15" hidden="false" customHeight="false" outlineLevel="0" collapsed="false">
      <c r="A257" s="1" t="s">
        <v>274</v>
      </c>
      <c r="B257" s="1" t="n">
        <v>622</v>
      </c>
      <c r="C257" s="1" t="n">
        <v>0</v>
      </c>
      <c r="D257" s="1" t="n">
        <v>160990</v>
      </c>
      <c r="E257" s="1" t="n">
        <v>0</v>
      </c>
      <c r="F257" s="1" t="n">
        <v>163</v>
      </c>
      <c r="G257" s="1" t="n">
        <v>0</v>
      </c>
      <c r="H257" s="1" t="n">
        <v>1</v>
      </c>
      <c r="I257" s="1" t="n">
        <v>2.126</v>
      </c>
      <c r="J257" s="1" t="n">
        <v>2.18</v>
      </c>
      <c r="K257" s="1" t="n">
        <v>0</v>
      </c>
      <c r="L257" s="1" t="s">
        <v>19</v>
      </c>
      <c r="M257" s="1" t="n">
        <v>454222</v>
      </c>
      <c r="N257" s="1" t="n">
        <v>0.01</v>
      </c>
      <c r="O257" s="1" t="s">
        <v>20</v>
      </c>
      <c r="P257" s="1" t="n">
        <v>2.18</v>
      </c>
      <c r="Q257" s="1" t="n">
        <v>0</v>
      </c>
      <c r="R257" s="1" t="n">
        <v>165002</v>
      </c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</row>
    <row r="258" customFormat="false" ht="15" hidden="false" customHeight="false" outlineLevel="0" collapsed="false">
      <c r="A258" s="1" t="s">
        <v>275</v>
      </c>
      <c r="B258" s="1" t="n">
        <v>666</v>
      </c>
      <c r="C258" s="1" t="n">
        <v>0</v>
      </c>
      <c r="D258" s="1" t="n">
        <v>182548</v>
      </c>
      <c r="E258" s="1" t="n">
        <v>0</v>
      </c>
      <c r="F258" s="1" t="n">
        <v>150</v>
      </c>
      <c r="G258" s="1" t="n">
        <v>0</v>
      </c>
      <c r="H258" s="1" t="n">
        <v>1</v>
      </c>
      <c r="I258" s="1" t="n">
        <v>2.029</v>
      </c>
      <c r="J258" s="1" t="n">
        <v>2.08</v>
      </c>
      <c r="K258" s="1" t="n">
        <v>0</v>
      </c>
      <c r="L258" s="1" t="s">
        <v>19</v>
      </c>
      <c r="M258" s="1" t="n">
        <v>420432</v>
      </c>
      <c r="N258" s="1" t="n">
        <v>0.01</v>
      </c>
      <c r="O258" s="1" t="s">
        <v>20</v>
      </c>
      <c r="P258" s="1" t="n">
        <v>2.08</v>
      </c>
      <c r="Q258" s="1" t="n">
        <v>0</v>
      </c>
      <c r="R258" s="1" t="n">
        <v>152501</v>
      </c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</row>
    <row r="259" customFormat="false" ht="15" hidden="false" customHeight="false" outlineLevel="0" collapsed="false">
      <c r="A259" s="1" t="s">
        <v>276</v>
      </c>
      <c r="B259" s="1" t="n">
        <v>463</v>
      </c>
      <c r="C259" s="1" t="n">
        <v>1</v>
      </c>
      <c r="D259" s="1" t="n">
        <v>108049</v>
      </c>
      <c r="E259" s="1" t="n">
        <v>0</v>
      </c>
      <c r="F259" s="1" t="n">
        <v>139</v>
      </c>
      <c r="G259" s="1" t="n">
        <v>0</v>
      </c>
      <c r="H259" s="1" t="n">
        <v>1</v>
      </c>
      <c r="I259" s="1" t="n">
        <v>1.873</v>
      </c>
      <c r="J259" s="1" t="n">
        <v>1.92</v>
      </c>
      <c r="K259" s="1" t="n">
        <v>0</v>
      </c>
      <c r="L259" s="1" t="s">
        <v>19</v>
      </c>
      <c r="M259" s="1" t="n">
        <v>399106</v>
      </c>
      <c r="N259" s="1" t="n">
        <v>0.01</v>
      </c>
      <c r="O259" s="1" t="s">
        <v>20</v>
      </c>
      <c r="P259" s="1" t="n">
        <v>1.92</v>
      </c>
      <c r="Q259" s="1" t="n">
        <v>0</v>
      </c>
      <c r="R259" s="1" t="n">
        <v>143340</v>
      </c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</row>
    <row r="260" customFormat="false" ht="15" hidden="false" customHeight="false" outlineLevel="0" collapsed="false">
      <c r="A260" s="1" t="s">
        <v>277</v>
      </c>
      <c r="B260" s="1" t="n">
        <v>601</v>
      </c>
      <c r="C260" s="1" t="n">
        <v>0</v>
      </c>
      <c r="D260" s="1" t="n">
        <v>205565</v>
      </c>
      <c r="E260" s="1" t="n">
        <v>0</v>
      </c>
      <c r="F260" s="1" t="n">
        <v>166</v>
      </c>
      <c r="G260" s="1" t="n">
        <v>0</v>
      </c>
      <c r="H260" s="1" t="n">
        <v>1</v>
      </c>
      <c r="I260" s="1" t="n">
        <v>2.138</v>
      </c>
      <c r="J260" s="1" t="n">
        <v>2.2</v>
      </c>
      <c r="K260" s="1" t="n">
        <v>0</v>
      </c>
      <c r="L260" s="1" t="s">
        <v>19</v>
      </c>
      <c r="M260" s="1" t="n">
        <v>458830</v>
      </c>
      <c r="N260" s="1" t="n">
        <v>0.02</v>
      </c>
      <c r="O260" s="1" t="s">
        <v>20</v>
      </c>
      <c r="P260" s="1" t="n">
        <v>2.2</v>
      </c>
      <c r="Q260" s="1" t="n">
        <v>0</v>
      </c>
      <c r="R260" s="1" t="n">
        <v>166473</v>
      </c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</row>
    <row r="261" customFormat="false" ht="15" hidden="false" customHeight="false" outlineLevel="0" collapsed="false">
      <c r="A261" s="1" t="s">
        <v>278</v>
      </c>
      <c r="B261" s="1" t="n">
        <v>334</v>
      </c>
      <c r="C261" s="1" t="n">
        <v>0</v>
      </c>
      <c r="D261" s="1" t="n">
        <v>81627</v>
      </c>
      <c r="E261" s="1" t="n">
        <v>0</v>
      </c>
      <c r="F261" s="1" t="n">
        <v>129</v>
      </c>
      <c r="G261" s="1" t="n">
        <v>0</v>
      </c>
      <c r="H261" s="1" t="n">
        <v>1</v>
      </c>
      <c r="I261" s="1" t="n">
        <v>1.733</v>
      </c>
      <c r="J261" s="1" t="n">
        <v>1.78</v>
      </c>
      <c r="K261" s="1" t="n">
        <v>0</v>
      </c>
      <c r="L261" s="1" t="s">
        <v>19</v>
      </c>
      <c r="M261" s="1" t="n">
        <v>355342</v>
      </c>
      <c r="N261" s="1" t="n">
        <v>0.01</v>
      </c>
      <c r="O261" s="1" t="s">
        <v>20</v>
      </c>
      <c r="P261" s="1" t="n">
        <v>1.78</v>
      </c>
      <c r="Q261" s="1" t="n">
        <v>0</v>
      </c>
      <c r="R261" s="1" t="n">
        <v>129333</v>
      </c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</row>
    <row r="262" customFormat="false" ht="15" hidden="false" customHeight="false" outlineLevel="0" collapsed="false">
      <c r="A262" s="1" t="s">
        <v>279</v>
      </c>
      <c r="B262" s="1" t="n">
        <v>541</v>
      </c>
      <c r="C262" s="1" t="n">
        <v>1</v>
      </c>
      <c r="D262" s="1" t="n">
        <v>194533</v>
      </c>
      <c r="E262" s="1" t="n">
        <v>0</v>
      </c>
      <c r="F262" s="1" t="n">
        <v>237</v>
      </c>
      <c r="G262" s="1" t="n">
        <v>0</v>
      </c>
      <c r="H262" s="1" t="n">
        <v>1</v>
      </c>
      <c r="I262" s="1" t="n">
        <v>3.201</v>
      </c>
      <c r="J262" s="1" t="n">
        <v>3.28</v>
      </c>
      <c r="K262" s="1" t="n">
        <v>0</v>
      </c>
      <c r="L262" s="1" t="s">
        <v>19</v>
      </c>
      <c r="M262" s="1" t="n">
        <v>715290</v>
      </c>
      <c r="N262" s="1" t="n">
        <v>0.02</v>
      </c>
      <c r="O262" s="1" t="s">
        <v>20</v>
      </c>
      <c r="P262" s="1" t="n">
        <v>3.28</v>
      </c>
      <c r="Q262" s="1" t="n">
        <v>0</v>
      </c>
      <c r="R262" s="1" t="n">
        <v>236663</v>
      </c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</row>
    <row r="263" customFormat="false" ht="15" hidden="false" customHeight="false" outlineLevel="0" collapsed="false">
      <c r="A263" s="1" t="s">
        <v>280</v>
      </c>
      <c r="B263" s="1" t="n">
        <v>452</v>
      </c>
      <c r="C263" s="1" t="n">
        <v>1</v>
      </c>
      <c r="D263" s="1" t="n">
        <v>146076</v>
      </c>
      <c r="E263" s="1" t="n">
        <v>0</v>
      </c>
      <c r="F263" s="1" t="n">
        <v>220</v>
      </c>
      <c r="G263" s="1" t="n">
        <v>0</v>
      </c>
      <c r="H263" s="1" t="n">
        <v>1</v>
      </c>
      <c r="I263" s="1" t="n">
        <v>2.936</v>
      </c>
      <c r="J263" s="1" t="n">
        <v>3.01</v>
      </c>
      <c r="K263" s="1" t="n">
        <v>0</v>
      </c>
      <c r="L263" s="1" t="s">
        <v>19</v>
      </c>
      <c r="M263" s="1" t="n">
        <v>666053</v>
      </c>
      <c r="N263" s="1" t="n">
        <v>0.02</v>
      </c>
      <c r="O263" s="1" t="s">
        <v>20</v>
      </c>
      <c r="P263" s="1" t="n">
        <v>3.01</v>
      </c>
      <c r="Q263" s="1" t="n">
        <v>0</v>
      </c>
      <c r="R263" s="1" t="n">
        <v>217400</v>
      </c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</row>
    <row r="264" customFormat="false" ht="15" hidden="false" customHeight="false" outlineLevel="0" collapsed="false">
      <c r="A264" s="1" t="s">
        <v>281</v>
      </c>
      <c r="B264" s="1" t="n">
        <v>509</v>
      </c>
      <c r="C264" s="1" t="n">
        <v>1</v>
      </c>
      <c r="D264" s="1" t="n">
        <v>163877</v>
      </c>
      <c r="E264" s="1" t="n">
        <v>0</v>
      </c>
      <c r="F264" s="1" t="n">
        <v>204</v>
      </c>
      <c r="G264" s="1" t="n">
        <v>0</v>
      </c>
      <c r="H264" s="1" t="n">
        <v>1</v>
      </c>
      <c r="I264" s="1" t="n">
        <v>2.819</v>
      </c>
      <c r="J264" s="1" t="n">
        <v>2.89</v>
      </c>
      <c r="K264" s="1" t="n">
        <v>0</v>
      </c>
      <c r="L264" s="1" t="s">
        <v>19</v>
      </c>
      <c r="M264" s="1" t="n">
        <v>626830</v>
      </c>
      <c r="N264" s="1" t="n">
        <v>0.02</v>
      </c>
      <c r="O264" s="1" t="s">
        <v>20</v>
      </c>
      <c r="P264" s="1" t="n">
        <v>2.89</v>
      </c>
      <c r="Q264" s="1" t="n">
        <v>0</v>
      </c>
      <c r="R264" s="1" t="n">
        <v>205362</v>
      </c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</row>
    <row r="265" customFormat="false" ht="15" hidden="false" customHeight="false" outlineLevel="0" collapsed="false">
      <c r="A265" s="1" t="s">
        <v>282</v>
      </c>
      <c r="B265" s="1" t="n">
        <v>659</v>
      </c>
      <c r="C265" s="1" t="n">
        <v>1</v>
      </c>
      <c r="D265" s="1" t="n">
        <v>242116</v>
      </c>
      <c r="E265" s="1" t="n">
        <v>0</v>
      </c>
      <c r="F265" s="1" t="n">
        <v>237</v>
      </c>
      <c r="G265" s="1" t="n">
        <v>0</v>
      </c>
      <c r="H265" s="1" t="n">
        <v>1</v>
      </c>
      <c r="I265" s="1" t="n">
        <v>3.191</v>
      </c>
      <c r="J265" s="1" t="n">
        <v>3.28</v>
      </c>
      <c r="K265" s="1" t="n">
        <v>0</v>
      </c>
      <c r="L265" s="1" t="s">
        <v>19</v>
      </c>
      <c r="M265" s="1" t="n">
        <v>720666</v>
      </c>
      <c r="N265" s="1" t="n">
        <v>0.02</v>
      </c>
      <c r="O265" s="1" t="s">
        <v>20</v>
      </c>
      <c r="P265" s="1" t="n">
        <v>3.28</v>
      </c>
      <c r="Q265" s="1" t="n">
        <v>0</v>
      </c>
      <c r="R265" s="1" t="n">
        <v>238148</v>
      </c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</row>
    <row r="266" customFormat="false" ht="15" hidden="false" customHeight="false" outlineLevel="0" collapsed="false">
      <c r="A266" s="1" t="s">
        <v>283</v>
      </c>
      <c r="B266" s="1" t="n">
        <v>560</v>
      </c>
      <c r="C266" s="1" t="n">
        <v>2</v>
      </c>
      <c r="D266" s="1" t="n">
        <v>214249</v>
      </c>
      <c r="E266" s="1" t="n">
        <v>0</v>
      </c>
      <c r="F266" s="1" t="n">
        <v>226</v>
      </c>
      <c r="G266" s="1" t="n">
        <v>0</v>
      </c>
      <c r="H266" s="1" t="n">
        <v>1</v>
      </c>
      <c r="I266" s="1" t="n">
        <v>3.001</v>
      </c>
      <c r="J266" s="1" t="n">
        <v>3.08</v>
      </c>
      <c r="K266" s="1" t="n">
        <v>0</v>
      </c>
      <c r="L266" s="1" t="s">
        <v>19</v>
      </c>
      <c r="M266" s="1" t="n">
        <v>677935</v>
      </c>
      <c r="N266" s="1" t="n">
        <v>0.02</v>
      </c>
      <c r="O266" s="1" t="s">
        <v>20</v>
      </c>
      <c r="P266" s="1" t="n">
        <v>3.08</v>
      </c>
      <c r="Q266" s="1" t="n">
        <v>0</v>
      </c>
      <c r="R266" s="1" t="n">
        <v>223937</v>
      </c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</row>
    <row r="267" customFormat="false" ht="15" hidden="false" customHeight="false" outlineLevel="0" collapsed="false">
      <c r="A267" s="1" t="s">
        <v>284</v>
      </c>
      <c r="B267" s="1" t="n">
        <v>1192</v>
      </c>
      <c r="C267" s="1" t="n">
        <v>91</v>
      </c>
      <c r="D267" s="1" t="n">
        <v>139145</v>
      </c>
      <c r="E267" s="1" t="n">
        <v>0</v>
      </c>
      <c r="F267" s="1" t="n">
        <v>194</v>
      </c>
      <c r="G267" s="1" t="n">
        <v>0</v>
      </c>
      <c r="H267" s="1" t="n">
        <v>1</v>
      </c>
      <c r="I267" s="1" t="n">
        <v>2.594</v>
      </c>
      <c r="J267" s="1" t="n">
        <v>2.66</v>
      </c>
      <c r="K267" s="1" t="n">
        <v>1</v>
      </c>
      <c r="L267" s="1" t="s">
        <v>19</v>
      </c>
      <c r="M267" s="1" t="n">
        <v>586556</v>
      </c>
      <c r="N267" s="1" t="n">
        <v>0.03</v>
      </c>
      <c r="O267" s="1" t="s">
        <v>20</v>
      </c>
      <c r="P267" s="1" t="n">
        <v>2.66</v>
      </c>
      <c r="Q267" s="1" t="n">
        <v>0</v>
      </c>
      <c r="R267" s="1" t="n">
        <v>194324</v>
      </c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</row>
    <row r="268" customFormat="false" ht="15" hidden="false" customHeight="false" outlineLevel="0" collapsed="false">
      <c r="A268" s="1" t="s">
        <v>285</v>
      </c>
      <c r="B268" s="1" t="n">
        <v>1600</v>
      </c>
      <c r="C268" s="1" t="n">
        <v>136</v>
      </c>
      <c r="D268" s="1" t="n">
        <v>247458</v>
      </c>
      <c r="E268" s="1" t="n">
        <v>0</v>
      </c>
      <c r="F268" s="1" t="n">
        <v>224</v>
      </c>
      <c r="G268" s="1" t="n">
        <v>0</v>
      </c>
      <c r="H268" s="1" t="n">
        <v>1</v>
      </c>
      <c r="I268" s="1" t="n">
        <v>3.05</v>
      </c>
      <c r="J268" s="1" t="n">
        <v>3.13</v>
      </c>
      <c r="K268" s="1" t="n">
        <v>1</v>
      </c>
      <c r="L268" s="1" t="s">
        <v>19</v>
      </c>
      <c r="M268" s="1" t="n">
        <v>662523</v>
      </c>
      <c r="N268" s="1" t="n">
        <v>0.07</v>
      </c>
      <c r="O268" s="1" t="s">
        <v>20</v>
      </c>
      <c r="P268" s="1" t="n">
        <v>3.13</v>
      </c>
      <c r="Q268" s="1" t="n">
        <v>0</v>
      </c>
      <c r="R268" s="1" t="n">
        <v>221852</v>
      </c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</row>
    <row r="269" customFormat="false" ht="15" hidden="false" customHeight="false" outlineLevel="0" collapsed="false">
      <c r="A269" s="1" t="s">
        <v>286</v>
      </c>
      <c r="B269" s="1" t="n">
        <v>558</v>
      </c>
      <c r="C269" s="1" t="n">
        <v>2</v>
      </c>
      <c r="D269" s="1" t="n">
        <v>259948</v>
      </c>
      <c r="E269" s="1" t="n">
        <v>0</v>
      </c>
      <c r="F269" s="1" t="n">
        <v>289</v>
      </c>
      <c r="G269" s="1" t="n">
        <v>0</v>
      </c>
      <c r="H269" s="1" t="n">
        <v>1</v>
      </c>
      <c r="I269" s="1" t="n">
        <v>3.958</v>
      </c>
      <c r="J269" s="1" t="n">
        <v>4.07</v>
      </c>
      <c r="K269" s="1" t="n">
        <v>0</v>
      </c>
      <c r="L269" s="1" t="s">
        <v>19</v>
      </c>
      <c r="M269" s="1" t="n">
        <v>982636</v>
      </c>
      <c r="N269" s="1" t="n">
        <v>0.02</v>
      </c>
      <c r="O269" s="1" t="s">
        <v>20</v>
      </c>
      <c r="P269" s="1" t="n">
        <v>4.07</v>
      </c>
      <c r="Q269" s="1" t="n">
        <v>0</v>
      </c>
      <c r="R269" s="1" t="n">
        <v>297172</v>
      </c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</row>
    <row r="270" customFormat="false" ht="15" hidden="false" customHeight="false" outlineLevel="0" collapsed="false">
      <c r="A270" s="1" t="s">
        <v>287</v>
      </c>
      <c r="B270" s="1" t="n">
        <v>433</v>
      </c>
      <c r="C270" s="1" t="n">
        <v>1</v>
      </c>
      <c r="D270" s="1" t="n">
        <v>215647</v>
      </c>
      <c r="E270" s="1" t="n">
        <v>0</v>
      </c>
      <c r="F270" s="1" t="n">
        <v>276</v>
      </c>
      <c r="G270" s="1" t="n">
        <v>0</v>
      </c>
      <c r="H270" s="1" t="n">
        <v>1</v>
      </c>
      <c r="I270" s="1" t="n">
        <v>4.023</v>
      </c>
      <c r="J270" s="1" t="n">
        <v>4.13</v>
      </c>
      <c r="K270" s="1" t="n">
        <v>0</v>
      </c>
      <c r="L270" s="1" t="s">
        <v>19</v>
      </c>
      <c r="M270" s="1" t="n">
        <v>948874</v>
      </c>
      <c r="N270" s="1" t="n">
        <v>0.02</v>
      </c>
      <c r="O270" s="1" t="s">
        <v>20</v>
      </c>
      <c r="P270" s="1" t="n">
        <v>4.13</v>
      </c>
      <c r="Q270" s="1" t="n">
        <v>0</v>
      </c>
      <c r="R270" s="1" t="n">
        <v>283728</v>
      </c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</row>
    <row r="271" customFormat="false" ht="15" hidden="false" customHeight="false" outlineLevel="0" collapsed="false">
      <c r="A271" s="1" t="s">
        <v>288</v>
      </c>
      <c r="B271" s="1" t="n">
        <v>620</v>
      </c>
      <c r="C271" s="1" t="n">
        <v>2</v>
      </c>
      <c r="D271" s="1" t="n">
        <v>310894</v>
      </c>
      <c r="E271" s="1" t="n">
        <v>0</v>
      </c>
      <c r="F271" s="1" t="n">
        <v>290</v>
      </c>
      <c r="G271" s="1" t="n">
        <v>0</v>
      </c>
      <c r="H271" s="1" t="n">
        <v>1</v>
      </c>
      <c r="I271" s="1" t="n">
        <v>4.255</v>
      </c>
      <c r="J271" s="1" t="n">
        <v>4.37</v>
      </c>
      <c r="K271" s="1" t="n">
        <v>0</v>
      </c>
      <c r="L271" s="1" t="s">
        <v>19</v>
      </c>
      <c r="M271" s="1" t="n">
        <v>994499</v>
      </c>
      <c r="N271" s="1" t="n">
        <v>0.03</v>
      </c>
      <c r="O271" s="1" t="s">
        <v>20</v>
      </c>
      <c r="P271" s="1" t="n">
        <v>4.37</v>
      </c>
      <c r="Q271" s="1" t="n">
        <v>0</v>
      </c>
      <c r="R271" s="1" t="n">
        <v>300811</v>
      </c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</row>
    <row r="272" customFormat="false" ht="15" hidden="false" customHeight="false" outlineLevel="0" collapsed="false">
      <c r="A272" s="1" t="s">
        <v>289</v>
      </c>
      <c r="B272" s="1" t="n">
        <v>680</v>
      </c>
      <c r="C272" s="1" t="n">
        <v>1</v>
      </c>
      <c r="D272" s="1" t="n">
        <v>261862</v>
      </c>
      <c r="E272" s="1" t="n">
        <v>0</v>
      </c>
      <c r="F272" s="1" t="n">
        <v>290</v>
      </c>
      <c r="G272" s="1" t="n">
        <v>0</v>
      </c>
      <c r="H272" s="1" t="n">
        <v>1</v>
      </c>
      <c r="I272" s="1" t="n">
        <v>4.371</v>
      </c>
      <c r="J272" s="1" t="n">
        <v>4.49</v>
      </c>
      <c r="K272" s="1" t="n">
        <v>0</v>
      </c>
      <c r="L272" s="1" t="s">
        <v>19</v>
      </c>
      <c r="M272" s="1" t="n">
        <v>994330</v>
      </c>
      <c r="N272" s="1" t="n">
        <v>0.03</v>
      </c>
      <c r="O272" s="1" t="s">
        <v>20</v>
      </c>
      <c r="P272" s="1" t="n">
        <v>4.49</v>
      </c>
      <c r="Q272" s="1" t="n">
        <v>0</v>
      </c>
      <c r="R272" s="1" t="n">
        <v>300162</v>
      </c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</row>
    <row r="273" customFormat="false" ht="15" hidden="false" customHeight="false" outlineLevel="0" collapsed="false">
      <c r="A273" s="1" t="s">
        <v>290</v>
      </c>
      <c r="B273" s="1" t="n">
        <v>1242</v>
      </c>
      <c r="C273" s="1" t="n">
        <v>1</v>
      </c>
      <c r="D273" s="1" t="n">
        <v>226416</v>
      </c>
      <c r="E273" s="1" t="n">
        <v>0</v>
      </c>
      <c r="F273" s="1" t="n">
        <v>277</v>
      </c>
      <c r="G273" s="1" t="n">
        <v>0</v>
      </c>
      <c r="H273" s="1" t="n">
        <v>1</v>
      </c>
      <c r="I273" s="1" t="n">
        <v>3.939</v>
      </c>
      <c r="J273" s="1" t="n">
        <v>4.05</v>
      </c>
      <c r="K273" s="1" t="n">
        <v>0</v>
      </c>
      <c r="L273" s="1" t="s">
        <v>19</v>
      </c>
      <c r="M273" s="1" t="n">
        <v>935184</v>
      </c>
      <c r="N273" s="1" t="n">
        <v>0.03</v>
      </c>
      <c r="O273" s="1" t="s">
        <v>20</v>
      </c>
      <c r="P273" s="1" t="n">
        <v>4.05</v>
      </c>
      <c r="Q273" s="1" t="n">
        <v>0</v>
      </c>
      <c r="R273" s="1" t="n">
        <v>285973</v>
      </c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</row>
    <row r="274" customFormat="false" ht="15" hidden="false" customHeight="false" outlineLevel="0" collapsed="false">
      <c r="A274" s="1" t="s">
        <v>291</v>
      </c>
      <c r="B274" s="1" t="n">
        <v>1316</v>
      </c>
      <c r="C274" s="1" t="n">
        <v>2</v>
      </c>
      <c r="D274" s="1" t="n">
        <v>327501</v>
      </c>
      <c r="E274" s="1" t="n">
        <v>0</v>
      </c>
      <c r="F274" s="1" t="n">
        <v>295</v>
      </c>
      <c r="G274" s="1" t="n">
        <v>0</v>
      </c>
      <c r="H274" s="1" t="n">
        <v>1</v>
      </c>
      <c r="I274" s="1" t="n">
        <v>4.214</v>
      </c>
      <c r="J274" s="1" t="n">
        <v>4.33</v>
      </c>
      <c r="K274" s="1" t="n">
        <v>0</v>
      </c>
      <c r="L274" s="1" t="s">
        <v>19</v>
      </c>
      <c r="M274" s="1" t="n">
        <v>1002415</v>
      </c>
      <c r="N274" s="1" t="n">
        <v>0.03</v>
      </c>
      <c r="O274" s="1" t="s">
        <v>20</v>
      </c>
      <c r="P274" s="1" t="n">
        <v>4.33</v>
      </c>
      <c r="Q274" s="1" t="n">
        <v>0</v>
      </c>
      <c r="R274" s="1" t="n">
        <v>307636</v>
      </c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</row>
    <row r="275" customFormat="false" ht="15" hidden="false" customHeight="false" outlineLevel="0" collapsed="false">
      <c r="A275" s="1" t="s">
        <v>292</v>
      </c>
      <c r="B275" s="1" t="n">
        <v>680</v>
      </c>
      <c r="C275" s="1" t="n">
        <v>1</v>
      </c>
      <c r="D275" s="1" t="n">
        <v>222252</v>
      </c>
      <c r="E275" s="1" t="n">
        <v>0</v>
      </c>
      <c r="F275" s="1" t="n">
        <v>264</v>
      </c>
      <c r="G275" s="1" t="n">
        <v>0</v>
      </c>
      <c r="H275" s="1" t="n">
        <v>1</v>
      </c>
      <c r="I275" s="1" t="n">
        <v>3.848</v>
      </c>
      <c r="J275" s="1" t="n">
        <v>3.95</v>
      </c>
      <c r="K275" s="1" t="n">
        <v>0</v>
      </c>
      <c r="L275" s="1" t="s">
        <v>19</v>
      </c>
      <c r="M275" s="1" t="n">
        <v>885980</v>
      </c>
      <c r="N275" s="1" t="n">
        <v>0.02</v>
      </c>
      <c r="O275" s="1" t="s">
        <v>20</v>
      </c>
      <c r="P275" s="1" t="n">
        <v>3.95</v>
      </c>
      <c r="Q275" s="1" t="n">
        <v>0</v>
      </c>
      <c r="R275" s="1" t="n">
        <v>266554</v>
      </c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</row>
    <row r="276" customFormat="false" ht="15" hidden="false" customHeight="false" outlineLevel="0" collapsed="false">
      <c r="A276" s="1" t="s">
        <v>293</v>
      </c>
      <c r="B276" s="1" t="n">
        <v>1283</v>
      </c>
      <c r="C276" s="1" t="n">
        <v>1</v>
      </c>
      <c r="D276" s="1" t="n">
        <v>444949</v>
      </c>
      <c r="E276" s="1" t="n">
        <v>0</v>
      </c>
      <c r="F276" s="1" t="n">
        <v>393</v>
      </c>
      <c r="G276" s="1" t="n">
        <v>0</v>
      </c>
      <c r="H276" s="1" t="n">
        <v>1</v>
      </c>
      <c r="I276" s="1" t="n">
        <v>5.564</v>
      </c>
      <c r="J276" s="1" t="n">
        <v>5.78</v>
      </c>
      <c r="K276" s="1" t="n">
        <v>0</v>
      </c>
      <c r="L276" s="1" t="s">
        <v>19</v>
      </c>
      <c r="M276" s="1" t="n">
        <v>1378125</v>
      </c>
      <c r="N276" s="1" t="n">
        <v>0.03</v>
      </c>
      <c r="O276" s="1" t="s">
        <v>20</v>
      </c>
      <c r="P276" s="1" t="n">
        <v>5.78</v>
      </c>
      <c r="Q276" s="1" t="n">
        <v>0</v>
      </c>
      <c r="R276" s="1" t="n">
        <v>385176</v>
      </c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</row>
    <row r="277" customFormat="false" ht="15" hidden="false" customHeight="false" outlineLevel="0" collapsed="false">
      <c r="A277" s="1" t="s">
        <v>294</v>
      </c>
      <c r="B277" s="1" t="n">
        <v>28108</v>
      </c>
      <c r="C277" s="1" t="n">
        <v>3000</v>
      </c>
      <c r="D277" s="1" t="n">
        <v>301815</v>
      </c>
      <c r="E277" s="1" t="n">
        <v>0</v>
      </c>
      <c r="F277" s="1" t="n">
        <v>359</v>
      </c>
      <c r="G277" s="1" t="n">
        <v>0</v>
      </c>
      <c r="H277" s="1" t="n">
        <v>1</v>
      </c>
      <c r="I277" s="1" t="n">
        <v>6.013</v>
      </c>
      <c r="J277" s="1" t="n">
        <v>6.14</v>
      </c>
      <c r="K277" s="1" t="n">
        <v>14</v>
      </c>
      <c r="L277" s="1" t="s">
        <v>19</v>
      </c>
      <c r="M277" s="1" t="n">
        <v>1254194</v>
      </c>
      <c r="N277" s="1" t="n">
        <v>0.85</v>
      </c>
      <c r="O277" s="1" t="s">
        <v>20</v>
      </c>
      <c r="P277" s="1" t="n">
        <v>6.14</v>
      </c>
      <c r="Q277" s="1" t="n">
        <v>0</v>
      </c>
      <c r="R277" s="1" t="n">
        <v>352798</v>
      </c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</row>
    <row r="278" customFormat="false" ht="15" hidden="false" customHeight="false" outlineLevel="0" collapsed="false">
      <c r="A278" s="1" t="s">
        <v>295</v>
      </c>
      <c r="B278" s="1" t="n">
        <v>2100</v>
      </c>
      <c r="C278" s="1" t="n">
        <v>2</v>
      </c>
      <c r="D278" s="1" t="n">
        <v>405503</v>
      </c>
      <c r="E278" s="1" t="n">
        <v>0</v>
      </c>
      <c r="F278" s="1" t="n">
        <v>379</v>
      </c>
      <c r="G278" s="1" t="n">
        <v>0</v>
      </c>
      <c r="H278" s="1" t="n">
        <v>1</v>
      </c>
      <c r="I278" s="1" t="n">
        <v>5.546</v>
      </c>
      <c r="J278" s="1" t="n">
        <v>5.68</v>
      </c>
      <c r="K278" s="1" t="n">
        <v>0</v>
      </c>
      <c r="L278" s="1" t="s">
        <v>19</v>
      </c>
      <c r="M278" s="1" t="n">
        <v>1312151</v>
      </c>
      <c r="N278" s="1" t="n">
        <v>0.04</v>
      </c>
      <c r="O278" s="1" t="s">
        <v>20</v>
      </c>
      <c r="P278" s="1" t="n">
        <v>5.68</v>
      </c>
      <c r="Q278" s="1" t="n">
        <v>0</v>
      </c>
      <c r="R278" s="1" t="n">
        <v>370943</v>
      </c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</row>
    <row r="279" customFormat="false" ht="15" hidden="false" customHeight="false" outlineLevel="0" collapsed="false">
      <c r="A279" s="1" t="s">
        <v>296</v>
      </c>
      <c r="B279" s="1" t="n">
        <v>3767</v>
      </c>
      <c r="C279" s="1" t="n">
        <v>129</v>
      </c>
      <c r="D279" s="1" t="n">
        <v>257418</v>
      </c>
      <c r="E279" s="1" t="n">
        <v>0</v>
      </c>
      <c r="F279" s="1" t="n">
        <v>336</v>
      </c>
      <c r="G279" s="1" t="n">
        <v>0</v>
      </c>
      <c r="H279" s="1" t="n">
        <v>1</v>
      </c>
      <c r="I279" s="1" t="n">
        <v>5.173</v>
      </c>
      <c r="J279" s="1" t="n">
        <v>5.3</v>
      </c>
      <c r="K279" s="1" t="n">
        <v>2</v>
      </c>
      <c r="L279" s="1" t="s">
        <v>19</v>
      </c>
      <c r="M279" s="1" t="n">
        <v>1220252</v>
      </c>
      <c r="N279" s="1" t="n">
        <v>0.07</v>
      </c>
      <c r="O279" s="1" t="s">
        <v>20</v>
      </c>
      <c r="P279" s="1" t="n">
        <v>5.3</v>
      </c>
      <c r="Q279" s="1" t="n">
        <v>0</v>
      </c>
      <c r="R279" s="1" t="n">
        <v>339282</v>
      </c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</row>
    <row r="280" customFormat="false" ht="15" hidden="false" customHeight="false" outlineLevel="0" collapsed="false">
      <c r="A280" s="1" t="s">
        <v>297</v>
      </c>
      <c r="B280" s="1" t="n">
        <v>11642</v>
      </c>
      <c r="C280" s="1" t="n">
        <v>1635</v>
      </c>
      <c r="D280" s="1" t="n">
        <v>304069</v>
      </c>
      <c r="E280" s="1" t="n">
        <v>0</v>
      </c>
      <c r="F280" s="1" t="n">
        <v>361</v>
      </c>
      <c r="G280" s="1" t="n">
        <v>0</v>
      </c>
      <c r="H280" s="1" t="n">
        <v>1</v>
      </c>
      <c r="I280" s="1" t="n">
        <v>5.919</v>
      </c>
      <c r="J280" s="1" t="n">
        <v>6.05</v>
      </c>
      <c r="K280" s="1" t="n">
        <v>10</v>
      </c>
      <c r="L280" s="1" t="s">
        <v>19</v>
      </c>
      <c r="M280" s="1" t="n">
        <v>1265928</v>
      </c>
      <c r="N280" s="1" t="n">
        <v>0.44</v>
      </c>
      <c r="O280" s="1" t="s">
        <v>20</v>
      </c>
      <c r="P280" s="1" t="n">
        <v>6.05</v>
      </c>
      <c r="Q280" s="1" t="n">
        <v>0</v>
      </c>
      <c r="R280" s="1" t="n">
        <v>355804</v>
      </c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</row>
    <row r="281" customFormat="false" ht="15" hidden="false" customHeight="false" outlineLevel="0" collapsed="false">
      <c r="A281" s="1" t="s">
        <v>298</v>
      </c>
      <c r="B281" s="1" t="n">
        <v>43195</v>
      </c>
      <c r="C281" s="1" t="n">
        <v>274</v>
      </c>
      <c r="D281" s="1" t="n">
        <v>315934</v>
      </c>
      <c r="E281" s="1" t="n">
        <v>0</v>
      </c>
      <c r="F281" s="1" t="n">
        <v>338</v>
      </c>
      <c r="G281" s="1" t="n">
        <v>0</v>
      </c>
      <c r="H281" s="1" t="n">
        <v>1</v>
      </c>
      <c r="I281" s="1" t="n">
        <v>5.447</v>
      </c>
      <c r="J281" s="1" t="n">
        <v>5.57</v>
      </c>
      <c r="K281" s="1" t="n">
        <v>2</v>
      </c>
      <c r="L281" s="1" t="s">
        <v>19</v>
      </c>
      <c r="M281" s="1" t="n">
        <v>1205134</v>
      </c>
      <c r="N281" s="1" t="n">
        <v>0.4</v>
      </c>
      <c r="O281" s="1" t="s">
        <v>20</v>
      </c>
      <c r="P281" s="1" t="n">
        <v>5.57</v>
      </c>
      <c r="Q281" s="1" t="n">
        <v>0</v>
      </c>
      <c r="R281" s="1" t="n">
        <v>339281</v>
      </c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</row>
    <row r="282" customFormat="false" ht="15" hidden="false" customHeight="false" outlineLevel="0" collapsed="false">
      <c r="A282" s="1" t="s">
        <v>299</v>
      </c>
      <c r="B282" s="1" t="n">
        <v>2402</v>
      </c>
      <c r="C282" s="1" t="n">
        <v>2</v>
      </c>
      <c r="D282" s="1" t="n">
        <v>407127</v>
      </c>
      <c r="E282" s="1" t="n">
        <v>0</v>
      </c>
      <c r="F282" s="1" t="n">
        <v>383</v>
      </c>
      <c r="G282" s="1" t="n">
        <v>0</v>
      </c>
      <c r="H282" s="1" t="n">
        <v>1</v>
      </c>
      <c r="I282" s="1" t="n">
        <v>5.657</v>
      </c>
      <c r="J282" s="1" t="n">
        <v>5.79</v>
      </c>
      <c r="K282" s="1" t="n">
        <v>0</v>
      </c>
      <c r="L282" s="1" t="s">
        <v>19</v>
      </c>
      <c r="M282" s="1" t="n">
        <v>1323885</v>
      </c>
      <c r="N282" s="1" t="n">
        <v>0.04</v>
      </c>
      <c r="O282" s="1" t="s">
        <v>20</v>
      </c>
      <c r="P282" s="1" t="n">
        <v>5.79</v>
      </c>
      <c r="Q282" s="1" t="n">
        <v>0</v>
      </c>
      <c r="R282" s="1" t="n">
        <v>373941</v>
      </c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</row>
    <row r="283" customFormat="false" ht="15" hidden="false" customHeight="false" outlineLevel="0" collapsed="false">
      <c r="A283" s="1" t="s">
        <v>300</v>
      </c>
      <c r="B283" s="1" t="n">
        <v>1759</v>
      </c>
      <c r="C283" s="1" t="n">
        <v>1</v>
      </c>
      <c r="D283" s="1" t="n">
        <v>488476</v>
      </c>
      <c r="E283" s="1" t="n">
        <v>0</v>
      </c>
      <c r="F283" s="1" t="n">
        <v>462</v>
      </c>
      <c r="G283" s="1" t="n">
        <v>0</v>
      </c>
      <c r="H283" s="1" t="n">
        <v>1</v>
      </c>
      <c r="I283" s="1" t="n">
        <v>7.437</v>
      </c>
      <c r="J283" s="1" t="n">
        <v>7.58</v>
      </c>
      <c r="K283" s="1" t="n">
        <v>0</v>
      </c>
      <c r="L283" s="1" t="s">
        <v>19</v>
      </c>
      <c r="M283" s="1" t="n">
        <v>1771766</v>
      </c>
      <c r="N283" s="1" t="n">
        <v>0.05</v>
      </c>
      <c r="O283" s="1" t="s">
        <v>20</v>
      </c>
      <c r="P283" s="1" t="n">
        <v>7.58</v>
      </c>
      <c r="Q283" s="1" t="n">
        <v>0</v>
      </c>
      <c r="R283" s="1" t="n">
        <v>459598</v>
      </c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</row>
    <row r="284" customFormat="false" ht="15" hidden="false" customHeight="false" outlineLevel="0" collapsed="false">
      <c r="A284" s="1" t="s">
        <v>301</v>
      </c>
      <c r="B284" s="1" t="n">
        <v>24668</v>
      </c>
      <c r="C284" s="1" t="n">
        <v>1370</v>
      </c>
      <c r="D284" s="1" t="n">
        <v>446475</v>
      </c>
      <c r="E284" s="1" t="n">
        <v>0</v>
      </c>
      <c r="F284" s="1" t="n">
        <v>449</v>
      </c>
      <c r="G284" s="1" t="n">
        <v>0</v>
      </c>
      <c r="H284" s="1" t="n">
        <v>1</v>
      </c>
      <c r="I284" s="1" t="n">
        <v>7.67</v>
      </c>
      <c r="J284" s="1" t="n">
        <v>7.84</v>
      </c>
      <c r="K284" s="1" t="n">
        <v>10</v>
      </c>
      <c r="L284" s="1" t="s">
        <v>19</v>
      </c>
      <c r="M284" s="1" t="n">
        <v>1696957</v>
      </c>
      <c r="N284" s="1" t="n">
        <v>0.64</v>
      </c>
      <c r="O284" s="1" t="s">
        <v>20</v>
      </c>
      <c r="P284" s="1" t="n">
        <v>7.84</v>
      </c>
      <c r="Q284" s="1" t="n">
        <v>0</v>
      </c>
      <c r="R284" s="1" t="n">
        <v>445251</v>
      </c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</row>
    <row r="285" customFormat="false" ht="15" hidden="false" customHeight="false" outlineLevel="0" collapsed="false">
      <c r="A285" s="1" t="s">
        <v>302</v>
      </c>
      <c r="B285" s="1" t="n">
        <v>29365</v>
      </c>
      <c r="C285" s="1" t="n">
        <v>4557</v>
      </c>
      <c r="D285" s="1" t="n">
        <v>400066</v>
      </c>
      <c r="E285" s="1" t="n">
        <v>0</v>
      </c>
      <c r="F285" s="1" t="n">
        <v>439</v>
      </c>
      <c r="G285" s="1" t="n">
        <v>0</v>
      </c>
      <c r="H285" s="1" t="n">
        <v>1</v>
      </c>
      <c r="I285" s="1" t="n">
        <v>8.149</v>
      </c>
      <c r="J285" s="1" t="n">
        <v>8.3</v>
      </c>
      <c r="K285" s="1" t="n">
        <v>27</v>
      </c>
      <c r="L285" s="1" t="s">
        <v>19</v>
      </c>
      <c r="M285" s="1" t="n">
        <v>1653844</v>
      </c>
      <c r="N285" s="1" t="n">
        <v>1.28</v>
      </c>
      <c r="O285" s="1" t="s">
        <v>20</v>
      </c>
      <c r="P285" s="1" t="n">
        <v>8.3</v>
      </c>
      <c r="Q285" s="1" t="n">
        <v>0</v>
      </c>
      <c r="R285" s="1" t="n">
        <v>431659</v>
      </c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</row>
    <row r="286" customFormat="false" ht="15" hidden="false" customHeight="false" outlineLevel="0" collapsed="false">
      <c r="A286" s="1" t="s">
        <v>303</v>
      </c>
      <c r="B286" s="1" t="n">
        <v>37052</v>
      </c>
      <c r="C286" s="1" t="n">
        <v>751</v>
      </c>
      <c r="D286" s="1" t="n">
        <v>384943</v>
      </c>
      <c r="E286" s="1" t="n">
        <v>0</v>
      </c>
      <c r="F286" s="1" t="n">
        <v>433</v>
      </c>
      <c r="G286" s="1" t="n">
        <v>0</v>
      </c>
      <c r="H286" s="1" t="n">
        <v>1</v>
      </c>
      <c r="I286" s="1" t="n">
        <v>7.26</v>
      </c>
      <c r="J286" s="1" t="n">
        <v>7.41</v>
      </c>
      <c r="K286" s="1" t="n">
        <v>6</v>
      </c>
      <c r="L286" s="1" t="s">
        <v>19</v>
      </c>
      <c r="M286" s="1" t="n">
        <v>1626512</v>
      </c>
      <c r="N286" s="1" t="n">
        <v>0.55</v>
      </c>
      <c r="O286" s="1" t="s">
        <v>20</v>
      </c>
      <c r="P286" s="1" t="n">
        <v>7.41</v>
      </c>
      <c r="Q286" s="1" t="n">
        <v>0</v>
      </c>
      <c r="R286" s="1" t="n">
        <v>423077</v>
      </c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</row>
    <row r="287" customFormat="false" ht="15" hidden="false" customHeight="false" outlineLevel="0" collapsed="false">
      <c r="A287" s="1" t="s">
        <v>304</v>
      </c>
      <c r="B287" s="1" t="n">
        <v>11436</v>
      </c>
      <c r="C287" s="1" t="n">
        <v>167</v>
      </c>
      <c r="D287" s="1" t="n">
        <v>449114</v>
      </c>
      <c r="E287" s="1" t="n">
        <v>0</v>
      </c>
      <c r="F287" s="1" t="n">
        <v>456</v>
      </c>
      <c r="G287" s="1" t="n">
        <v>0</v>
      </c>
      <c r="H287" s="1" t="n">
        <v>1</v>
      </c>
      <c r="I287" s="1" t="n">
        <v>7.017</v>
      </c>
      <c r="J287" s="1" t="n">
        <v>7.17</v>
      </c>
      <c r="K287" s="1" t="n">
        <v>1</v>
      </c>
      <c r="L287" s="1" t="s">
        <v>19</v>
      </c>
      <c r="M287" s="1" t="n">
        <v>1710551</v>
      </c>
      <c r="N287" s="1" t="n">
        <v>0.18</v>
      </c>
      <c r="O287" s="1" t="s">
        <v>20</v>
      </c>
      <c r="P287" s="1" t="n">
        <v>7.17</v>
      </c>
      <c r="Q287" s="1" t="n">
        <v>0</v>
      </c>
      <c r="R287" s="1" t="n">
        <v>448273</v>
      </c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</row>
    <row r="288" customFormat="false" ht="15" hidden="false" customHeight="false" outlineLevel="0" collapsed="false">
      <c r="A288" s="1" t="s">
        <v>305</v>
      </c>
      <c r="B288" s="1" t="n">
        <v>3354</v>
      </c>
      <c r="C288" s="1" t="n">
        <v>2</v>
      </c>
      <c r="D288" s="1" t="n">
        <v>503140</v>
      </c>
      <c r="E288" s="1" t="n">
        <v>0</v>
      </c>
      <c r="F288" s="1" t="n">
        <v>451</v>
      </c>
      <c r="G288" s="1" t="n">
        <v>0</v>
      </c>
      <c r="H288" s="1" t="n">
        <v>1</v>
      </c>
      <c r="I288" s="1" t="n">
        <v>7.047</v>
      </c>
      <c r="J288" s="1" t="n">
        <v>7.22</v>
      </c>
      <c r="K288" s="1" t="n">
        <v>0</v>
      </c>
      <c r="L288" s="1" t="s">
        <v>19</v>
      </c>
      <c r="M288" s="1" t="n">
        <v>1703299</v>
      </c>
      <c r="N288" s="1" t="n">
        <v>0.05</v>
      </c>
      <c r="O288" s="1" t="s">
        <v>20</v>
      </c>
      <c r="P288" s="1" t="n">
        <v>7.22</v>
      </c>
      <c r="Q288" s="1" t="n">
        <v>0</v>
      </c>
      <c r="R288" s="1" t="n">
        <v>446760</v>
      </c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</row>
    <row r="289" customFormat="false" ht="15" hidden="false" customHeight="false" outlineLevel="0" collapsed="false">
      <c r="A289" s="1" t="s">
        <v>306</v>
      </c>
      <c r="B289" s="1" t="n">
        <v>19291</v>
      </c>
      <c r="C289" s="1" t="n">
        <v>352</v>
      </c>
      <c r="D289" s="1" t="n">
        <v>495883</v>
      </c>
      <c r="E289" s="1" t="n">
        <v>0</v>
      </c>
      <c r="F289" s="1" t="n">
        <v>448</v>
      </c>
      <c r="G289" s="1" t="n">
        <v>0</v>
      </c>
      <c r="H289" s="1" t="n">
        <v>1</v>
      </c>
      <c r="I289" s="1" t="n">
        <v>7.372</v>
      </c>
      <c r="J289" s="1" t="n">
        <v>7.53</v>
      </c>
      <c r="K289" s="1" t="n">
        <v>2</v>
      </c>
      <c r="L289" s="1" t="s">
        <v>19</v>
      </c>
      <c r="M289" s="1" t="n">
        <v>1688586</v>
      </c>
      <c r="N289" s="1" t="n">
        <v>0.36</v>
      </c>
      <c r="O289" s="1" t="s">
        <v>20</v>
      </c>
      <c r="P289" s="1" t="n">
        <v>7.53</v>
      </c>
      <c r="Q289" s="1" t="n">
        <v>0</v>
      </c>
      <c r="R289" s="1" t="n">
        <v>441776</v>
      </c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</row>
    <row r="290" customFormat="false" ht="15" hidden="false" customHeight="false" outlineLevel="0" collapsed="false">
      <c r="A290" s="1" t="s">
        <v>307</v>
      </c>
      <c r="B290" s="1" t="n">
        <v>19656</v>
      </c>
      <c r="C290" s="1" t="n">
        <v>606</v>
      </c>
      <c r="D290" s="1" t="n">
        <v>498470</v>
      </c>
      <c r="E290" s="1" t="n">
        <v>0</v>
      </c>
      <c r="F290" s="1" t="n">
        <v>521</v>
      </c>
      <c r="G290" s="1" t="n">
        <v>0</v>
      </c>
      <c r="H290" s="1" t="n">
        <v>1</v>
      </c>
      <c r="I290" s="1" t="n">
        <v>8.674</v>
      </c>
      <c r="J290" s="1" t="n">
        <v>8.87</v>
      </c>
      <c r="K290" s="1" t="n">
        <v>5</v>
      </c>
      <c r="L290" s="1" t="s">
        <v>19</v>
      </c>
      <c r="M290" s="1" t="n">
        <v>1994333</v>
      </c>
      <c r="N290" s="1" t="n">
        <v>0.48</v>
      </c>
      <c r="O290" s="1" t="s">
        <v>20</v>
      </c>
      <c r="P290" s="1" t="n">
        <v>8.87</v>
      </c>
      <c r="Q290" s="1" t="n">
        <v>0</v>
      </c>
      <c r="R290" s="1" t="n">
        <v>517413</v>
      </c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</row>
    <row r="291" customFormat="false" ht="15" hidden="false" customHeight="false" outlineLevel="0" collapsed="false">
      <c r="A291" s="1" t="s">
        <v>308</v>
      </c>
      <c r="B291" s="1" t="n">
        <v>993</v>
      </c>
      <c r="C291" s="1" t="n">
        <v>0</v>
      </c>
      <c r="D291" s="1" t="n">
        <v>257545</v>
      </c>
      <c r="E291" s="1" t="n">
        <v>0</v>
      </c>
      <c r="F291" s="1" t="n">
        <v>340</v>
      </c>
      <c r="G291" s="1" t="n">
        <v>0</v>
      </c>
      <c r="H291" s="1" t="n">
        <v>1</v>
      </c>
      <c r="I291" s="1" t="n">
        <v>4.043</v>
      </c>
      <c r="J291" s="1" t="n">
        <v>4.17</v>
      </c>
      <c r="K291" s="1" t="n">
        <v>0</v>
      </c>
      <c r="L291" s="1" t="s">
        <v>19</v>
      </c>
      <c r="M291" s="1" t="n">
        <v>900405</v>
      </c>
      <c r="N291" s="1" t="n">
        <v>0.02</v>
      </c>
      <c r="O291" s="1" t="s">
        <v>20</v>
      </c>
      <c r="P291" s="1" t="n">
        <v>4.17</v>
      </c>
      <c r="Q291" s="1" t="n">
        <v>0</v>
      </c>
      <c r="R291" s="1" t="n">
        <v>329775</v>
      </c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</row>
    <row r="292" customFormat="false" ht="15" hidden="false" customHeight="false" outlineLevel="0" collapsed="false">
      <c r="A292" s="1" t="s">
        <v>309</v>
      </c>
      <c r="B292" s="1" t="n">
        <v>497</v>
      </c>
      <c r="C292" s="1" t="n">
        <v>0</v>
      </c>
      <c r="D292" s="1" t="n">
        <v>98147</v>
      </c>
      <c r="E292" s="1" t="n">
        <v>0</v>
      </c>
      <c r="F292" s="1" t="n">
        <v>197</v>
      </c>
      <c r="G292" s="1" t="n">
        <v>0</v>
      </c>
      <c r="H292" s="1" t="n">
        <v>1</v>
      </c>
      <c r="I292" s="1" t="n">
        <v>2.44</v>
      </c>
      <c r="J292" s="1" t="n">
        <v>2.51</v>
      </c>
      <c r="K292" s="1" t="n">
        <v>0</v>
      </c>
      <c r="L292" s="1" t="s">
        <v>19</v>
      </c>
      <c r="M292" s="1" t="n">
        <v>522817</v>
      </c>
      <c r="N292" s="1" t="n">
        <v>0.01</v>
      </c>
      <c r="O292" s="1" t="s">
        <v>20</v>
      </c>
      <c r="P292" s="1" t="n">
        <v>2.51</v>
      </c>
      <c r="Q292" s="1" t="n">
        <v>0</v>
      </c>
      <c r="R292" s="1" t="n">
        <v>192348</v>
      </c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</row>
    <row r="293" customFormat="false" ht="15" hidden="false" customHeight="false" outlineLevel="0" collapsed="false">
      <c r="A293" s="1" t="s">
        <v>310</v>
      </c>
      <c r="B293" s="1" t="n">
        <v>2128</v>
      </c>
      <c r="C293" s="1" t="n">
        <v>0</v>
      </c>
      <c r="D293" s="1" t="n">
        <v>361941</v>
      </c>
      <c r="E293" s="1" t="n">
        <v>0</v>
      </c>
      <c r="F293" s="1" t="n">
        <v>355</v>
      </c>
      <c r="G293" s="1" t="n">
        <v>0</v>
      </c>
      <c r="H293" s="1" t="n">
        <v>1</v>
      </c>
      <c r="I293" s="1" t="n">
        <v>4.418</v>
      </c>
      <c r="J293" s="1" t="n">
        <v>4.55</v>
      </c>
      <c r="K293" s="1" t="n">
        <v>0</v>
      </c>
      <c r="L293" s="1" t="s">
        <v>19</v>
      </c>
      <c r="M293" s="1" t="n">
        <v>989712</v>
      </c>
      <c r="N293" s="1" t="n">
        <v>0.03</v>
      </c>
      <c r="O293" s="1" t="s">
        <v>20</v>
      </c>
      <c r="P293" s="1" t="n">
        <v>4.55</v>
      </c>
      <c r="Q293" s="1" t="n">
        <v>0</v>
      </c>
      <c r="R293" s="1" t="n">
        <v>350919</v>
      </c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</row>
    <row r="294" customFormat="false" ht="15" hidden="false" customHeight="false" outlineLevel="0" collapsed="false">
      <c r="A294" s="1" t="s">
        <v>311</v>
      </c>
      <c r="B294" s="1" t="n">
        <v>1041</v>
      </c>
      <c r="C294" s="1" t="n">
        <v>0</v>
      </c>
      <c r="D294" s="1" t="n">
        <v>533077</v>
      </c>
      <c r="E294" s="1" t="n">
        <v>0</v>
      </c>
      <c r="F294" s="1" t="n">
        <v>355</v>
      </c>
      <c r="G294" s="1" t="n">
        <v>0</v>
      </c>
      <c r="H294" s="1" t="n">
        <v>1</v>
      </c>
      <c r="I294" s="1" t="n">
        <v>4.272</v>
      </c>
      <c r="J294" s="1" t="n">
        <v>4.4</v>
      </c>
      <c r="K294" s="1" t="n">
        <v>0</v>
      </c>
      <c r="L294" s="1" t="s">
        <v>19</v>
      </c>
      <c r="M294" s="1" t="n">
        <v>980210</v>
      </c>
      <c r="N294" s="1" t="n">
        <v>0.04</v>
      </c>
      <c r="O294" s="1" t="s">
        <v>20</v>
      </c>
      <c r="P294" s="1" t="n">
        <v>4.4</v>
      </c>
      <c r="Q294" s="1" t="n">
        <v>0</v>
      </c>
      <c r="R294" s="1" t="n">
        <v>347062</v>
      </c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</row>
    <row r="295" customFormat="false" ht="15" hidden="false" customHeight="false" outlineLevel="0" collapsed="false">
      <c r="A295" s="1" t="s">
        <v>312</v>
      </c>
      <c r="B295" s="1" t="n">
        <v>1083</v>
      </c>
      <c r="C295" s="1" t="n">
        <v>0</v>
      </c>
      <c r="D295" s="1" t="n">
        <v>264022</v>
      </c>
      <c r="E295" s="1" t="n">
        <v>0</v>
      </c>
      <c r="F295" s="1" t="n">
        <v>255</v>
      </c>
      <c r="G295" s="1" t="n">
        <v>0</v>
      </c>
      <c r="H295" s="1" t="n">
        <v>1</v>
      </c>
      <c r="I295" s="1" t="n">
        <v>3.069</v>
      </c>
      <c r="J295" s="1" t="n">
        <v>3.16</v>
      </c>
      <c r="K295" s="1" t="n">
        <v>0</v>
      </c>
      <c r="L295" s="1" t="s">
        <v>19</v>
      </c>
      <c r="M295" s="1" t="n">
        <v>678683</v>
      </c>
      <c r="N295" s="1" t="n">
        <v>0.02</v>
      </c>
      <c r="O295" s="1" t="s">
        <v>20</v>
      </c>
      <c r="P295" s="1" t="n">
        <v>3.16</v>
      </c>
      <c r="Q295" s="1" t="n">
        <v>0</v>
      </c>
      <c r="R295" s="1" t="n">
        <v>248203</v>
      </c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</row>
    <row r="296" customFormat="false" ht="15" hidden="false" customHeight="false" outlineLevel="0" collapsed="false">
      <c r="A296" s="1" t="s">
        <v>313</v>
      </c>
      <c r="B296" s="1" t="n">
        <v>500</v>
      </c>
      <c r="C296" s="1" t="n">
        <v>0</v>
      </c>
      <c r="D296" s="1" t="n">
        <v>83901</v>
      </c>
      <c r="E296" s="1" t="n">
        <v>0</v>
      </c>
      <c r="F296" s="1" t="n">
        <v>202</v>
      </c>
      <c r="G296" s="1" t="n">
        <v>0</v>
      </c>
      <c r="H296" s="1" t="n">
        <v>1</v>
      </c>
      <c r="I296" s="1" t="n">
        <v>2.482</v>
      </c>
      <c r="J296" s="1" t="n">
        <v>2.56</v>
      </c>
      <c r="K296" s="1" t="n">
        <v>0</v>
      </c>
      <c r="L296" s="1" t="s">
        <v>19</v>
      </c>
      <c r="M296" s="1" t="n">
        <v>539367</v>
      </c>
      <c r="N296" s="1" t="n">
        <v>0.01</v>
      </c>
      <c r="O296" s="1" t="s">
        <v>20</v>
      </c>
      <c r="P296" s="1" t="n">
        <v>2.56</v>
      </c>
      <c r="Q296" s="1" t="n">
        <v>0</v>
      </c>
      <c r="R296" s="1" t="n">
        <v>195237</v>
      </c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</row>
    <row r="297" customFormat="false" ht="15" hidden="false" customHeight="false" outlineLevel="0" collapsed="false">
      <c r="A297" s="1" t="s">
        <v>314</v>
      </c>
      <c r="B297" s="1" t="n">
        <v>621</v>
      </c>
      <c r="C297" s="1" t="n">
        <v>0</v>
      </c>
      <c r="D297" s="1" t="n">
        <v>275337</v>
      </c>
      <c r="E297" s="1" t="n">
        <v>0</v>
      </c>
      <c r="F297" s="1" t="n">
        <v>273</v>
      </c>
      <c r="G297" s="1" t="n">
        <v>0</v>
      </c>
      <c r="H297" s="1" t="n">
        <v>1</v>
      </c>
      <c r="I297" s="1" t="n">
        <v>3.337</v>
      </c>
      <c r="J297" s="1" t="n">
        <v>3.44</v>
      </c>
      <c r="K297" s="1" t="n">
        <v>0</v>
      </c>
      <c r="L297" s="1" t="s">
        <v>19</v>
      </c>
      <c r="M297" s="1" t="n">
        <v>737443</v>
      </c>
      <c r="N297" s="1" t="n">
        <v>0.02</v>
      </c>
      <c r="O297" s="1" t="s">
        <v>20</v>
      </c>
      <c r="P297" s="1" t="n">
        <v>3.44</v>
      </c>
      <c r="Q297" s="1" t="n">
        <v>0</v>
      </c>
      <c r="R297" s="1" t="n">
        <v>267050</v>
      </c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</row>
    <row r="298" customFormat="false" ht="15" hidden="false" customHeight="false" outlineLevel="0" collapsed="false">
      <c r="A298" s="1" t="s">
        <v>315</v>
      </c>
      <c r="B298" s="1" t="n">
        <v>2430</v>
      </c>
      <c r="C298" s="1" t="n">
        <v>0</v>
      </c>
      <c r="D298" s="1" t="n">
        <v>719993</v>
      </c>
      <c r="E298" s="1" t="n">
        <v>0</v>
      </c>
      <c r="F298" s="1" t="n">
        <v>497</v>
      </c>
      <c r="G298" s="1" t="n">
        <v>0</v>
      </c>
      <c r="H298" s="1" t="n">
        <v>1</v>
      </c>
      <c r="I298" s="1" t="n">
        <v>6.211</v>
      </c>
      <c r="J298" s="1" t="n">
        <v>6.4</v>
      </c>
      <c r="K298" s="1" t="n">
        <v>0</v>
      </c>
      <c r="L298" s="1" t="s">
        <v>19</v>
      </c>
      <c r="M298" s="1" t="n">
        <v>1461956</v>
      </c>
      <c r="N298" s="1" t="n">
        <v>0.05</v>
      </c>
      <c r="O298" s="1" t="s">
        <v>20</v>
      </c>
      <c r="P298" s="1" t="n">
        <v>6.4</v>
      </c>
      <c r="Q298" s="1" t="n">
        <v>0</v>
      </c>
      <c r="R298" s="1" t="n">
        <v>486025</v>
      </c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</row>
    <row r="299" customFormat="false" ht="15" hidden="false" customHeight="false" outlineLevel="0" collapsed="false">
      <c r="A299" s="1" t="s">
        <v>316</v>
      </c>
      <c r="B299" s="1" t="n">
        <v>2610</v>
      </c>
      <c r="C299" s="1" t="n">
        <v>0</v>
      </c>
      <c r="D299" s="1" t="n">
        <v>507424</v>
      </c>
      <c r="E299" s="1" t="n">
        <v>0</v>
      </c>
      <c r="F299" s="1" t="n">
        <v>498</v>
      </c>
      <c r="G299" s="1" t="n">
        <v>0</v>
      </c>
      <c r="H299" s="1" t="n">
        <v>1</v>
      </c>
      <c r="I299" s="1" t="n">
        <v>6.254</v>
      </c>
      <c r="J299" s="1" t="n">
        <v>6.44</v>
      </c>
      <c r="K299" s="1" t="n">
        <v>0</v>
      </c>
      <c r="L299" s="1" t="s">
        <v>19</v>
      </c>
      <c r="M299" s="1" t="n">
        <v>1482073</v>
      </c>
      <c r="N299" s="1" t="n">
        <v>0.04</v>
      </c>
      <c r="O299" s="1" t="s">
        <v>20</v>
      </c>
      <c r="P299" s="1" t="n">
        <v>6.44</v>
      </c>
      <c r="Q299" s="1" t="n">
        <v>0</v>
      </c>
      <c r="R299" s="1" t="n">
        <v>491835</v>
      </c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</row>
    <row r="300" customFormat="false" ht="15" hidden="false" customHeight="false" outlineLevel="0" collapsed="false">
      <c r="A300" s="1" t="s">
        <v>317</v>
      </c>
      <c r="B300" s="1" t="n">
        <v>1910</v>
      </c>
      <c r="C300" s="1" t="n">
        <v>0</v>
      </c>
      <c r="D300" s="1" t="n">
        <v>531208</v>
      </c>
      <c r="E300" s="1" t="n">
        <v>0</v>
      </c>
      <c r="F300" s="1" t="n">
        <v>567</v>
      </c>
      <c r="G300" s="1" t="n">
        <v>0</v>
      </c>
      <c r="H300" s="1" t="n">
        <v>1</v>
      </c>
      <c r="I300" s="1" t="n">
        <v>7.491</v>
      </c>
      <c r="J300" s="1" t="n">
        <v>7.7</v>
      </c>
      <c r="K300" s="1" t="n">
        <v>0</v>
      </c>
      <c r="L300" s="1" t="s">
        <v>19</v>
      </c>
      <c r="M300" s="1" t="n">
        <v>1748156</v>
      </c>
      <c r="N300" s="1" t="n">
        <v>0.04</v>
      </c>
      <c r="O300" s="1" t="s">
        <v>20</v>
      </c>
      <c r="P300" s="1" t="n">
        <v>7.7</v>
      </c>
      <c r="Q300" s="1" t="n">
        <v>0</v>
      </c>
      <c r="R300" s="1" t="n">
        <v>566364</v>
      </c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</row>
    <row r="301" customFormat="false" ht="15" hidden="false" customHeight="false" outlineLevel="0" collapsed="false">
      <c r="A301" s="1" t="s">
        <v>318</v>
      </c>
      <c r="B301" s="1" t="n">
        <v>2156</v>
      </c>
      <c r="C301" s="1" t="n">
        <v>0</v>
      </c>
      <c r="D301" s="1" t="n">
        <v>689042</v>
      </c>
      <c r="E301" s="1" t="n">
        <v>0</v>
      </c>
      <c r="F301" s="1" t="n">
        <v>515</v>
      </c>
      <c r="G301" s="1" t="n">
        <v>0</v>
      </c>
      <c r="H301" s="1" t="n">
        <v>1</v>
      </c>
      <c r="I301" s="1" t="n">
        <v>6.547</v>
      </c>
      <c r="J301" s="1" t="n">
        <v>6.73</v>
      </c>
      <c r="K301" s="1" t="n">
        <v>0</v>
      </c>
      <c r="L301" s="1" t="s">
        <v>19</v>
      </c>
      <c r="M301" s="1" t="n">
        <v>1544848</v>
      </c>
      <c r="N301" s="1" t="n">
        <v>0.05</v>
      </c>
      <c r="O301" s="1" t="s">
        <v>20</v>
      </c>
      <c r="P301" s="1" t="n">
        <v>6.73</v>
      </c>
      <c r="Q301" s="1" t="n">
        <v>0</v>
      </c>
      <c r="R301" s="1" t="n">
        <v>508312</v>
      </c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</row>
    <row r="302" customFormat="false" ht="15" hidden="false" customHeight="false" outlineLevel="0" collapsed="false">
      <c r="A302" s="1" t="s">
        <v>319</v>
      </c>
      <c r="B302" s="1" t="n">
        <v>2942</v>
      </c>
      <c r="C302" s="1" t="n">
        <v>43</v>
      </c>
      <c r="D302" s="1" t="n">
        <v>605004</v>
      </c>
      <c r="E302" s="1" t="n">
        <v>0</v>
      </c>
      <c r="F302" s="1" t="n">
        <v>565</v>
      </c>
      <c r="G302" s="1" t="n">
        <v>0</v>
      </c>
      <c r="H302" s="1" t="n">
        <v>1</v>
      </c>
      <c r="I302" s="1" t="n">
        <v>7.538</v>
      </c>
      <c r="J302" s="1" t="n">
        <v>7.75</v>
      </c>
      <c r="K302" s="1" t="n">
        <v>0</v>
      </c>
      <c r="L302" s="1" t="s">
        <v>19</v>
      </c>
      <c r="M302" s="1" t="n">
        <v>1724146</v>
      </c>
      <c r="N302" s="1" t="n">
        <v>0.08</v>
      </c>
      <c r="O302" s="1" t="s">
        <v>20</v>
      </c>
      <c r="P302" s="1" t="n">
        <v>7.75</v>
      </c>
      <c r="Q302" s="1" t="n">
        <v>0</v>
      </c>
      <c r="R302" s="1" t="n">
        <v>564431</v>
      </c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</row>
    <row r="303" customFormat="false" ht="15" hidden="false" customHeight="false" outlineLevel="0" collapsed="false">
      <c r="A303" s="1" t="s">
        <v>320</v>
      </c>
      <c r="B303" s="1" t="n">
        <v>2028</v>
      </c>
      <c r="C303" s="1" t="n">
        <v>0</v>
      </c>
      <c r="D303" s="1" t="n">
        <v>642606</v>
      </c>
      <c r="E303" s="1" t="n">
        <v>0</v>
      </c>
      <c r="F303" s="1" t="n">
        <v>497</v>
      </c>
      <c r="G303" s="1" t="n">
        <v>0</v>
      </c>
      <c r="H303" s="1" t="n">
        <v>1</v>
      </c>
      <c r="I303" s="1" t="n">
        <v>6.472</v>
      </c>
      <c r="J303" s="1" t="n">
        <v>6.66</v>
      </c>
      <c r="K303" s="1" t="n">
        <v>0</v>
      </c>
      <c r="L303" s="1" t="s">
        <v>19</v>
      </c>
      <c r="M303" s="1" t="n">
        <v>1499814</v>
      </c>
      <c r="N303" s="1" t="n">
        <v>0.05</v>
      </c>
      <c r="O303" s="1" t="s">
        <v>20</v>
      </c>
      <c r="P303" s="1" t="n">
        <v>6.66</v>
      </c>
      <c r="Q303" s="1" t="n">
        <v>0</v>
      </c>
      <c r="R303" s="1" t="n">
        <v>489897</v>
      </c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</row>
    <row r="304" customFormat="false" ht="15" hidden="false" customHeight="false" outlineLevel="0" collapsed="false">
      <c r="A304" s="1" t="s">
        <v>321</v>
      </c>
      <c r="B304" s="1" t="n">
        <v>2357</v>
      </c>
      <c r="C304" s="1" t="n">
        <v>0</v>
      </c>
      <c r="D304" s="1" t="n">
        <v>556658</v>
      </c>
      <c r="E304" s="1" t="n">
        <v>0</v>
      </c>
      <c r="F304" s="1" t="n">
        <v>548</v>
      </c>
      <c r="G304" s="1" t="n">
        <v>0</v>
      </c>
      <c r="H304" s="1" t="n">
        <v>1</v>
      </c>
      <c r="I304" s="1" t="n">
        <v>7.27</v>
      </c>
      <c r="J304" s="1" t="n">
        <v>7.47</v>
      </c>
      <c r="K304" s="1" t="n">
        <v>0</v>
      </c>
      <c r="L304" s="1" t="s">
        <v>19</v>
      </c>
      <c r="M304" s="1" t="n">
        <v>1667432</v>
      </c>
      <c r="N304" s="1" t="n">
        <v>0.05</v>
      </c>
      <c r="O304" s="1" t="s">
        <v>20</v>
      </c>
      <c r="P304" s="1" t="n">
        <v>7.47</v>
      </c>
      <c r="Q304" s="1" t="n">
        <v>0</v>
      </c>
      <c r="R304" s="1" t="n">
        <v>546016</v>
      </c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</row>
    <row r="305" customFormat="false" ht="15" hidden="false" customHeight="false" outlineLevel="0" collapsed="false">
      <c r="A305" s="1" t="s">
        <v>322</v>
      </c>
      <c r="B305" s="1" t="n">
        <v>3929</v>
      </c>
      <c r="C305" s="1" t="n">
        <v>1</v>
      </c>
      <c r="D305" s="1" t="n">
        <v>732163</v>
      </c>
      <c r="E305" s="1" t="n">
        <v>0</v>
      </c>
      <c r="F305" s="1" t="n">
        <v>733</v>
      </c>
      <c r="G305" s="1" t="n">
        <v>0</v>
      </c>
      <c r="H305" s="1" t="n">
        <v>1</v>
      </c>
      <c r="I305" s="1" t="n">
        <v>10.057</v>
      </c>
      <c r="J305" s="1" t="n">
        <v>10.29</v>
      </c>
      <c r="K305" s="1" t="n">
        <v>0</v>
      </c>
      <c r="L305" s="1" t="s">
        <v>19</v>
      </c>
      <c r="M305" s="1" t="n">
        <v>2350576</v>
      </c>
      <c r="N305" s="1" t="n">
        <v>0.07</v>
      </c>
      <c r="O305" s="1" t="s">
        <v>20</v>
      </c>
      <c r="P305" s="1" t="n">
        <v>10.29</v>
      </c>
      <c r="Q305" s="1" t="n">
        <v>0</v>
      </c>
      <c r="R305" s="1" t="n">
        <v>709639</v>
      </c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</row>
    <row r="306" customFormat="false" ht="15" hidden="false" customHeight="false" outlineLevel="0" collapsed="false">
      <c r="A306" s="1" t="s">
        <v>323</v>
      </c>
      <c r="B306" s="1" t="n">
        <v>12416</v>
      </c>
      <c r="C306" s="1" t="n">
        <v>309</v>
      </c>
      <c r="D306" s="1" t="n">
        <v>1052954</v>
      </c>
      <c r="E306" s="1" t="n">
        <v>0</v>
      </c>
      <c r="F306" s="1" t="n">
        <v>837</v>
      </c>
      <c r="G306" s="1" t="n">
        <v>0</v>
      </c>
      <c r="H306" s="1" t="n">
        <v>1</v>
      </c>
      <c r="I306" s="1" t="n">
        <v>11.808</v>
      </c>
      <c r="J306" s="1" t="n">
        <v>12.11</v>
      </c>
      <c r="K306" s="1" t="n">
        <v>3</v>
      </c>
      <c r="L306" s="1" t="s">
        <v>19</v>
      </c>
      <c r="M306" s="1" t="n">
        <v>2769407</v>
      </c>
      <c r="N306" s="1" t="n">
        <v>0.39</v>
      </c>
      <c r="O306" s="1" t="s">
        <v>20</v>
      </c>
      <c r="P306" s="1" t="n">
        <v>12.11</v>
      </c>
      <c r="Q306" s="1" t="n">
        <v>0</v>
      </c>
      <c r="R306" s="1" t="n">
        <v>812779</v>
      </c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</row>
    <row r="307" customFormat="false" ht="15" hidden="false" customHeight="false" outlineLevel="0" collapsed="false">
      <c r="A307" s="1" t="s">
        <v>324</v>
      </c>
      <c r="B307" s="1" t="n">
        <v>3144</v>
      </c>
      <c r="C307" s="1" t="n">
        <v>0</v>
      </c>
      <c r="D307" s="1" t="n">
        <v>581280</v>
      </c>
      <c r="E307" s="1" t="n">
        <v>0</v>
      </c>
      <c r="F307" s="1" t="n">
        <v>637</v>
      </c>
      <c r="G307" s="1" t="n">
        <v>0</v>
      </c>
      <c r="H307" s="1" t="n">
        <v>1</v>
      </c>
      <c r="I307" s="1" t="n">
        <v>8.687</v>
      </c>
      <c r="J307" s="1" t="n">
        <v>8.92</v>
      </c>
      <c r="K307" s="1" t="n">
        <v>0</v>
      </c>
      <c r="L307" s="1" t="s">
        <v>19</v>
      </c>
      <c r="M307" s="1" t="n">
        <v>2052619</v>
      </c>
      <c r="N307" s="1" t="n">
        <v>0.05</v>
      </c>
      <c r="O307" s="1" t="s">
        <v>20</v>
      </c>
      <c r="P307" s="1" t="n">
        <v>8.92</v>
      </c>
      <c r="Q307" s="1" t="n">
        <v>0</v>
      </c>
      <c r="R307" s="1" t="n">
        <v>625068</v>
      </c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</row>
    <row r="308" customFormat="false" ht="15" hidden="false" customHeight="false" outlineLevel="0" collapsed="false">
      <c r="A308" s="1" t="s">
        <v>325</v>
      </c>
      <c r="B308" s="1" t="n">
        <v>2689</v>
      </c>
      <c r="C308" s="1" t="n">
        <v>0</v>
      </c>
      <c r="D308" s="1" t="n">
        <v>447194</v>
      </c>
      <c r="E308" s="1" t="n">
        <v>0</v>
      </c>
      <c r="F308" s="1" t="n">
        <v>661</v>
      </c>
      <c r="G308" s="1" t="n">
        <v>0</v>
      </c>
      <c r="H308" s="1" t="n">
        <v>1</v>
      </c>
      <c r="I308" s="1" t="n">
        <v>8.994</v>
      </c>
      <c r="J308" s="1" t="n">
        <v>9.23</v>
      </c>
      <c r="K308" s="1" t="n">
        <v>0</v>
      </c>
      <c r="L308" s="1" t="s">
        <v>19</v>
      </c>
      <c r="M308" s="1" t="n">
        <v>2124320</v>
      </c>
      <c r="N308" s="1" t="n">
        <v>0.04</v>
      </c>
      <c r="O308" s="1" t="s">
        <v>20</v>
      </c>
      <c r="P308" s="1" t="n">
        <v>9.23</v>
      </c>
      <c r="Q308" s="1" t="n">
        <v>0</v>
      </c>
      <c r="R308" s="1" t="n">
        <v>647367</v>
      </c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</row>
    <row r="309" customFormat="false" ht="15" hidden="false" customHeight="false" outlineLevel="0" collapsed="false">
      <c r="A309" s="1" t="s">
        <v>326</v>
      </c>
      <c r="B309" s="1" t="n">
        <v>3140</v>
      </c>
      <c r="C309" s="1" t="n">
        <v>1</v>
      </c>
      <c r="D309" s="1" t="n">
        <v>605956</v>
      </c>
      <c r="E309" s="1" t="n">
        <v>0</v>
      </c>
      <c r="F309" s="1" t="n">
        <v>716</v>
      </c>
      <c r="G309" s="1" t="n">
        <v>0</v>
      </c>
      <c r="H309" s="1" t="n">
        <v>1</v>
      </c>
      <c r="I309" s="1" t="n">
        <v>9.974</v>
      </c>
      <c r="J309" s="1" t="n">
        <v>10.23</v>
      </c>
      <c r="K309" s="1" t="n">
        <v>0</v>
      </c>
      <c r="L309" s="1" t="s">
        <v>19</v>
      </c>
      <c r="M309" s="1" t="n">
        <v>2333667</v>
      </c>
      <c r="N309" s="1" t="n">
        <v>0.06</v>
      </c>
      <c r="O309" s="1" t="s">
        <v>20</v>
      </c>
      <c r="P309" s="1" t="n">
        <v>10.23</v>
      </c>
      <c r="Q309" s="1" t="n">
        <v>0</v>
      </c>
      <c r="R309" s="1" t="n">
        <v>699907</v>
      </c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</row>
    <row r="310" customFormat="false" ht="15" hidden="false" customHeight="false" outlineLevel="0" collapsed="false">
      <c r="A310" s="1" t="s">
        <v>327</v>
      </c>
      <c r="B310" s="1" t="n">
        <v>3305</v>
      </c>
      <c r="C310" s="1" t="n">
        <v>0</v>
      </c>
      <c r="D310" s="1" t="n">
        <v>749592</v>
      </c>
      <c r="E310" s="1" t="n">
        <v>0</v>
      </c>
      <c r="F310" s="1" t="n">
        <v>596</v>
      </c>
      <c r="G310" s="1" t="n">
        <v>0</v>
      </c>
      <c r="H310" s="1" t="n">
        <v>1</v>
      </c>
      <c r="I310" s="1" t="n">
        <v>8.107</v>
      </c>
      <c r="J310" s="1" t="n">
        <v>8.34</v>
      </c>
      <c r="K310" s="1" t="n">
        <v>0</v>
      </c>
      <c r="L310" s="1" t="s">
        <v>19</v>
      </c>
      <c r="M310" s="1" t="n">
        <v>1974522</v>
      </c>
      <c r="N310" s="1" t="n">
        <v>0.06</v>
      </c>
      <c r="O310" s="1" t="s">
        <v>20</v>
      </c>
      <c r="P310" s="1" t="n">
        <v>8.34</v>
      </c>
      <c r="Q310" s="1" t="n">
        <v>0</v>
      </c>
      <c r="R310" s="1" t="n">
        <v>597824</v>
      </c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</row>
    <row r="311" customFormat="false" ht="15" hidden="false" customHeight="false" outlineLevel="0" collapsed="false">
      <c r="A311" s="1" t="s">
        <v>328</v>
      </c>
      <c r="B311" s="1" t="n">
        <v>5131</v>
      </c>
      <c r="C311" s="1" t="n">
        <v>1</v>
      </c>
      <c r="D311" s="1" t="n">
        <v>980430</v>
      </c>
      <c r="E311" s="1" t="n">
        <v>0</v>
      </c>
      <c r="F311" s="1" t="n">
        <v>783</v>
      </c>
      <c r="G311" s="1" t="n">
        <v>0</v>
      </c>
      <c r="H311" s="1" t="n">
        <v>1</v>
      </c>
      <c r="I311" s="1" t="n">
        <v>10.697</v>
      </c>
      <c r="J311" s="1" t="n">
        <v>10.97</v>
      </c>
      <c r="K311" s="1" t="n">
        <v>0</v>
      </c>
      <c r="L311" s="1" t="s">
        <v>19</v>
      </c>
      <c r="M311" s="1" t="n">
        <v>2540933</v>
      </c>
      <c r="N311" s="1" t="n">
        <v>0.08</v>
      </c>
      <c r="O311" s="1" t="s">
        <v>20</v>
      </c>
      <c r="P311" s="1" t="n">
        <v>10.97</v>
      </c>
      <c r="Q311" s="1" t="n">
        <v>0</v>
      </c>
      <c r="R311" s="1" t="n">
        <v>760236</v>
      </c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</row>
    <row r="312" customFormat="false" ht="15" hidden="false" customHeight="false" outlineLevel="0" collapsed="false">
      <c r="A312" s="1" t="s">
        <v>329</v>
      </c>
      <c r="B312" s="1" t="n">
        <v>130835</v>
      </c>
      <c r="C312" s="1" t="n">
        <v>123</v>
      </c>
      <c r="D312" s="1" t="n">
        <v>1257252</v>
      </c>
      <c r="E312" s="1" t="n">
        <v>0</v>
      </c>
      <c r="F312" s="1" t="n">
        <v>888</v>
      </c>
      <c r="G312" s="1" t="n">
        <v>0</v>
      </c>
      <c r="H312" s="1" t="n">
        <v>1</v>
      </c>
      <c r="I312" s="1" t="n">
        <v>14.222</v>
      </c>
      <c r="J312" s="1" t="n">
        <v>14.53</v>
      </c>
      <c r="K312" s="1" t="n">
        <v>2</v>
      </c>
      <c r="L312" s="1" t="s">
        <v>19</v>
      </c>
      <c r="M312" s="1" t="n">
        <v>3092171</v>
      </c>
      <c r="N312" s="1" t="n">
        <v>1.51</v>
      </c>
      <c r="O312" s="1" t="s">
        <v>20</v>
      </c>
      <c r="P312" s="1" t="n">
        <v>14.53</v>
      </c>
      <c r="Q312" s="1" t="n">
        <v>0</v>
      </c>
      <c r="R312" s="1" t="n">
        <v>862362</v>
      </c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</row>
    <row r="313" customFormat="false" ht="15" hidden="false" customHeight="false" outlineLevel="0" collapsed="false">
      <c r="A313" s="1" t="s">
        <v>330</v>
      </c>
      <c r="B313" s="1" t="n">
        <v>3920</v>
      </c>
      <c r="C313" s="1" t="n">
        <v>2</v>
      </c>
      <c r="D313" s="1" t="n">
        <v>1028150</v>
      </c>
      <c r="E313" s="1" t="n">
        <v>0</v>
      </c>
      <c r="F313" s="1" t="n">
        <v>897</v>
      </c>
      <c r="G313" s="1" t="n">
        <v>0</v>
      </c>
      <c r="H313" s="1" t="n">
        <v>1</v>
      </c>
      <c r="I313" s="1" t="n">
        <v>12.825</v>
      </c>
      <c r="J313" s="1" t="n">
        <v>13.15</v>
      </c>
      <c r="K313" s="1" t="n">
        <v>0</v>
      </c>
      <c r="L313" s="1" t="s">
        <v>19</v>
      </c>
      <c r="M313" s="1" t="n">
        <v>3139711</v>
      </c>
      <c r="N313" s="1" t="n">
        <v>0.08</v>
      </c>
      <c r="O313" s="1" t="s">
        <v>20</v>
      </c>
      <c r="P313" s="1" t="n">
        <v>13.15</v>
      </c>
      <c r="Q313" s="1" t="n">
        <v>0</v>
      </c>
      <c r="R313" s="1" t="n">
        <v>874082</v>
      </c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</row>
    <row r="314" customFormat="false" ht="15" hidden="false" customHeight="false" outlineLevel="0" collapsed="false">
      <c r="A314" s="1" t="s">
        <v>331</v>
      </c>
      <c r="B314" s="1" t="n">
        <v>4284</v>
      </c>
      <c r="C314" s="1" t="n">
        <v>1</v>
      </c>
      <c r="D314" s="1" t="n">
        <v>941482</v>
      </c>
      <c r="E314" s="1" t="n">
        <v>0</v>
      </c>
      <c r="F314" s="1" t="n">
        <v>829</v>
      </c>
      <c r="G314" s="1" t="n">
        <v>0</v>
      </c>
      <c r="H314" s="1" t="n">
        <v>1</v>
      </c>
      <c r="I314" s="1" t="n">
        <v>11.951</v>
      </c>
      <c r="J314" s="1" t="n">
        <v>12.22</v>
      </c>
      <c r="K314" s="1" t="n">
        <v>0</v>
      </c>
      <c r="L314" s="1" t="s">
        <v>19</v>
      </c>
      <c r="M314" s="1" t="n">
        <v>2846172</v>
      </c>
      <c r="N314" s="1" t="n">
        <v>0.07</v>
      </c>
      <c r="O314" s="1" t="s">
        <v>20</v>
      </c>
      <c r="P314" s="1" t="n">
        <v>12.22</v>
      </c>
      <c r="Q314" s="1" t="n">
        <v>0</v>
      </c>
      <c r="R314" s="1" t="n">
        <v>800014</v>
      </c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</row>
    <row r="315" customFormat="false" ht="15" hidden="false" customHeight="false" outlineLevel="0" collapsed="false">
      <c r="A315" s="1" t="s">
        <v>332</v>
      </c>
      <c r="B315" s="1" t="n">
        <v>5290</v>
      </c>
      <c r="C315" s="1" t="n">
        <v>1</v>
      </c>
      <c r="D315" s="1" t="n">
        <v>1181796</v>
      </c>
      <c r="E315" s="1" t="n">
        <v>0</v>
      </c>
      <c r="F315" s="1" t="n">
        <v>843</v>
      </c>
      <c r="G315" s="1" t="n">
        <v>0</v>
      </c>
      <c r="H315" s="1" t="n">
        <v>1</v>
      </c>
      <c r="I315" s="1" t="n">
        <v>11.854</v>
      </c>
      <c r="J315" s="1" t="n">
        <v>12.13</v>
      </c>
      <c r="K315" s="1" t="n">
        <v>0</v>
      </c>
      <c r="L315" s="1" t="s">
        <v>19</v>
      </c>
      <c r="M315" s="1" t="n">
        <v>2877348</v>
      </c>
      <c r="N315" s="1" t="n">
        <v>0.1</v>
      </c>
      <c r="O315" s="1" t="s">
        <v>20</v>
      </c>
      <c r="P315" s="1" t="n">
        <v>12.13</v>
      </c>
      <c r="Q315" s="1" t="n">
        <v>0</v>
      </c>
      <c r="R315" s="1" t="n">
        <v>809603</v>
      </c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</row>
    <row r="316" customFormat="false" ht="15" hidden="false" customHeight="false" outlineLevel="0" collapsed="false">
      <c r="A316" s="1" t="s">
        <v>333</v>
      </c>
      <c r="B316" s="1" t="n">
        <v>4181</v>
      </c>
      <c r="C316" s="1" t="n">
        <v>1</v>
      </c>
      <c r="D316" s="1" t="n">
        <v>893697</v>
      </c>
      <c r="E316" s="1" t="n">
        <v>0</v>
      </c>
      <c r="F316" s="1" t="n">
        <v>813</v>
      </c>
      <c r="G316" s="1" t="n">
        <v>0</v>
      </c>
      <c r="H316" s="1" t="n">
        <v>1</v>
      </c>
      <c r="I316" s="1" t="n">
        <v>11.481</v>
      </c>
      <c r="J316" s="1" t="n">
        <v>11.77</v>
      </c>
      <c r="K316" s="1" t="n">
        <v>0</v>
      </c>
      <c r="L316" s="1" t="s">
        <v>19</v>
      </c>
      <c r="M316" s="1" t="n">
        <v>2800734</v>
      </c>
      <c r="N316" s="1" t="n">
        <v>0.07</v>
      </c>
      <c r="O316" s="1" t="s">
        <v>20</v>
      </c>
      <c r="P316" s="1" t="n">
        <v>11.77</v>
      </c>
      <c r="Q316" s="1" t="n">
        <v>0</v>
      </c>
      <c r="R316" s="1" t="n">
        <v>781267</v>
      </c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</row>
    <row r="317" customFormat="false" ht="15" hidden="false" customHeight="false" outlineLevel="0" collapsed="false">
      <c r="A317" s="1" t="s">
        <v>334</v>
      </c>
      <c r="B317" s="1" t="n">
        <v>4247</v>
      </c>
      <c r="C317" s="1" t="n">
        <v>1</v>
      </c>
      <c r="D317" s="1" t="n">
        <v>1223232</v>
      </c>
      <c r="E317" s="1" t="n">
        <v>0</v>
      </c>
      <c r="F317" s="1" t="n">
        <v>907</v>
      </c>
      <c r="G317" s="1" t="n">
        <v>0</v>
      </c>
      <c r="H317" s="1" t="n">
        <v>1</v>
      </c>
      <c r="I317" s="1" t="n">
        <v>13.023</v>
      </c>
      <c r="J317" s="1" t="n">
        <v>13.31</v>
      </c>
      <c r="K317" s="1" t="n">
        <v>0</v>
      </c>
      <c r="L317" s="1" t="s">
        <v>19</v>
      </c>
      <c r="M317" s="1" t="n">
        <v>3203905</v>
      </c>
      <c r="N317" s="1" t="n">
        <v>0.1</v>
      </c>
      <c r="O317" s="1" t="s">
        <v>20</v>
      </c>
      <c r="P317" s="1" t="n">
        <v>13.31</v>
      </c>
      <c r="Q317" s="1" t="n">
        <v>0</v>
      </c>
      <c r="R317" s="1" t="n">
        <v>884833</v>
      </c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</row>
    <row r="318" customFormat="false" ht="15" hidden="false" customHeight="false" outlineLevel="0" collapsed="false">
      <c r="A318" s="1" t="s">
        <v>335</v>
      </c>
      <c r="B318" s="1" t="n">
        <v>59181</v>
      </c>
      <c r="C318" s="1" t="n">
        <v>170</v>
      </c>
      <c r="D318" s="1" t="n">
        <v>1136618</v>
      </c>
      <c r="E318" s="1" t="n">
        <v>0</v>
      </c>
      <c r="F318" s="1" t="n">
        <v>960</v>
      </c>
      <c r="G318" s="1" t="n">
        <v>0</v>
      </c>
      <c r="H318" s="1" t="n">
        <v>1</v>
      </c>
      <c r="I318" s="1" t="n">
        <v>15.036</v>
      </c>
      <c r="J318" s="1" t="n">
        <v>15.37</v>
      </c>
      <c r="K318" s="1" t="n">
        <v>2</v>
      </c>
      <c r="L318" s="1" t="s">
        <v>19</v>
      </c>
      <c r="M318" s="1" t="n">
        <v>3442322</v>
      </c>
      <c r="N318" s="1" t="n">
        <v>1.09</v>
      </c>
      <c r="O318" s="1" t="s">
        <v>20</v>
      </c>
      <c r="P318" s="1" t="n">
        <v>15.37</v>
      </c>
      <c r="Q318" s="1" t="n">
        <v>0</v>
      </c>
      <c r="R318" s="1" t="n">
        <v>947361</v>
      </c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</row>
    <row r="319" customFormat="false" ht="15" hidden="false" customHeight="false" outlineLevel="0" collapsed="false">
      <c r="A319" s="1" t="s">
        <v>336</v>
      </c>
      <c r="B319" s="1" t="n">
        <v>10709</v>
      </c>
      <c r="C319" s="1" t="n">
        <v>62</v>
      </c>
      <c r="D319" s="1" t="n">
        <v>1505890</v>
      </c>
      <c r="E319" s="1" t="n">
        <v>0</v>
      </c>
      <c r="F319" s="1" t="n">
        <v>1099</v>
      </c>
      <c r="G319" s="1" t="n">
        <v>0</v>
      </c>
      <c r="H319" s="1" t="n">
        <v>1</v>
      </c>
      <c r="I319" s="1" t="n">
        <v>17.409</v>
      </c>
      <c r="J319" s="1" t="n">
        <v>17.77</v>
      </c>
      <c r="K319" s="1" t="n">
        <v>1</v>
      </c>
      <c r="L319" s="1" t="s">
        <v>19</v>
      </c>
      <c r="M319" s="1" t="n">
        <v>4228276</v>
      </c>
      <c r="N319" s="1" t="n">
        <v>0.22</v>
      </c>
      <c r="O319" s="1" t="s">
        <v>20</v>
      </c>
      <c r="P319" s="1" t="n">
        <v>17.77</v>
      </c>
      <c r="Q319" s="1" t="n">
        <v>0</v>
      </c>
      <c r="R319" s="1" t="n">
        <v>1091384</v>
      </c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</row>
    <row r="320" customFormat="false" ht="15" hidden="false" customHeight="false" outlineLevel="0" collapsed="false">
      <c r="A320" s="1" t="s">
        <v>337</v>
      </c>
      <c r="B320" s="1" t="n">
        <v>310616</v>
      </c>
      <c r="C320" s="1" t="n">
        <v>4376</v>
      </c>
      <c r="D320" s="1" t="n">
        <v>1166039</v>
      </c>
      <c r="E320" s="1" t="n">
        <v>0</v>
      </c>
      <c r="F320" s="1" t="n">
        <v>1039</v>
      </c>
      <c r="G320" s="1" t="n">
        <v>0</v>
      </c>
      <c r="H320" s="1" t="n">
        <v>1</v>
      </c>
      <c r="I320" s="1" t="n">
        <v>24.227</v>
      </c>
      <c r="J320" s="1" t="n">
        <v>24.56</v>
      </c>
      <c r="K320" s="1" t="n">
        <v>22</v>
      </c>
      <c r="L320" s="1" t="s">
        <v>19</v>
      </c>
      <c r="M320" s="1" t="n">
        <v>3943255</v>
      </c>
      <c r="N320" s="1" t="n">
        <v>8.18</v>
      </c>
      <c r="O320" s="1" t="s">
        <v>20</v>
      </c>
      <c r="P320" s="1" t="n">
        <v>24.56</v>
      </c>
      <c r="Q320" s="1" t="n">
        <v>0</v>
      </c>
      <c r="R320" s="1" t="n">
        <v>1028602</v>
      </c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</row>
    <row r="321" customFormat="false" ht="15" hidden="false" customHeight="false" outlineLevel="0" collapsed="false">
      <c r="A321" s="1" t="s">
        <v>338</v>
      </c>
      <c r="B321" s="1" t="n">
        <v>6326</v>
      </c>
      <c r="C321" s="1" t="n">
        <v>1</v>
      </c>
      <c r="D321" s="1" t="n">
        <v>1426081</v>
      </c>
      <c r="E321" s="1" t="n">
        <v>0</v>
      </c>
      <c r="F321" s="1" t="n">
        <v>1051</v>
      </c>
      <c r="G321" s="1" t="n">
        <v>0</v>
      </c>
      <c r="H321" s="1" t="n">
        <v>1</v>
      </c>
      <c r="I321" s="1" t="n">
        <v>16.215</v>
      </c>
      <c r="J321" s="1" t="n">
        <v>16.56</v>
      </c>
      <c r="K321" s="1" t="n">
        <v>0</v>
      </c>
      <c r="L321" s="1" t="s">
        <v>19</v>
      </c>
      <c r="M321" s="1" t="n">
        <v>3979595</v>
      </c>
      <c r="N321" s="1" t="n">
        <v>0.13</v>
      </c>
      <c r="O321" s="1" t="s">
        <v>20</v>
      </c>
      <c r="P321" s="1" t="n">
        <v>16.56</v>
      </c>
      <c r="Q321" s="1" t="n">
        <v>0</v>
      </c>
      <c r="R321" s="1" t="n">
        <v>1038409</v>
      </c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</row>
    <row r="322" customFormat="false" ht="15" hidden="false" customHeight="false" outlineLevel="0" collapsed="false">
      <c r="A322" s="1" t="s">
        <v>339</v>
      </c>
      <c r="B322" s="1" t="n">
        <v>5851</v>
      </c>
      <c r="C322" s="1" t="n">
        <v>1</v>
      </c>
      <c r="D322" s="1" t="n">
        <v>1346792</v>
      </c>
      <c r="E322" s="1" t="n">
        <v>0</v>
      </c>
      <c r="F322" s="1" t="n">
        <v>1013</v>
      </c>
      <c r="G322" s="1" t="n">
        <v>0</v>
      </c>
      <c r="H322" s="1" t="n">
        <v>1</v>
      </c>
      <c r="I322" s="1" t="n">
        <v>15.632</v>
      </c>
      <c r="J322" s="1" t="n">
        <v>16</v>
      </c>
      <c r="K322" s="1" t="n">
        <v>0</v>
      </c>
      <c r="L322" s="1" t="s">
        <v>19</v>
      </c>
      <c r="M322" s="1" t="n">
        <v>3821853</v>
      </c>
      <c r="N322" s="1" t="n">
        <v>0.11</v>
      </c>
      <c r="O322" s="1" t="s">
        <v>20</v>
      </c>
      <c r="P322" s="1" t="n">
        <v>16</v>
      </c>
      <c r="Q322" s="1" t="n">
        <v>0</v>
      </c>
      <c r="R322" s="1" t="n">
        <v>995248</v>
      </c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</row>
    <row r="323" customFormat="false" ht="15" hidden="false" customHeight="false" outlineLevel="0" collapsed="false">
      <c r="A323" s="1" t="s">
        <v>340</v>
      </c>
      <c r="B323" s="1" t="n">
        <v>5277</v>
      </c>
      <c r="C323" s="1" t="n">
        <v>1</v>
      </c>
      <c r="D323" s="1" t="n">
        <v>1116876</v>
      </c>
      <c r="E323" s="1" t="n">
        <v>0</v>
      </c>
      <c r="F323" s="1" t="n">
        <v>1021</v>
      </c>
      <c r="G323" s="1" t="n">
        <v>0</v>
      </c>
      <c r="H323" s="1" t="n">
        <v>1</v>
      </c>
      <c r="I323" s="1" t="n">
        <v>15.818</v>
      </c>
      <c r="J323" s="1" t="n">
        <v>16.2</v>
      </c>
      <c r="K323" s="1" t="n">
        <v>0</v>
      </c>
      <c r="L323" s="1" t="s">
        <v>19</v>
      </c>
      <c r="M323" s="1" t="n">
        <v>3885971</v>
      </c>
      <c r="N323" s="1" t="n">
        <v>0.11</v>
      </c>
      <c r="O323" s="1" t="s">
        <v>20</v>
      </c>
      <c r="P323" s="1" t="n">
        <v>16.2</v>
      </c>
      <c r="Q323" s="1" t="n">
        <v>0</v>
      </c>
      <c r="R323" s="1" t="n">
        <v>1009959</v>
      </c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</row>
    <row r="324" customFormat="false" ht="15" hidden="false" customHeight="false" outlineLevel="0" collapsed="false">
      <c r="A324" s="1" t="s">
        <v>341</v>
      </c>
      <c r="B324" s="1" t="n">
        <v>306125</v>
      </c>
      <c r="C324" s="1" t="n">
        <v>1401</v>
      </c>
      <c r="D324" s="1" t="n">
        <v>1265364</v>
      </c>
      <c r="E324" s="1" t="n">
        <v>0</v>
      </c>
      <c r="F324" s="1" t="n">
        <v>1070</v>
      </c>
      <c r="G324" s="1" t="n">
        <v>0</v>
      </c>
      <c r="H324" s="1" t="n">
        <v>1</v>
      </c>
      <c r="I324" s="1" t="n">
        <v>21.55</v>
      </c>
      <c r="J324" s="1" t="n">
        <v>21.89</v>
      </c>
      <c r="K324" s="1" t="n">
        <v>9</v>
      </c>
      <c r="L324" s="1" t="s">
        <v>19</v>
      </c>
      <c r="M324" s="1" t="n">
        <v>4077368</v>
      </c>
      <c r="N324" s="1" t="n">
        <v>5.08</v>
      </c>
      <c r="O324" s="1" t="s">
        <v>20</v>
      </c>
      <c r="P324" s="1" t="n">
        <v>21.89</v>
      </c>
      <c r="Q324" s="1" t="n">
        <v>0</v>
      </c>
      <c r="R324" s="1" t="n">
        <v>1060975</v>
      </c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</row>
    <row r="325" customFormat="false" ht="15" hidden="false" customHeight="false" outlineLevel="0" collapsed="false">
      <c r="A325" s="1" t="s">
        <v>342</v>
      </c>
      <c r="B325" s="1" t="n">
        <v>141271</v>
      </c>
      <c r="C325" s="1" t="n">
        <v>1288</v>
      </c>
      <c r="D325" s="1" t="n">
        <v>1463209</v>
      </c>
      <c r="E325" s="1" t="n">
        <v>0</v>
      </c>
      <c r="F325" s="1" t="n">
        <v>1119</v>
      </c>
      <c r="G325" s="1" t="n">
        <v>0</v>
      </c>
      <c r="H325" s="1" t="n">
        <v>1</v>
      </c>
      <c r="I325" s="1" t="n">
        <v>20.094</v>
      </c>
      <c r="J325" s="1" t="n">
        <v>20.48</v>
      </c>
      <c r="K325" s="1" t="n">
        <v>9</v>
      </c>
      <c r="L325" s="1" t="s">
        <v>19</v>
      </c>
      <c r="M325" s="1" t="n">
        <v>4354431</v>
      </c>
      <c r="N325" s="1" t="n">
        <v>2.12</v>
      </c>
      <c r="O325" s="1" t="s">
        <v>20</v>
      </c>
      <c r="P325" s="1" t="n">
        <v>20.48</v>
      </c>
      <c r="Q325" s="1" t="n">
        <v>0</v>
      </c>
      <c r="R325" s="1" t="n">
        <v>1113947</v>
      </c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</row>
    <row r="326" customFormat="false" ht="15" hidden="false" customHeight="false" outlineLevel="0" collapsed="false">
      <c r="A326" s="1" t="s">
        <v>343</v>
      </c>
      <c r="B326" s="1" t="n">
        <v>145728</v>
      </c>
      <c r="C326" s="1" t="n">
        <v>655</v>
      </c>
      <c r="D326" s="1" t="n">
        <v>1493860</v>
      </c>
      <c r="E326" s="1" t="n">
        <v>0</v>
      </c>
      <c r="F326" s="1" t="n">
        <v>1224</v>
      </c>
      <c r="G326" s="1" t="n">
        <v>0</v>
      </c>
      <c r="H326" s="1" t="n">
        <v>1</v>
      </c>
      <c r="I326" s="1" t="n">
        <v>21.782</v>
      </c>
      <c r="J326" s="1" t="n">
        <v>22.23</v>
      </c>
      <c r="K326" s="1" t="n">
        <v>5</v>
      </c>
      <c r="L326" s="1" t="s">
        <v>19</v>
      </c>
      <c r="M326" s="1" t="n">
        <v>4804993</v>
      </c>
      <c r="N326" s="1" t="n">
        <v>2.03</v>
      </c>
      <c r="O326" s="1" t="s">
        <v>20</v>
      </c>
      <c r="P326" s="1" t="n">
        <v>22.23</v>
      </c>
      <c r="Q326" s="1" t="n">
        <v>0</v>
      </c>
      <c r="R326" s="1" t="n">
        <v>1228679</v>
      </c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</row>
    <row r="327" customFormat="false" ht="15" hidden="false" customHeight="false" outlineLevel="0" collapsed="false">
      <c r="A327" s="1" t="s">
        <v>344</v>
      </c>
      <c r="B327" s="1" t="n">
        <v>1856</v>
      </c>
      <c r="C327" s="1" t="n">
        <v>0</v>
      </c>
      <c r="D327" s="1" t="n">
        <v>657556</v>
      </c>
      <c r="E327" s="1" t="n">
        <v>0</v>
      </c>
      <c r="F327" s="1" t="n">
        <v>410</v>
      </c>
      <c r="G327" s="1" t="n">
        <v>0</v>
      </c>
      <c r="H327" s="1" t="n">
        <v>1</v>
      </c>
      <c r="I327" s="1" t="n">
        <v>4.911</v>
      </c>
      <c r="J327" s="1" t="n">
        <v>5.06</v>
      </c>
      <c r="K327" s="1" t="n">
        <v>0</v>
      </c>
      <c r="L327" s="1" t="s">
        <v>19</v>
      </c>
      <c r="M327" s="1" t="n">
        <v>1112737</v>
      </c>
      <c r="N327" s="1" t="n">
        <v>0.05</v>
      </c>
      <c r="O327" s="1" t="s">
        <v>20</v>
      </c>
      <c r="P327" s="1" t="n">
        <v>5.06</v>
      </c>
      <c r="Q327" s="1" t="n">
        <v>0</v>
      </c>
      <c r="R327" s="1" t="n">
        <v>407355</v>
      </c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</row>
    <row r="328" customFormat="false" ht="15" hidden="false" customHeight="false" outlineLevel="0" collapsed="false">
      <c r="A328" s="1" t="s">
        <v>345</v>
      </c>
      <c r="B328" s="1" t="n">
        <v>1840</v>
      </c>
      <c r="C328" s="1" t="n">
        <v>0</v>
      </c>
      <c r="D328" s="1" t="n">
        <v>663338</v>
      </c>
      <c r="E328" s="1" t="n">
        <v>0</v>
      </c>
      <c r="F328" s="1" t="n">
        <v>412</v>
      </c>
      <c r="G328" s="1" t="n">
        <v>0</v>
      </c>
      <c r="H328" s="1" t="n">
        <v>1</v>
      </c>
      <c r="I328" s="1" t="n">
        <v>4.923</v>
      </c>
      <c r="J328" s="1" t="n">
        <v>5.05</v>
      </c>
      <c r="K328" s="1" t="n">
        <v>0</v>
      </c>
      <c r="L328" s="1" t="s">
        <v>19</v>
      </c>
      <c r="M328" s="1" t="n">
        <v>1110577</v>
      </c>
      <c r="N328" s="1" t="n">
        <v>0.05</v>
      </c>
      <c r="O328" s="1" t="s">
        <v>20</v>
      </c>
      <c r="P328" s="1" t="n">
        <v>5.05</v>
      </c>
      <c r="Q328" s="1" t="n">
        <v>0</v>
      </c>
      <c r="R328" s="1" t="n">
        <v>407349</v>
      </c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</row>
    <row r="329" customFormat="false" ht="15" hidden="false" customHeight="false" outlineLevel="0" collapsed="false">
      <c r="A329" s="1" t="s">
        <v>346</v>
      </c>
      <c r="B329" s="1" t="n">
        <v>1941</v>
      </c>
      <c r="C329" s="1" t="n">
        <v>0</v>
      </c>
      <c r="D329" s="1" t="n">
        <v>654703</v>
      </c>
      <c r="E329" s="1" t="n">
        <v>0</v>
      </c>
      <c r="F329" s="1" t="n">
        <v>407</v>
      </c>
      <c r="G329" s="1" t="n">
        <v>0</v>
      </c>
      <c r="H329" s="1" t="n">
        <v>1</v>
      </c>
      <c r="I329" s="1" t="n">
        <v>4.661</v>
      </c>
      <c r="J329" s="1" t="n">
        <v>4.81</v>
      </c>
      <c r="K329" s="1" t="n">
        <v>0</v>
      </c>
      <c r="L329" s="1" t="s">
        <v>19</v>
      </c>
      <c r="M329" s="1" t="n">
        <v>1109669</v>
      </c>
      <c r="N329" s="1" t="n">
        <v>0.05</v>
      </c>
      <c r="O329" s="1" t="s">
        <v>20</v>
      </c>
      <c r="P329" s="1" t="n">
        <v>4.81</v>
      </c>
      <c r="Q329" s="1" t="n">
        <v>0</v>
      </c>
      <c r="R329" s="1" t="n">
        <v>406372</v>
      </c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</row>
    <row r="330" customFormat="false" ht="15" hidden="false" customHeight="false" outlineLevel="0" collapsed="false">
      <c r="A330" s="1" t="s">
        <v>347</v>
      </c>
      <c r="B330" s="1" t="n">
        <v>1844</v>
      </c>
      <c r="C330" s="1" t="n">
        <v>0</v>
      </c>
      <c r="D330" s="1" t="n">
        <v>824465</v>
      </c>
      <c r="E330" s="1" t="n">
        <v>0</v>
      </c>
      <c r="F330" s="1" t="n">
        <v>461</v>
      </c>
      <c r="G330" s="1" t="n">
        <v>0</v>
      </c>
      <c r="H330" s="1" t="n">
        <v>1</v>
      </c>
      <c r="I330" s="1" t="n">
        <v>5.29</v>
      </c>
      <c r="J330" s="1" t="n">
        <v>5.45</v>
      </c>
      <c r="K330" s="1" t="n">
        <v>0</v>
      </c>
      <c r="L330" s="1" t="s">
        <v>19</v>
      </c>
      <c r="M330" s="1" t="n">
        <v>1265730</v>
      </c>
      <c r="N330" s="1" t="n">
        <v>0.05</v>
      </c>
      <c r="O330" s="1" t="s">
        <v>20</v>
      </c>
      <c r="P330" s="1" t="n">
        <v>5.45</v>
      </c>
      <c r="Q330" s="1" t="n">
        <v>0</v>
      </c>
      <c r="R330" s="1" t="n">
        <v>457438</v>
      </c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</row>
    <row r="331" customFormat="false" ht="15" hidden="false" customHeight="false" outlineLevel="0" collapsed="false">
      <c r="A331" s="1" t="s">
        <v>348</v>
      </c>
      <c r="B331" s="1" t="n">
        <v>1175</v>
      </c>
      <c r="C331" s="1" t="n">
        <v>0</v>
      </c>
      <c r="D331" s="1" t="n">
        <v>283221</v>
      </c>
      <c r="E331" s="1" t="n">
        <v>0</v>
      </c>
      <c r="F331" s="1" t="n">
        <v>254</v>
      </c>
      <c r="G331" s="1" t="n">
        <v>0</v>
      </c>
      <c r="H331" s="1" t="n">
        <v>1</v>
      </c>
      <c r="I331" s="1" t="n">
        <v>2.911</v>
      </c>
      <c r="J331" s="1" t="n">
        <v>3</v>
      </c>
      <c r="K331" s="1" t="n">
        <v>0</v>
      </c>
      <c r="L331" s="1" t="s">
        <v>19</v>
      </c>
      <c r="M331" s="1" t="n">
        <v>651209</v>
      </c>
      <c r="N331" s="1" t="n">
        <v>0.02</v>
      </c>
      <c r="O331" s="1" t="s">
        <v>20</v>
      </c>
      <c r="P331" s="1" t="n">
        <v>3</v>
      </c>
      <c r="Q331" s="1" t="n">
        <v>0</v>
      </c>
      <c r="R331" s="1" t="n">
        <v>247605</v>
      </c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</row>
    <row r="332" customFormat="false" ht="15" hidden="false" customHeight="false" outlineLevel="0" collapsed="false">
      <c r="A332" s="1" t="s">
        <v>349</v>
      </c>
      <c r="B332" s="1" t="n">
        <v>1128</v>
      </c>
      <c r="C332" s="1" t="n">
        <v>0</v>
      </c>
      <c r="D332" s="1" t="n">
        <v>313922</v>
      </c>
      <c r="E332" s="1" t="n">
        <v>0</v>
      </c>
      <c r="F332" s="1" t="n">
        <v>237</v>
      </c>
      <c r="G332" s="1" t="n">
        <v>0</v>
      </c>
      <c r="H332" s="1" t="n">
        <v>1</v>
      </c>
      <c r="I332" s="1" t="n">
        <v>2.732</v>
      </c>
      <c r="J332" s="1" t="n">
        <v>2.82</v>
      </c>
      <c r="K332" s="1" t="n">
        <v>0</v>
      </c>
      <c r="L332" s="1" t="s">
        <v>19</v>
      </c>
      <c r="M332" s="1" t="n">
        <v>595265</v>
      </c>
      <c r="N332" s="1" t="n">
        <v>0.03</v>
      </c>
      <c r="O332" s="1" t="s">
        <v>20</v>
      </c>
      <c r="P332" s="1" t="n">
        <v>2.82</v>
      </c>
      <c r="Q332" s="1" t="n">
        <v>0</v>
      </c>
      <c r="R332" s="1" t="n">
        <v>229948</v>
      </c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</row>
    <row r="333" customFormat="false" ht="15" hidden="false" customHeight="false" outlineLevel="0" collapsed="false">
      <c r="A333" s="1" t="s">
        <v>350</v>
      </c>
      <c r="B333" s="1" t="n">
        <v>608</v>
      </c>
      <c r="C333" s="1" t="n">
        <v>0</v>
      </c>
      <c r="D333" s="1" t="n">
        <v>424819</v>
      </c>
      <c r="E333" s="1" t="n">
        <v>0</v>
      </c>
      <c r="F333" s="1" t="n">
        <v>298</v>
      </c>
      <c r="G333" s="1" t="n">
        <v>0</v>
      </c>
      <c r="H333" s="1" t="n">
        <v>1</v>
      </c>
      <c r="I333" s="1" t="n">
        <v>3.503</v>
      </c>
      <c r="J333" s="1" t="n">
        <v>3.62</v>
      </c>
      <c r="K333" s="1" t="n">
        <v>0</v>
      </c>
      <c r="L333" s="1" t="s">
        <v>19</v>
      </c>
      <c r="M333" s="1" t="n">
        <v>772409</v>
      </c>
      <c r="N333" s="1" t="n">
        <v>0.03</v>
      </c>
      <c r="O333" s="1" t="s">
        <v>20</v>
      </c>
      <c r="P333" s="1" t="n">
        <v>3.62</v>
      </c>
      <c r="Q333" s="1" t="n">
        <v>0</v>
      </c>
      <c r="R333" s="1" t="n">
        <v>298241</v>
      </c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</row>
    <row r="334" customFormat="false" ht="15" hidden="false" customHeight="false" outlineLevel="0" collapsed="false">
      <c r="A334" s="1" t="s">
        <v>351</v>
      </c>
      <c r="B334" s="1" t="n">
        <v>2175</v>
      </c>
      <c r="C334" s="1" t="n">
        <v>1</v>
      </c>
      <c r="D334" s="1" t="n">
        <v>1055535</v>
      </c>
      <c r="E334" s="1" t="n">
        <v>0</v>
      </c>
      <c r="F334" s="1" t="n">
        <v>584</v>
      </c>
      <c r="G334" s="1" t="n">
        <v>0</v>
      </c>
      <c r="H334" s="1" t="n">
        <v>1</v>
      </c>
      <c r="I334" s="1" t="n">
        <v>7.601</v>
      </c>
      <c r="J334" s="1" t="n">
        <v>7.79</v>
      </c>
      <c r="K334" s="1" t="n">
        <v>0</v>
      </c>
      <c r="L334" s="1" t="s">
        <v>19</v>
      </c>
      <c r="M334" s="1" t="n">
        <v>1804919</v>
      </c>
      <c r="N334" s="1" t="n">
        <v>0.08</v>
      </c>
      <c r="O334" s="1" t="s">
        <v>20</v>
      </c>
      <c r="P334" s="1" t="n">
        <v>7.79</v>
      </c>
      <c r="Q334" s="1" t="n">
        <v>0</v>
      </c>
      <c r="R334" s="1" t="n">
        <v>600389</v>
      </c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</row>
    <row r="335" customFormat="false" ht="15" hidden="false" customHeight="false" outlineLevel="0" collapsed="false">
      <c r="A335" s="1" t="s">
        <v>352</v>
      </c>
      <c r="B335" s="1" t="n">
        <v>3451</v>
      </c>
      <c r="C335" s="1" t="n">
        <v>72</v>
      </c>
      <c r="D335" s="1" t="n">
        <v>1019202</v>
      </c>
      <c r="E335" s="1" t="n">
        <v>0</v>
      </c>
      <c r="F335" s="1" t="n">
        <v>589</v>
      </c>
      <c r="G335" s="1" t="n">
        <v>0</v>
      </c>
      <c r="H335" s="1" t="n">
        <v>1</v>
      </c>
      <c r="I335" s="1" t="n">
        <v>7.692</v>
      </c>
      <c r="J335" s="1" t="n">
        <v>7.91</v>
      </c>
      <c r="K335" s="1" t="n">
        <v>1</v>
      </c>
      <c r="L335" s="1" t="s">
        <v>19</v>
      </c>
      <c r="M335" s="1" t="n">
        <v>1814370</v>
      </c>
      <c r="N335" s="1" t="n">
        <v>0.16</v>
      </c>
      <c r="O335" s="1" t="s">
        <v>20</v>
      </c>
      <c r="P335" s="1" t="n">
        <v>7.91</v>
      </c>
      <c r="Q335" s="1" t="n">
        <v>0</v>
      </c>
      <c r="R335" s="1" t="n">
        <v>603461</v>
      </c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</row>
    <row r="336" customFormat="false" ht="15" hidden="false" customHeight="false" outlineLevel="0" collapsed="false">
      <c r="A336" s="1" t="s">
        <v>353</v>
      </c>
      <c r="B336" s="1" t="n">
        <v>2220</v>
      </c>
      <c r="C336" s="1" t="n">
        <v>0</v>
      </c>
      <c r="D336" s="1" t="n">
        <v>797783</v>
      </c>
      <c r="E336" s="1" t="n">
        <v>0</v>
      </c>
      <c r="F336" s="1" t="n">
        <v>497</v>
      </c>
      <c r="G336" s="1" t="n">
        <v>0</v>
      </c>
      <c r="H336" s="1" t="n">
        <v>1</v>
      </c>
      <c r="I336" s="1" t="n">
        <v>6.223</v>
      </c>
      <c r="J336" s="1" t="n">
        <v>6.38</v>
      </c>
      <c r="K336" s="1" t="n">
        <v>0</v>
      </c>
      <c r="L336" s="1" t="s">
        <v>19</v>
      </c>
      <c r="M336" s="1" t="n">
        <v>1425089</v>
      </c>
      <c r="N336" s="1" t="n">
        <v>0.06</v>
      </c>
      <c r="O336" s="1" t="s">
        <v>20</v>
      </c>
      <c r="P336" s="1" t="n">
        <v>6.38</v>
      </c>
      <c r="Q336" s="1" t="n">
        <v>0</v>
      </c>
      <c r="R336" s="1" t="n">
        <v>494744</v>
      </c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</row>
    <row r="337" customFormat="false" ht="15" hidden="false" customHeight="false" outlineLevel="0" collapsed="false">
      <c r="A337" s="1" t="s">
        <v>354</v>
      </c>
      <c r="B337" s="1" t="n">
        <v>2092</v>
      </c>
      <c r="C337" s="1" t="n">
        <v>0</v>
      </c>
      <c r="D337" s="1" t="n">
        <v>761197</v>
      </c>
      <c r="E337" s="1" t="n">
        <v>0</v>
      </c>
      <c r="F337" s="1" t="n">
        <v>495</v>
      </c>
      <c r="G337" s="1" t="n">
        <v>0</v>
      </c>
      <c r="H337" s="1" t="n">
        <v>1</v>
      </c>
      <c r="I337" s="1" t="n">
        <v>6.252</v>
      </c>
      <c r="J337" s="1" t="n">
        <v>6.44</v>
      </c>
      <c r="K337" s="1" t="n">
        <v>0</v>
      </c>
      <c r="L337" s="1" t="s">
        <v>19</v>
      </c>
      <c r="M337" s="1" t="n">
        <v>1434317</v>
      </c>
      <c r="N337" s="1" t="n">
        <v>0.05</v>
      </c>
      <c r="O337" s="1" t="s">
        <v>20</v>
      </c>
      <c r="P337" s="1" t="n">
        <v>6.44</v>
      </c>
      <c r="Q337" s="1" t="n">
        <v>0</v>
      </c>
      <c r="R337" s="1" t="n">
        <v>497705</v>
      </c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</row>
    <row r="338" customFormat="false" ht="15" hidden="false" customHeight="false" outlineLevel="0" collapsed="false">
      <c r="A338" s="1" t="s">
        <v>355</v>
      </c>
      <c r="B338" s="1" t="n">
        <v>1855</v>
      </c>
      <c r="C338" s="1" t="n">
        <v>0</v>
      </c>
      <c r="D338" s="1" t="n">
        <v>582038</v>
      </c>
      <c r="E338" s="1" t="n">
        <v>0</v>
      </c>
      <c r="F338" s="1" t="n">
        <v>408</v>
      </c>
      <c r="G338" s="1" t="n">
        <v>0</v>
      </c>
      <c r="H338" s="1" t="n">
        <v>1</v>
      </c>
      <c r="I338" s="1" t="n">
        <v>4.848</v>
      </c>
      <c r="J338" s="1" t="n">
        <v>4.98</v>
      </c>
      <c r="K338" s="1" t="n">
        <v>0</v>
      </c>
      <c r="L338" s="1" t="s">
        <v>19</v>
      </c>
      <c r="M338" s="1" t="n">
        <v>1172629</v>
      </c>
      <c r="N338" s="1" t="n">
        <v>0.05</v>
      </c>
      <c r="O338" s="1" t="s">
        <v>20</v>
      </c>
      <c r="P338" s="1" t="n">
        <v>4.98</v>
      </c>
      <c r="Q338" s="1" t="n">
        <v>0</v>
      </c>
      <c r="R338" s="1" t="n">
        <v>406059</v>
      </c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</row>
    <row r="339" customFormat="false" ht="15" hidden="false" customHeight="false" outlineLevel="0" collapsed="false">
      <c r="A339" s="1" t="s">
        <v>356</v>
      </c>
      <c r="B339" s="1" t="n">
        <v>1730</v>
      </c>
      <c r="C339" s="1" t="n">
        <v>0</v>
      </c>
      <c r="D339" s="1" t="n">
        <v>844009</v>
      </c>
      <c r="E339" s="1" t="n">
        <v>0</v>
      </c>
      <c r="F339" s="1" t="n">
        <v>519</v>
      </c>
      <c r="G339" s="1" t="n">
        <v>0</v>
      </c>
      <c r="H339" s="1" t="n">
        <v>1</v>
      </c>
      <c r="I339" s="1" t="n">
        <v>6.442</v>
      </c>
      <c r="J339" s="1" t="n">
        <v>6.61</v>
      </c>
      <c r="K339" s="1" t="n">
        <v>0</v>
      </c>
      <c r="L339" s="1" t="s">
        <v>19</v>
      </c>
      <c r="M339" s="1" t="n">
        <v>1507419</v>
      </c>
      <c r="N339" s="1" t="n">
        <v>0.05</v>
      </c>
      <c r="O339" s="1" t="s">
        <v>20</v>
      </c>
      <c r="P339" s="1" t="n">
        <v>6.61</v>
      </c>
      <c r="Q339" s="1" t="n">
        <v>0</v>
      </c>
      <c r="R339" s="1" t="n">
        <v>521389</v>
      </c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</row>
    <row r="340" customFormat="false" ht="15" hidden="false" customHeight="false" outlineLevel="0" collapsed="false">
      <c r="A340" s="1" t="s">
        <v>357</v>
      </c>
      <c r="B340" s="1" t="n">
        <v>1451</v>
      </c>
      <c r="C340" s="1" t="n">
        <v>0</v>
      </c>
      <c r="D340" s="1" t="n">
        <v>860777</v>
      </c>
      <c r="E340" s="1" t="n">
        <v>0</v>
      </c>
      <c r="F340" s="1" t="n">
        <v>520</v>
      </c>
      <c r="G340" s="1" t="n">
        <v>0</v>
      </c>
      <c r="H340" s="1" t="n">
        <v>1</v>
      </c>
      <c r="I340" s="1" t="n">
        <v>6.466</v>
      </c>
      <c r="J340" s="1" t="n">
        <v>6.66</v>
      </c>
      <c r="K340" s="1" t="n">
        <v>0</v>
      </c>
      <c r="L340" s="1" t="s">
        <v>19</v>
      </c>
      <c r="M340" s="1" t="n">
        <v>1513308</v>
      </c>
      <c r="N340" s="1" t="n">
        <v>0.06</v>
      </c>
      <c r="O340" s="1" t="s">
        <v>20</v>
      </c>
      <c r="P340" s="1" t="n">
        <v>6.66</v>
      </c>
      <c r="Q340" s="1" t="n">
        <v>0</v>
      </c>
      <c r="R340" s="1" t="n">
        <v>525424</v>
      </c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</row>
    <row r="341" customFormat="false" ht="15" hidden="false" customHeight="false" outlineLevel="0" collapsed="false">
      <c r="A341" s="1" t="s">
        <v>358</v>
      </c>
      <c r="B341" s="1" t="n">
        <v>4014</v>
      </c>
      <c r="C341" s="1" t="n">
        <v>9</v>
      </c>
      <c r="D341" s="1" t="n">
        <v>1560772</v>
      </c>
      <c r="E341" s="1" t="n">
        <v>0</v>
      </c>
      <c r="F341" s="1" t="n">
        <v>840</v>
      </c>
      <c r="G341" s="1" t="n">
        <v>0</v>
      </c>
      <c r="H341" s="1" t="n">
        <v>1</v>
      </c>
      <c r="I341" s="1" t="n">
        <v>11.436</v>
      </c>
      <c r="J341" s="1" t="n">
        <v>11.71</v>
      </c>
      <c r="K341" s="1" t="n">
        <v>0</v>
      </c>
      <c r="L341" s="1" t="s">
        <v>19</v>
      </c>
      <c r="M341" s="1" t="n">
        <v>2729954</v>
      </c>
      <c r="N341" s="1" t="n">
        <v>0.12</v>
      </c>
      <c r="O341" s="1" t="s">
        <v>20</v>
      </c>
      <c r="P341" s="1" t="n">
        <v>11.71</v>
      </c>
      <c r="Q341" s="1" t="n">
        <v>0</v>
      </c>
      <c r="R341" s="1" t="n">
        <v>831331</v>
      </c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</row>
    <row r="342" customFormat="false" ht="15" hidden="false" customHeight="false" outlineLevel="0" collapsed="false">
      <c r="A342" s="1" t="s">
        <v>359</v>
      </c>
      <c r="B342" s="1" t="n">
        <v>69904</v>
      </c>
      <c r="C342" s="1" t="n">
        <v>507</v>
      </c>
      <c r="D342" s="1" t="n">
        <v>1749623</v>
      </c>
      <c r="E342" s="1" t="n">
        <v>0</v>
      </c>
      <c r="F342" s="1" t="n">
        <v>876</v>
      </c>
      <c r="G342" s="1" t="n">
        <v>0</v>
      </c>
      <c r="H342" s="1" t="n">
        <v>1</v>
      </c>
      <c r="I342" s="1" t="n">
        <v>14.473</v>
      </c>
      <c r="J342" s="1" t="n">
        <v>14.86</v>
      </c>
      <c r="K342" s="1" t="n">
        <v>5</v>
      </c>
      <c r="L342" s="1" t="s">
        <v>19</v>
      </c>
      <c r="M342" s="1" t="n">
        <v>2920322</v>
      </c>
      <c r="N342" s="1" t="n">
        <v>2.52</v>
      </c>
      <c r="O342" s="1" t="s">
        <v>20</v>
      </c>
      <c r="P342" s="1" t="n">
        <v>14.86</v>
      </c>
      <c r="Q342" s="1" t="n">
        <v>0</v>
      </c>
      <c r="R342" s="1" t="n">
        <v>880943</v>
      </c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</row>
    <row r="343" customFormat="false" ht="15" hidden="false" customHeight="false" outlineLevel="0" collapsed="false">
      <c r="A343" s="1" t="s">
        <v>360</v>
      </c>
      <c r="B343" s="1" t="n">
        <v>6342</v>
      </c>
      <c r="C343" s="1" t="n">
        <v>62</v>
      </c>
      <c r="D343" s="1" t="n">
        <v>1520462</v>
      </c>
      <c r="E343" s="1" t="n">
        <v>0</v>
      </c>
      <c r="F343" s="1" t="n">
        <v>838</v>
      </c>
      <c r="G343" s="1" t="n">
        <v>0</v>
      </c>
      <c r="H343" s="1" t="n">
        <v>1</v>
      </c>
      <c r="I343" s="1" t="n">
        <v>11.554</v>
      </c>
      <c r="J343" s="1" t="n">
        <v>11.86</v>
      </c>
      <c r="K343" s="1" t="n">
        <v>1</v>
      </c>
      <c r="L343" s="1" t="s">
        <v>19</v>
      </c>
      <c r="M343" s="1" t="n">
        <v>2740700</v>
      </c>
      <c r="N343" s="1" t="n">
        <v>0.21</v>
      </c>
      <c r="O343" s="1" t="s">
        <v>20</v>
      </c>
      <c r="P343" s="1" t="n">
        <v>11.86</v>
      </c>
      <c r="Q343" s="1" t="n">
        <v>0</v>
      </c>
      <c r="R343" s="1" t="n">
        <v>834310</v>
      </c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</row>
    <row r="344" customFormat="false" ht="15" hidden="false" customHeight="false" outlineLevel="0" collapsed="false">
      <c r="A344" s="1" t="s">
        <v>361</v>
      </c>
      <c r="B344" s="1" t="n">
        <v>6402</v>
      </c>
      <c r="C344" s="1" t="n">
        <v>104</v>
      </c>
      <c r="D344" s="1" t="n">
        <v>1091229</v>
      </c>
      <c r="E344" s="1" t="n">
        <v>0</v>
      </c>
      <c r="F344" s="1" t="n">
        <v>663</v>
      </c>
      <c r="G344" s="1" t="n">
        <v>0</v>
      </c>
      <c r="H344" s="1" t="n">
        <v>1</v>
      </c>
      <c r="I344" s="1" t="n">
        <v>8.855</v>
      </c>
      <c r="J344" s="1" t="n">
        <v>9.09</v>
      </c>
      <c r="K344" s="1" t="n">
        <v>1</v>
      </c>
      <c r="L344" s="1" t="s">
        <v>19</v>
      </c>
      <c r="M344" s="1" t="n">
        <v>2087501</v>
      </c>
      <c r="N344" s="1" t="n">
        <v>0.19</v>
      </c>
      <c r="O344" s="1" t="s">
        <v>20</v>
      </c>
      <c r="P344" s="1" t="n">
        <v>9.09</v>
      </c>
      <c r="Q344" s="1" t="n">
        <v>0</v>
      </c>
      <c r="R344" s="1" t="n">
        <v>666157</v>
      </c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</row>
    <row r="345" customFormat="false" ht="15" hidden="false" customHeight="false" outlineLevel="0" collapsed="false">
      <c r="A345" s="1" t="s">
        <v>362</v>
      </c>
      <c r="B345" s="1" t="n">
        <v>3024</v>
      </c>
      <c r="C345" s="1" t="n">
        <v>0</v>
      </c>
      <c r="D345" s="1" t="n">
        <v>1143229</v>
      </c>
      <c r="E345" s="1" t="n">
        <v>0</v>
      </c>
      <c r="F345" s="1" t="n">
        <v>694</v>
      </c>
      <c r="G345" s="1" t="n">
        <v>0</v>
      </c>
      <c r="H345" s="1" t="n">
        <v>1</v>
      </c>
      <c r="I345" s="1" t="n">
        <v>9.268</v>
      </c>
      <c r="J345" s="1" t="n">
        <v>9.49</v>
      </c>
      <c r="K345" s="1" t="n">
        <v>0</v>
      </c>
      <c r="L345" s="1" t="s">
        <v>19</v>
      </c>
      <c r="M345" s="1" t="n">
        <v>2195795</v>
      </c>
      <c r="N345" s="1" t="n">
        <v>0.08</v>
      </c>
      <c r="O345" s="1" t="s">
        <v>20</v>
      </c>
      <c r="P345" s="1" t="n">
        <v>9.49</v>
      </c>
      <c r="Q345" s="1" t="n">
        <v>0</v>
      </c>
      <c r="R345" s="1" t="n">
        <v>698825</v>
      </c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</row>
    <row r="346" customFormat="false" ht="15" hidden="false" customHeight="false" outlineLevel="0" collapsed="false">
      <c r="A346" s="1" t="s">
        <v>363</v>
      </c>
      <c r="B346" s="1" t="n">
        <v>3708</v>
      </c>
      <c r="C346" s="1" t="n">
        <v>1</v>
      </c>
      <c r="D346" s="1" t="n">
        <v>1259329</v>
      </c>
      <c r="E346" s="1" t="n">
        <v>0</v>
      </c>
      <c r="F346" s="1" t="n">
        <v>712</v>
      </c>
      <c r="G346" s="1" t="n">
        <v>0</v>
      </c>
      <c r="H346" s="1" t="n">
        <v>1</v>
      </c>
      <c r="I346" s="1" t="n">
        <v>9.192</v>
      </c>
      <c r="J346" s="1" t="n">
        <v>9.43</v>
      </c>
      <c r="K346" s="1" t="n">
        <v>0</v>
      </c>
      <c r="L346" s="1" t="s">
        <v>19</v>
      </c>
      <c r="M346" s="1" t="n">
        <v>2267435</v>
      </c>
      <c r="N346" s="1" t="n">
        <v>0.09</v>
      </c>
      <c r="O346" s="1" t="s">
        <v>20</v>
      </c>
      <c r="P346" s="1" t="n">
        <v>9.43</v>
      </c>
      <c r="Q346" s="1" t="n">
        <v>0</v>
      </c>
      <c r="R346" s="1" t="n">
        <v>718644</v>
      </c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</row>
    <row r="347" customFormat="false" ht="15" hidden="false" customHeight="false" outlineLevel="0" collapsed="false">
      <c r="A347" s="1" t="s">
        <v>364</v>
      </c>
      <c r="B347" s="1" t="n">
        <v>66791</v>
      </c>
      <c r="C347" s="1" t="n">
        <v>243</v>
      </c>
      <c r="D347" s="1" t="n">
        <v>1165100</v>
      </c>
      <c r="E347" s="1" t="n">
        <v>0</v>
      </c>
      <c r="F347" s="1" t="n">
        <v>688</v>
      </c>
      <c r="G347" s="1" t="n">
        <v>0</v>
      </c>
      <c r="H347" s="1" t="n">
        <v>1</v>
      </c>
      <c r="I347" s="1" t="n">
        <v>10.552</v>
      </c>
      <c r="J347" s="1" t="n">
        <v>10.78</v>
      </c>
      <c r="K347" s="1" t="n">
        <v>2</v>
      </c>
      <c r="L347" s="1" t="s">
        <v>19</v>
      </c>
      <c r="M347" s="1" t="n">
        <v>2183232</v>
      </c>
      <c r="N347" s="1" t="n">
        <v>1.48</v>
      </c>
      <c r="O347" s="1" t="s">
        <v>20</v>
      </c>
      <c r="P347" s="1" t="n">
        <v>10.78</v>
      </c>
      <c r="Q347" s="1" t="n">
        <v>0</v>
      </c>
      <c r="R347" s="1" t="n">
        <v>691891</v>
      </c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</row>
    <row r="348" customFormat="false" ht="15" hidden="false" customHeight="false" outlineLevel="0" collapsed="false">
      <c r="A348" s="1" t="s">
        <v>365</v>
      </c>
      <c r="B348" s="1" t="n">
        <v>7122</v>
      </c>
      <c r="C348" s="1" t="n">
        <v>8</v>
      </c>
      <c r="D348" s="1" t="n">
        <v>2110122</v>
      </c>
      <c r="E348" s="1" t="n">
        <v>0</v>
      </c>
      <c r="F348" s="1" t="n">
        <v>1042</v>
      </c>
      <c r="G348" s="1" t="n">
        <v>0</v>
      </c>
      <c r="H348" s="1" t="n">
        <v>1</v>
      </c>
      <c r="I348" s="1" t="n">
        <v>15.43</v>
      </c>
      <c r="J348" s="1" t="n">
        <v>15.78</v>
      </c>
      <c r="K348" s="1" t="n">
        <v>0</v>
      </c>
      <c r="L348" s="1" t="s">
        <v>19</v>
      </c>
      <c r="M348" s="1" t="n">
        <v>3789523</v>
      </c>
      <c r="N348" s="1" t="n">
        <v>0.18</v>
      </c>
      <c r="O348" s="1" t="s">
        <v>20</v>
      </c>
      <c r="P348" s="1" t="n">
        <v>15.78</v>
      </c>
      <c r="Q348" s="1" t="n">
        <v>0</v>
      </c>
      <c r="R348" s="1" t="n">
        <v>1060893</v>
      </c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</row>
    <row r="349" customFormat="false" ht="15" hidden="false" customHeight="false" outlineLevel="0" collapsed="false">
      <c r="A349" s="1" t="s">
        <v>366</v>
      </c>
      <c r="B349" s="1" t="n">
        <v>128591</v>
      </c>
      <c r="C349" s="1" t="n">
        <v>3966</v>
      </c>
      <c r="D349" s="1" t="n">
        <v>2201009</v>
      </c>
      <c r="E349" s="1" t="n">
        <v>0</v>
      </c>
      <c r="F349" s="1" t="n">
        <v>1063</v>
      </c>
      <c r="G349" s="1" t="n">
        <v>0</v>
      </c>
      <c r="H349" s="1" t="n">
        <v>1</v>
      </c>
      <c r="I349" s="1" t="n">
        <v>25.309</v>
      </c>
      <c r="J349" s="1" t="n">
        <v>25.65</v>
      </c>
      <c r="K349" s="1" t="n">
        <v>22</v>
      </c>
      <c r="L349" s="1" t="s">
        <v>19</v>
      </c>
      <c r="M349" s="1" t="n">
        <v>3898240</v>
      </c>
      <c r="N349" s="1" t="n">
        <v>9.71</v>
      </c>
      <c r="O349" s="1" t="s">
        <v>20</v>
      </c>
      <c r="P349" s="1" t="n">
        <v>25.65</v>
      </c>
      <c r="Q349" s="1" t="n">
        <v>0</v>
      </c>
      <c r="R349" s="1" t="n">
        <v>1083823</v>
      </c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</row>
    <row r="350" customFormat="false" ht="15" hidden="false" customHeight="false" outlineLevel="0" collapsed="false">
      <c r="A350" s="1" t="s">
        <v>367</v>
      </c>
      <c r="B350" s="1" t="n">
        <v>51256</v>
      </c>
      <c r="C350" s="1" t="n">
        <v>432</v>
      </c>
      <c r="D350" s="1" t="n">
        <v>1550962</v>
      </c>
      <c r="E350" s="1" t="n">
        <v>0</v>
      </c>
      <c r="F350" s="1" t="n">
        <v>900</v>
      </c>
      <c r="G350" s="1" t="n">
        <v>0</v>
      </c>
      <c r="H350" s="1" t="n">
        <v>1</v>
      </c>
      <c r="I350" s="1" t="n">
        <v>14.449</v>
      </c>
      <c r="J350" s="1" t="n">
        <v>14.75</v>
      </c>
      <c r="K350" s="1" t="n">
        <v>5</v>
      </c>
      <c r="L350" s="1" t="s">
        <v>19</v>
      </c>
      <c r="M350" s="1" t="n">
        <v>3079018</v>
      </c>
      <c r="N350" s="1" t="n">
        <v>1.8</v>
      </c>
      <c r="O350" s="1" t="s">
        <v>20</v>
      </c>
      <c r="P350" s="1" t="n">
        <v>14.75</v>
      </c>
      <c r="Q350" s="1" t="n">
        <v>0</v>
      </c>
      <c r="R350" s="1" t="n">
        <v>900567</v>
      </c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</row>
    <row r="351" customFormat="false" ht="15" hidden="false" customHeight="false" outlineLevel="0" collapsed="false">
      <c r="A351" s="1" t="s">
        <v>368</v>
      </c>
      <c r="B351" s="1" t="n">
        <v>3550</v>
      </c>
      <c r="C351" s="1" t="n">
        <v>0</v>
      </c>
      <c r="D351" s="1" t="n">
        <v>1673705</v>
      </c>
      <c r="E351" s="1" t="n">
        <v>0</v>
      </c>
      <c r="F351" s="1" t="n">
        <v>915</v>
      </c>
      <c r="G351" s="1" t="n">
        <v>0</v>
      </c>
      <c r="H351" s="1" t="n">
        <v>1</v>
      </c>
      <c r="I351" s="1" t="n">
        <v>13.032</v>
      </c>
      <c r="J351" s="1" t="n">
        <v>13.33</v>
      </c>
      <c r="K351" s="1" t="n">
        <v>0</v>
      </c>
      <c r="L351" s="1" t="s">
        <v>19</v>
      </c>
      <c r="M351" s="1" t="n">
        <v>3162998</v>
      </c>
      <c r="N351" s="1" t="n">
        <v>0.12</v>
      </c>
      <c r="O351" s="1" t="s">
        <v>20</v>
      </c>
      <c r="P351" s="1" t="n">
        <v>13.33</v>
      </c>
      <c r="Q351" s="1" t="n">
        <v>0</v>
      </c>
      <c r="R351" s="1" t="n">
        <v>920466</v>
      </c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</row>
    <row r="352" customFormat="false" ht="15" hidden="false" customHeight="false" outlineLevel="0" collapsed="false">
      <c r="A352" s="1" t="s">
        <v>369</v>
      </c>
      <c r="B352" s="1" t="n">
        <v>4576</v>
      </c>
      <c r="C352" s="1" t="n">
        <v>6</v>
      </c>
      <c r="D352" s="1" t="n">
        <v>1602920</v>
      </c>
      <c r="E352" s="1" t="n">
        <v>0</v>
      </c>
      <c r="F352" s="1" t="n">
        <v>902</v>
      </c>
      <c r="G352" s="1" t="n">
        <v>0</v>
      </c>
      <c r="H352" s="1" t="n">
        <v>1</v>
      </c>
      <c r="I352" s="1" t="n">
        <v>12.608</v>
      </c>
      <c r="J352" s="1" t="n">
        <v>12.94</v>
      </c>
      <c r="K352" s="1" t="n">
        <v>0</v>
      </c>
      <c r="L352" s="1" t="s">
        <v>19</v>
      </c>
      <c r="M352" s="1" t="n">
        <v>3065184</v>
      </c>
      <c r="N352" s="1" t="n">
        <v>0.13</v>
      </c>
      <c r="O352" s="1" t="s">
        <v>20</v>
      </c>
      <c r="P352" s="1" t="n">
        <v>12.94</v>
      </c>
      <c r="Q352" s="1" t="n">
        <v>0</v>
      </c>
      <c r="R352" s="1" t="n">
        <v>900411</v>
      </c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</row>
    <row r="353" customFormat="false" ht="15" hidden="false" customHeight="false" outlineLevel="0" collapsed="false">
      <c r="A353" s="1" t="s">
        <v>370</v>
      </c>
      <c r="B353" s="1" t="n">
        <v>62099</v>
      </c>
      <c r="C353" s="1" t="n">
        <v>936</v>
      </c>
      <c r="D353" s="1" t="n">
        <v>1749361</v>
      </c>
      <c r="E353" s="1" t="n">
        <v>0</v>
      </c>
      <c r="F353" s="1" t="n">
        <v>946</v>
      </c>
      <c r="G353" s="1" t="n">
        <v>0</v>
      </c>
      <c r="H353" s="1" t="n">
        <v>1</v>
      </c>
      <c r="I353" s="1" t="n">
        <v>15.941</v>
      </c>
      <c r="J353" s="1" t="n">
        <v>16.25</v>
      </c>
      <c r="K353" s="1" t="n">
        <v>6</v>
      </c>
      <c r="L353" s="1" t="s">
        <v>19</v>
      </c>
      <c r="M353" s="1" t="n">
        <v>3273460</v>
      </c>
      <c r="N353" s="1" t="n">
        <v>2.74</v>
      </c>
      <c r="O353" s="1" t="s">
        <v>20</v>
      </c>
      <c r="P353" s="1" t="n">
        <v>16.25</v>
      </c>
      <c r="Q353" s="1" t="n">
        <v>0</v>
      </c>
      <c r="R353" s="1" t="n">
        <v>954213</v>
      </c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</row>
    <row r="354" customFormat="false" ht="15" hidden="false" customHeight="false" outlineLevel="0" collapsed="false">
      <c r="A354" s="1" t="s">
        <v>371</v>
      </c>
      <c r="B354" s="1" t="n">
        <v>130063</v>
      </c>
      <c r="C354" s="1" t="n">
        <v>1423</v>
      </c>
      <c r="D354" s="1" t="n">
        <v>1685774</v>
      </c>
      <c r="E354" s="1" t="n">
        <v>0</v>
      </c>
      <c r="F354" s="1" t="n">
        <v>920</v>
      </c>
      <c r="G354" s="1" t="n">
        <v>0</v>
      </c>
      <c r="H354" s="1" t="n">
        <v>1</v>
      </c>
      <c r="I354" s="1" t="n">
        <v>18.165</v>
      </c>
      <c r="J354" s="1" t="n">
        <v>18.44</v>
      </c>
      <c r="K354" s="1" t="n">
        <v>9</v>
      </c>
      <c r="L354" s="1" t="s">
        <v>19</v>
      </c>
      <c r="M354" s="1" t="n">
        <v>3159940</v>
      </c>
      <c r="N354" s="1" t="n">
        <v>5.31</v>
      </c>
      <c r="O354" s="1" t="s">
        <v>20</v>
      </c>
      <c r="P354" s="1" t="n">
        <v>18.44</v>
      </c>
      <c r="Q354" s="1" t="n">
        <v>0</v>
      </c>
      <c r="R354" s="1" t="n">
        <v>923341</v>
      </c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</row>
    <row r="355" customFormat="false" ht="15" hidden="false" customHeight="false" outlineLevel="0" collapsed="false">
      <c r="A355" s="1" t="s">
        <v>372</v>
      </c>
      <c r="B355" s="1" t="n">
        <v>73268</v>
      </c>
      <c r="C355" s="1" t="n">
        <v>1179</v>
      </c>
      <c r="D355" s="1" t="n">
        <v>2593069</v>
      </c>
      <c r="E355" s="1" t="n">
        <v>0</v>
      </c>
      <c r="F355" s="1" t="n">
        <v>1234</v>
      </c>
      <c r="G355" s="1" t="n">
        <v>0</v>
      </c>
      <c r="H355" s="1" t="n">
        <v>1</v>
      </c>
      <c r="I355" s="1" t="n">
        <v>23.156</v>
      </c>
      <c r="J355" s="1" t="n">
        <v>23.63</v>
      </c>
      <c r="K355" s="1" t="n">
        <v>8</v>
      </c>
      <c r="L355" s="1" t="s">
        <v>19</v>
      </c>
      <c r="M355" s="1" t="n">
        <v>4878891</v>
      </c>
      <c r="N355" s="1" t="n">
        <v>3.52</v>
      </c>
      <c r="O355" s="1" t="s">
        <v>20</v>
      </c>
      <c r="P355" s="1" t="n">
        <v>23.63</v>
      </c>
      <c r="Q355" s="1" t="n">
        <v>0</v>
      </c>
      <c r="R355" s="1" t="n">
        <v>1264782</v>
      </c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</row>
    <row r="356" customFormat="false" ht="15" hidden="false" customHeight="false" outlineLevel="0" collapsed="false">
      <c r="A356" s="1" t="s">
        <v>373</v>
      </c>
      <c r="B356" s="1" t="n">
        <v>49317</v>
      </c>
      <c r="C356" s="1" t="n">
        <v>1790</v>
      </c>
      <c r="D356" s="1" t="n">
        <v>2062051</v>
      </c>
      <c r="E356" s="1" t="n">
        <v>0</v>
      </c>
      <c r="F356" s="1" t="n">
        <v>1087</v>
      </c>
      <c r="G356" s="1" t="n">
        <v>0</v>
      </c>
      <c r="H356" s="1" t="n">
        <v>1</v>
      </c>
      <c r="I356" s="1" t="n">
        <v>18.615</v>
      </c>
      <c r="J356" s="1" t="n">
        <v>18.97</v>
      </c>
      <c r="K356" s="1" t="n">
        <v>10</v>
      </c>
      <c r="L356" s="1" t="s">
        <v>19</v>
      </c>
      <c r="M356" s="1" t="n">
        <v>4088238</v>
      </c>
      <c r="N356" s="1" t="n">
        <v>2.61</v>
      </c>
      <c r="O356" s="1" t="s">
        <v>20</v>
      </c>
      <c r="P356" s="1" t="n">
        <v>18.97</v>
      </c>
      <c r="Q356" s="1" t="n">
        <v>0</v>
      </c>
      <c r="R356" s="1" t="n">
        <v>1108163</v>
      </c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</row>
    <row r="357" customFormat="false" ht="15" hidden="false" customHeight="false" outlineLevel="0" collapsed="false">
      <c r="A357" s="1" t="s">
        <v>374</v>
      </c>
      <c r="B357" s="1" t="n">
        <v>47877</v>
      </c>
      <c r="C357" s="1" t="n">
        <v>1382</v>
      </c>
      <c r="D357" s="1" t="n">
        <v>2038150</v>
      </c>
      <c r="E357" s="1" t="n">
        <v>0</v>
      </c>
      <c r="F357" s="1" t="n">
        <v>1086</v>
      </c>
      <c r="G357" s="1" t="n">
        <v>0</v>
      </c>
      <c r="H357" s="1" t="n">
        <v>1</v>
      </c>
      <c r="I357" s="1" t="n">
        <v>19.087</v>
      </c>
      <c r="J357" s="1" t="n">
        <v>19.43</v>
      </c>
      <c r="K357" s="1" t="n">
        <v>7</v>
      </c>
      <c r="L357" s="1" t="s">
        <v>19</v>
      </c>
      <c r="M357" s="1" t="n">
        <v>4076266</v>
      </c>
      <c r="N357" s="1" t="n">
        <v>2.52</v>
      </c>
      <c r="O357" s="1" t="s">
        <v>20</v>
      </c>
      <c r="P357" s="1" t="n">
        <v>19.43</v>
      </c>
      <c r="Q357" s="1" t="n">
        <v>0</v>
      </c>
      <c r="R357" s="1" t="n">
        <v>1100918</v>
      </c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</row>
    <row r="358" customFormat="false" ht="15" hidden="false" customHeight="false" outlineLevel="0" collapsed="false">
      <c r="A358" s="1" t="s">
        <v>375</v>
      </c>
      <c r="B358" s="1" t="n">
        <v>144127</v>
      </c>
      <c r="C358" s="1" t="n">
        <v>9801</v>
      </c>
      <c r="D358" s="1" t="n">
        <v>2156473</v>
      </c>
      <c r="E358" s="1" t="n">
        <v>0</v>
      </c>
      <c r="F358" s="1" t="n">
        <v>1106</v>
      </c>
      <c r="G358" s="1" t="n">
        <v>0</v>
      </c>
      <c r="H358" s="1" t="n">
        <v>1</v>
      </c>
      <c r="I358" s="1" t="n">
        <v>30.089</v>
      </c>
      <c r="J358" s="1" t="n">
        <v>30.47</v>
      </c>
      <c r="K358" s="1" t="n">
        <v>42</v>
      </c>
      <c r="L358" s="1" t="s">
        <v>19</v>
      </c>
      <c r="M358" s="1" t="n">
        <v>4173414</v>
      </c>
      <c r="N358" s="1" t="n">
        <v>13.32</v>
      </c>
      <c r="O358" s="1" t="s">
        <v>20</v>
      </c>
      <c r="P358" s="1" t="n">
        <v>30.47</v>
      </c>
      <c r="Q358" s="1" t="n">
        <v>0</v>
      </c>
      <c r="R358" s="1" t="n">
        <v>1131649</v>
      </c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</row>
    <row r="359" customFormat="false" ht="15" hidden="false" customHeight="false" outlineLevel="0" collapsed="false">
      <c r="A359" s="1" t="s">
        <v>376</v>
      </c>
      <c r="B359" s="1" t="n">
        <v>96664</v>
      </c>
      <c r="C359" s="1" t="n">
        <v>877</v>
      </c>
      <c r="D359" s="1" t="n">
        <v>2112484</v>
      </c>
      <c r="E359" s="1" t="n">
        <v>0</v>
      </c>
      <c r="F359" s="1" t="n">
        <v>1111</v>
      </c>
      <c r="G359" s="1" t="n">
        <v>0</v>
      </c>
      <c r="H359" s="1" t="n">
        <v>1</v>
      </c>
      <c r="I359" s="1" t="n">
        <v>20.349</v>
      </c>
      <c r="J359" s="1" t="n">
        <v>20.74</v>
      </c>
      <c r="K359" s="1" t="n">
        <v>6</v>
      </c>
      <c r="L359" s="1" t="s">
        <v>19</v>
      </c>
      <c r="M359" s="1" t="n">
        <v>4186041</v>
      </c>
      <c r="N359" s="1" t="n">
        <v>3.49</v>
      </c>
      <c r="O359" s="1" t="s">
        <v>20</v>
      </c>
      <c r="P359" s="1" t="n">
        <v>20.74</v>
      </c>
      <c r="Q359" s="1" t="n">
        <v>0</v>
      </c>
      <c r="R359" s="1" t="n">
        <v>1134652</v>
      </c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</row>
    <row r="360" customFormat="false" ht="15" hidden="false" customHeight="false" outlineLevel="0" collapsed="false">
      <c r="A360" s="1" t="s">
        <v>377</v>
      </c>
      <c r="B360" s="1" t="n">
        <v>168415</v>
      </c>
      <c r="C360" s="1" t="n">
        <v>3958</v>
      </c>
      <c r="D360" s="1" t="n">
        <v>2046960</v>
      </c>
      <c r="E360" s="1" t="n">
        <v>0</v>
      </c>
      <c r="F360" s="1" t="n">
        <v>1086</v>
      </c>
      <c r="G360" s="1" t="n">
        <v>0</v>
      </c>
      <c r="H360" s="1" t="n">
        <v>1</v>
      </c>
      <c r="I360" s="1" t="n">
        <v>25.769</v>
      </c>
      <c r="J360" s="1" t="n">
        <v>26.12</v>
      </c>
      <c r="K360" s="1" t="n">
        <v>20</v>
      </c>
      <c r="L360" s="1" t="s">
        <v>19</v>
      </c>
      <c r="M360" s="1" t="n">
        <v>4067794</v>
      </c>
      <c r="N360" s="1" t="n">
        <v>9.3</v>
      </c>
      <c r="O360" s="1" t="s">
        <v>20</v>
      </c>
      <c r="P360" s="1" t="n">
        <v>26.12</v>
      </c>
      <c r="Q360" s="1" t="n">
        <v>0</v>
      </c>
      <c r="R360" s="1" t="n">
        <v>1103158</v>
      </c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</row>
    <row r="361" customFormat="false" ht="15" hidden="false" customHeight="false" outlineLevel="0" collapsed="false">
      <c r="A361" s="1" t="s">
        <v>378</v>
      </c>
      <c r="B361" s="1" t="n">
        <v>57269</v>
      </c>
      <c r="C361" s="1" t="n">
        <v>468</v>
      </c>
      <c r="D361" s="1" t="n">
        <v>2247360</v>
      </c>
      <c r="E361" s="1" t="n">
        <v>0</v>
      </c>
      <c r="F361" s="1" t="n">
        <v>1136</v>
      </c>
      <c r="G361" s="1" t="n">
        <v>0</v>
      </c>
      <c r="H361" s="1" t="n">
        <v>1</v>
      </c>
      <c r="I361" s="1" t="n">
        <v>19.799</v>
      </c>
      <c r="J361" s="1" t="n">
        <v>20.18</v>
      </c>
      <c r="K361" s="1" t="n">
        <v>3</v>
      </c>
      <c r="L361" s="1" t="s">
        <v>19</v>
      </c>
      <c r="M361" s="1" t="n">
        <v>4282361</v>
      </c>
      <c r="N361" s="1" t="n">
        <v>2.47</v>
      </c>
      <c r="O361" s="1" t="s">
        <v>20</v>
      </c>
      <c r="P361" s="1" t="n">
        <v>20.18</v>
      </c>
      <c r="Q361" s="1" t="n">
        <v>0</v>
      </c>
      <c r="R361" s="1" t="n">
        <v>1154671</v>
      </c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</row>
    <row r="362" customFormat="false" ht="15" hidden="false" customHeight="false" outlineLevel="0" collapsed="false">
      <c r="A362" s="1" t="s">
        <v>379</v>
      </c>
      <c r="B362" s="1" t="n">
        <v>362447</v>
      </c>
      <c r="C362" s="1" t="n">
        <v>1191</v>
      </c>
      <c r="D362" s="1" t="n">
        <v>2564050</v>
      </c>
      <c r="E362" s="1" t="n">
        <v>0</v>
      </c>
      <c r="F362" s="1" t="n">
        <v>1353</v>
      </c>
      <c r="G362" s="1" t="n">
        <v>0</v>
      </c>
      <c r="H362" s="1" t="n">
        <v>1</v>
      </c>
      <c r="I362" s="1" t="n">
        <v>28.601</v>
      </c>
      <c r="J362" s="1" t="n">
        <v>29.05</v>
      </c>
      <c r="K362" s="1" t="n">
        <v>6</v>
      </c>
      <c r="L362" s="1" t="s">
        <v>19</v>
      </c>
      <c r="M362" s="1" t="n">
        <v>5155200</v>
      </c>
      <c r="N362" s="1" t="n">
        <v>7.26</v>
      </c>
      <c r="O362" s="1" t="s">
        <v>20</v>
      </c>
      <c r="P362" s="1" t="n">
        <v>29.05</v>
      </c>
      <c r="Q362" s="1" t="n">
        <v>0</v>
      </c>
      <c r="R362" s="1" t="n">
        <v>1337115</v>
      </c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</row>
    <row r="363" customFormat="false" ht="15" hidden="false" customHeight="fals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</row>
    <row r="364" customFormat="false" ht="15" hidden="false" customHeight="false" outlineLevel="0" collapsed="false">
      <c r="A364" s="1" t="s">
        <v>380</v>
      </c>
      <c r="B364" s="1" t="n">
        <f aca="false">SUM(B$3:B$362)</f>
        <v>0</v>
      </c>
      <c r="C364" s="1" t="n">
        <f aca="false">SUM(C$3:C$362)</f>
        <v>0</v>
      </c>
      <c r="D364" s="1" t="n">
        <f aca="false">SUM(D$3:D$362)</f>
        <v>0</v>
      </c>
      <c r="E364" s="1" t="n">
        <f aca="false">SUM(E$3:E$362)</f>
        <v>0</v>
      </c>
      <c r="F364" s="1" t="n">
        <f aca="false">SUM(F$3:F$362)</f>
        <v>0</v>
      </c>
      <c r="G364" s="1" t="n">
        <f aca="false">SUM(G$3:G$362)</f>
        <v>0</v>
      </c>
      <c r="H364" s="1" t="n">
        <f aca="false">SUM(H$3:H$362)</f>
        <v>0</v>
      </c>
      <c r="I364" s="1" t="n">
        <f aca="false">SUM(I$3:I$362)</f>
        <v>0</v>
      </c>
      <c r="J364" s="1" t="n">
        <f aca="false">SUM(J$3:J$362)</f>
        <v>0</v>
      </c>
      <c r="K364" s="1" t="n">
        <f aca="false">SUM(K$3:K$362)</f>
        <v>0</v>
      </c>
      <c r="L364" s="1"/>
      <c r="M364" s="1" t="n">
        <f aca="false">SUM(M$3:M$362)</f>
        <v>0</v>
      </c>
      <c r="N364" s="1" t="n">
        <f aca="false">SUM(N$3:N$362)</f>
        <v>0</v>
      </c>
      <c r="O364" s="1"/>
      <c r="P364" s="1" t="n">
        <f aca="false">SUM(P$3:P$362)</f>
        <v>0</v>
      </c>
      <c r="Q364" s="1" t="n">
        <f aca="false">SUM(Q$3:Q$362)</f>
        <v>0</v>
      </c>
      <c r="R364" s="1" t="n">
        <f aca="false">SUM(R$3:R$362)</f>
        <v>0</v>
      </c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</row>
    <row r="365" customFormat="false" ht="15" hidden="false" customHeight="false" outlineLevel="0" collapsed="false">
      <c r="A365" s="1" t="s">
        <v>381</v>
      </c>
      <c r="B365" s="1" t="n">
        <f aca="false">AVERAGE(B$3:B$362)</f>
        <v>0</v>
      </c>
      <c r="C365" s="1" t="n">
        <f aca="false">AVERAGE(C$3:C$362)</f>
        <v>0</v>
      </c>
      <c r="D365" s="1" t="n">
        <f aca="false">AVERAGE(D$3:D$362)</f>
        <v>0</v>
      </c>
      <c r="E365" s="1" t="n">
        <f aca="false">AVERAGE(E$3:E$362)</f>
        <v>0</v>
      </c>
      <c r="F365" s="1" t="n">
        <f aca="false">AVERAGE(F$3:F$362)</f>
        <v>0</v>
      </c>
      <c r="G365" s="1" t="n">
        <f aca="false">AVERAGE(G$3:G$362)</f>
        <v>0</v>
      </c>
      <c r="H365" s="1" t="n">
        <f aca="false">AVERAGE(H$3:H$362)</f>
        <v>0</v>
      </c>
      <c r="I365" s="1" t="n">
        <f aca="false">AVERAGE(I$3:I$362)</f>
        <v>0</v>
      </c>
      <c r="J365" s="1" t="n">
        <f aca="false">AVERAGE(J$3:J$362)</f>
        <v>0</v>
      </c>
      <c r="K365" s="1" t="n">
        <f aca="false">AVERAGE(K$3:K$362)</f>
        <v>0</v>
      </c>
      <c r="L365" s="1"/>
      <c r="M365" s="1" t="n">
        <f aca="false">AVERAGE(M$3:M$362)</f>
        <v>0</v>
      </c>
      <c r="N365" s="1" t="n">
        <f aca="false">AVERAGE(N$3:N$362)</f>
        <v>0</v>
      </c>
      <c r="O365" s="1"/>
      <c r="P365" s="1" t="n">
        <f aca="false">AVERAGE(P$3:P$362)</f>
        <v>0</v>
      </c>
      <c r="Q365" s="1" t="n">
        <f aca="false">AVERAGE(Q$3:Q$362)</f>
        <v>0</v>
      </c>
      <c r="R365" s="1" t="n">
        <f aca="false">AVERAGE(R$3:R$362)</f>
        <v>0</v>
      </c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</row>
    <row r="366" customFormat="false" ht="15" hidden="false" customHeight="false" outlineLevel="0" collapsed="false">
      <c r="A366" s="1" t="s">
        <v>382</v>
      </c>
      <c r="B366" s="1" t="n">
        <f aca="false">STDEV(B$3:B$362)</f>
        <v>0</v>
      </c>
      <c r="C366" s="1" t="n">
        <f aca="false">STDEV(C$3:C$362)</f>
        <v>0</v>
      </c>
      <c r="D366" s="1" t="n">
        <f aca="false">STDEV(D$3:D$362)</f>
        <v>0</v>
      </c>
      <c r="E366" s="1" t="n">
        <f aca="false">STDEV(E$3:E$362)</f>
        <v>0</v>
      </c>
      <c r="F366" s="1" t="n">
        <f aca="false">STDEV(F$3:F$362)</f>
        <v>0</v>
      </c>
      <c r="G366" s="1" t="n">
        <f aca="false">STDEV(G$3:G$362)</f>
        <v>0</v>
      </c>
      <c r="H366" s="1" t="n">
        <f aca="false">STDEV(H$3:H$362)</f>
        <v>0</v>
      </c>
      <c r="I366" s="1" t="n">
        <f aca="false">STDEV(I$3:I$362)</f>
        <v>0</v>
      </c>
      <c r="J366" s="1" t="n">
        <f aca="false">STDEV(J$3:J$362)</f>
        <v>0</v>
      </c>
      <c r="K366" s="1" t="n">
        <f aca="false">STDEV(K$3:K$362)</f>
        <v>0</v>
      </c>
      <c r="L366" s="1"/>
      <c r="M366" s="1" t="n">
        <f aca="false">STDEV(M$3:M$362)</f>
        <v>0</v>
      </c>
      <c r="N366" s="1" t="n">
        <f aca="false">STDEV(N$3:N$362)</f>
        <v>0</v>
      </c>
      <c r="O366" s="1"/>
      <c r="P366" s="1" t="n">
        <f aca="false">STDEV(P$3:P$362)</f>
        <v>0</v>
      </c>
      <c r="Q366" s="1" t="n">
        <f aca="false">STDEV(Q$3:Q$362)</f>
        <v>0</v>
      </c>
      <c r="R366" s="1" t="n">
        <f aca="false">STDEV(R$3:R$362)</f>
        <v>0</v>
      </c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</row>
    <row r="367" customFormat="false" ht="15" hidden="false" customHeight="false" outlineLevel="0" collapsed="false">
      <c r="A367" s="1" t="s">
        <v>383</v>
      </c>
      <c r="B367" s="1" t="n">
        <f aca="false">SUMPRODUCT(--(B$3:B$362-$S$3:$S$362)^2)^0.5</f>
        <v>890538.28646499</v>
      </c>
      <c r="C367" s="1" t="n">
        <f aca="false">SUMPRODUCT(--(C$3:C$362-$T$3:$T$362)^2)^0.5</f>
        <v>19886.9440588543</v>
      </c>
      <c r="D367" s="1" t="n">
        <f aca="false">SUMPRODUCT(--(D$3:D$362-$U$3:$U$362)^2)^0.5</f>
        <v>18909096.4549512</v>
      </c>
      <c r="E367" s="1" t="n">
        <f aca="false">SUMPRODUCT(--(E$3:E$362-$V$3:$V$362)^2)^0.5</f>
        <v>0</v>
      </c>
      <c r="F367" s="1" t="n">
        <f aca="false">SUMPRODUCT(--(F$3:F$362-$W$3:$W$362)^2)^0.5</f>
        <v>11838.0611165849</v>
      </c>
      <c r="G367" s="1" t="n">
        <f aca="false">SUMPRODUCT(--(G$3:G$362-$X$3:$X$362)^2)^0.5</f>
        <v>0</v>
      </c>
      <c r="H367" s="1" t="n">
        <f aca="false">SUMPRODUCT(--(H$3:H$362-$Y$3:$Y$362)^2)^0.5</f>
        <v>18.9736659610103</v>
      </c>
      <c r="I367" s="1" t="n">
        <f aca="false">SUMPRODUCT(--(I$3:I$362-$Z$3:$Z$362)^2)^0.5</f>
        <v>193.305550210024</v>
      </c>
      <c r="J367" s="1" t="n">
        <f aca="false">SUMPRODUCT(--(J$3:J$362-$AA$3:$AA$362)^2)^0.5</f>
        <v>197.432931143718</v>
      </c>
      <c r="K367" s="1" t="n">
        <f aca="false">SUMPRODUCT(--(K$3:K$362-$AB$3:$AB$362)^2)^0.5</f>
        <v>100.004999875006</v>
      </c>
      <c r="L367" s="1"/>
      <c r="M367" s="1" t="n">
        <f aca="false">SUMPRODUCT(--(M$3:M$362-$AC$3:$AC$362)^2)^0.5</f>
        <v>41597476.2989406</v>
      </c>
      <c r="N367" s="1" t="n">
        <f aca="false">SUMPRODUCT(--(N$3:N$362-$AD$3:$AD$362)^2)^0.5</f>
        <v>35.6387457691766</v>
      </c>
      <c r="O367" s="1"/>
      <c r="P367" s="1" t="n">
        <f aca="false">SUMPRODUCT(--(P$3:P$362-$AE$3:$AE$362)^2)^0.5</f>
        <v>197.432931143718</v>
      </c>
      <c r="Q367" s="1" t="n">
        <f aca="false">SUMPRODUCT(--(Q$3:Q$362-$AF$3:$AF$362)^2)^0.5</f>
        <v>0</v>
      </c>
      <c r="R367" s="1" t="n">
        <f aca="false">SUMPRODUCT(--(R$3:R$362-$AG$3:$AG$362)^2)^0.5</f>
        <v>11884304.8754007</v>
      </c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</row>
    <row r="368" customFormat="false" ht="15" hidden="false" customHeight="false" outlineLevel="0" collapsed="false">
      <c r="A368" s="1" t="s">
        <v>384</v>
      </c>
      <c r="B368" s="1" t="n">
        <f aca="false">SUMPRODUCT(NOT(ISBLANK(B$3:B$362))*(B$3:B$362=$S$3:$S$362))</f>
        <v>0</v>
      </c>
      <c r="C368" s="1" t="n">
        <f aca="false">SUMPRODUCT(NOT(ISBLANK(C$3:C$362))*(C$3:C$362=$T$3:$T$362))</f>
        <v>112</v>
      </c>
      <c r="D368" s="1" t="n">
        <f aca="false">SUMPRODUCT(NOT(ISBLANK(D$3:D$362))*(D$3:D$362=$U$3:$U$362))</f>
        <v>0</v>
      </c>
      <c r="E368" s="1" t="n">
        <f aca="false">SUMPRODUCT(NOT(ISBLANK(E$3:E$362))*(E$3:E$362=$V$3:$V$362))</f>
        <v>360</v>
      </c>
      <c r="F368" s="1" t="n">
        <f aca="false">SUMPRODUCT(NOT(ISBLANK(F$3:F$362))*(F$3:F$362=$W$3:$W$362))</f>
        <v>0</v>
      </c>
      <c r="G368" s="1" t="n">
        <f aca="false">SUMPRODUCT(NOT(ISBLANK(G$3:G$362))*(G$3:G$362=$X$3:$X$362))</f>
        <v>360</v>
      </c>
      <c r="H368" s="1" t="n">
        <f aca="false">SUMPRODUCT(NOT(ISBLANK(H$3:H$362))*(H$3:H$362=$Y$3:$Y$362))</f>
        <v>0</v>
      </c>
      <c r="I368" s="1" t="n">
        <f aca="false">SUMPRODUCT(NOT(ISBLANK(I$3:I$362))*(I$3:I$362=$Z$3:$Z$362))</f>
        <v>0</v>
      </c>
      <c r="J368" s="1" t="n">
        <f aca="false">SUMPRODUCT(NOT(ISBLANK(J$3:J$362))*(J$3:J$362=$AA$3:$AA$362))</f>
        <v>0</v>
      </c>
      <c r="K368" s="1" t="n">
        <f aca="false">SUMPRODUCT(NOT(ISBLANK(K$3:K$362))*(K$3:K$362=$AB$3:$AB$362))</f>
        <v>276</v>
      </c>
      <c r="L368" s="1"/>
      <c r="M368" s="1" t="n">
        <f aca="false">SUMPRODUCT(NOT(ISBLANK(M$3:M$362))*(M$3:M$362=$AC$3:$AC$362))</f>
        <v>0</v>
      </c>
      <c r="N368" s="1" t="n">
        <f aca="false">SUMPRODUCT(NOT(ISBLANK(N$3:N$362))*(N$3:N$362=$AD$3:$AD$362))</f>
        <v>0</v>
      </c>
      <c r="O368" s="1"/>
      <c r="P368" s="1" t="n">
        <f aca="false">SUMPRODUCT(NOT(ISBLANK(P$3:P$362))*(P$3:P$362=$AE$3:$AE$362))</f>
        <v>0</v>
      </c>
      <c r="Q368" s="1" t="n">
        <f aca="false">SUMPRODUCT(NOT(ISBLANK(Q$3:Q$362))*(Q$3:Q$362=$AF$3:$AF$362))</f>
        <v>360</v>
      </c>
      <c r="R368" s="1" t="n">
        <f aca="false">SUMPRODUCT(NOT(ISBLANK(R$3:R$362))*(R$3:R$362=$AG$3:$AG$362))</f>
        <v>0</v>
      </c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</row>
    <row r="369" customFormat="false" ht="15" hidden="false" customHeight="false" outlineLevel="0" collapsed="false">
      <c r="A369" s="1" t="s">
        <v>385</v>
      </c>
      <c r="B369" s="1" t="n">
        <f aca="false">SUMPRODUCT(NOT(ISBLANK(B$3:B$362))*(B$3:B$362&lt;$AH$3:$AH$362))</f>
        <v>0</v>
      </c>
      <c r="C369" s="1" t="n">
        <f aca="false">SUMPRODUCT(NOT(ISBLANK(C$3:C$362))*(C$3:C$362&lt;$AI$3:$AI$362))</f>
        <v>0</v>
      </c>
      <c r="D369" s="1" t="n">
        <f aca="false">SUMPRODUCT(NOT(ISBLANK(D$3:D$362))*(D$3:D$362&lt;$AJ$3:$AJ$362))</f>
        <v>0</v>
      </c>
      <c r="E369" s="1" t="n">
        <f aca="false">SUMPRODUCT(NOT(ISBLANK(E$3:E$362))*(E$3:E$362&lt;$AK$3:$AK$362))</f>
        <v>0</v>
      </c>
      <c r="F369" s="1" t="n">
        <f aca="false">SUMPRODUCT(NOT(ISBLANK(F$3:F$362))*(F$3:F$362&lt;$AL$3:$AL$362))</f>
        <v>0</v>
      </c>
      <c r="G369" s="1" t="n">
        <f aca="false">SUMPRODUCT(NOT(ISBLANK(G$3:G$362))*(G$3:G$362&lt;$AM$3:$AM$362))</f>
        <v>0</v>
      </c>
      <c r="H369" s="1" t="n">
        <f aca="false">SUMPRODUCT(NOT(ISBLANK(H$3:H$362))*(H$3:H$362&lt;$AN$3:$AN$362))</f>
        <v>0</v>
      </c>
      <c r="I369" s="1" t="n">
        <f aca="false">SUMPRODUCT(NOT(ISBLANK(I$3:I$362))*(I$3:I$362&lt;$AO$3:$AO$362))</f>
        <v>0</v>
      </c>
      <c r="J369" s="1" t="n">
        <f aca="false">SUMPRODUCT(NOT(ISBLANK(J$3:J$362))*(J$3:J$362&lt;$AP$3:$AP$362))</f>
        <v>0</v>
      </c>
      <c r="K369" s="1" t="n">
        <f aca="false">SUMPRODUCT(NOT(ISBLANK(K$3:K$362))*(K$3:K$362&lt;$AQ$3:$AQ$362))</f>
        <v>0</v>
      </c>
      <c r="L369" s="1"/>
      <c r="M369" s="1" t="n">
        <f aca="false">SUMPRODUCT(NOT(ISBLANK(M$3:M$362))*(M$3:M$362&lt;$AR$3:$AR$362))</f>
        <v>0</v>
      </c>
      <c r="N369" s="1" t="n">
        <f aca="false">SUMPRODUCT(NOT(ISBLANK(N$3:N$362))*(N$3:N$362&lt;$AS$3:$AS$362))</f>
        <v>0</v>
      </c>
      <c r="O369" s="1"/>
      <c r="P369" s="1" t="n">
        <f aca="false">SUMPRODUCT(NOT(ISBLANK(P$3:P$362))*(P$3:P$362&lt;$AT$3:$AT$362))</f>
        <v>0</v>
      </c>
      <c r="Q369" s="1" t="n">
        <f aca="false">SUMPRODUCT(NOT(ISBLANK(Q$3:Q$362))*(Q$3:Q$362&lt;$AU$3:$AU$362))</f>
        <v>0</v>
      </c>
      <c r="R369" s="1" t="n">
        <f aca="false">SUMPRODUCT(NOT(ISBLANK(R$3:R$362))*(R$3:R$362&lt;$AV$3:$AV$362))</f>
        <v>0</v>
      </c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</row>
    <row r="370" customFormat="false" ht="15" hidden="false" customHeight="false" outlineLevel="0" collapsed="false">
      <c r="A370" s="1" t="s">
        <v>386</v>
      </c>
      <c r="B370" s="1" t="n">
        <f aca="false">SUMPRODUCT((NOT(ISBLANK(B$3:B$362))*(B$3:B$362&gt;$AH$3:$AH$362))+ISBLANK(B$3:B$362))</f>
        <v>360</v>
      </c>
      <c r="C370" s="1" t="n">
        <f aca="false">SUMPRODUCT((NOT(ISBLANK(C$3:C$362))*(C$3:C$362&gt;$AI$3:$AI$362))+ISBLANK(C$3:C$362))</f>
        <v>248</v>
      </c>
      <c r="D370" s="1" t="n">
        <f aca="false">SUMPRODUCT((NOT(ISBLANK(D$3:D$362))*(D$3:D$362&gt;$AJ$3:$AJ$362))+ISBLANK(D$3:D$362))</f>
        <v>360</v>
      </c>
      <c r="E370" s="1" t="n">
        <f aca="false">SUMPRODUCT((NOT(ISBLANK(E$3:E$362))*(E$3:E$362&gt;$AK$3:$AK$362))+ISBLANK(E$3:E$362))</f>
        <v>0</v>
      </c>
      <c r="F370" s="1" t="n">
        <f aca="false">SUMPRODUCT((NOT(ISBLANK(F$3:F$362))*(F$3:F$362&gt;$AL$3:$AL$362))+ISBLANK(F$3:F$362))</f>
        <v>360</v>
      </c>
      <c r="G370" s="1" t="n">
        <f aca="false">SUMPRODUCT((NOT(ISBLANK(G$3:G$362))*(G$3:G$362&gt;$AM$3:$AM$362))+ISBLANK(G$3:G$362))</f>
        <v>0</v>
      </c>
      <c r="H370" s="1" t="n">
        <f aca="false">SUMPRODUCT((NOT(ISBLANK(H$3:H$362))*(H$3:H$362&gt;$AN$3:$AN$362))+ISBLANK(H$3:H$362))</f>
        <v>360</v>
      </c>
      <c r="I370" s="1" t="n">
        <f aca="false">SUMPRODUCT((NOT(ISBLANK(I$3:I$362))*(I$3:I$362&gt;$AO$3:$AO$362))+ISBLANK(I$3:I$362))</f>
        <v>360</v>
      </c>
      <c r="J370" s="1" t="n">
        <f aca="false">SUMPRODUCT((NOT(ISBLANK(J$3:J$362))*(J$3:J$362&gt;$AP$3:$AP$362))+ISBLANK(J$3:J$362))</f>
        <v>360</v>
      </c>
      <c r="K370" s="1" t="n">
        <f aca="false">SUMPRODUCT((NOT(ISBLANK(K$3:K$362))*(K$3:K$362&gt;$AQ$3:$AQ$362))+ISBLANK(K$3:K$362))</f>
        <v>84</v>
      </c>
      <c r="L370" s="1"/>
      <c r="M370" s="1" t="n">
        <f aca="false">SUMPRODUCT((NOT(ISBLANK(M$3:M$362))*(M$3:M$362&gt;$AR$3:$AR$362))+ISBLANK(M$3:M$362))</f>
        <v>360</v>
      </c>
      <c r="N370" s="1" t="n">
        <f aca="false">SUMPRODUCT((NOT(ISBLANK(N$3:N$362))*(N$3:N$362&gt;$AS$3:$AS$362))+ISBLANK(N$3:N$362))</f>
        <v>360</v>
      </c>
      <c r="O370" s="1"/>
      <c r="P370" s="1" t="n">
        <f aca="false">SUMPRODUCT((NOT(ISBLANK(P$3:P$362))*(P$3:P$362&gt;$AT$3:$AT$362))+ISBLANK(P$3:P$362))</f>
        <v>360</v>
      </c>
      <c r="Q370" s="1" t="n">
        <f aca="false">SUMPRODUCT((NOT(ISBLANK(Q$3:Q$362))*(Q$3:Q$362&gt;$AU$3:$AU$362))+ISBLANK(Q$3:Q$362))</f>
        <v>0</v>
      </c>
      <c r="R370" s="1" t="n">
        <f aca="false">SUMPRODUCT((NOT(ISBLANK(R$3:R$362))*(R$3:R$362&gt;$AV$3:$AV$362))+ISBLANK(R$3:R$362))</f>
        <v>360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</row>
    <row r="371" customFormat="false" ht="15" hidden="false" customHeight="false" outlineLevel="0" collapsed="false">
      <c r="A371" s="1" t="s">
        <v>387</v>
      </c>
      <c r="B371" s="1" t="n">
        <f aca="false">SUMPRODUCT((NOT(ISBLANK(B$3:B$362))*(B$3:B$362=$AW$3:$AW$362))+ISBLANK(B$3:B$362))</f>
        <v>0</v>
      </c>
      <c r="C371" s="1" t="n">
        <f aca="false">SUMPRODUCT((NOT(ISBLANK(C$3:C$362))*(C$3:C$362=$AX$3:$AX$362))+ISBLANK(C$3:C$362))</f>
        <v>112</v>
      </c>
      <c r="D371" s="1" t="n">
        <f aca="false">SUMPRODUCT((NOT(ISBLANK(D$3:D$362))*(D$3:D$362=$AY$3:$AY$362))+ISBLANK(D$3:D$362))</f>
        <v>0</v>
      </c>
      <c r="E371" s="1" t="n">
        <f aca="false">SUMPRODUCT((NOT(ISBLANK(E$3:E$362))*(E$3:E$362=$AZ$3:$AZ$362))+ISBLANK(E$3:E$362))</f>
        <v>360</v>
      </c>
      <c r="F371" s="1" t="n">
        <f aca="false">SUMPRODUCT((NOT(ISBLANK(F$3:F$362))*(F$3:F$362=$BA$3:$BA$362))+ISBLANK(F$3:F$362))</f>
        <v>0</v>
      </c>
      <c r="G371" s="1" t="n">
        <f aca="false">SUMPRODUCT((NOT(ISBLANK(G$3:G$362))*(G$3:G$362=$BB$3:$BB$362))+ISBLANK(G$3:G$362))</f>
        <v>360</v>
      </c>
      <c r="H371" s="1" t="n">
        <f aca="false">SUMPRODUCT((NOT(ISBLANK(H$3:H$362))*(H$3:H$362=$BC$3:$BC$362))+ISBLANK(H$3:H$362))</f>
        <v>0</v>
      </c>
      <c r="I371" s="1" t="n">
        <f aca="false">SUMPRODUCT((NOT(ISBLANK(I$3:I$362))*(I$3:I$362=$BD$3:$BD$362))+ISBLANK(I$3:I$362))</f>
        <v>0</v>
      </c>
      <c r="J371" s="1" t="n">
        <f aca="false">SUMPRODUCT((NOT(ISBLANK(J$3:J$362))*(J$3:J$362=$BE$3:$BE$362))+ISBLANK(J$3:J$362))</f>
        <v>0</v>
      </c>
      <c r="K371" s="1" t="n">
        <f aca="false">SUMPRODUCT((NOT(ISBLANK(K$3:K$362))*(K$3:K$362=$BF$3:$BF$362))+ISBLANK(K$3:K$362))</f>
        <v>276</v>
      </c>
      <c r="L371" s="1"/>
      <c r="M371" s="1" t="n">
        <f aca="false">SUMPRODUCT((NOT(ISBLANK(M$3:M$362))*(M$3:M$362=$BG$3:$BG$362))+ISBLANK(M$3:M$362))</f>
        <v>0</v>
      </c>
      <c r="N371" s="1" t="n">
        <f aca="false">SUMPRODUCT((NOT(ISBLANK(N$3:N$362))*(N$3:N$362=$BH$3:$BH$362))+ISBLANK(N$3:N$362))</f>
        <v>0</v>
      </c>
      <c r="O371" s="1"/>
      <c r="P371" s="1" t="n">
        <f aca="false">SUMPRODUCT((NOT(ISBLANK(P$3:P$362))*(P$3:P$362=$BI$3:$BI$362))+ISBLANK(P$3:P$362))</f>
        <v>0</v>
      </c>
      <c r="Q371" s="1" t="n">
        <f aca="false">SUMPRODUCT((NOT(ISBLANK(Q$3:Q$362))*(Q$3:Q$362=$BJ$3:$BJ$362))+ISBLANK(Q$3:Q$362))</f>
        <v>360</v>
      </c>
      <c r="R371" s="1" t="n">
        <f aca="false">SUMPRODUCT((NOT(ISBLANK(R$3:R$362))*(R$3:R$362=$BK$3:$BK$362))+ISBLANK(R$3:R$362))</f>
        <v>0</v>
      </c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3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29"/>
    <col collapsed="false" customWidth="true" hidden="false" outlineLevel="0" max="8" min="2" style="0" width="11.43"/>
    <col collapsed="false" customWidth="true" hidden="false" outlineLevel="0" max="9" min="9" style="0" width="12"/>
    <col collapsed="false" customWidth="true" hidden="false" outlineLevel="0" max="13" min="10" style="0" width="11.43"/>
    <col collapsed="false" customWidth="true" hidden="false" outlineLevel="0" max="14" min="14" style="0" width="12.15"/>
    <col collapsed="false" customWidth="true" hidden="false" outlineLevel="0" max="25" min="15" style="0" width="11.43"/>
    <col collapsed="false" customWidth="true" hidden="false" outlineLevel="0" max="26" min="26" style="0" width="12"/>
    <col collapsed="false" customWidth="true" hidden="false" outlineLevel="0" max="29" min="27" style="0" width="11.43"/>
    <col collapsed="false" customWidth="true" hidden="false" outlineLevel="0" max="30" min="30" style="0" width="12.15"/>
    <col collapsed="false" customWidth="true" hidden="false" outlineLevel="0" max="40" min="31" style="0" width="11.43"/>
    <col collapsed="false" customWidth="true" hidden="false" outlineLevel="0" max="41" min="41" style="0" width="12"/>
    <col collapsed="false" customWidth="true" hidden="false" outlineLevel="0" max="44" min="42" style="0" width="11.43"/>
    <col collapsed="false" customWidth="true" hidden="false" outlineLevel="0" max="45" min="45" style="0" width="12.15"/>
    <col collapsed="false" customWidth="true" hidden="false" outlineLevel="0" max="55" min="46" style="0" width="11.43"/>
    <col collapsed="false" customWidth="true" hidden="false" outlineLevel="0" max="56" min="56" style="0" width="12"/>
    <col collapsed="false" customWidth="true" hidden="false" outlineLevel="0" max="59" min="57" style="0" width="11.43"/>
    <col collapsed="false" customWidth="true" hidden="false" outlineLevel="0" max="60" min="60" style="0" width="12.15"/>
    <col collapsed="false" customWidth="true" hidden="false" outlineLevel="0" max="63" min="61" style="0" width="11.43"/>
  </cols>
  <sheetData>
    <row r="1" customFormat="false" ht="15" hidden="false" customHeight="false" outlineLevel="0" collapsed="false">
      <c r="A1" s="1" t="s">
        <v>388</v>
      </c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389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390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391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customFormat="false" ht="15" hidden="false" customHeight="false" outlineLevel="0" collapsed="false">
      <c r="A2" s="2" t="s">
        <v>390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</v>
      </c>
      <c r="T2" s="1" t="s">
        <v>2</v>
      </c>
      <c r="U2" s="1" t="s">
        <v>3</v>
      </c>
      <c r="V2" s="1" t="s">
        <v>4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12</v>
      </c>
      <c r="AD2" s="1" t="s">
        <v>13</v>
      </c>
      <c r="AE2" s="1" t="s">
        <v>15</v>
      </c>
      <c r="AF2" s="1" t="s">
        <v>16</v>
      </c>
      <c r="AG2" s="1" t="s">
        <v>17</v>
      </c>
      <c r="AH2" s="1" t="s">
        <v>1</v>
      </c>
      <c r="AI2" s="1" t="s">
        <v>2</v>
      </c>
      <c r="AJ2" s="1" t="s">
        <v>3</v>
      </c>
      <c r="AK2" s="1" t="s">
        <v>4</v>
      </c>
      <c r="AL2" s="1" t="s">
        <v>5</v>
      </c>
      <c r="AM2" s="1" t="s">
        <v>6</v>
      </c>
      <c r="AN2" s="1" t="s">
        <v>7</v>
      </c>
      <c r="AO2" s="1" t="s">
        <v>8</v>
      </c>
      <c r="AP2" s="1" t="s">
        <v>9</v>
      </c>
      <c r="AQ2" s="1" t="s">
        <v>10</v>
      </c>
      <c r="AR2" s="1" t="s">
        <v>12</v>
      </c>
      <c r="AS2" s="1" t="s">
        <v>13</v>
      </c>
      <c r="AT2" s="1" t="s">
        <v>15</v>
      </c>
      <c r="AU2" s="1" t="s">
        <v>16</v>
      </c>
      <c r="AV2" s="1" t="s">
        <v>17</v>
      </c>
      <c r="AW2" s="1" t="s">
        <v>1</v>
      </c>
      <c r="AX2" s="1" t="s">
        <v>2</v>
      </c>
      <c r="AY2" s="1" t="s">
        <v>3</v>
      </c>
      <c r="AZ2" s="1" t="s">
        <v>4</v>
      </c>
      <c r="BA2" s="1" t="s">
        <v>5</v>
      </c>
      <c r="BB2" s="1" t="s">
        <v>6</v>
      </c>
      <c r="BC2" s="1" t="s">
        <v>7</v>
      </c>
      <c r="BD2" s="1" t="s">
        <v>8</v>
      </c>
      <c r="BE2" s="1" t="s">
        <v>9</v>
      </c>
      <c r="BF2" s="1" t="s">
        <v>10</v>
      </c>
      <c r="BG2" s="1" t="s">
        <v>12</v>
      </c>
      <c r="BH2" s="1" t="s">
        <v>13</v>
      </c>
      <c r="BI2" s="1" t="s">
        <v>15</v>
      </c>
      <c r="BJ2" s="1" t="s">
        <v>16</v>
      </c>
      <c r="BK2" s="1" t="s">
        <v>17</v>
      </c>
    </row>
    <row r="3" customFormat="false" ht="15" hidden="false" customHeight="false" outlineLevel="0" collapsed="false">
      <c r="A3" s="1" t="s">
        <v>18</v>
      </c>
      <c r="B3" s="1" t="n">
        <f aca="false" t="array" ref="B3:B3">_xlfn.SWITCH($A$2,"average", AVERAGE(Instances!B3:B3),"median", MEDIAN(Instances!B3:B3),"min", MIN(Instances!B3:B3),"max", MAX(Instances!B3:B3),"diff", MAX(Instances!B3:B3)-MIN(Instances!B3:B3))</f>
        <v>839</v>
      </c>
      <c r="C3" s="1" t="n">
        <f aca="false" t="array" ref="C3:C3">_xlfn.SWITCH($A$2,"average", AVERAGE(Instances!C3:C3),"median", MEDIAN(Instances!C3:C3),"min", MIN(Instances!C3:C3),"max", MAX(Instances!C3:C3),"diff", MAX(Instances!C3:C3)-MIN(Instances!C3:C3))</f>
        <v>0</v>
      </c>
      <c r="D3" s="1" t="n">
        <f aca="false" t="array" ref="D3:D3">_xlfn.SWITCH($A$2,"average", AVERAGE(Instances!D3:D3),"median", MEDIAN(Instances!D3:D3),"min", MIN(Instances!D3:D3),"max", MAX(Instances!D3:D3),"diff", MAX(Instances!D3:D3)-MIN(Instances!D3:D3))</f>
        <v>108042</v>
      </c>
      <c r="E3" s="1" t="n">
        <f aca="false" t="array" ref="E3:E3">_xlfn.SWITCH($A$2,"average", AVERAGE(Instances!E3:E3),"median", MEDIAN(Instances!E3:E3),"min", MIN(Instances!E3:E3),"max", MAX(Instances!E3:E3),"diff", MAX(Instances!E3:E3)-MIN(Instances!E3:E3))</f>
        <v>0</v>
      </c>
      <c r="F3" s="1" t="n">
        <f aca="false" t="array" ref="F3:F3">_xlfn.SWITCH($A$2,"average", AVERAGE(Instances!F3:F3),"median", MEDIAN(Instances!F3:F3),"min", MIN(Instances!F3:F3),"max", MAX(Instances!F3:F3),"diff", MAX(Instances!F3:F3)-MIN(Instances!F3:F3))</f>
        <v>179</v>
      </c>
      <c r="G3" s="1" t="n">
        <f aca="false" t="array" ref="G3:G3">_xlfn.SWITCH($A$2,"average", AVERAGE(Instances!G3:G3),"median", MEDIAN(Instances!G3:G3),"min", MIN(Instances!G3:G3),"max", MAX(Instances!G3:G3),"diff", MAX(Instances!G3:G3)-MIN(Instances!G3:G3))</f>
        <v>0</v>
      </c>
      <c r="H3" s="1" t="n">
        <f aca="false" t="array" ref="H3:H3">_xlfn.SWITCH($A$2,"average", AVERAGE(Instances!H3:H3),"median", MEDIAN(Instances!H3:H3),"min", MIN(Instances!H3:H3),"max", MAX(Instances!H3:H3),"diff", MAX(Instances!H3:H3)-MIN(Instances!H3:H3))</f>
        <v>1</v>
      </c>
      <c r="I3" s="1" t="n">
        <f aca="false" t="array" ref="I3:I3">_xlfn.SWITCH($A$2,"average", AVERAGE(Instances!I3:I3),"median", MEDIAN(Instances!I3:I3),"min", MIN(Instances!I3:I3),"max", MAX(Instances!I3:I3),"diff", MAX(Instances!I3:I3)-MIN(Instances!I3:I3))</f>
        <v>2.397</v>
      </c>
      <c r="J3" s="1" t="n">
        <f aca="false" t="array" ref="J3:J3">_xlfn.SWITCH($A$2,"average", AVERAGE(Instances!J3:J3),"median", MEDIAN(Instances!J3:J3),"min", MIN(Instances!J3:J3),"max", MAX(Instances!J3:J3),"diff", MAX(Instances!J3:J3)-MIN(Instances!J3:J3))</f>
        <v>2.46</v>
      </c>
      <c r="K3" s="1" t="n">
        <f aca="false" t="array" ref="K3:K3">_xlfn.SWITCH($A$2,"average", AVERAGE(Instances!K3:K3),"median", MEDIAN(Instances!K3:K3),"min", MIN(Instances!K3:K3),"max", MAX(Instances!K3:K3),"diff", MAX(Instances!K3:K3)-MIN(Instances!K3:K3))</f>
        <v>0</v>
      </c>
      <c r="L3" s="1"/>
      <c r="M3" s="1" t="n">
        <f aca="false" t="array" ref="M3:M3">_xlfn.SWITCH($A$2,"average", AVERAGE(Instances!M3:M3),"median", MEDIAN(Instances!M3:M3),"min", MIN(Instances!M3:M3),"max", MAX(Instances!M3:M3),"diff", MAX(Instances!M3:M3)-MIN(Instances!M3:M3))</f>
        <v>477481</v>
      </c>
      <c r="N3" s="1" t="n">
        <f aca="false" t="array" ref="N3:N3">_xlfn.SWITCH($A$2,"average", AVERAGE(Instances!N3:N3),"median", MEDIAN(Instances!N3:N3),"min", MIN(Instances!N3:N3),"max", MAX(Instances!N3:N3),"diff", MAX(Instances!N3:N3)-MIN(Instances!N3:N3))</f>
        <v>0.01</v>
      </c>
      <c r="O3" s="1"/>
      <c r="P3" s="1" t="n">
        <f aca="false" t="array" ref="P3:P3">_xlfn.SWITCH($A$2,"average", AVERAGE(Instances!P3:P3),"median", MEDIAN(Instances!P3:P3),"min", MIN(Instances!P3:P3),"max", MAX(Instances!P3:P3),"diff", MAX(Instances!P3:P3)-MIN(Instances!P3:P3))</f>
        <v>2.46</v>
      </c>
      <c r="Q3" s="1" t="n">
        <f aca="false" t="array" ref="Q3:Q3">_xlfn.SWITCH($A$2,"average", AVERAGE(Instances!Q3:Q3),"median", MEDIAN(Instances!Q3:Q3),"min", MIN(Instances!Q3:Q3),"max", MAX(Instances!Q3:Q3),"diff", MAX(Instances!Q3:Q3)-MIN(Instances!Q3:Q3))</f>
        <v>0</v>
      </c>
      <c r="R3" s="1" t="n">
        <f aca="false" t="array" ref="R3:R3">_xlfn.SWITCH($A$2,"average", AVERAGE(Instances!R3:R3),"median", MEDIAN(Instances!R3:R3),"min", MIN(Instances!R3:R3),"max", MAX(Instances!R3:R3),"diff", MAX(Instances!R3:R3)-MIN(Instances!R3:R3))</f>
        <v>179096</v>
      </c>
      <c r="S3" s="1" t="n">
        <f aca="false">MIN($B3)</f>
        <v>839</v>
      </c>
      <c r="T3" s="1" t="n">
        <f aca="false">MIN($C3)</f>
        <v>0</v>
      </c>
      <c r="U3" s="1" t="n">
        <f aca="false">MIN($D3)</f>
        <v>108042</v>
      </c>
      <c r="V3" s="1" t="n">
        <f aca="false">MIN($E3)</f>
        <v>0</v>
      </c>
      <c r="W3" s="1" t="n">
        <f aca="false">MIN($F3)</f>
        <v>179</v>
      </c>
      <c r="X3" s="1" t="n">
        <f aca="false">MIN($G3)</f>
        <v>0</v>
      </c>
      <c r="Y3" s="1" t="n">
        <f aca="false">MIN($H3)</f>
        <v>1</v>
      </c>
      <c r="Z3" s="1" t="n">
        <f aca="false">MIN($I3)</f>
        <v>2.397</v>
      </c>
      <c r="AA3" s="1" t="n">
        <f aca="false">MIN($J3)</f>
        <v>2.46</v>
      </c>
      <c r="AB3" s="1" t="n">
        <f aca="false">MIN($K3)</f>
        <v>0</v>
      </c>
      <c r="AC3" s="1" t="n">
        <f aca="false">MIN($M3)</f>
        <v>477481</v>
      </c>
      <c r="AD3" s="1" t="n">
        <f aca="false">MIN($N3)</f>
        <v>0.01</v>
      </c>
      <c r="AE3" s="1" t="n">
        <f aca="false">MIN($P3)</f>
        <v>2.46</v>
      </c>
      <c r="AF3" s="1" t="n">
        <f aca="false">MIN($Q3)</f>
        <v>0</v>
      </c>
      <c r="AG3" s="1" t="n">
        <f aca="false">MIN($R3)</f>
        <v>179096</v>
      </c>
      <c r="AH3" s="1" t="n">
        <f aca="false">MEDIAN($B3)</f>
        <v>839</v>
      </c>
      <c r="AI3" s="1" t="n">
        <f aca="false">MEDIAN($C3)</f>
        <v>0</v>
      </c>
      <c r="AJ3" s="1" t="n">
        <f aca="false">MEDIAN($D3)</f>
        <v>108042</v>
      </c>
      <c r="AK3" s="1" t="n">
        <f aca="false">MEDIAN($E3)</f>
        <v>0</v>
      </c>
      <c r="AL3" s="1" t="n">
        <f aca="false">MEDIAN($F3)</f>
        <v>179</v>
      </c>
      <c r="AM3" s="1" t="n">
        <f aca="false">MEDIAN($G3)</f>
        <v>0</v>
      </c>
      <c r="AN3" s="1" t="n">
        <f aca="false">MEDIAN($H3)</f>
        <v>1</v>
      </c>
      <c r="AO3" s="1" t="n">
        <f aca="false">MEDIAN($I3)</f>
        <v>2.397</v>
      </c>
      <c r="AP3" s="1" t="n">
        <f aca="false">MEDIAN($J3)</f>
        <v>2.46</v>
      </c>
      <c r="AQ3" s="1" t="n">
        <f aca="false">MEDIAN($K3)</f>
        <v>0</v>
      </c>
      <c r="AR3" s="1" t="n">
        <f aca="false">MEDIAN($M3)</f>
        <v>477481</v>
      </c>
      <c r="AS3" s="1" t="n">
        <f aca="false">MEDIAN($N3)</f>
        <v>0.01</v>
      </c>
      <c r="AT3" s="1" t="n">
        <f aca="false">MEDIAN($P3)</f>
        <v>2.46</v>
      </c>
      <c r="AU3" s="1" t="n">
        <f aca="false">MEDIAN($Q3)</f>
        <v>0</v>
      </c>
      <c r="AV3" s="1" t="n">
        <f aca="false">MEDIAN($R3)</f>
        <v>179096</v>
      </c>
      <c r="AW3" s="1" t="n">
        <f aca="false">MAX($B3)</f>
        <v>839</v>
      </c>
      <c r="AX3" s="1" t="n">
        <f aca="false">MAX($C3)</f>
        <v>0</v>
      </c>
      <c r="AY3" s="1" t="n">
        <f aca="false">MAX($D3)</f>
        <v>108042</v>
      </c>
      <c r="AZ3" s="1" t="n">
        <f aca="false">MAX($E3)</f>
        <v>0</v>
      </c>
      <c r="BA3" s="1" t="n">
        <f aca="false">MAX($F3)</f>
        <v>179</v>
      </c>
      <c r="BB3" s="1" t="n">
        <f aca="false">MAX($G3)</f>
        <v>0</v>
      </c>
      <c r="BC3" s="1" t="n">
        <f aca="false">MAX($H3)</f>
        <v>1</v>
      </c>
      <c r="BD3" s="1" t="n">
        <f aca="false">MAX($I3)</f>
        <v>2.397</v>
      </c>
      <c r="BE3" s="1" t="n">
        <f aca="false">MAX($J3)</f>
        <v>2.46</v>
      </c>
      <c r="BF3" s="1" t="n">
        <f aca="false">MAX($K3)</f>
        <v>0</v>
      </c>
      <c r="BG3" s="1" t="n">
        <f aca="false">MAX($M3)</f>
        <v>477481</v>
      </c>
      <c r="BH3" s="1" t="n">
        <f aca="false">MAX($N3)</f>
        <v>0.01</v>
      </c>
      <c r="BI3" s="1" t="n">
        <f aca="false">MAX($P3)</f>
        <v>2.46</v>
      </c>
      <c r="BJ3" s="1" t="n">
        <f aca="false">MAX($Q3)</f>
        <v>0</v>
      </c>
      <c r="BK3" s="1" t="n">
        <f aca="false">MAX($R3)</f>
        <v>179096</v>
      </c>
    </row>
    <row r="4" customFormat="false" ht="15" hidden="false" customHeight="false" outlineLevel="0" collapsed="false">
      <c r="A4" s="1" t="s">
        <v>21</v>
      </c>
      <c r="B4" s="1" t="n">
        <f aca="false" t="array" ref="B4:B4">_xlfn.SWITCH($A$2,"average", AVERAGE(Instances!B4:B4),"median", MEDIAN(Instances!B4:B4),"min", MIN(Instances!B4:B4),"max", MAX(Instances!B4:B4),"diff", MAX(Instances!B4:B4)-MIN(Instances!B4:B4))</f>
        <v>1112</v>
      </c>
      <c r="C4" s="1" t="n">
        <f aca="false" t="array" ref="C4:C4">_xlfn.SWITCH($A$2,"average", AVERAGE(Instances!C4:C4),"median", MEDIAN(Instances!C4:C4),"min", MIN(Instances!C4:C4),"max", MAX(Instances!C4:C4),"diff", MAX(Instances!C4:C4)-MIN(Instances!C4:C4))</f>
        <v>0</v>
      </c>
      <c r="D4" s="1" t="n">
        <f aca="false" t="array" ref="D4:D4">_xlfn.SWITCH($A$2,"average", AVERAGE(Instances!D4:D4),"median", MEDIAN(Instances!D4:D4),"min", MIN(Instances!D4:D4),"max", MAX(Instances!D4:D4),"diff", MAX(Instances!D4:D4)-MIN(Instances!D4:D4))</f>
        <v>138673</v>
      </c>
      <c r="E4" s="1" t="n">
        <f aca="false" t="array" ref="E4:E4">_xlfn.SWITCH($A$2,"average", AVERAGE(Instances!E4:E4),"median", MEDIAN(Instances!E4:E4),"min", MIN(Instances!E4:E4),"max", MAX(Instances!E4:E4),"diff", MAX(Instances!E4:E4)-MIN(Instances!E4:E4))</f>
        <v>0</v>
      </c>
      <c r="F4" s="1" t="n">
        <f aca="false" t="array" ref="F4:F4">_xlfn.SWITCH($A$2,"average", AVERAGE(Instances!F4:F4),"median", MEDIAN(Instances!F4:F4),"min", MIN(Instances!F4:F4),"max", MAX(Instances!F4:F4),"diff", MAX(Instances!F4:F4)-MIN(Instances!F4:F4))</f>
        <v>223</v>
      </c>
      <c r="G4" s="1" t="n">
        <f aca="false" t="array" ref="G4:G4">_xlfn.SWITCH($A$2,"average", AVERAGE(Instances!G4:G4),"median", MEDIAN(Instances!G4:G4),"min", MIN(Instances!G4:G4),"max", MAX(Instances!G4:G4),"diff", MAX(Instances!G4:G4)-MIN(Instances!G4:G4))</f>
        <v>0</v>
      </c>
      <c r="H4" s="1" t="n">
        <f aca="false" t="array" ref="H4:H4">_xlfn.SWITCH($A$2,"average", AVERAGE(Instances!H4:H4),"median", MEDIAN(Instances!H4:H4),"min", MIN(Instances!H4:H4),"max", MAX(Instances!H4:H4),"diff", MAX(Instances!H4:H4)-MIN(Instances!H4:H4))</f>
        <v>1</v>
      </c>
      <c r="I4" s="1" t="n">
        <f aca="false" t="array" ref="I4:I4">_xlfn.SWITCH($A$2,"average", AVERAGE(Instances!I4:I4),"median", MEDIAN(Instances!I4:I4),"min", MIN(Instances!I4:I4),"max", MAX(Instances!I4:I4),"diff", MAX(Instances!I4:I4)-MIN(Instances!I4:I4))</f>
        <v>2.85</v>
      </c>
      <c r="J4" s="1" t="n">
        <f aca="false" t="array" ref="J4:J4">_xlfn.SWITCH($A$2,"average", AVERAGE(Instances!J4:J4),"median", MEDIAN(Instances!J4:J4),"min", MIN(Instances!J4:J4),"max", MAX(Instances!J4:J4),"diff", MAX(Instances!J4:J4)-MIN(Instances!J4:J4))</f>
        <v>2.93</v>
      </c>
      <c r="K4" s="1" t="n">
        <f aca="false" t="array" ref="K4:K4">_xlfn.SWITCH($A$2,"average", AVERAGE(Instances!K4:K4),"median", MEDIAN(Instances!K4:K4),"min", MIN(Instances!K4:K4),"max", MAX(Instances!K4:K4),"diff", MAX(Instances!K4:K4)-MIN(Instances!K4:K4))</f>
        <v>0</v>
      </c>
      <c r="L4" s="1"/>
      <c r="M4" s="1" t="n">
        <f aca="false" t="array" ref="M4:M4">_xlfn.SWITCH($A$2,"average", AVERAGE(Instances!M4:M4),"median", MEDIAN(Instances!M4:M4),"min", MIN(Instances!M4:M4),"max", MAX(Instances!M4:M4),"diff", MAX(Instances!M4:M4)-MIN(Instances!M4:M4))</f>
        <v>572593</v>
      </c>
      <c r="N4" s="1" t="n">
        <f aca="false" t="array" ref="N4:N4">_xlfn.SWITCH($A$2,"average", AVERAGE(Instances!N4:N4),"median", MEDIAN(Instances!N4:N4),"min", MIN(Instances!N4:N4),"max", MAX(Instances!N4:N4),"diff", MAX(Instances!N4:N4)-MIN(Instances!N4:N4))</f>
        <v>0.02</v>
      </c>
      <c r="O4" s="1"/>
      <c r="P4" s="1" t="n">
        <f aca="false" t="array" ref="P4:P4">_xlfn.SWITCH($A$2,"average", AVERAGE(Instances!P4:P4),"median", MEDIAN(Instances!P4:P4),"min", MIN(Instances!P4:P4),"max", MAX(Instances!P4:P4),"diff", MAX(Instances!P4:P4)-MIN(Instances!P4:P4))</f>
        <v>2.93</v>
      </c>
      <c r="Q4" s="1" t="n">
        <f aca="false" t="array" ref="Q4:Q4">_xlfn.SWITCH($A$2,"average", AVERAGE(Instances!Q4:Q4),"median", MEDIAN(Instances!Q4:Q4),"min", MIN(Instances!Q4:Q4),"max", MAX(Instances!Q4:Q4),"diff", MAX(Instances!Q4:Q4)-MIN(Instances!Q4:Q4))</f>
        <v>0</v>
      </c>
      <c r="R4" s="1" t="n">
        <f aca="false" t="array" ref="R4:R4">_xlfn.SWITCH($A$2,"average", AVERAGE(Instances!R4:R4),"median", MEDIAN(Instances!R4:R4),"min", MIN(Instances!R4:R4),"max", MAX(Instances!R4:R4),"diff", MAX(Instances!R4:R4)-MIN(Instances!R4:R4))</f>
        <v>215132</v>
      </c>
      <c r="S4" s="1" t="n">
        <f aca="false">MIN($B4)</f>
        <v>1112</v>
      </c>
      <c r="T4" s="1" t="n">
        <f aca="false">MIN($C4)</f>
        <v>0</v>
      </c>
      <c r="U4" s="1" t="n">
        <f aca="false">MIN($D4)</f>
        <v>138673</v>
      </c>
      <c r="V4" s="1" t="n">
        <f aca="false">MIN($E4)</f>
        <v>0</v>
      </c>
      <c r="W4" s="1" t="n">
        <f aca="false">MIN($F4)</f>
        <v>223</v>
      </c>
      <c r="X4" s="1" t="n">
        <f aca="false">MIN($G4)</f>
        <v>0</v>
      </c>
      <c r="Y4" s="1" t="n">
        <f aca="false">MIN($H4)</f>
        <v>1</v>
      </c>
      <c r="Z4" s="1" t="n">
        <f aca="false">MIN($I4)</f>
        <v>2.85</v>
      </c>
      <c r="AA4" s="1" t="n">
        <f aca="false">MIN($J4)</f>
        <v>2.93</v>
      </c>
      <c r="AB4" s="1" t="n">
        <f aca="false">MIN($K4)</f>
        <v>0</v>
      </c>
      <c r="AC4" s="1" t="n">
        <f aca="false">MIN($M4)</f>
        <v>572593</v>
      </c>
      <c r="AD4" s="1" t="n">
        <f aca="false">MIN($N4)</f>
        <v>0.02</v>
      </c>
      <c r="AE4" s="1" t="n">
        <f aca="false">MIN($P4)</f>
        <v>2.93</v>
      </c>
      <c r="AF4" s="1" t="n">
        <f aca="false">MIN($Q4)</f>
        <v>0</v>
      </c>
      <c r="AG4" s="1" t="n">
        <f aca="false">MIN($R4)</f>
        <v>215132</v>
      </c>
      <c r="AH4" s="1" t="n">
        <f aca="false">MEDIAN($B4)</f>
        <v>1112</v>
      </c>
      <c r="AI4" s="1" t="n">
        <f aca="false">MEDIAN($C4)</f>
        <v>0</v>
      </c>
      <c r="AJ4" s="1" t="n">
        <f aca="false">MEDIAN($D4)</f>
        <v>138673</v>
      </c>
      <c r="AK4" s="1" t="n">
        <f aca="false">MEDIAN($E4)</f>
        <v>0</v>
      </c>
      <c r="AL4" s="1" t="n">
        <f aca="false">MEDIAN($F4)</f>
        <v>223</v>
      </c>
      <c r="AM4" s="1" t="n">
        <f aca="false">MEDIAN($G4)</f>
        <v>0</v>
      </c>
      <c r="AN4" s="1" t="n">
        <f aca="false">MEDIAN($H4)</f>
        <v>1</v>
      </c>
      <c r="AO4" s="1" t="n">
        <f aca="false">MEDIAN($I4)</f>
        <v>2.85</v>
      </c>
      <c r="AP4" s="1" t="n">
        <f aca="false">MEDIAN($J4)</f>
        <v>2.93</v>
      </c>
      <c r="AQ4" s="1" t="n">
        <f aca="false">MEDIAN($K4)</f>
        <v>0</v>
      </c>
      <c r="AR4" s="1" t="n">
        <f aca="false">MEDIAN($M4)</f>
        <v>572593</v>
      </c>
      <c r="AS4" s="1" t="n">
        <f aca="false">MEDIAN($N4)</f>
        <v>0.02</v>
      </c>
      <c r="AT4" s="1" t="n">
        <f aca="false">MEDIAN($P4)</f>
        <v>2.93</v>
      </c>
      <c r="AU4" s="1" t="n">
        <f aca="false">MEDIAN($Q4)</f>
        <v>0</v>
      </c>
      <c r="AV4" s="1" t="n">
        <f aca="false">MEDIAN($R4)</f>
        <v>215132</v>
      </c>
      <c r="AW4" s="1" t="n">
        <f aca="false">MAX($B4)</f>
        <v>1112</v>
      </c>
      <c r="AX4" s="1" t="n">
        <f aca="false">MAX($C4)</f>
        <v>0</v>
      </c>
      <c r="AY4" s="1" t="n">
        <f aca="false">MAX($D4)</f>
        <v>138673</v>
      </c>
      <c r="AZ4" s="1" t="n">
        <f aca="false">MAX($E4)</f>
        <v>0</v>
      </c>
      <c r="BA4" s="1" t="n">
        <f aca="false">MAX($F4)</f>
        <v>223</v>
      </c>
      <c r="BB4" s="1" t="n">
        <f aca="false">MAX($G4)</f>
        <v>0</v>
      </c>
      <c r="BC4" s="1" t="n">
        <f aca="false">MAX($H4)</f>
        <v>1</v>
      </c>
      <c r="BD4" s="1" t="n">
        <f aca="false">MAX($I4)</f>
        <v>2.85</v>
      </c>
      <c r="BE4" s="1" t="n">
        <f aca="false">MAX($J4)</f>
        <v>2.93</v>
      </c>
      <c r="BF4" s="1" t="n">
        <f aca="false">MAX($K4)</f>
        <v>0</v>
      </c>
      <c r="BG4" s="1" t="n">
        <f aca="false">MAX($M4)</f>
        <v>572593</v>
      </c>
      <c r="BH4" s="1" t="n">
        <f aca="false">MAX($N4)</f>
        <v>0.02</v>
      </c>
      <c r="BI4" s="1" t="n">
        <f aca="false">MAX($P4)</f>
        <v>2.93</v>
      </c>
      <c r="BJ4" s="1" t="n">
        <f aca="false">MAX($Q4)</f>
        <v>0</v>
      </c>
      <c r="BK4" s="1" t="n">
        <f aca="false">MAX($R4)</f>
        <v>215132</v>
      </c>
    </row>
    <row r="5" customFormat="false" ht="15" hidden="false" customHeight="false" outlineLevel="0" collapsed="false">
      <c r="A5" s="1" t="s">
        <v>22</v>
      </c>
      <c r="B5" s="1" t="n">
        <f aca="false" t="array" ref="B5:B5">_xlfn.SWITCH($A$2,"average", AVERAGE(Instances!B5:B5),"median", MEDIAN(Instances!B5:B5),"min", MIN(Instances!B5:B5),"max", MAX(Instances!B5:B5),"diff", MAX(Instances!B5:B5)-MIN(Instances!B5:B5))</f>
        <v>523</v>
      </c>
      <c r="C5" s="1" t="n">
        <f aca="false" t="array" ref="C5:C5">_xlfn.SWITCH($A$2,"average", AVERAGE(Instances!C5:C5),"median", MEDIAN(Instances!C5:C5),"min", MIN(Instances!C5:C5),"max", MAX(Instances!C5:C5),"diff", MAX(Instances!C5:C5)-MIN(Instances!C5:C5))</f>
        <v>0</v>
      </c>
      <c r="D5" s="1" t="n">
        <f aca="false" t="array" ref="D5:D5">_xlfn.SWITCH($A$2,"average", AVERAGE(Instances!D5:D5),"median", MEDIAN(Instances!D5:D5),"min", MIN(Instances!D5:D5),"max", MAX(Instances!D5:D5),"diff", MAX(Instances!D5:D5)-MIN(Instances!D5:D5))</f>
        <v>106237</v>
      </c>
      <c r="E5" s="1" t="n">
        <f aca="false" t="array" ref="E5:E5">_xlfn.SWITCH($A$2,"average", AVERAGE(Instances!E5:E5),"median", MEDIAN(Instances!E5:E5),"min", MIN(Instances!E5:E5),"max", MAX(Instances!E5:E5),"diff", MAX(Instances!E5:E5)-MIN(Instances!E5:E5))</f>
        <v>0</v>
      </c>
      <c r="F5" s="1" t="n">
        <f aca="false" t="array" ref="F5:F5">_xlfn.SWITCH($A$2,"average", AVERAGE(Instances!F5:F5),"median", MEDIAN(Instances!F5:F5),"min", MIN(Instances!F5:F5),"max", MAX(Instances!F5:F5),"diff", MAX(Instances!F5:F5)-MIN(Instances!F5:F5))</f>
        <v>190</v>
      </c>
      <c r="G5" s="1" t="n">
        <f aca="false" t="array" ref="G5:G5">_xlfn.SWITCH($A$2,"average", AVERAGE(Instances!G5:G5),"median", MEDIAN(Instances!G5:G5),"min", MIN(Instances!G5:G5),"max", MAX(Instances!G5:G5),"diff", MAX(Instances!G5:G5)-MIN(Instances!G5:G5))</f>
        <v>0</v>
      </c>
      <c r="H5" s="1" t="n">
        <f aca="false" t="array" ref="H5:H5">_xlfn.SWITCH($A$2,"average", AVERAGE(Instances!H5:H5),"median", MEDIAN(Instances!H5:H5),"min", MIN(Instances!H5:H5),"max", MAX(Instances!H5:H5),"diff", MAX(Instances!H5:H5)-MIN(Instances!H5:H5))</f>
        <v>1</v>
      </c>
      <c r="I5" s="1" t="n">
        <f aca="false" t="array" ref="I5:I5">_xlfn.SWITCH($A$2,"average", AVERAGE(Instances!I5:I5),"median", MEDIAN(Instances!I5:I5),"min", MIN(Instances!I5:I5),"max", MAX(Instances!I5:I5),"diff", MAX(Instances!I5:I5)-MIN(Instances!I5:I5))</f>
        <v>2.548</v>
      </c>
      <c r="J5" s="1" t="n">
        <f aca="false" t="array" ref="J5:J5">_xlfn.SWITCH($A$2,"average", AVERAGE(Instances!J5:J5),"median", MEDIAN(Instances!J5:J5),"min", MIN(Instances!J5:J5),"max", MAX(Instances!J5:J5),"diff", MAX(Instances!J5:J5)-MIN(Instances!J5:J5))</f>
        <v>2.62</v>
      </c>
      <c r="K5" s="1" t="n">
        <f aca="false" t="array" ref="K5:K5">_xlfn.SWITCH($A$2,"average", AVERAGE(Instances!K5:K5),"median", MEDIAN(Instances!K5:K5),"min", MIN(Instances!K5:K5),"max", MAX(Instances!K5:K5),"diff", MAX(Instances!K5:K5)-MIN(Instances!K5:K5))</f>
        <v>0</v>
      </c>
      <c r="L5" s="1"/>
      <c r="M5" s="1" t="n">
        <f aca="false" t="array" ref="M5:M5">_xlfn.SWITCH($A$2,"average", AVERAGE(Instances!M5:M5),"median", MEDIAN(Instances!M5:M5),"min", MIN(Instances!M5:M5),"max", MAX(Instances!M5:M5),"diff", MAX(Instances!M5:M5)-MIN(Instances!M5:M5))</f>
        <v>531500</v>
      </c>
      <c r="N5" s="1" t="n">
        <f aca="false" t="array" ref="N5:N5">_xlfn.SWITCH($A$2,"average", AVERAGE(Instances!N5:N5),"median", MEDIAN(Instances!N5:N5),"min", MIN(Instances!N5:N5),"max", MAX(Instances!N5:N5),"diff", MAX(Instances!N5:N5)-MIN(Instances!N5:N5))</f>
        <v>0.01</v>
      </c>
      <c r="O5" s="1"/>
      <c r="P5" s="1" t="n">
        <f aca="false" t="array" ref="P5:P5">_xlfn.SWITCH($A$2,"average", AVERAGE(Instances!P5:P5),"median", MEDIAN(Instances!P5:P5),"min", MIN(Instances!P5:P5),"max", MAX(Instances!P5:P5),"diff", MAX(Instances!P5:P5)-MIN(Instances!P5:P5))</f>
        <v>2.62</v>
      </c>
      <c r="Q5" s="1" t="n">
        <f aca="false" t="array" ref="Q5:Q5">_xlfn.SWITCH($A$2,"average", AVERAGE(Instances!Q5:Q5),"median", MEDIAN(Instances!Q5:Q5),"min", MIN(Instances!Q5:Q5),"max", MAX(Instances!Q5:Q5),"diff", MAX(Instances!Q5:Q5)-MIN(Instances!Q5:Q5))</f>
        <v>0</v>
      </c>
      <c r="R5" s="1" t="n">
        <f aca="false" t="array" ref="R5:R5">_xlfn.SWITCH($A$2,"average", AVERAGE(Instances!R5:R5),"median", MEDIAN(Instances!R5:R5),"min", MIN(Instances!R5:R5),"max", MAX(Instances!R5:R5),"diff", MAX(Instances!R5:R5)-MIN(Instances!R5:R5))</f>
        <v>190873</v>
      </c>
      <c r="S5" s="1" t="n">
        <f aca="false">MIN($B5)</f>
        <v>523</v>
      </c>
      <c r="T5" s="1" t="n">
        <f aca="false">MIN($C5)</f>
        <v>0</v>
      </c>
      <c r="U5" s="1" t="n">
        <f aca="false">MIN($D5)</f>
        <v>106237</v>
      </c>
      <c r="V5" s="1" t="n">
        <f aca="false">MIN($E5)</f>
        <v>0</v>
      </c>
      <c r="W5" s="1" t="n">
        <f aca="false">MIN($F5)</f>
        <v>190</v>
      </c>
      <c r="X5" s="1" t="n">
        <f aca="false">MIN($G5)</f>
        <v>0</v>
      </c>
      <c r="Y5" s="1" t="n">
        <f aca="false">MIN($H5)</f>
        <v>1</v>
      </c>
      <c r="Z5" s="1" t="n">
        <f aca="false">MIN($I5)</f>
        <v>2.548</v>
      </c>
      <c r="AA5" s="1" t="n">
        <f aca="false">MIN($J5)</f>
        <v>2.62</v>
      </c>
      <c r="AB5" s="1" t="n">
        <f aca="false">MIN($K5)</f>
        <v>0</v>
      </c>
      <c r="AC5" s="1" t="n">
        <f aca="false">MIN($M5)</f>
        <v>531500</v>
      </c>
      <c r="AD5" s="1" t="n">
        <f aca="false">MIN($N5)</f>
        <v>0.01</v>
      </c>
      <c r="AE5" s="1" t="n">
        <f aca="false">MIN($P5)</f>
        <v>2.62</v>
      </c>
      <c r="AF5" s="1" t="n">
        <f aca="false">MIN($Q5)</f>
        <v>0</v>
      </c>
      <c r="AG5" s="1" t="n">
        <f aca="false">MIN($R5)</f>
        <v>190873</v>
      </c>
      <c r="AH5" s="1" t="n">
        <f aca="false">MEDIAN($B5)</f>
        <v>523</v>
      </c>
      <c r="AI5" s="1" t="n">
        <f aca="false">MEDIAN($C5)</f>
        <v>0</v>
      </c>
      <c r="AJ5" s="1" t="n">
        <f aca="false">MEDIAN($D5)</f>
        <v>106237</v>
      </c>
      <c r="AK5" s="1" t="n">
        <f aca="false">MEDIAN($E5)</f>
        <v>0</v>
      </c>
      <c r="AL5" s="1" t="n">
        <f aca="false">MEDIAN($F5)</f>
        <v>190</v>
      </c>
      <c r="AM5" s="1" t="n">
        <f aca="false">MEDIAN($G5)</f>
        <v>0</v>
      </c>
      <c r="AN5" s="1" t="n">
        <f aca="false">MEDIAN($H5)</f>
        <v>1</v>
      </c>
      <c r="AO5" s="1" t="n">
        <f aca="false">MEDIAN($I5)</f>
        <v>2.548</v>
      </c>
      <c r="AP5" s="1" t="n">
        <f aca="false">MEDIAN($J5)</f>
        <v>2.62</v>
      </c>
      <c r="AQ5" s="1" t="n">
        <f aca="false">MEDIAN($K5)</f>
        <v>0</v>
      </c>
      <c r="AR5" s="1" t="n">
        <f aca="false">MEDIAN($M5)</f>
        <v>531500</v>
      </c>
      <c r="AS5" s="1" t="n">
        <f aca="false">MEDIAN($N5)</f>
        <v>0.01</v>
      </c>
      <c r="AT5" s="1" t="n">
        <f aca="false">MEDIAN($P5)</f>
        <v>2.62</v>
      </c>
      <c r="AU5" s="1" t="n">
        <f aca="false">MEDIAN($Q5)</f>
        <v>0</v>
      </c>
      <c r="AV5" s="1" t="n">
        <f aca="false">MEDIAN($R5)</f>
        <v>190873</v>
      </c>
      <c r="AW5" s="1" t="n">
        <f aca="false">MAX($B5)</f>
        <v>523</v>
      </c>
      <c r="AX5" s="1" t="n">
        <f aca="false">MAX($C5)</f>
        <v>0</v>
      </c>
      <c r="AY5" s="1" t="n">
        <f aca="false">MAX($D5)</f>
        <v>106237</v>
      </c>
      <c r="AZ5" s="1" t="n">
        <f aca="false">MAX($E5)</f>
        <v>0</v>
      </c>
      <c r="BA5" s="1" t="n">
        <f aca="false">MAX($F5)</f>
        <v>190</v>
      </c>
      <c r="BB5" s="1" t="n">
        <f aca="false">MAX($G5)</f>
        <v>0</v>
      </c>
      <c r="BC5" s="1" t="n">
        <f aca="false">MAX($H5)</f>
        <v>1</v>
      </c>
      <c r="BD5" s="1" t="n">
        <f aca="false">MAX($I5)</f>
        <v>2.548</v>
      </c>
      <c r="BE5" s="1" t="n">
        <f aca="false">MAX($J5)</f>
        <v>2.62</v>
      </c>
      <c r="BF5" s="1" t="n">
        <f aca="false">MAX($K5)</f>
        <v>0</v>
      </c>
      <c r="BG5" s="1" t="n">
        <f aca="false">MAX($M5)</f>
        <v>531500</v>
      </c>
      <c r="BH5" s="1" t="n">
        <f aca="false">MAX($N5)</f>
        <v>0.01</v>
      </c>
      <c r="BI5" s="1" t="n">
        <f aca="false">MAX($P5)</f>
        <v>2.62</v>
      </c>
      <c r="BJ5" s="1" t="n">
        <f aca="false">MAX($Q5)</f>
        <v>0</v>
      </c>
      <c r="BK5" s="1" t="n">
        <f aca="false">MAX($R5)</f>
        <v>190873</v>
      </c>
    </row>
    <row r="6" customFormat="false" ht="15" hidden="false" customHeight="false" outlineLevel="0" collapsed="false">
      <c r="A6" s="1" t="s">
        <v>23</v>
      </c>
      <c r="B6" s="1" t="n">
        <f aca="false" t="array" ref="B6:B6">_xlfn.SWITCH($A$2,"average", AVERAGE(Instances!B6:B6),"median", MEDIAN(Instances!B6:B6),"min", MIN(Instances!B6:B6),"max", MAX(Instances!B6:B6),"diff", MAX(Instances!B6:B6)-MIN(Instances!B6:B6))</f>
        <v>1464</v>
      </c>
      <c r="C6" s="1" t="n">
        <f aca="false" t="array" ref="C6:C6">_xlfn.SWITCH($A$2,"average", AVERAGE(Instances!C6:C6),"median", MEDIAN(Instances!C6:C6),"min", MIN(Instances!C6:C6),"max", MAX(Instances!C6:C6),"diff", MAX(Instances!C6:C6)-MIN(Instances!C6:C6))</f>
        <v>1</v>
      </c>
      <c r="D6" s="1" t="n">
        <f aca="false" t="array" ref="D6:D6">_xlfn.SWITCH($A$2,"average", AVERAGE(Instances!D6:D6),"median", MEDIAN(Instances!D6:D6),"min", MIN(Instances!D6:D6),"max", MAX(Instances!D6:D6),"diff", MAX(Instances!D6:D6)-MIN(Instances!D6:D6))</f>
        <v>227403</v>
      </c>
      <c r="E6" s="1" t="n">
        <f aca="false" t="array" ref="E6:E6">_xlfn.SWITCH($A$2,"average", AVERAGE(Instances!E6:E6),"median", MEDIAN(Instances!E6:E6),"min", MIN(Instances!E6:E6),"max", MAX(Instances!E6:E6),"diff", MAX(Instances!E6:E6)-MIN(Instances!E6:E6))</f>
        <v>0</v>
      </c>
      <c r="F6" s="1" t="n">
        <f aca="false" t="array" ref="F6:F6">_xlfn.SWITCH($A$2,"average", AVERAGE(Instances!F6:F6),"median", MEDIAN(Instances!F6:F6),"min", MIN(Instances!F6:F6),"max", MAX(Instances!F6:F6),"diff", MAX(Instances!F6:F6)-MIN(Instances!F6:F6))</f>
        <v>299</v>
      </c>
      <c r="G6" s="1" t="n">
        <f aca="false" t="array" ref="G6:G6">_xlfn.SWITCH($A$2,"average", AVERAGE(Instances!G6:G6),"median", MEDIAN(Instances!G6:G6),"min", MIN(Instances!G6:G6),"max", MAX(Instances!G6:G6),"diff", MAX(Instances!G6:G6)-MIN(Instances!G6:G6))</f>
        <v>0</v>
      </c>
      <c r="H6" s="1" t="n">
        <f aca="false" t="array" ref="H6:H6">_xlfn.SWITCH($A$2,"average", AVERAGE(Instances!H6:H6),"median", MEDIAN(Instances!H6:H6),"min", MIN(Instances!H6:H6),"max", MAX(Instances!H6:H6),"diff", MAX(Instances!H6:H6)-MIN(Instances!H6:H6))</f>
        <v>1</v>
      </c>
      <c r="I6" s="1" t="n">
        <f aca="false" t="array" ref="I6:I6">_xlfn.SWITCH($A$2,"average", AVERAGE(Instances!I6:I6),"median", MEDIAN(Instances!I6:I6),"min", MIN(Instances!I6:I6),"max", MAX(Instances!I6:I6),"diff", MAX(Instances!I6:I6)-MIN(Instances!I6:I6))</f>
        <v>3.949</v>
      </c>
      <c r="J6" s="1" t="n">
        <f aca="false" t="array" ref="J6:J6">_xlfn.SWITCH($A$2,"average", AVERAGE(Instances!J6:J6),"median", MEDIAN(Instances!J6:J6),"min", MIN(Instances!J6:J6),"max", MAX(Instances!J6:J6),"diff", MAX(Instances!J6:J6)-MIN(Instances!J6:J6))</f>
        <v>4.06</v>
      </c>
      <c r="K6" s="1" t="n">
        <f aca="false" t="array" ref="K6:K6">_xlfn.SWITCH($A$2,"average", AVERAGE(Instances!K6:K6),"median", MEDIAN(Instances!K6:K6),"min", MIN(Instances!K6:K6),"max", MAX(Instances!K6:K6),"diff", MAX(Instances!K6:K6)-MIN(Instances!K6:K6))</f>
        <v>0</v>
      </c>
      <c r="L6" s="1"/>
      <c r="M6" s="1" t="n">
        <f aca="false" t="array" ref="M6:M6">_xlfn.SWITCH($A$2,"average", AVERAGE(Instances!M6:M6),"median", MEDIAN(Instances!M6:M6),"min", MIN(Instances!M6:M6),"max", MAX(Instances!M6:M6),"diff", MAX(Instances!M6:M6)-MIN(Instances!M6:M6))</f>
        <v>861548</v>
      </c>
      <c r="N6" s="1" t="n">
        <f aca="false" t="array" ref="N6:N6">_xlfn.SWITCH($A$2,"average", AVERAGE(Instances!N6:N6),"median", MEDIAN(Instances!N6:N6),"min", MIN(Instances!N6:N6),"max", MAX(Instances!N6:N6),"diff", MAX(Instances!N6:N6)-MIN(Instances!N6:N6))</f>
        <v>0.03</v>
      </c>
      <c r="O6" s="1"/>
      <c r="P6" s="1" t="n">
        <f aca="false" t="array" ref="P6:P6">_xlfn.SWITCH($A$2,"average", AVERAGE(Instances!P6:P6),"median", MEDIAN(Instances!P6:P6),"min", MIN(Instances!P6:P6),"max", MAX(Instances!P6:P6),"diff", MAX(Instances!P6:P6)-MIN(Instances!P6:P6))</f>
        <v>4.06</v>
      </c>
      <c r="Q6" s="1" t="n">
        <f aca="false" t="array" ref="Q6:Q6">_xlfn.SWITCH($A$2,"average", AVERAGE(Instances!Q6:Q6),"median", MEDIAN(Instances!Q6:Q6),"min", MIN(Instances!Q6:Q6),"max", MAX(Instances!Q6:Q6),"diff", MAX(Instances!Q6:Q6)-MIN(Instances!Q6:Q6))</f>
        <v>0</v>
      </c>
      <c r="R6" s="1" t="n">
        <f aca="false" t="array" ref="R6:R6">_xlfn.SWITCH($A$2,"average", AVERAGE(Instances!R6:R6),"median", MEDIAN(Instances!R6:R6),"min", MIN(Instances!R6:R6),"max", MAX(Instances!R6:R6),"diff", MAX(Instances!R6:R6)-MIN(Instances!R6:R6))</f>
        <v>306887</v>
      </c>
      <c r="S6" s="1" t="n">
        <f aca="false">MIN($B6)</f>
        <v>1464</v>
      </c>
      <c r="T6" s="1" t="n">
        <f aca="false">MIN($C6)</f>
        <v>1</v>
      </c>
      <c r="U6" s="1" t="n">
        <f aca="false">MIN($D6)</f>
        <v>227403</v>
      </c>
      <c r="V6" s="1" t="n">
        <f aca="false">MIN($E6)</f>
        <v>0</v>
      </c>
      <c r="W6" s="1" t="n">
        <f aca="false">MIN($F6)</f>
        <v>299</v>
      </c>
      <c r="X6" s="1" t="n">
        <f aca="false">MIN($G6)</f>
        <v>0</v>
      </c>
      <c r="Y6" s="1" t="n">
        <f aca="false">MIN($H6)</f>
        <v>1</v>
      </c>
      <c r="Z6" s="1" t="n">
        <f aca="false">MIN($I6)</f>
        <v>3.949</v>
      </c>
      <c r="AA6" s="1" t="n">
        <f aca="false">MIN($J6)</f>
        <v>4.06</v>
      </c>
      <c r="AB6" s="1" t="n">
        <f aca="false">MIN($K6)</f>
        <v>0</v>
      </c>
      <c r="AC6" s="1" t="n">
        <f aca="false">MIN($M6)</f>
        <v>861548</v>
      </c>
      <c r="AD6" s="1" t="n">
        <f aca="false">MIN($N6)</f>
        <v>0.03</v>
      </c>
      <c r="AE6" s="1" t="n">
        <f aca="false">MIN($P6)</f>
        <v>4.06</v>
      </c>
      <c r="AF6" s="1" t="n">
        <f aca="false">MIN($Q6)</f>
        <v>0</v>
      </c>
      <c r="AG6" s="1" t="n">
        <f aca="false">MIN($R6)</f>
        <v>306887</v>
      </c>
      <c r="AH6" s="1" t="n">
        <f aca="false">MEDIAN($B6)</f>
        <v>1464</v>
      </c>
      <c r="AI6" s="1" t="n">
        <f aca="false">MEDIAN($C6)</f>
        <v>1</v>
      </c>
      <c r="AJ6" s="1" t="n">
        <f aca="false">MEDIAN($D6)</f>
        <v>227403</v>
      </c>
      <c r="AK6" s="1" t="n">
        <f aca="false">MEDIAN($E6)</f>
        <v>0</v>
      </c>
      <c r="AL6" s="1" t="n">
        <f aca="false">MEDIAN($F6)</f>
        <v>299</v>
      </c>
      <c r="AM6" s="1" t="n">
        <f aca="false">MEDIAN($G6)</f>
        <v>0</v>
      </c>
      <c r="AN6" s="1" t="n">
        <f aca="false">MEDIAN($H6)</f>
        <v>1</v>
      </c>
      <c r="AO6" s="1" t="n">
        <f aca="false">MEDIAN($I6)</f>
        <v>3.949</v>
      </c>
      <c r="AP6" s="1" t="n">
        <f aca="false">MEDIAN($J6)</f>
        <v>4.06</v>
      </c>
      <c r="AQ6" s="1" t="n">
        <f aca="false">MEDIAN($K6)</f>
        <v>0</v>
      </c>
      <c r="AR6" s="1" t="n">
        <f aca="false">MEDIAN($M6)</f>
        <v>861548</v>
      </c>
      <c r="AS6" s="1" t="n">
        <f aca="false">MEDIAN($N6)</f>
        <v>0.03</v>
      </c>
      <c r="AT6" s="1" t="n">
        <f aca="false">MEDIAN($P6)</f>
        <v>4.06</v>
      </c>
      <c r="AU6" s="1" t="n">
        <f aca="false">MEDIAN($Q6)</f>
        <v>0</v>
      </c>
      <c r="AV6" s="1" t="n">
        <f aca="false">MEDIAN($R6)</f>
        <v>306887</v>
      </c>
      <c r="AW6" s="1" t="n">
        <f aca="false">MAX($B6)</f>
        <v>1464</v>
      </c>
      <c r="AX6" s="1" t="n">
        <f aca="false">MAX($C6)</f>
        <v>1</v>
      </c>
      <c r="AY6" s="1" t="n">
        <f aca="false">MAX($D6)</f>
        <v>227403</v>
      </c>
      <c r="AZ6" s="1" t="n">
        <f aca="false">MAX($E6)</f>
        <v>0</v>
      </c>
      <c r="BA6" s="1" t="n">
        <f aca="false">MAX($F6)</f>
        <v>299</v>
      </c>
      <c r="BB6" s="1" t="n">
        <f aca="false">MAX($G6)</f>
        <v>0</v>
      </c>
      <c r="BC6" s="1" t="n">
        <f aca="false">MAX($H6)</f>
        <v>1</v>
      </c>
      <c r="BD6" s="1" t="n">
        <f aca="false">MAX($I6)</f>
        <v>3.949</v>
      </c>
      <c r="BE6" s="1" t="n">
        <f aca="false">MAX($J6)</f>
        <v>4.06</v>
      </c>
      <c r="BF6" s="1" t="n">
        <f aca="false">MAX($K6)</f>
        <v>0</v>
      </c>
      <c r="BG6" s="1" t="n">
        <f aca="false">MAX($M6)</f>
        <v>861548</v>
      </c>
      <c r="BH6" s="1" t="n">
        <f aca="false">MAX($N6)</f>
        <v>0.03</v>
      </c>
      <c r="BI6" s="1" t="n">
        <f aca="false">MAX($P6)</f>
        <v>4.06</v>
      </c>
      <c r="BJ6" s="1" t="n">
        <f aca="false">MAX($Q6)</f>
        <v>0</v>
      </c>
      <c r="BK6" s="1" t="n">
        <f aca="false">MAX($R6)</f>
        <v>306887</v>
      </c>
    </row>
    <row r="7" customFormat="false" ht="15" hidden="false" customHeight="false" outlineLevel="0" collapsed="false">
      <c r="A7" s="1" t="s">
        <v>24</v>
      </c>
      <c r="B7" s="1" t="n">
        <f aca="false" t="array" ref="B7:B7">_xlfn.SWITCH($A$2,"average", AVERAGE(Instances!B7:B7),"median", MEDIAN(Instances!B7:B7),"min", MIN(Instances!B7:B7),"max", MAX(Instances!B7:B7),"diff", MAX(Instances!B7:B7)-MIN(Instances!B7:B7))</f>
        <v>767</v>
      </c>
      <c r="C7" s="1" t="n">
        <f aca="false" t="array" ref="C7:C7">_xlfn.SWITCH($A$2,"average", AVERAGE(Instances!C7:C7),"median", MEDIAN(Instances!C7:C7),"min", MIN(Instances!C7:C7),"max", MAX(Instances!C7:C7),"diff", MAX(Instances!C7:C7)-MIN(Instances!C7:C7))</f>
        <v>0</v>
      </c>
      <c r="D7" s="1" t="n">
        <f aca="false" t="array" ref="D7:D7">_xlfn.SWITCH($A$2,"average", AVERAGE(Instances!D7:D7),"median", MEDIAN(Instances!D7:D7),"min", MIN(Instances!D7:D7),"max", MAX(Instances!D7:D7),"diff", MAX(Instances!D7:D7)-MIN(Instances!D7:D7))</f>
        <v>127626</v>
      </c>
      <c r="E7" s="1" t="n">
        <f aca="false" t="array" ref="E7:E7">_xlfn.SWITCH($A$2,"average", AVERAGE(Instances!E7:E7),"median", MEDIAN(Instances!E7:E7),"min", MIN(Instances!E7:E7),"max", MAX(Instances!E7:E7),"diff", MAX(Instances!E7:E7)-MIN(Instances!E7:E7))</f>
        <v>0</v>
      </c>
      <c r="F7" s="1" t="n">
        <f aca="false" t="array" ref="F7:F7">_xlfn.SWITCH($A$2,"average", AVERAGE(Instances!F7:F7),"median", MEDIAN(Instances!F7:F7),"min", MIN(Instances!F7:F7),"max", MAX(Instances!F7:F7),"diff", MAX(Instances!F7:F7)-MIN(Instances!F7:F7))</f>
        <v>202</v>
      </c>
      <c r="G7" s="1" t="n">
        <f aca="false" t="array" ref="G7:G7">_xlfn.SWITCH($A$2,"average", AVERAGE(Instances!G7:G7),"median", MEDIAN(Instances!G7:G7),"min", MIN(Instances!G7:G7),"max", MAX(Instances!G7:G7),"diff", MAX(Instances!G7:G7)-MIN(Instances!G7:G7))</f>
        <v>0</v>
      </c>
      <c r="H7" s="1" t="n">
        <f aca="false" t="array" ref="H7:H7">_xlfn.SWITCH($A$2,"average", AVERAGE(Instances!H7:H7),"median", MEDIAN(Instances!H7:H7),"min", MIN(Instances!H7:H7),"max", MAX(Instances!H7:H7),"diff", MAX(Instances!H7:H7)-MIN(Instances!H7:H7))</f>
        <v>1</v>
      </c>
      <c r="I7" s="1" t="n">
        <f aca="false" t="array" ref="I7:I7">_xlfn.SWITCH($A$2,"average", AVERAGE(Instances!I7:I7),"median", MEDIAN(Instances!I7:I7),"min", MIN(Instances!I7:I7),"max", MAX(Instances!I7:I7),"diff", MAX(Instances!I7:I7)-MIN(Instances!I7:I7))</f>
        <v>2.534</v>
      </c>
      <c r="J7" s="1" t="n">
        <f aca="false" t="array" ref="J7:J7">_xlfn.SWITCH($A$2,"average", AVERAGE(Instances!J7:J7),"median", MEDIAN(Instances!J7:J7),"min", MIN(Instances!J7:J7),"max", MAX(Instances!J7:J7),"diff", MAX(Instances!J7:J7)-MIN(Instances!J7:J7))</f>
        <v>2.61</v>
      </c>
      <c r="K7" s="1" t="n">
        <f aca="false" t="array" ref="K7:K7">_xlfn.SWITCH($A$2,"average", AVERAGE(Instances!K7:K7),"median", MEDIAN(Instances!K7:K7),"min", MIN(Instances!K7:K7),"max", MAX(Instances!K7:K7),"diff", MAX(Instances!K7:K7)-MIN(Instances!K7:K7))</f>
        <v>0</v>
      </c>
      <c r="L7" s="1"/>
      <c r="M7" s="1" t="n">
        <f aca="false" t="array" ref="M7:M7">_xlfn.SWITCH($A$2,"average", AVERAGE(Instances!M7:M7),"median", MEDIAN(Instances!M7:M7),"min", MIN(Instances!M7:M7),"max", MAX(Instances!M7:M7),"diff", MAX(Instances!M7:M7)-MIN(Instances!M7:M7))</f>
        <v>525049</v>
      </c>
      <c r="N7" s="1" t="n">
        <f aca="false" t="array" ref="N7:N7">_xlfn.SWITCH($A$2,"average", AVERAGE(Instances!N7:N7),"median", MEDIAN(Instances!N7:N7),"min", MIN(Instances!N7:N7),"max", MAX(Instances!N7:N7),"diff", MAX(Instances!N7:N7)-MIN(Instances!N7:N7))</f>
        <v>0.01</v>
      </c>
      <c r="O7" s="1"/>
      <c r="P7" s="1" t="n">
        <f aca="false" t="array" ref="P7:P7">_xlfn.SWITCH($A$2,"average", AVERAGE(Instances!P7:P7),"median", MEDIAN(Instances!P7:P7),"min", MIN(Instances!P7:P7),"max", MAX(Instances!P7:P7),"diff", MAX(Instances!P7:P7)-MIN(Instances!P7:P7))</f>
        <v>2.61</v>
      </c>
      <c r="Q7" s="1" t="n">
        <f aca="false" t="array" ref="Q7:Q7">_xlfn.SWITCH($A$2,"average", AVERAGE(Instances!Q7:Q7),"median", MEDIAN(Instances!Q7:Q7),"min", MIN(Instances!Q7:Q7),"max", MAX(Instances!Q7:Q7),"diff", MAX(Instances!Q7:Q7)-MIN(Instances!Q7:Q7))</f>
        <v>0</v>
      </c>
      <c r="R7" s="1" t="n">
        <f aca="false" t="array" ref="R7:R7">_xlfn.SWITCH($A$2,"average", AVERAGE(Instances!R7:R7),"median", MEDIAN(Instances!R7:R7),"min", MIN(Instances!R7:R7),"max", MAX(Instances!R7:R7),"diff", MAX(Instances!R7:R7)-MIN(Instances!R7:R7))</f>
        <v>198752</v>
      </c>
      <c r="S7" s="1" t="n">
        <f aca="false">MIN($B7)</f>
        <v>767</v>
      </c>
      <c r="T7" s="1" t="n">
        <f aca="false">MIN($C7)</f>
        <v>0</v>
      </c>
      <c r="U7" s="1" t="n">
        <f aca="false">MIN($D7)</f>
        <v>127626</v>
      </c>
      <c r="V7" s="1" t="n">
        <f aca="false">MIN($E7)</f>
        <v>0</v>
      </c>
      <c r="W7" s="1" t="n">
        <f aca="false">MIN($F7)</f>
        <v>202</v>
      </c>
      <c r="X7" s="1" t="n">
        <f aca="false">MIN($G7)</f>
        <v>0</v>
      </c>
      <c r="Y7" s="1" t="n">
        <f aca="false">MIN($H7)</f>
        <v>1</v>
      </c>
      <c r="Z7" s="1" t="n">
        <f aca="false">MIN($I7)</f>
        <v>2.534</v>
      </c>
      <c r="AA7" s="1" t="n">
        <f aca="false">MIN($J7)</f>
        <v>2.61</v>
      </c>
      <c r="AB7" s="1" t="n">
        <f aca="false">MIN($K7)</f>
        <v>0</v>
      </c>
      <c r="AC7" s="1" t="n">
        <f aca="false">MIN($M7)</f>
        <v>525049</v>
      </c>
      <c r="AD7" s="1" t="n">
        <f aca="false">MIN($N7)</f>
        <v>0.01</v>
      </c>
      <c r="AE7" s="1" t="n">
        <f aca="false">MIN($P7)</f>
        <v>2.61</v>
      </c>
      <c r="AF7" s="1" t="n">
        <f aca="false">MIN($Q7)</f>
        <v>0</v>
      </c>
      <c r="AG7" s="1" t="n">
        <f aca="false">MIN($R7)</f>
        <v>198752</v>
      </c>
      <c r="AH7" s="1" t="n">
        <f aca="false">MEDIAN($B7)</f>
        <v>767</v>
      </c>
      <c r="AI7" s="1" t="n">
        <f aca="false">MEDIAN($C7)</f>
        <v>0</v>
      </c>
      <c r="AJ7" s="1" t="n">
        <f aca="false">MEDIAN($D7)</f>
        <v>127626</v>
      </c>
      <c r="AK7" s="1" t="n">
        <f aca="false">MEDIAN($E7)</f>
        <v>0</v>
      </c>
      <c r="AL7" s="1" t="n">
        <f aca="false">MEDIAN($F7)</f>
        <v>202</v>
      </c>
      <c r="AM7" s="1" t="n">
        <f aca="false">MEDIAN($G7)</f>
        <v>0</v>
      </c>
      <c r="AN7" s="1" t="n">
        <f aca="false">MEDIAN($H7)</f>
        <v>1</v>
      </c>
      <c r="AO7" s="1" t="n">
        <f aca="false">MEDIAN($I7)</f>
        <v>2.534</v>
      </c>
      <c r="AP7" s="1" t="n">
        <f aca="false">MEDIAN($J7)</f>
        <v>2.61</v>
      </c>
      <c r="AQ7" s="1" t="n">
        <f aca="false">MEDIAN($K7)</f>
        <v>0</v>
      </c>
      <c r="AR7" s="1" t="n">
        <f aca="false">MEDIAN($M7)</f>
        <v>525049</v>
      </c>
      <c r="AS7" s="1" t="n">
        <f aca="false">MEDIAN($N7)</f>
        <v>0.01</v>
      </c>
      <c r="AT7" s="1" t="n">
        <f aca="false">MEDIAN($P7)</f>
        <v>2.61</v>
      </c>
      <c r="AU7" s="1" t="n">
        <f aca="false">MEDIAN($Q7)</f>
        <v>0</v>
      </c>
      <c r="AV7" s="1" t="n">
        <f aca="false">MEDIAN($R7)</f>
        <v>198752</v>
      </c>
      <c r="AW7" s="1" t="n">
        <f aca="false">MAX($B7)</f>
        <v>767</v>
      </c>
      <c r="AX7" s="1" t="n">
        <f aca="false">MAX($C7)</f>
        <v>0</v>
      </c>
      <c r="AY7" s="1" t="n">
        <f aca="false">MAX($D7)</f>
        <v>127626</v>
      </c>
      <c r="AZ7" s="1" t="n">
        <f aca="false">MAX($E7)</f>
        <v>0</v>
      </c>
      <c r="BA7" s="1" t="n">
        <f aca="false">MAX($F7)</f>
        <v>202</v>
      </c>
      <c r="BB7" s="1" t="n">
        <f aca="false">MAX($G7)</f>
        <v>0</v>
      </c>
      <c r="BC7" s="1" t="n">
        <f aca="false">MAX($H7)</f>
        <v>1</v>
      </c>
      <c r="BD7" s="1" t="n">
        <f aca="false">MAX($I7)</f>
        <v>2.534</v>
      </c>
      <c r="BE7" s="1" t="n">
        <f aca="false">MAX($J7)</f>
        <v>2.61</v>
      </c>
      <c r="BF7" s="1" t="n">
        <f aca="false">MAX($K7)</f>
        <v>0</v>
      </c>
      <c r="BG7" s="1" t="n">
        <f aca="false">MAX($M7)</f>
        <v>525049</v>
      </c>
      <c r="BH7" s="1" t="n">
        <f aca="false">MAX($N7)</f>
        <v>0.01</v>
      </c>
      <c r="BI7" s="1" t="n">
        <f aca="false">MAX($P7)</f>
        <v>2.61</v>
      </c>
      <c r="BJ7" s="1" t="n">
        <f aca="false">MAX($Q7)</f>
        <v>0</v>
      </c>
      <c r="BK7" s="1" t="n">
        <f aca="false">MAX($R7)</f>
        <v>198752</v>
      </c>
    </row>
    <row r="8" customFormat="false" ht="15" hidden="false" customHeight="false" outlineLevel="0" collapsed="false">
      <c r="A8" s="1" t="s">
        <v>25</v>
      </c>
      <c r="B8" s="1" t="n">
        <f aca="false" t="array" ref="B8:B8">_xlfn.SWITCH($A$2,"average", AVERAGE(Instances!B8:B8),"median", MEDIAN(Instances!B8:B8),"min", MIN(Instances!B8:B8),"max", MAX(Instances!B8:B8),"diff", MAX(Instances!B8:B8)-MIN(Instances!B8:B8))</f>
        <v>515</v>
      </c>
      <c r="C8" s="1" t="n">
        <f aca="false" t="array" ref="C8:C8">_xlfn.SWITCH($A$2,"average", AVERAGE(Instances!C8:C8),"median", MEDIAN(Instances!C8:C8),"min", MIN(Instances!C8:C8),"max", MAX(Instances!C8:C8),"diff", MAX(Instances!C8:C8)-MIN(Instances!C8:C8))</f>
        <v>0</v>
      </c>
      <c r="D8" s="1" t="n">
        <f aca="false" t="array" ref="D8:D8">_xlfn.SWITCH($A$2,"average", AVERAGE(Instances!D8:D8),"median", MEDIAN(Instances!D8:D8),"min", MIN(Instances!D8:D8),"max", MAX(Instances!D8:D8),"diff", MAX(Instances!D8:D8)-MIN(Instances!D8:D8))</f>
        <v>86065</v>
      </c>
      <c r="E8" s="1" t="n">
        <f aca="false" t="array" ref="E8:E8">_xlfn.SWITCH($A$2,"average", AVERAGE(Instances!E8:E8),"median", MEDIAN(Instances!E8:E8),"min", MIN(Instances!E8:E8),"max", MAX(Instances!E8:E8),"diff", MAX(Instances!E8:E8)-MIN(Instances!E8:E8))</f>
        <v>0</v>
      </c>
      <c r="F8" s="1" t="n">
        <f aca="false" t="array" ref="F8:F8">_xlfn.SWITCH($A$2,"average", AVERAGE(Instances!F8:F8),"median", MEDIAN(Instances!F8:F8),"min", MIN(Instances!F8:F8),"max", MAX(Instances!F8:F8),"diff", MAX(Instances!F8:F8)-MIN(Instances!F8:F8))</f>
        <v>140</v>
      </c>
      <c r="G8" s="1" t="n">
        <f aca="false" t="array" ref="G8:G8">_xlfn.SWITCH($A$2,"average", AVERAGE(Instances!G8:G8),"median", MEDIAN(Instances!G8:G8),"min", MIN(Instances!G8:G8),"max", MAX(Instances!G8:G8),"diff", MAX(Instances!G8:G8)-MIN(Instances!G8:G8))</f>
        <v>0</v>
      </c>
      <c r="H8" s="1" t="n">
        <f aca="false" t="array" ref="H8:H8">_xlfn.SWITCH($A$2,"average", AVERAGE(Instances!H8:H8),"median", MEDIAN(Instances!H8:H8),"min", MIN(Instances!H8:H8),"max", MAX(Instances!H8:H8),"diff", MAX(Instances!H8:H8)-MIN(Instances!H8:H8))</f>
        <v>1</v>
      </c>
      <c r="I8" s="1" t="n">
        <f aca="false" t="array" ref="I8:I8">_xlfn.SWITCH($A$2,"average", AVERAGE(Instances!I8:I8),"median", MEDIAN(Instances!I8:I8),"min", MIN(Instances!I8:I8),"max", MAX(Instances!I8:I8),"diff", MAX(Instances!I8:I8)-MIN(Instances!I8:I8))</f>
        <v>1.906</v>
      </c>
      <c r="J8" s="1" t="n">
        <f aca="false" t="array" ref="J8:J8">_xlfn.SWITCH($A$2,"average", AVERAGE(Instances!J8:J8),"median", MEDIAN(Instances!J8:J8),"min", MIN(Instances!J8:J8),"max", MAX(Instances!J8:J8),"diff", MAX(Instances!J8:J8)-MIN(Instances!J8:J8))</f>
        <v>1.96</v>
      </c>
      <c r="K8" s="1" t="n">
        <f aca="false" t="array" ref="K8:K8">_xlfn.SWITCH($A$2,"average", AVERAGE(Instances!K8:K8),"median", MEDIAN(Instances!K8:K8),"min", MIN(Instances!K8:K8),"max", MAX(Instances!K8:K8),"diff", MAX(Instances!K8:K8)-MIN(Instances!K8:K8))</f>
        <v>0</v>
      </c>
      <c r="L8" s="1"/>
      <c r="M8" s="1" t="n">
        <f aca="false" t="array" ref="M8:M8">_xlfn.SWITCH($A$2,"average", AVERAGE(Instances!M8:M8),"median", MEDIAN(Instances!M8:M8),"min", MIN(Instances!M8:M8),"max", MAX(Instances!M8:M8),"diff", MAX(Instances!M8:M8)-MIN(Instances!M8:M8))</f>
        <v>395956</v>
      </c>
      <c r="N8" s="1" t="n">
        <f aca="false" t="array" ref="N8:N8">_xlfn.SWITCH($A$2,"average", AVERAGE(Instances!N8:N8),"median", MEDIAN(Instances!N8:N8),"min", MIN(Instances!N8:N8),"max", MAX(Instances!N8:N8),"diff", MAX(Instances!N8:N8)-MIN(Instances!N8:N8))</f>
        <v>0.01</v>
      </c>
      <c r="O8" s="1"/>
      <c r="P8" s="1" t="n">
        <f aca="false" t="array" ref="P8:P8">_xlfn.SWITCH($A$2,"average", AVERAGE(Instances!P8:P8),"median", MEDIAN(Instances!P8:P8),"min", MIN(Instances!P8:P8),"max", MAX(Instances!P8:P8),"diff", MAX(Instances!P8:P8)-MIN(Instances!P8:P8))</f>
        <v>1.96</v>
      </c>
      <c r="Q8" s="1" t="n">
        <f aca="false" t="array" ref="Q8:Q8">_xlfn.SWITCH($A$2,"average", AVERAGE(Instances!Q8:Q8),"median", MEDIAN(Instances!Q8:Q8),"min", MIN(Instances!Q8:Q8),"max", MAX(Instances!Q8:Q8),"diff", MAX(Instances!Q8:Q8)-MIN(Instances!Q8:Q8))</f>
        <v>0</v>
      </c>
      <c r="R8" s="1" t="n">
        <f aca="false" t="array" ref="R8:R8">_xlfn.SWITCH($A$2,"average", AVERAGE(Instances!R8:R8),"median", MEDIAN(Instances!R8:R8),"min", MIN(Instances!R8:R8),"max", MAX(Instances!R8:R8),"diff", MAX(Instances!R8:R8)-MIN(Instances!R8:R8))</f>
        <v>143835</v>
      </c>
      <c r="S8" s="1" t="n">
        <f aca="false">MIN($B8)</f>
        <v>515</v>
      </c>
      <c r="T8" s="1" t="n">
        <f aca="false">MIN($C8)</f>
        <v>0</v>
      </c>
      <c r="U8" s="1" t="n">
        <f aca="false">MIN($D8)</f>
        <v>86065</v>
      </c>
      <c r="V8" s="1" t="n">
        <f aca="false">MIN($E8)</f>
        <v>0</v>
      </c>
      <c r="W8" s="1" t="n">
        <f aca="false">MIN($F8)</f>
        <v>140</v>
      </c>
      <c r="X8" s="1" t="n">
        <f aca="false">MIN($G8)</f>
        <v>0</v>
      </c>
      <c r="Y8" s="1" t="n">
        <f aca="false">MIN($H8)</f>
        <v>1</v>
      </c>
      <c r="Z8" s="1" t="n">
        <f aca="false">MIN($I8)</f>
        <v>1.906</v>
      </c>
      <c r="AA8" s="1" t="n">
        <f aca="false">MIN($J8)</f>
        <v>1.96</v>
      </c>
      <c r="AB8" s="1" t="n">
        <f aca="false">MIN($K8)</f>
        <v>0</v>
      </c>
      <c r="AC8" s="1" t="n">
        <f aca="false">MIN($M8)</f>
        <v>395956</v>
      </c>
      <c r="AD8" s="1" t="n">
        <f aca="false">MIN($N8)</f>
        <v>0.01</v>
      </c>
      <c r="AE8" s="1" t="n">
        <f aca="false">MIN($P8)</f>
        <v>1.96</v>
      </c>
      <c r="AF8" s="1" t="n">
        <f aca="false">MIN($Q8)</f>
        <v>0</v>
      </c>
      <c r="AG8" s="1" t="n">
        <f aca="false">MIN($R8)</f>
        <v>143835</v>
      </c>
      <c r="AH8" s="1" t="n">
        <f aca="false">MEDIAN($B8)</f>
        <v>515</v>
      </c>
      <c r="AI8" s="1" t="n">
        <f aca="false">MEDIAN($C8)</f>
        <v>0</v>
      </c>
      <c r="AJ8" s="1" t="n">
        <f aca="false">MEDIAN($D8)</f>
        <v>86065</v>
      </c>
      <c r="AK8" s="1" t="n">
        <f aca="false">MEDIAN($E8)</f>
        <v>0</v>
      </c>
      <c r="AL8" s="1" t="n">
        <f aca="false">MEDIAN($F8)</f>
        <v>140</v>
      </c>
      <c r="AM8" s="1" t="n">
        <f aca="false">MEDIAN($G8)</f>
        <v>0</v>
      </c>
      <c r="AN8" s="1" t="n">
        <f aca="false">MEDIAN($H8)</f>
        <v>1</v>
      </c>
      <c r="AO8" s="1" t="n">
        <f aca="false">MEDIAN($I8)</f>
        <v>1.906</v>
      </c>
      <c r="AP8" s="1" t="n">
        <f aca="false">MEDIAN($J8)</f>
        <v>1.96</v>
      </c>
      <c r="AQ8" s="1" t="n">
        <f aca="false">MEDIAN($K8)</f>
        <v>0</v>
      </c>
      <c r="AR8" s="1" t="n">
        <f aca="false">MEDIAN($M8)</f>
        <v>395956</v>
      </c>
      <c r="AS8" s="1" t="n">
        <f aca="false">MEDIAN($N8)</f>
        <v>0.01</v>
      </c>
      <c r="AT8" s="1" t="n">
        <f aca="false">MEDIAN($P8)</f>
        <v>1.96</v>
      </c>
      <c r="AU8" s="1" t="n">
        <f aca="false">MEDIAN($Q8)</f>
        <v>0</v>
      </c>
      <c r="AV8" s="1" t="n">
        <f aca="false">MEDIAN($R8)</f>
        <v>143835</v>
      </c>
      <c r="AW8" s="1" t="n">
        <f aca="false">MAX($B8)</f>
        <v>515</v>
      </c>
      <c r="AX8" s="1" t="n">
        <f aca="false">MAX($C8)</f>
        <v>0</v>
      </c>
      <c r="AY8" s="1" t="n">
        <f aca="false">MAX($D8)</f>
        <v>86065</v>
      </c>
      <c r="AZ8" s="1" t="n">
        <f aca="false">MAX($E8)</f>
        <v>0</v>
      </c>
      <c r="BA8" s="1" t="n">
        <f aca="false">MAX($F8)</f>
        <v>140</v>
      </c>
      <c r="BB8" s="1" t="n">
        <f aca="false">MAX($G8)</f>
        <v>0</v>
      </c>
      <c r="BC8" s="1" t="n">
        <f aca="false">MAX($H8)</f>
        <v>1</v>
      </c>
      <c r="BD8" s="1" t="n">
        <f aca="false">MAX($I8)</f>
        <v>1.906</v>
      </c>
      <c r="BE8" s="1" t="n">
        <f aca="false">MAX($J8)</f>
        <v>1.96</v>
      </c>
      <c r="BF8" s="1" t="n">
        <f aca="false">MAX($K8)</f>
        <v>0</v>
      </c>
      <c r="BG8" s="1" t="n">
        <f aca="false">MAX($M8)</f>
        <v>395956</v>
      </c>
      <c r="BH8" s="1" t="n">
        <f aca="false">MAX($N8)</f>
        <v>0.01</v>
      </c>
      <c r="BI8" s="1" t="n">
        <f aca="false">MAX($P8)</f>
        <v>1.96</v>
      </c>
      <c r="BJ8" s="1" t="n">
        <f aca="false">MAX($Q8)</f>
        <v>0</v>
      </c>
      <c r="BK8" s="1" t="n">
        <f aca="false">MAX($R8)</f>
        <v>143835</v>
      </c>
    </row>
    <row r="9" customFormat="false" ht="15" hidden="false" customHeight="false" outlineLevel="0" collapsed="false">
      <c r="A9" s="1" t="s">
        <v>26</v>
      </c>
      <c r="B9" s="1" t="n">
        <f aca="false" t="array" ref="B9:B9">_xlfn.SWITCH($A$2,"average", AVERAGE(Instances!B9:B9),"median", MEDIAN(Instances!B9:B9),"min", MIN(Instances!B9:B9),"max", MAX(Instances!B9:B9),"diff", MAX(Instances!B9:B9)-MIN(Instances!B9:B9))</f>
        <v>658</v>
      </c>
      <c r="C9" s="1" t="n">
        <f aca="false" t="array" ref="C9:C9">_xlfn.SWITCH($A$2,"average", AVERAGE(Instances!C9:C9),"median", MEDIAN(Instances!C9:C9),"min", MIN(Instances!C9:C9),"max", MAX(Instances!C9:C9),"diff", MAX(Instances!C9:C9)-MIN(Instances!C9:C9))</f>
        <v>0</v>
      </c>
      <c r="D9" s="1" t="n">
        <f aca="false" t="array" ref="D9:D9">_xlfn.SWITCH($A$2,"average", AVERAGE(Instances!D9:D9),"median", MEDIAN(Instances!D9:D9),"min", MIN(Instances!D9:D9),"max", MAX(Instances!D9:D9),"diff", MAX(Instances!D9:D9)-MIN(Instances!D9:D9))</f>
        <v>151526</v>
      </c>
      <c r="E9" s="1" t="n">
        <f aca="false" t="array" ref="E9:E9">_xlfn.SWITCH($A$2,"average", AVERAGE(Instances!E9:E9),"median", MEDIAN(Instances!E9:E9),"min", MIN(Instances!E9:E9),"max", MAX(Instances!E9:E9),"diff", MAX(Instances!E9:E9)-MIN(Instances!E9:E9))</f>
        <v>0</v>
      </c>
      <c r="F9" s="1" t="n">
        <f aca="false" t="array" ref="F9:F9">_xlfn.SWITCH($A$2,"average", AVERAGE(Instances!F9:F9),"median", MEDIAN(Instances!F9:F9),"min", MIN(Instances!F9:F9),"max", MAX(Instances!F9:F9),"diff", MAX(Instances!F9:F9)-MIN(Instances!F9:F9))</f>
        <v>151</v>
      </c>
      <c r="G9" s="1" t="n">
        <f aca="false" t="array" ref="G9:G9">_xlfn.SWITCH($A$2,"average", AVERAGE(Instances!G9:G9),"median", MEDIAN(Instances!G9:G9),"min", MIN(Instances!G9:G9),"max", MAX(Instances!G9:G9),"diff", MAX(Instances!G9:G9)-MIN(Instances!G9:G9))</f>
        <v>0</v>
      </c>
      <c r="H9" s="1" t="n">
        <f aca="false" t="array" ref="H9:H9">_xlfn.SWITCH($A$2,"average", AVERAGE(Instances!H9:H9),"median", MEDIAN(Instances!H9:H9),"min", MIN(Instances!H9:H9),"max", MAX(Instances!H9:H9),"diff", MAX(Instances!H9:H9)-MIN(Instances!H9:H9))</f>
        <v>1</v>
      </c>
      <c r="I9" s="1" t="n">
        <f aca="false" t="array" ref="I9:I9">_xlfn.SWITCH($A$2,"average", AVERAGE(Instances!I9:I9),"median", MEDIAN(Instances!I9:I9),"min", MIN(Instances!I9:I9),"max", MAX(Instances!I9:I9),"diff", MAX(Instances!I9:I9)-MIN(Instances!I9:I9))</f>
        <v>1.93</v>
      </c>
      <c r="J9" s="1" t="n">
        <f aca="false" t="array" ref="J9:J9">_xlfn.SWITCH($A$2,"average", AVERAGE(Instances!J9:J9),"median", MEDIAN(Instances!J9:J9),"min", MIN(Instances!J9:J9),"max", MAX(Instances!J9:J9),"diff", MAX(Instances!J9:J9)-MIN(Instances!J9:J9))</f>
        <v>1.98</v>
      </c>
      <c r="K9" s="1" t="n">
        <f aca="false" t="array" ref="K9:K9">_xlfn.SWITCH($A$2,"average", AVERAGE(Instances!K9:K9),"median", MEDIAN(Instances!K9:K9),"min", MIN(Instances!K9:K9),"max", MAX(Instances!K9:K9),"diff", MAX(Instances!K9:K9)-MIN(Instances!K9:K9))</f>
        <v>0</v>
      </c>
      <c r="L9" s="1"/>
      <c r="M9" s="1" t="n">
        <f aca="false" t="array" ref="M9:M9">_xlfn.SWITCH($A$2,"average", AVERAGE(Instances!M9:M9),"median", MEDIAN(Instances!M9:M9),"min", MIN(Instances!M9:M9),"max", MAX(Instances!M9:M9),"diff", MAX(Instances!M9:M9)-MIN(Instances!M9:M9))</f>
        <v>410085</v>
      </c>
      <c r="N9" s="1" t="n">
        <f aca="false" t="array" ref="N9:N9">_xlfn.SWITCH($A$2,"average", AVERAGE(Instances!N9:N9),"median", MEDIAN(Instances!N9:N9),"min", MIN(Instances!N9:N9),"max", MAX(Instances!N9:N9),"diff", MAX(Instances!N9:N9)-MIN(Instances!N9:N9))</f>
        <v>0.01</v>
      </c>
      <c r="O9" s="1"/>
      <c r="P9" s="1" t="n">
        <f aca="false" t="array" ref="P9:P9">_xlfn.SWITCH($A$2,"average", AVERAGE(Instances!P9:P9),"median", MEDIAN(Instances!P9:P9),"min", MIN(Instances!P9:P9),"max", MAX(Instances!P9:P9),"diff", MAX(Instances!P9:P9)-MIN(Instances!P9:P9))</f>
        <v>1.98</v>
      </c>
      <c r="Q9" s="1" t="n">
        <f aca="false" t="array" ref="Q9:Q9">_xlfn.SWITCH($A$2,"average", AVERAGE(Instances!Q9:Q9),"median", MEDIAN(Instances!Q9:Q9),"min", MIN(Instances!Q9:Q9),"max", MAX(Instances!Q9:Q9),"diff", MAX(Instances!Q9:Q9)-MIN(Instances!Q9:Q9))</f>
        <v>0</v>
      </c>
      <c r="R9" s="1" t="n">
        <f aca="false" t="array" ref="R9:R9">_xlfn.SWITCH($A$2,"average", AVERAGE(Instances!R9:R9),"median", MEDIAN(Instances!R9:R9),"min", MIN(Instances!R9:R9),"max", MAX(Instances!R9:R9),"diff", MAX(Instances!R9:R9)-MIN(Instances!R9:R9))</f>
        <v>150890</v>
      </c>
      <c r="S9" s="1" t="n">
        <f aca="false">MIN($B9)</f>
        <v>658</v>
      </c>
      <c r="T9" s="1" t="n">
        <f aca="false">MIN($C9)</f>
        <v>0</v>
      </c>
      <c r="U9" s="1" t="n">
        <f aca="false">MIN($D9)</f>
        <v>151526</v>
      </c>
      <c r="V9" s="1" t="n">
        <f aca="false">MIN($E9)</f>
        <v>0</v>
      </c>
      <c r="W9" s="1" t="n">
        <f aca="false">MIN($F9)</f>
        <v>151</v>
      </c>
      <c r="X9" s="1" t="n">
        <f aca="false">MIN($G9)</f>
        <v>0</v>
      </c>
      <c r="Y9" s="1" t="n">
        <f aca="false">MIN($H9)</f>
        <v>1</v>
      </c>
      <c r="Z9" s="1" t="n">
        <f aca="false">MIN($I9)</f>
        <v>1.93</v>
      </c>
      <c r="AA9" s="1" t="n">
        <f aca="false">MIN($J9)</f>
        <v>1.98</v>
      </c>
      <c r="AB9" s="1" t="n">
        <f aca="false">MIN($K9)</f>
        <v>0</v>
      </c>
      <c r="AC9" s="1" t="n">
        <f aca="false">MIN($M9)</f>
        <v>410085</v>
      </c>
      <c r="AD9" s="1" t="n">
        <f aca="false">MIN($N9)</f>
        <v>0.01</v>
      </c>
      <c r="AE9" s="1" t="n">
        <f aca="false">MIN($P9)</f>
        <v>1.98</v>
      </c>
      <c r="AF9" s="1" t="n">
        <f aca="false">MIN($Q9)</f>
        <v>0</v>
      </c>
      <c r="AG9" s="1" t="n">
        <f aca="false">MIN($R9)</f>
        <v>150890</v>
      </c>
      <c r="AH9" s="1" t="n">
        <f aca="false">MEDIAN($B9)</f>
        <v>658</v>
      </c>
      <c r="AI9" s="1" t="n">
        <f aca="false">MEDIAN($C9)</f>
        <v>0</v>
      </c>
      <c r="AJ9" s="1" t="n">
        <f aca="false">MEDIAN($D9)</f>
        <v>151526</v>
      </c>
      <c r="AK9" s="1" t="n">
        <f aca="false">MEDIAN($E9)</f>
        <v>0</v>
      </c>
      <c r="AL9" s="1" t="n">
        <f aca="false">MEDIAN($F9)</f>
        <v>151</v>
      </c>
      <c r="AM9" s="1" t="n">
        <f aca="false">MEDIAN($G9)</f>
        <v>0</v>
      </c>
      <c r="AN9" s="1" t="n">
        <f aca="false">MEDIAN($H9)</f>
        <v>1</v>
      </c>
      <c r="AO9" s="1" t="n">
        <f aca="false">MEDIAN($I9)</f>
        <v>1.93</v>
      </c>
      <c r="AP9" s="1" t="n">
        <f aca="false">MEDIAN($J9)</f>
        <v>1.98</v>
      </c>
      <c r="AQ9" s="1" t="n">
        <f aca="false">MEDIAN($K9)</f>
        <v>0</v>
      </c>
      <c r="AR9" s="1" t="n">
        <f aca="false">MEDIAN($M9)</f>
        <v>410085</v>
      </c>
      <c r="AS9" s="1" t="n">
        <f aca="false">MEDIAN($N9)</f>
        <v>0.01</v>
      </c>
      <c r="AT9" s="1" t="n">
        <f aca="false">MEDIAN($P9)</f>
        <v>1.98</v>
      </c>
      <c r="AU9" s="1" t="n">
        <f aca="false">MEDIAN($Q9)</f>
        <v>0</v>
      </c>
      <c r="AV9" s="1" t="n">
        <f aca="false">MEDIAN($R9)</f>
        <v>150890</v>
      </c>
      <c r="AW9" s="1" t="n">
        <f aca="false">MAX($B9)</f>
        <v>658</v>
      </c>
      <c r="AX9" s="1" t="n">
        <f aca="false">MAX($C9)</f>
        <v>0</v>
      </c>
      <c r="AY9" s="1" t="n">
        <f aca="false">MAX($D9)</f>
        <v>151526</v>
      </c>
      <c r="AZ9" s="1" t="n">
        <f aca="false">MAX($E9)</f>
        <v>0</v>
      </c>
      <c r="BA9" s="1" t="n">
        <f aca="false">MAX($F9)</f>
        <v>151</v>
      </c>
      <c r="BB9" s="1" t="n">
        <f aca="false">MAX($G9)</f>
        <v>0</v>
      </c>
      <c r="BC9" s="1" t="n">
        <f aca="false">MAX($H9)</f>
        <v>1</v>
      </c>
      <c r="BD9" s="1" t="n">
        <f aca="false">MAX($I9)</f>
        <v>1.93</v>
      </c>
      <c r="BE9" s="1" t="n">
        <f aca="false">MAX($J9)</f>
        <v>1.98</v>
      </c>
      <c r="BF9" s="1" t="n">
        <f aca="false">MAX($K9)</f>
        <v>0</v>
      </c>
      <c r="BG9" s="1" t="n">
        <f aca="false">MAX($M9)</f>
        <v>410085</v>
      </c>
      <c r="BH9" s="1" t="n">
        <f aca="false">MAX($N9)</f>
        <v>0.01</v>
      </c>
      <c r="BI9" s="1" t="n">
        <f aca="false">MAX($P9)</f>
        <v>1.98</v>
      </c>
      <c r="BJ9" s="1" t="n">
        <f aca="false">MAX($Q9)</f>
        <v>0</v>
      </c>
      <c r="BK9" s="1" t="n">
        <f aca="false">MAX($R9)</f>
        <v>150890</v>
      </c>
    </row>
    <row r="10" customFormat="false" ht="15" hidden="false" customHeight="false" outlineLevel="0" collapsed="false">
      <c r="A10" s="1" t="s">
        <v>27</v>
      </c>
      <c r="B10" s="1" t="n">
        <f aca="false" t="array" ref="B10:B10">_xlfn.SWITCH($A$2,"average", AVERAGE(Instances!B10:B10),"median", MEDIAN(Instances!B10:B10),"min", MIN(Instances!B10:B10),"max", MAX(Instances!B10:B10),"diff", MAX(Instances!B10:B10)-MIN(Instances!B10:B10))</f>
        <v>1095</v>
      </c>
      <c r="C10" s="1" t="n">
        <f aca="false" t="array" ref="C10:C10">_xlfn.SWITCH($A$2,"average", AVERAGE(Instances!C10:C10),"median", MEDIAN(Instances!C10:C10),"min", MIN(Instances!C10:C10),"max", MAX(Instances!C10:C10),"diff", MAX(Instances!C10:C10)-MIN(Instances!C10:C10))</f>
        <v>0</v>
      </c>
      <c r="D10" s="1" t="n">
        <f aca="false" t="array" ref="D10:D10">_xlfn.SWITCH($A$2,"average", AVERAGE(Instances!D10:D10),"median", MEDIAN(Instances!D10:D10),"min", MIN(Instances!D10:D10),"max", MAX(Instances!D10:D10),"diff", MAX(Instances!D10:D10)-MIN(Instances!D10:D10))</f>
        <v>199280</v>
      </c>
      <c r="E10" s="1" t="n">
        <f aca="false" t="array" ref="E10:E10">_xlfn.SWITCH($A$2,"average", AVERAGE(Instances!E10:E10),"median", MEDIAN(Instances!E10:E10),"min", MIN(Instances!E10:E10),"max", MAX(Instances!E10:E10),"diff", MAX(Instances!E10:E10)-MIN(Instances!E10:E10))</f>
        <v>0</v>
      </c>
      <c r="F10" s="1" t="n">
        <f aca="false" t="array" ref="F10:F10">_xlfn.SWITCH($A$2,"average", AVERAGE(Instances!F10:F10),"median", MEDIAN(Instances!F10:F10),"min", MIN(Instances!F10:F10),"max", MAX(Instances!F10:F10),"diff", MAX(Instances!F10:F10)-MIN(Instances!F10:F10))</f>
        <v>318</v>
      </c>
      <c r="G10" s="1" t="n">
        <f aca="false" t="array" ref="G10:G10">_xlfn.SWITCH($A$2,"average", AVERAGE(Instances!G10:G10),"median", MEDIAN(Instances!G10:G10),"min", MIN(Instances!G10:G10),"max", MAX(Instances!G10:G10),"diff", MAX(Instances!G10:G10)-MIN(Instances!G10:G10))</f>
        <v>0</v>
      </c>
      <c r="H10" s="1" t="n">
        <f aca="false" t="array" ref="H10:H10">_xlfn.SWITCH($A$2,"average", AVERAGE(Instances!H10:H10),"median", MEDIAN(Instances!H10:H10),"min", MIN(Instances!H10:H10),"max", MAX(Instances!H10:H10),"diff", MAX(Instances!H10:H10)-MIN(Instances!H10:H10))</f>
        <v>1</v>
      </c>
      <c r="I10" s="1" t="n">
        <f aca="false" t="array" ref="I10:I10">_xlfn.SWITCH($A$2,"average", AVERAGE(Instances!I10:I10),"median", MEDIAN(Instances!I10:I10),"min", MIN(Instances!I10:I10),"max", MAX(Instances!I10:I10),"diff", MAX(Instances!I10:I10)-MIN(Instances!I10:I10))</f>
        <v>4.314</v>
      </c>
      <c r="J10" s="1" t="n">
        <f aca="false" t="array" ref="J10:J10">_xlfn.SWITCH($A$2,"average", AVERAGE(Instances!J10:J10),"median", MEDIAN(Instances!J10:J10),"min", MIN(Instances!J10:J10),"max", MAX(Instances!J10:J10),"diff", MAX(Instances!J10:J10)-MIN(Instances!J10:J10))</f>
        <v>4.43</v>
      </c>
      <c r="K10" s="1" t="n">
        <f aca="false" t="array" ref="K10:K10">_xlfn.SWITCH($A$2,"average", AVERAGE(Instances!K10:K10),"median", MEDIAN(Instances!K10:K10),"min", MIN(Instances!K10:K10),"max", MAX(Instances!K10:K10),"diff", MAX(Instances!K10:K10)-MIN(Instances!K10:K10))</f>
        <v>0</v>
      </c>
      <c r="L10" s="1"/>
      <c r="M10" s="1" t="n">
        <f aca="false" t="array" ref="M10:M10">_xlfn.SWITCH($A$2,"average", AVERAGE(Instances!M10:M10),"median", MEDIAN(Instances!M10:M10),"min", MIN(Instances!M10:M10),"max", MAX(Instances!M10:M10),"diff", MAX(Instances!M10:M10)-MIN(Instances!M10:M10))</f>
        <v>933041</v>
      </c>
      <c r="N10" s="1" t="n">
        <f aca="false" t="array" ref="N10:N10">_xlfn.SWITCH($A$2,"average", AVERAGE(Instances!N10:N10),"median", MEDIAN(Instances!N10:N10),"min", MIN(Instances!N10:N10),"max", MAX(Instances!N10:N10),"diff", MAX(Instances!N10:N10)-MIN(Instances!N10:N10))</f>
        <v>0.02</v>
      </c>
      <c r="O10" s="1"/>
      <c r="P10" s="1" t="n">
        <f aca="false" t="array" ref="P10:P10">_xlfn.SWITCH($A$2,"average", AVERAGE(Instances!P10:P10),"median", MEDIAN(Instances!P10:P10),"min", MIN(Instances!P10:P10),"max", MAX(Instances!P10:P10),"diff", MAX(Instances!P10:P10)-MIN(Instances!P10:P10))</f>
        <v>4.43</v>
      </c>
      <c r="Q10" s="1" t="n">
        <f aca="false" t="array" ref="Q10:Q10">_xlfn.SWITCH($A$2,"average", AVERAGE(Instances!Q10:Q10),"median", MEDIAN(Instances!Q10:Q10),"min", MIN(Instances!Q10:Q10),"max", MAX(Instances!Q10:Q10),"diff", MAX(Instances!Q10:Q10)-MIN(Instances!Q10:Q10))</f>
        <v>0</v>
      </c>
      <c r="R10" s="1" t="n">
        <f aca="false" t="array" ref="R10:R10">_xlfn.SWITCH($A$2,"average", AVERAGE(Instances!R10:R10),"median", MEDIAN(Instances!R10:R10),"min", MIN(Instances!R10:R10),"max", MAX(Instances!R10:R10),"diff", MAX(Instances!R10:R10)-MIN(Instances!R10:R10))</f>
        <v>318496</v>
      </c>
      <c r="S10" s="1" t="n">
        <f aca="false">MIN($B10)</f>
        <v>1095</v>
      </c>
      <c r="T10" s="1" t="n">
        <f aca="false">MIN($C10)</f>
        <v>0</v>
      </c>
      <c r="U10" s="1" t="n">
        <f aca="false">MIN($D10)</f>
        <v>199280</v>
      </c>
      <c r="V10" s="1" t="n">
        <f aca="false">MIN($E10)</f>
        <v>0</v>
      </c>
      <c r="W10" s="1" t="n">
        <f aca="false">MIN($F10)</f>
        <v>318</v>
      </c>
      <c r="X10" s="1" t="n">
        <f aca="false">MIN($G10)</f>
        <v>0</v>
      </c>
      <c r="Y10" s="1" t="n">
        <f aca="false">MIN($H10)</f>
        <v>1</v>
      </c>
      <c r="Z10" s="1" t="n">
        <f aca="false">MIN($I10)</f>
        <v>4.314</v>
      </c>
      <c r="AA10" s="1" t="n">
        <f aca="false">MIN($J10)</f>
        <v>4.43</v>
      </c>
      <c r="AB10" s="1" t="n">
        <f aca="false">MIN($K10)</f>
        <v>0</v>
      </c>
      <c r="AC10" s="1" t="n">
        <f aca="false">MIN($M10)</f>
        <v>933041</v>
      </c>
      <c r="AD10" s="1" t="n">
        <f aca="false">MIN($N10)</f>
        <v>0.02</v>
      </c>
      <c r="AE10" s="1" t="n">
        <f aca="false">MIN($P10)</f>
        <v>4.43</v>
      </c>
      <c r="AF10" s="1" t="n">
        <f aca="false">MIN($Q10)</f>
        <v>0</v>
      </c>
      <c r="AG10" s="1" t="n">
        <f aca="false">MIN($R10)</f>
        <v>318496</v>
      </c>
      <c r="AH10" s="1" t="n">
        <f aca="false">MEDIAN($B10)</f>
        <v>1095</v>
      </c>
      <c r="AI10" s="1" t="n">
        <f aca="false">MEDIAN($C10)</f>
        <v>0</v>
      </c>
      <c r="AJ10" s="1" t="n">
        <f aca="false">MEDIAN($D10)</f>
        <v>199280</v>
      </c>
      <c r="AK10" s="1" t="n">
        <f aca="false">MEDIAN($E10)</f>
        <v>0</v>
      </c>
      <c r="AL10" s="1" t="n">
        <f aca="false">MEDIAN($F10)</f>
        <v>318</v>
      </c>
      <c r="AM10" s="1" t="n">
        <f aca="false">MEDIAN($G10)</f>
        <v>0</v>
      </c>
      <c r="AN10" s="1" t="n">
        <f aca="false">MEDIAN($H10)</f>
        <v>1</v>
      </c>
      <c r="AO10" s="1" t="n">
        <f aca="false">MEDIAN($I10)</f>
        <v>4.314</v>
      </c>
      <c r="AP10" s="1" t="n">
        <f aca="false">MEDIAN($J10)</f>
        <v>4.43</v>
      </c>
      <c r="AQ10" s="1" t="n">
        <f aca="false">MEDIAN($K10)</f>
        <v>0</v>
      </c>
      <c r="AR10" s="1" t="n">
        <f aca="false">MEDIAN($M10)</f>
        <v>933041</v>
      </c>
      <c r="AS10" s="1" t="n">
        <f aca="false">MEDIAN($N10)</f>
        <v>0.02</v>
      </c>
      <c r="AT10" s="1" t="n">
        <f aca="false">MEDIAN($P10)</f>
        <v>4.43</v>
      </c>
      <c r="AU10" s="1" t="n">
        <f aca="false">MEDIAN($Q10)</f>
        <v>0</v>
      </c>
      <c r="AV10" s="1" t="n">
        <f aca="false">MEDIAN($R10)</f>
        <v>318496</v>
      </c>
      <c r="AW10" s="1" t="n">
        <f aca="false">MAX($B10)</f>
        <v>1095</v>
      </c>
      <c r="AX10" s="1" t="n">
        <f aca="false">MAX($C10)</f>
        <v>0</v>
      </c>
      <c r="AY10" s="1" t="n">
        <f aca="false">MAX($D10)</f>
        <v>199280</v>
      </c>
      <c r="AZ10" s="1" t="n">
        <f aca="false">MAX($E10)</f>
        <v>0</v>
      </c>
      <c r="BA10" s="1" t="n">
        <f aca="false">MAX($F10)</f>
        <v>318</v>
      </c>
      <c r="BB10" s="1" t="n">
        <f aca="false">MAX($G10)</f>
        <v>0</v>
      </c>
      <c r="BC10" s="1" t="n">
        <f aca="false">MAX($H10)</f>
        <v>1</v>
      </c>
      <c r="BD10" s="1" t="n">
        <f aca="false">MAX($I10)</f>
        <v>4.314</v>
      </c>
      <c r="BE10" s="1" t="n">
        <f aca="false">MAX($J10)</f>
        <v>4.43</v>
      </c>
      <c r="BF10" s="1" t="n">
        <f aca="false">MAX($K10)</f>
        <v>0</v>
      </c>
      <c r="BG10" s="1" t="n">
        <f aca="false">MAX($M10)</f>
        <v>933041</v>
      </c>
      <c r="BH10" s="1" t="n">
        <f aca="false">MAX($N10)</f>
        <v>0.02</v>
      </c>
      <c r="BI10" s="1" t="n">
        <f aca="false">MAX($P10)</f>
        <v>4.43</v>
      </c>
      <c r="BJ10" s="1" t="n">
        <f aca="false">MAX($Q10)</f>
        <v>0</v>
      </c>
      <c r="BK10" s="1" t="n">
        <f aca="false">MAX($R10)</f>
        <v>318496</v>
      </c>
    </row>
    <row r="11" customFormat="false" ht="15" hidden="false" customHeight="false" outlineLevel="0" collapsed="false">
      <c r="A11" s="1" t="s">
        <v>28</v>
      </c>
      <c r="B11" s="1" t="n">
        <f aca="false" t="array" ref="B11:B11">_xlfn.SWITCH($A$2,"average", AVERAGE(Instances!B11:B11),"median", MEDIAN(Instances!B11:B11),"min", MIN(Instances!B11:B11),"max", MAX(Instances!B11:B11),"diff", MAX(Instances!B11:B11)-MIN(Instances!B11:B11))</f>
        <v>1145</v>
      </c>
      <c r="C11" s="1" t="n">
        <f aca="false" t="array" ref="C11:C11">_xlfn.SWITCH($A$2,"average", AVERAGE(Instances!C11:C11),"median", MEDIAN(Instances!C11:C11),"min", MIN(Instances!C11:C11),"max", MAX(Instances!C11:C11),"diff", MAX(Instances!C11:C11)-MIN(Instances!C11:C11))</f>
        <v>0</v>
      </c>
      <c r="D11" s="1" t="n">
        <f aca="false" t="array" ref="D11:D11">_xlfn.SWITCH($A$2,"average", AVERAGE(Instances!D11:D11),"median", MEDIAN(Instances!D11:D11),"min", MIN(Instances!D11:D11),"max", MAX(Instances!D11:D11),"diff", MAX(Instances!D11:D11)-MIN(Instances!D11:D11))</f>
        <v>242876</v>
      </c>
      <c r="E11" s="1" t="n">
        <f aca="false" t="array" ref="E11:E11">_xlfn.SWITCH($A$2,"average", AVERAGE(Instances!E11:E11),"median", MEDIAN(Instances!E11:E11),"min", MIN(Instances!E11:E11),"max", MAX(Instances!E11:E11),"diff", MAX(Instances!E11:E11)-MIN(Instances!E11:E11))</f>
        <v>0</v>
      </c>
      <c r="F11" s="1" t="n">
        <f aca="false" t="array" ref="F11:F11">_xlfn.SWITCH($A$2,"average", AVERAGE(Instances!F11:F11),"median", MEDIAN(Instances!F11:F11),"min", MIN(Instances!F11:F11),"max", MAX(Instances!F11:F11),"diff", MAX(Instances!F11:F11)-MIN(Instances!F11:F11))</f>
        <v>367</v>
      </c>
      <c r="G11" s="1" t="n">
        <f aca="false" t="array" ref="G11:G11">_xlfn.SWITCH($A$2,"average", AVERAGE(Instances!G11:G11),"median", MEDIAN(Instances!G11:G11),"min", MIN(Instances!G11:G11),"max", MAX(Instances!G11:G11),"diff", MAX(Instances!G11:G11)-MIN(Instances!G11:G11))</f>
        <v>0</v>
      </c>
      <c r="H11" s="1" t="n">
        <f aca="false" t="array" ref="H11:H11">_xlfn.SWITCH($A$2,"average", AVERAGE(Instances!H11:H11),"median", MEDIAN(Instances!H11:H11),"min", MIN(Instances!H11:H11),"max", MAX(Instances!H11:H11),"diff", MAX(Instances!H11:H11)-MIN(Instances!H11:H11))</f>
        <v>1</v>
      </c>
      <c r="I11" s="1" t="n">
        <f aca="false" t="array" ref="I11:I11">_xlfn.SWITCH($A$2,"average", AVERAGE(Instances!I11:I11),"median", MEDIAN(Instances!I11:I11),"min", MIN(Instances!I11:I11),"max", MAX(Instances!I11:I11),"diff", MAX(Instances!I11:I11)-MIN(Instances!I11:I11))</f>
        <v>4.916</v>
      </c>
      <c r="J11" s="1" t="n">
        <f aca="false" t="array" ref="J11:J11">_xlfn.SWITCH($A$2,"average", AVERAGE(Instances!J11:J11),"median", MEDIAN(Instances!J11:J11),"min", MIN(Instances!J11:J11),"max", MAX(Instances!J11:J11),"diff", MAX(Instances!J11:J11)-MIN(Instances!J11:J11))</f>
        <v>5.05</v>
      </c>
      <c r="K11" s="1" t="n">
        <f aca="false" t="array" ref="K11:K11">_xlfn.SWITCH($A$2,"average", AVERAGE(Instances!K11:K11),"median", MEDIAN(Instances!K11:K11),"min", MIN(Instances!K11:K11),"max", MAX(Instances!K11:K11),"diff", MAX(Instances!K11:K11)-MIN(Instances!K11:K11))</f>
        <v>0</v>
      </c>
      <c r="L11" s="1"/>
      <c r="M11" s="1" t="n">
        <f aca="false" t="array" ref="M11:M11">_xlfn.SWITCH($A$2,"average", AVERAGE(Instances!M11:M11),"median", MEDIAN(Instances!M11:M11),"min", MIN(Instances!M11:M11),"max", MAX(Instances!M11:M11),"diff", MAX(Instances!M11:M11)-MIN(Instances!M11:M11))</f>
        <v>1078748</v>
      </c>
      <c r="N11" s="1" t="n">
        <f aca="false" t="array" ref="N11:N11">_xlfn.SWITCH($A$2,"average", AVERAGE(Instances!N11:N11),"median", MEDIAN(Instances!N11:N11),"min", MIN(Instances!N11:N11),"max", MAX(Instances!N11:N11),"diff", MAX(Instances!N11:N11)-MIN(Instances!N11:N11))</f>
        <v>0.03</v>
      </c>
      <c r="O11" s="1"/>
      <c r="P11" s="1" t="n">
        <f aca="false" t="array" ref="P11:P11">_xlfn.SWITCH($A$2,"average", AVERAGE(Instances!P11:P11),"median", MEDIAN(Instances!P11:P11),"min", MIN(Instances!P11:P11),"max", MAX(Instances!P11:P11),"diff", MAX(Instances!P11:P11)-MIN(Instances!P11:P11))</f>
        <v>5.05</v>
      </c>
      <c r="Q11" s="1" t="n">
        <f aca="false" t="array" ref="Q11:Q11">_xlfn.SWITCH($A$2,"average", AVERAGE(Instances!Q11:Q11),"median", MEDIAN(Instances!Q11:Q11),"min", MIN(Instances!Q11:Q11),"max", MAX(Instances!Q11:Q11),"diff", MAX(Instances!Q11:Q11)-MIN(Instances!Q11:Q11))</f>
        <v>0</v>
      </c>
      <c r="R11" s="1" t="n">
        <f aca="false" t="array" ref="R11:R11">_xlfn.SWITCH($A$2,"average", AVERAGE(Instances!R11:R11),"median", MEDIAN(Instances!R11:R11),"min", MIN(Instances!R11:R11),"max", MAX(Instances!R11:R11),"diff", MAX(Instances!R11:R11)-MIN(Instances!R11:R11))</f>
        <v>365407</v>
      </c>
      <c r="S11" s="1" t="n">
        <f aca="false">MIN($B11)</f>
        <v>1145</v>
      </c>
      <c r="T11" s="1" t="n">
        <f aca="false">MIN($C11)</f>
        <v>0</v>
      </c>
      <c r="U11" s="1" t="n">
        <f aca="false">MIN($D11)</f>
        <v>242876</v>
      </c>
      <c r="V11" s="1" t="n">
        <f aca="false">MIN($E11)</f>
        <v>0</v>
      </c>
      <c r="W11" s="1" t="n">
        <f aca="false">MIN($F11)</f>
        <v>367</v>
      </c>
      <c r="X11" s="1" t="n">
        <f aca="false">MIN($G11)</f>
        <v>0</v>
      </c>
      <c r="Y11" s="1" t="n">
        <f aca="false">MIN($H11)</f>
        <v>1</v>
      </c>
      <c r="Z11" s="1" t="n">
        <f aca="false">MIN($I11)</f>
        <v>4.916</v>
      </c>
      <c r="AA11" s="1" t="n">
        <f aca="false">MIN($J11)</f>
        <v>5.05</v>
      </c>
      <c r="AB11" s="1" t="n">
        <f aca="false">MIN($K11)</f>
        <v>0</v>
      </c>
      <c r="AC11" s="1" t="n">
        <f aca="false">MIN($M11)</f>
        <v>1078748</v>
      </c>
      <c r="AD11" s="1" t="n">
        <f aca="false">MIN($N11)</f>
        <v>0.03</v>
      </c>
      <c r="AE11" s="1" t="n">
        <f aca="false">MIN($P11)</f>
        <v>5.05</v>
      </c>
      <c r="AF11" s="1" t="n">
        <f aca="false">MIN($Q11)</f>
        <v>0</v>
      </c>
      <c r="AG11" s="1" t="n">
        <f aca="false">MIN($R11)</f>
        <v>365407</v>
      </c>
      <c r="AH11" s="1" t="n">
        <f aca="false">MEDIAN($B11)</f>
        <v>1145</v>
      </c>
      <c r="AI11" s="1" t="n">
        <f aca="false">MEDIAN($C11)</f>
        <v>0</v>
      </c>
      <c r="AJ11" s="1" t="n">
        <f aca="false">MEDIAN($D11)</f>
        <v>242876</v>
      </c>
      <c r="AK11" s="1" t="n">
        <f aca="false">MEDIAN($E11)</f>
        <v>0</v>
      </c>
      <c r="AL11" s="1" t="n">
        <f aca="false">MEDIAN($F11)</f>
        <v>367</v>
      </c>
      <c r="AM11" s="1" t="n">
        <f aca="false">MEDIAN($G11)</f>
        <v>0</v>
      </c>
      <c r="AN11" s="1" t="n">
        <f aca="false">MEDIAN($H11)</f>
        <v>1</v>
      </c>
      <c r="AO11" s="1" t="n">
        <f aca="false">MEDIAN($I11)</f>
        <v>4.916</v>
      </c>
      <c r="AP11" s="1" t="n">
        <f aca="false">MEDIAN($J11)</f>
        <v>5.05</v>
      </c>
      <c r="AQ11" s="1" t="n">
        <f aca="false">MEDIAN($K11)</f>
        <v>0</v>
      </c>
      <c r="AR11" s="1" t="n">
        <f aca="false">MEDIAN($M11)</f>
        <v>1078748</v>
      </c>
      <c r="AS11" s="1" t="n">
        <f aca="false">MEDIAN($N11)</f>
        <v>0.03</v>
      </c>
      <c r="AT11" s="1" t="n">
        <f aca="false">MEDIAN($P11)</f>
        <v>5.05</v>
      </c>
      <c r="AU11" s="1" t="n">
        <f aca="false">MEDIAN($Q11)</f>
        <v>0</v>
      </c>
      <c r="AV11" s="1" t="n">
        <f aca="false">MEDIAN($R11)</f>
        <v>365407</v>
      </c>
      <c r="AW11" s="1" t="n">
        <f aca="false">MAX($B11)</f>
        <v>1145</v>
      </c>
      <c r="AX11" s="1" t="n">
        <f aca="false">MAX($C11)</f>
        <v>0</v>
      </c>
      <c r="AY11" s="1" t="n">
        <f aca="false">MAX($D11)</f>
        <v>242876</v>
      </c>
      <c r="AZ11" s="1" t="n">
        <f aca="false">MAX($E11)</f>
        <v>0</v>
      </c>
      <c r="BA11" s="1" t="n">
        <f aca="false">MAX($F11)</f>
        <v>367</v>
      </c>
      <c r="BB11" s="1" t="n">
        <f aca="false">MAX($G11)</f>
        <v>0</v>
      </c>
      <c r="BC11" s="1" t="n">
        <f aca="false">MAX($H11)</f>
        <v>1</v>
      </c>
      <c r="BD11" s="1" t="n">
        <f aca="false">MAX($I11)</f>
        <v>4.916</v>
      </c>
      <c r="BE11" s="1" t="n">
        <f aca="false">MAX($J11)</f>
        <v>5.05</v>
      </c>
      <c r="BF11" s="1" t="n">
        <f aca="false">MAX($K11)</f>
        <v>0</v>
      </c>
      <c r="BG11" s="1" t="n">
        <f aca="false">MAX($M11)</f>
        <v>1078748</v>
      </c>
      <c r="BH11" s="1" t="n">
        <f aca="false">MAX($N11)</f>
        <v>0.03</v>
      </c>
      <c r="BI11" s="1" t="n">
        <f aca="false">MAX($P11)</f>
        <v>5.05</v>
      </c>
      <c r="BJ11" s="1" t="n">
        <f aca="false">MAX($Q11)</f>
        <v>0</v>
      </c>
      <c r="BK11" s="1" t="n">
        <f aca="false">MAX($R11)</f>
        <v>365407</v>
      </c>
    </row>
    <row r="12" customFormat="false" ht="15" hidden="false" customHeight="false" outlineLevel="0" collapsed="false">
      <c r="A12" s="1" t="s">
        <v>29</v>
      </c>
      <c r="B12" s="1" t="n">
        <f aca="false" t="array" ref="B12:B12">_xlfn.SWITCH($A$2,"average", AVERAGE(Instances!B12:B12),"median", MEDIAN(Instances!B12:B12),"min", MIN(Instances!B12:B12),"max", MAX(Instances!B12:B12),"diff", MAX(Instances!B12:B12)-MIN(Instances!B12:B12))</f>
        <v>621</v>
      </c>
      <c r="C12" s="1" t="n">
        <f aca="false" t="array" ref="C12:C12">_xlfn.SWITCH($A$2,"average", AVERAGE(Instances!C12:C12),"median", MEDIAN(Instances!C12:C12),"min", MIN(Instances!C12:C12),"max", MAX(Instances!C12:C12),"diff", MAX(Instances!C12:C12)-MIN(Instances!C12:C12))</f>
        <v>0</v>
      </c>
      <c r="D12" s="1" t="n">
        <f aca="false" t="array" ref="D12:D12">_xlfn.SWITCH($A$2,"average", AVERAGE(Instances!D12:D12),"median", MEDIAN(Instances!D12:D12),"min", MIN(Instances!D12:D12),"max", MAX(Instances!D12:D12),"diff", MAX(Instances!D12:D12)-MIN(Instances!D12:D12))</f>
        <v>135579</v>
      </c>
      <c r="E12" s="1" t="n">
        <f aca="false" t="array" ref="E12:E12">_xlfn.SWITCH($A$2,"average", AVERAGE(Instances!E12:E12),"median", MEDIAN(Instances!E12:E12),"min", MIN(Instances!E12:E12),"max", MAX(Instances!E12:E12),"diff", MAX(Instances!E12:E12)-MIN(Instances!E12:E12))</f>
        <v>0</v>
      </c>
      <c r="F12" s="1" t="n">
        <f aca="false" t="array" ref="F12:F12">_xlfn.SWITCH($A$2,"average", AVERAGE(Instances!F12:F12),"median", MEDIAN(Instances!F12:F12),"min", MIN(Instances!F12:F12),"max", MAX(Instances!F12:F12),"diff", MAX(Instances!F12:F12)-MIN(Instances!F12:F12))</f>
        <v>245</v>
      </c>
      <c r="G12" s="1" t="n">
        <f aca="false" t="array" ref="G12:G12">_xlfn.SWITCH($A$2,"average", AVERAGE(Instances!G12:G12),"median", MEDIAN(Instances!G12:G12),"min", MIN(Instances!G12:G12),"max", MAX(Instances!G12:G12),"diff", MAX(Instances!G12:G12)-MIN(Instances!G12:G12))</f>
        <v>0</v>
      </c>
      <c r="H12" s="1" t="n">
        <f aca="false" t="array" ref="H12:H12">_xlfn.SWITCH($A$2,"average", AVERAGE(Instances!H12:H12),"median", MEDIAN(Instances!H12:H12),"min", MIN(Instances!H12:H12),"max", MAX(Instances!H12:H12),"diff", MAX(Instances!H12:H12)-MIN(Instances!H12:H12))</f>
        <v>1</v>
      </c>
      <c r="I12" s="1" t="n">
        <f aca="false" t="array" ref="I12:I12">_xlfn.SWITCH($A$2,"average", AVERAGE(Instances!I12:I12),"median", MEDIAN(Instances!I12:I12),"min", MIN(Instances!I12:I12),"max", MAX(Instances!I12:I12),"diff", MAX(Instances!I12:I12)-MIN(Instances!I12:I12))</f>
        <v>3.269</v>
      </c>
      <c r="J12" s="1" t="n">
        <f aca="false" t="array" ref="J12:J12">_xlfn.SWITCH($A$2,"average", AVERAGE(Instances!J12:J12),"median", MEDIAN(Instances!J12:J12),"min", MIN(Instances!J12:J12),"max", MAX(Instances!J12:J12),"diff", MAX(Instances!J12:J12)-MIN(Instances!J12:J12))</f>
        <v>3.43</v>
      </c>
      <c r="K12" s="1" t="n">
        <f aca="false" t="array" ref="K12:K12">_xlfn.SWITCH($A$2,"average", AVERAGE(Instances!K12:K12),"median", MEDIAN(Instances!K12:K12),"min", MIN(Instances!K12:K12),"max", MAX(Instances!K12:K12),"diff", MAX(Instances!K12:K12)-MIN(Instances!K12:K12))</f>
        <v>0</v>
      </c>
      <c r="L12" s="1"/>
      <c r="M12" s="1" t="n">
        <f aca="false" t="array" ref="M12:M12">_xlfn.SWITCH($A$2,"average", AVERAGE(Instances!M12:M12),"median", MEDIAN(Instances!M12:M12),"min", MIN(Instances!M12:M12),"max", MAX(Instances!M12:M12),"diff", MAX(Instances!M12:M12)-MIN(Instances!M12:M12))</f>
        <v>726092</v>
      </c>
      <c r="N12" s="1" t="n">
        <f aca="false" t="array" ref="N12:N12">_xlfn.SWITCH($A$2,"average", AVERAGE(Instances!N12:N12),"median", MEDIAN(Instances!N12:N12),"min", MIN(Instances!N12:N12),"max", MAX(Instances!N12:N12),"diff", MAX(Instances!N12:N12)-MIN(Instances!N12:N12))</f>
        <v>0.02</v>
      </c>
      <c r="O12" s="1"/>
      <c r="P12" s="1" t="n">
        <f aca="false" t="array" ref="P12:P12">_xlfn.SWITCH($A$2,"average", AVERAGE(Instances!P12:P12),"median", MEDIAN(Instances!P12:P12),"min", MIN(Instances!P12:P12),"max", MAX(Instances!P12:P12),"diff", MAX(Instances!P12:P12)-MIN(Instances!P12:P12))</f>
        <v>3.43</v>
      </c>
      <c r="Q12" s="1" t="n">
        <f aca="false" t="array" ref="Q12:Q12">_xlfn.SWITCH($A$2,"average", AVERAGE(Instances!Q12:Q12),"median", MEDIAN(Instances!Q12:Q12),"min", MIN(Instances!Q12:Q12),"max", MAX(Instances!Q12:Q12),"diff", MAX(Instances!Q12:Q12)-MIN(Instances!Q12:Q12))</f>
        <v>0</v>
      </c>
      <c r="R12" s="1" t="n">
        <f aca="false" t="array" ref="R12:R12">_xlfn.SWITCH($A$2,"average", AVERAGE(Instances!R12:R12),"median", MEDIAN(Instances!R12:R12),"min", MIN(Instances!R12:R12),"max", MAX(Instances!R12:R12),"diff", MAX(Instances!R12:R12)-MIN(Instances!R12:R12))</f>
        <v>242780</v>
      </c>
      <c r="S12" s="1" t="n">
        <f aca="false">MIN($B12)</f>
        <v>621</v>
      </c>
      <c r="T12" s="1" t="n">
        <f aca="false">MIN($C12)</f>
        <v>0</v>
      </c>
      <c r="U12" s="1" t="n">
        <f aca="false">MIN($D12)</f>
        <v>135579</v>
      </c>
      <c r="V12" s="1" t="n">
        <f aca="false">MIN($E12)</f>
        <v>0</v>
      </c>
      <c r="W12" s="1" t="n">
        <f aca="false">MIN($F12)</f>
        <v>245</v>
      </c>
      <c r="X12" s="1" t="n">
        <f aca="false">MIN($G12)</f>
        <v>0</v>
      </c>
      <c r="Y12" s="1" t="n">
        <f aca="false">MIN($H12)</f>
        <v>1</v>
      </c>
      <c r="Z12" s="1" t="n">
        <f aca="false">MIN($I12)</f>
        <v>3.269</v>
      </c>
      <c r="AA12" s="1" t="n">
        <f aca="false">MIN($J12)</f>
        <v>3.43</v>
      </c>
      <c r="AB12" s="1" t="n">
        <f aca="false">MIN($K12)</f>
        <v>0</v>
      </c>
      <c r="AC12" s="1" t="n">
        <f aca="false">MIN($M12)</f>
        <v>726092</v>
      </c>
      <c r="AD12" s="1" t="n">
        <f aca="false">MIN($N12)</f>
        <v>0.02</v>
      </c>
      <c r="AE12" s="1" t="n">
        <f aca="false">MIN($P12)</f>
        <v>3.43</v>
      </c>
      <c r="AF12" s="1" t="n">
        <f aca="false">MIN($Q12)</f>
        <v>0</v>
      </c>
      <c r="AG12" s="1" t="n">
        <f aca="false">MIN($R12)</f>
        <v>242780</v>
      </c>
      <c r="AH12" s="1" t="n">
        <f aca="false">MEDIAN($B12)</f>
        <v>621</v>
      </c>
      <c r="AI12" s="1" t="n">
        <f aca="false">MEDIAN($C12)</f>
        <v>0</v>
      </c>
      <c r="AJ12" s="1" t="n">
        <f aca="false">MEDIAN($D12)</f>
        <v>135579</v>
      </c>
      <c r="AK12" s="1" t="n">
        <f aca="false">MEDIAN($E12)</f>
        <v>0</v>
      </c>
      <c r="AL12" s="1" t="n">
        <f aca="false">MEDIAN($F12)</f>
        <v>245</v>
      </c>
      <c r="AM12" s="1" t="n">
        <f aca="false">MEDIAN($G12)</f>
        <v>0</v>
      </c>
      <c r="AN12" s="1" t="n">
        <f aca="false">MEDIAN($H12)</f>
        <v>1</v>
      </c>
      <c r="AO12" s="1" t="n">
        <f aca="false">MEDIAN($I12)</f>
        <v>3.269</v>
      </c>
      <c r="AP12" s="1" t="n">
        <f aca="false">MEDIAN($J12)</f>
        <v>3.43</v>
      </c>
      <c r="AQ12" s="1" t="n">
        <f aca="false">MEDIAN($K12)</f>
        <v>0</v>
      </c>
      <c r="AR12" s="1" t="n">
        <f aca="false">MEDIAN($M12)</f>
        <v>726092</v>
      </c>
      <c r="AS12" s="1" t="n">
        <f aca="false">MEDIAN($N12)</f>
        <v>0.02</v>
      </c>
      <c r="AT12" s="1" t="n">
        <f aca="false">MEDIAN($P12)</f>
        <v>3.43</v>
      </c>
      <c r="AU12" s="1" t="n">
        <f aca="false">MEDIAN($Q12)</f>
        <v>0</v>
      </c>
      <c r="AV12" s="1" t="n">
        <f aca="false">MEDIAN($R12)</f>
        <v>242780</v>
      </c>
      <c r="AW12" s="1" t="n">
        <f aca="false">MAX($B12)</f>
        <v>621</v>
      </c>
      <c r="AX12" s="1" t="n">
        <f aca="false">MAX($C12)</f>
        <v>0</v>
      </c>
      <c r="AY12" s="1" t="n">
        <f aca="false">MAX($D12)</f>
        <v>135579</v>
      </c>
      <c r="AZ12" s="1" t="n">
        <f aca="false">MAX($E12)</f>
        <v>0</v>
      </c>
      <c r="BA12" s="1" t="n">
        <f aca="false">MAX($F12)</f>
        <v>245</v>
      </c>
      <c r="BB12" s="1" t="n">
        <f aca="false">MAX($G12)</f>
        <v>0</v>
      </c>
      <c r="BC12" s="1" t="n">
        <f aca="false">MAX($H12)</f>
        <v>1</v>
      </c>
      <c r="BD12" s="1" t="n">
        <f aca="false">MAX($I12)</f>
        <v>3.269</v>
      </c>
      <c r="BE12" s="1" t="n">
        <f aca="false">MAX($J12)</f>
        <v>3.43</v>
      </c>
      <c r="BF12" s="1" t="n">
        <f aca="false">MAX($K12)</f>
        <v>0</v>
      </c>
      <c r="BG12" s="1" t="n">
        <f aca="false">MAX($M12)</f>
        <v>726092</v>
      </c>
      <c r="BH12" s="1" t="n">
        <f aca="false">MAX($N12)</f>
        <v>0.02</v>
      </c>
      <c r="BI12" s="1" t="n">
        <f aca="false">MAX($P12)</f>
        <v>3.43</v>
      </c>
      <c r="BJ12" s="1" t="n">
        <f aca="false">MAX($Q12)</f>
        <v>0</v>
      </c>
      <c r="BK12" s="1" t="n">
        <f aca="false">MAX($R12)</f>
        <v>242780</v>
      </c>
    </row>
    <row r="13" customFormat="false" ht="15" hidden="false" customHeight="false" outlineLevel="0" collapsed="false">
      <c r="A13" s="1" t="s">
        <v>30</v>
      </c>
      <c r="B13" s="1" t="n">
        <f aca="false" t="array" ref="B13:B13">_xlfn.SWITCH($A$2,"average", AVERAGE(Instances!B13:B13),"median", MEDIAN(Instances!B13:B13),"min", MIN(Instances!B13:B13),"max", MAX(Instances!B13:B13),"diff", MAX(Instances!B13:B13)-MIN(Instances!B13:B13))</f>
        <v>1152</v>
      </c>
      <c r="C13" s="1" t="n">
        <f aca="false" t="array" ref="C13:C13">_xlfn.SWITCH($A$2,"average", AVERAGE(Instances!C13:C13),"median", MEDIAN(Instances!C13:C13),"min", MIN(Instances!C13:C13),"max", MAX(Instances!C13:C13),"diff", MAX(Instances!C13:C13)-MIN(Instances!C13:C13))</f>
        <v>0</v>
      </c>
      <c r="D13" s="1" t="n">
        <f aca="false" t="array" ref="D13:D13">_xlfn.SWITCH($A$2,"average", AVERAGE(Instances!D13:D13),"median", MEDIAN(Instances!D13:D13),"min", MIN(Instances!D13:D13),"max", MAX(Instances!D13:D13),"diff", MAX(Instances!D13:D13)-MIN(Instances!D13:D13))</f>
        <v>337701</v>
      </c>
      <c r="E13" s="1" t="n">
        <f aca="false" t="array" ref="E13:E13">_xlfn.SWITCH($A$2,"average", AVERAGE(Instances!E13:E13),"median", MEDIAN(Instances!E13:E13),"min", MIN(Instances!E13:E13),"max", MAX(Instances!E13:E13),"diff", MAX(Instances!E13:E13)-MIN(Instances!E13:E13))</f>
        <v>0</v>
      </c>
      <c r="F13" s="1" t="n">
        <f aca="false" t="array" ref="F13:F13">_xlfn.SWITCH($A$2,"average", AVERAGE(Instances!F13:F13),"median", MEDIAN(Instances!F13:F13),"min", MIN(Instances!F13:F13),"max", MAX(Instances!F13:F13),"diff", MAX(Instances!F13:F13)-MIN(Instances!F13:F13))</f>
        <v>458</v>
      </c>
      <c r="G13" s="1" t="n">
        <f aca="false" t="array" ref="G13:G13">_xlfn.SWITCH($A$2,"average", AVERAGE(Instances!G13:G13),"median", MEDIAN(Instances!G13:G13),"min", MIN(Instances!G13:G13),"max", MAX(Instances!G13:G13),"diff", MAX(Instances!G13:G13)-MIN(Instances!G13:G13))</f>
        <v>0</v>
      </c>
      <c r="H13" s="1" t="n">
        <f aca="false" t="array" ref="H13:H13">_xlfn.SWITCH($A$2,"average", AVERAGE(Instances!H13:H13),"median", MEDIAN(Instances!H13:H13),"min", MIN(Instances!H13:H13),"max", MAX(Instances!H13:H13),"diff", MAX(Instances!H13:H13)-MIN(Instances!H13:H13))</f>
        <v>1</v>
      </c>
      <c r="I13" s="1" t="n">
        <f aca="false" t="array" ref="I13:I13">_xlfn.SWITCH($A$2,"average", AVERAGE(Instances!I13:I13),"median", MEDIAN(Instances!I13:I13),"min", MIN(Instances!I13:I13),"max", MAX(Instances!I13:I13),"diff", MAX(Instances!I13:I13)-MIN(Instances!I13:I13))</f>
        <v>6.324</v>
      </c>
      <c r="J13" s="1" t="n">
        <f aca="false" t="array" ref="J13:J13">_xlfn.SWITCH($A$2,"average", AVERAGE(Instances!J13:J13),"median", MEDIAN(Instances!J13:J13),"min", MIN(Instances!J13:J13),"max", MAX(Instances!J13:J13),"diff", MAX(Instances!J13:J13)-MIN(Instances!J13:J13))</f>
        <v>6.49</v>
      </c>
      <c r="K13" s="1" t="n">
        <f aca="false" t="array" ref="K13:K13">_xlfn.SWITCH($A$2,"average", AVERAGE(Instances!K13:K13),"median", MEDIAN(Instances!K13:K13),"min", MIN(Instances!K13:K13),"max", MAX(Instances!K13:K13),"diff", MAX(Instances!K13:K13)-MIN(Instances!K13:K13))</f>
        <v>0</v>
      </c>
      <c r="L13" s="1"/>
      <c r="M13" s="1" t="n">
        <f aca="false" t="array" ref="M13:M13">_xlfn.SWITCH($A$2,"average", AVERAGE(Instances!M13:M13),"median", MEDIAN(Instances!M13:M13),"min", MIN(Instances!M13:M13),"max", MAX(Instances!M13:M13),"diff", MAX(Instances!M13:M13)-MIN(Instances!M13:M13))</f>
        <v>1412233</v>
      </c>
      <c r="N13" s="1" t="n">
        <f aca="false" t="array" ref="N13:N13">_xlfn.SWITCH($A$2,"average", AVERAGE(Instances!N13:N13),"median", MEDIAN(Instances!N13:N13),"min", MIN(Instances!N13:N13),"max", MAX(Instances!N13:N13),"diff", MAX(Instances!N13:N13)-MIN(Instances!N13:N13))</f>
        <v>0.04</v>
      </c>
      <c r="O13" s="1"/>
      <c r="P13" s="1" t="n">
        <f aca="false" t="array" ref="P13:P13">_xlfn.SWITCH($A$2,"average", AVERAGE(Instances!P13:P13),"median", MEDIAN(Instances!P13:P13),"min", MIN(Instances!P13:P13),"max", MAX(Instances!P13:P13),"diff", MAX(Instances!P13:P13)-MIN(Instances!P13:P13))</f>
        <v>6.49</v>
      </c>
      <c r="Q13" s="1" t="n">
        <f aca="false" t="array" ref="Q13:Q13">_xlfn.SWITCH($A$2,"average", AVERAGE(Instances!Q13:Q13),"median", MEDIAN(Instances!Q13:Q13),"min", MIN(Instances!Q13:Q13),"max", MAX(Instances!Q13:Q13),"diff", MAX(Instances!Q13:Q13)-MIN(Instances!Q13:Q13))</f>
        <v>0</v>
      </c>
      <c r="R13" s="1" t="n">
        <f aca="false" t="array" ref="R13:R13">_xlfn.SWITCH($A$2,"average", AVERAGE(Instances!R13:R13),"median", MEDIAN(Instances!R13:R13),"min", MIN(Instances!R13:R13),"max", MAX(Instances!R13:R13),"diff", MAX(Instances!R13:R13)-MIN(Instances!R13:R13))</f>
        <v>456718</v>
      </c>
      <c r="S13" s="1" t="n">
        <f aca="false">MIN($B13)</f>
        <v>1152</v>
      </c>
      <c r="T13" s="1" t="n">
        <f aca="false">MIN($C13)</f>
        <v>0</v>
      </c>
      <c r="U13" s="1" t="n">
        <f aca="false">MIN($D13)</f>
        <v>337701</v>
      </c>
      <c r="V13" s="1" t="n">
        <f aca="false">MIN($E13)</f>
        <v>0</v>
      </c>
      <c r="W13" s="1" t="n">
        <f aca="false">MIN($F13)</f>
        <v>458</v>
      </c>
      <c r="X13" s="1" t="n">
        <f aca="false">MIN($G13)</f>
        <v>0</v>
      </c>
      <c r="Y13" s="1" t="n">
        <f aca="false">MIN($H13)</f>
        <v>1</v>
      </c>
      <c r="Z13" s="1" t="n">
        <f aca="false">MIN($I13)</f>
        <v>6.324</v>
      </c>
      <c r="AA13" s="1" t="n">
        <f aca="false">MIN($J13)</f>
        <v>6.49</v>
      </c>
      <c r="AB13" s="1" t="n">
        <f aca="false">MIN($K13)</f>
        <v>0</v>
      </c>
      <c r="AC13" s="1" t="n">
        <f aca="false">MIN($M13)</f>
        <v>1412233</v>
      </c>
      <c r="AD13" s="1" t="n">
        <f aca="false">MIN($N13)</f>
        <v>0.04</v>
      </c>
      <c r="AE13" s="1" t="n">
        <f aca="false">MIN($P13)</f>
        <v>6.49</v>
      </c>
      <c r="AF13" s="1" t="n">
        <f aca="false">MIN($Q13)</f>
        <v>0</v>
      </c>
      <c r="AG13" s="1" t="n">
        <f aca="false">MIN($R13)</f>
        <v>456718</v>
      </c>
      <c r="AH13" s="1" t="n">
        <f aca="false">MEDIAN($B13)</f>
        <v>1152</v>
      </c>
      <c r="AI13" s="1" t="n">
        <f aca="false">MEDIAN($C13)</f>
        <v>0</v>
      </c>
      <c r="AJ13" s="1" t="n">
        <f aca="false">MEDIAN($D13)</f>
        <v>337701</v>
      </c>
      <c r="AK13" s="1" t="n">
        <f aca="false">MEDIAN($E13)</f>
        <v>0</v>
      </c>
      <c r="AL13" s="1" t="n">
        <f aca="false">MEDIAN($F13)</f>
        <v>458</v>
      </c>
      <c r="AM13" s="1" t="n">
        <f aca="false">MEDIAN($G13)</f>
        <v>0</v>
      </c>
      <c r="AN13" s="1" t="n">
        <f aca="false">MEDIAN($H13)</f>
        <v>1</v>
      </c>
      <c r="AO13" s="1" t="n">
        <f aca="false">MEDIAN($I13)</f>
        <v>6.324</v>
      </c>
      <c r="AP13" s="1" t="n">
        <f aca="false">MEDIAN($J13)</f>
        <v>6.49</v>
      </c>
      <c r="AQ13" s="1" t="n">
        <f aca="false">MEDIAN($K13)</f>
        <v>0</v>
      </c>
      <c r="AR13" s="1" t="n">
        <f aca="false">MEDIAN($M13)</f>
        <v>1412233</v>
      </c>
      <c r="AS13" s="1" t="n">
        <f aca="false">MEDIAN($N13)</f>
        <v>0.04</v>
      </c>
      <c r="AT13" s="1" t="n">
        <f aca="false">MEDIAN($P13)</f>
        <v>6.49</v>
      </c>
      <c r="AU13" s="1" t="n">
        <f aca="false">MEDIAN($Q13)</f>
        <v>0</v>
      </c>
      <c r="AV13" s="1" t="n">
        <f aca="false">MEDIAN($R13)</f>
        <v>456718</v>
      </c>
      <c r="AW13" s="1" t="n">
        <f aca="false">MAX($B13)</f>
        <v>1152</v>
      </c>
      <c r="AX13" s="1" t="n">
        <f aca="false">MAX($C13)</f>
        <v>0</v>
      </c>
      <c r="AY13" s="1" t="n">
        <f aca="false">MAX($D13)</f>
        <v>337701</v>
      </c>
      <c r="AZ13" s="1" t="n">
        <f aca="false">MAX($E13)</f>
        <v>0</v>
      </c>
      <c r="BA13" s="1" t="n">
        <f aca="false">MAX($F13)</f>
        <v>458</v>
      </c>
      <c r="BB13" s="1" t="n">
        <f aca="false">MAX($G13)</f>
        <v>0</v>
      </c>
      <c r="BC13" s="1" t="n">
        <f aca="false">MAX($H13)</f>
        <v>1</v>
      </c>
      <c r="BD13" s="1" t="n">
        <f aca="false">MAX($I13)</f>
        <v>6.324</v>
      </c>
      <c r="BE13" s="1" t="n">
        <f aca="false">MAX($J13)</f>
        <v>6.49</v>
      </c>
      <c r="BF13" s="1" t="n">
        <f aca="false">MAX($K13)</f>
        <v>0</v>
      </c>
      <c r="BG13" s="1" t="n">
        <f aca="false">MAX($M13)</f>
        <v>1412233</v>
      </c>
      <c r="BH13" s="1" t="n">
        <f aca="false">MAX($N13)</f>
        <v>0.04</v>
      </c>
      <c r="BI13" s="1" t="n">
        <f aca="false">MAX($P13)</f>
        <v>6.49</v>
      </c>
      <c r="BJ13" s="1" t="n">
        <f aca="false">MAX($Q13)</f>
        <v>0</v>
      </c>
      <c r="BK13" s="1" t="n">
        <f aca="false">MAX($R13)</f>
        <v>456718</v>
      </c>
    </row>
    <row r="14" customFormat="false" ht="15" hidden="false" customHeight="false" outlineLevel="0" collapsed="false">
      <c r="A14" s="1" t="s">
        <v>31</v>
      </c>
      <c r="B14" s="1" t="n">
        <f aca="false" t="array" ref="B14:B14">_xlfn.SWITCH($A$2,"average", AVERAGE(Instances!B14:B14),"median", MEDIAN(Instances!B14:B14),"min", MIN(Instances!B14:B14),"max", MAX(Instances!B14:B14),"diff", MAX(Instances!B14:B14)-MIN(Instances!B14:B14))</f>
        <v>1203</v>
      </c>
      <c r="C14" s="1" t="n">
        <f aca="false" t="array" ref="C14:C14">_xlfn.SWITCH($A$2,"average", AVERAGE(Instances!C14:C14),"median", MEDIAN(Instances!C14:C14),"min", MIN(Instances!C14:C14),"max", MAX(Instances!C14:C14),"diff", MAX(Instances!C14:C14)-MIN(Instances!C14:C14))</f>
        <v>0</v>
      </c>
      <c r="D14" s="1" t="n">
        <f aca="false" t="array" ref="D14:D14">_xlfn.SWITCH($A$2,"average", AVERAGE(Instances!D14:D14),"median", MEDIAN(Instances!D14:D14),"min", MIN(Instances!D14:D14),"max", MAX(Instances!D14:D14),"diff", MAX(Instances!D14:D14)-MIN(Instances!D14:D14))</f>
        <v>377109</v>
      </c>
      <c r="E14" s="1" t="n">
        <f aca="false" t="array" ref="E14:E14">_xlfn.SWITCH($A$2,"average", AVERAGE(Instances!E14:E14),"median", MEDIAN(Instances!E14:E14),"min", MIN(Instances!E14:E14),"max", MAX(Instances!E14:E14),"diff", MAX(Instances!E14:E14)-MIN(Instances!E14:E14))</f>
        <v>0</v>
      </c>
      <c r="F14" s="1" t="n">
        <f aca="false" t="array" ref="F14:F14">_xlfn.SWITCH($A$2,"average", AVERAGE(Instances!F14:F14),"median", MEDIAN(Instances!F14:F14),"min", MIN(Instances!F14:F14),"max", MAX(Instances!F14:F14),"diff", MAX(Instances!F14:F14)-MIN(Instances!F14:F14))</f>
        <v>411</v>
      </c>
      <c r="G14" s="1" t="n">
        <f aca="false" t="array" ref="G14:G14">_xlfn.SWITCH($A$2,"average", AVERAGE(Instances!G14:G14),"median", MEDIAN(Instances!G14:G14),"min", MIN(Instances!G14:G14),"max", MAX(Instances!G14:G14),"diff", MAX(Instances!G14:G14)-MIN(Instances!G14:G14))</f>
        <v>0</v>
      </c>
      <c r="H14" s="1" t="n">
        <f aca="false" t="array" ref="H14:H14">_xlfn.SWITCH($A$2,"average", AVERAGE(Instances!H14:H14),"median", MEDIAN(Instances!H14:H14),"min", MIN(Instances!H14:H14),"max", MAX(Instances!H14:H14),"diff", MAX(Instances!H14:H14)-MIN(Instances!H14:H14))</f>
        <v>1</v>
      </c>
      <c r="I14" s="1" t="n">
        <f aca="false" t="array" ref="I14:I14">_xlfn.SWITCH($A$2,"average", AVERAGE(Instances!I14:I14),"median", MEDIAN(Instances!I14:I14),"min", MIN(Instances!I14:I14),"max", MAX(Instances!I14:I14),"diff", MAX(Instances!I14:I14)-MIN(Instances!I14:I14))</f>
        <v>5.662</v>
      </c>
      <c r="J14" s="1" t="n">
        <f aca="false" t="array" ref="J14:J14">_xlfn.SWITCH($A$2,"average", AVERAGE(Instances!J14:J14),"median", MEDIAN(Instances!J14:J14),"min", MIN(Instances!J14:J14),"max", MAX(Instances!J14:J14),"diff", MAX(Instances!J14:J14)-MIN(Instances!J14:J14))</f>
        <v>5.81</v>
      </c>
      <c r="K14" s="1" t="n">
        <f aca="false" t="array" ref="K14:K14">_xlfn.SWITCH($A$2,"average", AVERAGE(Instances!K14:K14),"median", MEDIAN(Instances!K14:K14),"min", MIN(Instances!K14:K14),"max", MAX(Instances!K14:K14),"diff", MAX(Instances!K14:K14)-MIN(Instances!K14:K14))</f>
        <v>0</v>
      </c>
      <c r="L14" s="1"/>
      <c r="M14" s="1" t="n">
        <f aca="false" t="array" ref="M14:M14">_xlfn.SWITCH($A$2,"average", AVERAGE(Instances!M14:M14),"median", MEDIAN(Instances!M14:M14),"min", MIN(Instances!M14:M14),"max", MAX(Instances!M14:M14),"diff", MAX(Instances!M14:M14)-MIN(Instances!M14:M14))</f>
        <v>1240754</v>
      </c>
      <c r="N14" s="1" t="n">
        <f aca="false" t="array" ref="N14:N14">_xlfn.SWITCH($A$2,"average", AVERAGE(Instances!N14:N14),"median", MEDIAN(Instances!N14:N14),"min", MIN(Instances!N14:N14),"max", MAX(Instances!N14:N14),"diff", MAX(Instances!N14:N14)-MIN(Instances!N14:N14))</f>
        <v>0.03</v>
      </c>
      <c r="O14" s="1"/>
      <c r="P14" s="1" t="n">
        <f aca="false" t="array" ref="P14:P14">_xlfn.SWITCH($A$2,"average", AVERAGE(Instances!P14:P14),"median", MEDIAN(Instances!P14:P14),"min", MIN(Instances!P14:P14),"max", MAX(Instances!P14:P14),"diff", MAX(Instances!P14:P14)-MIN(Instances!P14:P14))</f>
        <v>5.81</v>
      </c>
      <c r="Q14" s="1" t="n">
        <f aca="false" t="array" ref="Q14:Q14">_xlfn.SWITCH($A$2,"average", AVERAGE(Instances!Q14:Q14),"median", MEDIAN(Instances!Q14:Q14),"min", MIN(Instances!Q14:Q14),"max", MAX(Instances!Q14:Q14),"diff", MAX(Instances!Q14:Q14)-MIN(Instances!Q14:Q14))</f>
        <v>0</v>
      </c>
      <c r="R14" s="1" t="n">
        <f aca="false" t="array" ref="R14:R14">_xlfn.SWITCH($A$2,"average", AVERAGE(Instances!R14:R14),"median", MEDIAN(Instances!R14:R14),"min", MIN(Instances!R14:R14),"max", MAX(Instances!R14:R14),"diff", MAX(Instances!R14:R14)-MIN(Instances!R14:R14))</f>
        <v>409026</v>
      </c>
      <c r="S14" s="1" t="n">
        <f aca="false">MIN($B14)</f>
        <v>1203</v>
      </c>
      <c r="T14" s="1" t="n">
        <f aca="false">MIN($C14)</f>
        <v>0</v>
      </c>
      <c r="U14" s="1" t="n">
        <f aca="false">MIN($D14)</f>
        <v>377109</v>
      </c>
      <c r="V14" s="1" t="n">
        <f aca="false">MIN($E14)</f>
        <v>0</v>
      </c>
      <c r="W14" s="1" t="n">
        <f aca="false">MIN($F14)</f>
        <v>411</v>
      </c>
      <c r="X14" s="1" t="n">
        <f aca="false">MIN($G14)</f>
        <v>0</v>
      </c>
      <c r="Y14" s="1" t="n">
        <f aca="false">MIN($H14)</f>
        <v>1</v>
      </c>
      <c r="Z14" s="1" t="n">
        <f aca="false">MIN($I14)</f>
        <v>5.662</v>
      </c>
      <c r="AA14" s="1" t="n">
        <f aca="false">MIN($J14)</f>
        <v>5.81</v>
      </c>
      <c r="AB14" s="1" t="n">
        <f aca="false">MIN($K14)</f>
        <v>0</v>
      </c>
      <c r="AC14" s="1" t="n">
        <f aca="false">MIN($M14)</f>
        <v>1240754</v>
      </c>
      <c r="AD14" s="1" t="n">
        <f aca="false">MIN($N14)</f>
        <v>0.03</v>
      </c>
      <c r="AE14" s="1" t="n">
        <f aca="false">MIN($P14)</f>
        <v>5.81</v>
      </c>
      <c r="AF14" s="1" t="n">
        <f aca="false">MIN($Q14)</f>
        <v>0</v>
      </c>
      <c r="AG14" s="1" t="n">
        <f aca="false">MIN($R14)</f>
        <v>409026</v>
      </c>
      <c r="AH14" s="1" t="n">
        <f aca="false">MEDIAN($B14)</f>
        <v>1203</v>
      </c>
      <c r="AI14" s="1" t="n">
        <f aca="false">MEDIAN($C14)</f>
        <v>0</v>
      </c>
      <c r="AJ14" s="1" t="n">
        <f aca="false">MEDIAN($D14)</f>
        <v>377109</v>
      </c>
      <c r="AK14" s="1" t="n">
        <f aca="false">MEDIAN($E14)</f>
        <v>0</v>
      </c>
      <c r="AL14" s="1" t="n">
        <f aca="false">MEDIAN($F14)</f>
        <v>411</v>
      </c>
      <c r="AM14" s="1" t="n">
        <f aca="false">MEDIAN($G14)</f>
        <v>0</v>
      </c>
      <c r="AN14" s="1" t="n">
        <f aca="false">MEDIAN($H14)</f>
        <v>1</v>
      </c>
      <c r="AO14" s="1" t="n">
        <f aca="false">MEDIAN($I14)</f>
        <v>5.662</v>
      </c>
      <c r="AP14" s="1" t="n">
        <f aca="false">MEDIAN($J14)</f>
        <v>5.81</v>
      </c>
      <c r="AQ14" s="1" t="n">
        <f aca="false">MEDIAN($K14)</f>
        <v>0</v>
      </c>
      <c r="AR14" s="1" t="n">
        <f aca="false">MEDIAN($M14)</f>
        <v>1240754</v>
      </c>
      <c r="AS14" s="1" t="n">
        <f aca="false">MEDIAN($N14)</f>
        <v>0.03</v>
      </c>
      <c r="AT14" s="1" t="n">
        <f aca="false">MEDIAN($P14)</f>
        <v>5.81</v>
      </c>
      <c r="AU14" s="1" t="n">
        <f aca="false">MEDIAN($Q14)</f>
        <v>0</v>
      </c>
      <c r="AV14" s="1" t="n">
        <f aca="false">MEDIAN($R14)</f>
        <v>409026</v>
      </c>
      <c r="AW14" s="1" t="n">
        <f aca="false">MAX($B14)</f>
        <v>1203</v>
      </c>
      <c r="AX14" s="1" t="n">
        <f aca="false">MAX($C14)</f>
        <v>0</v>
      </c>
      <c r="AY14" s="1" t="n">
        <f aca="false">MAX($D14)</f>
        <v>377109</v>
      </c>
      <c r="AZ14" s="1" t="n">
        <f aca="false">MAX($E14)</f>
        <v>0</v>
      </c>
      <c r="BA14" s="1" t="n">
        <f aca="false">MAX($F14)</f>
        <v>411</v>
      </c>
      <c r="BB14" s="1" t="n">
        <f aca="false">MAX($G14)</f>
        <v>0</v>
      </c>
      <c r="BC14" s="1" t="n">
        <f aca="false">MAX($H14)</f>
        <v>1</v>
      </c>
      <c r="BD14" s="1" t="n">
        <f aca="false">MAX($I14)</f>
        <v>5.662</v>
      </c>
      <c r="BE14" s="1" t="n">
        <f aca="false">MAX($J14)</f>
        <v>5.81</v>
      </c>
      <c r="BF14" s="1" t="n">
        <f aca="false">MAX($K14)</f>
        <v>0</v>
      </c>
      <c r="BG14" s="1" t="n">
        <f aca="false">MAX($M14)</f>
        <v>1240754</v>
      </c>
      <c r="BH14" s="1" t="n">
        <f aca="false">MAX($N14)</f>
        <v>0.03</v>
      </c>
      <c r="BI14" s="1" t="n">
        <f aca="false">MAX($P14)</f>
        <v>5.81</v>
      </c>
      <c r="BJ14" s="1" t="n">
        <f aca="false">MAX($Q14)</f>
        <v>0</v>
      </c>
      <c r="BK14" s="1" t="n">
        <f aca="false">MAX($R14)</f>
        <v>409026</v>
      </c>
    </row>
    <row r="15" customFormat="false" ht="15" hidden="false" customHeight="false" outlineLevel="0" collapsed="false">
      <c r="A15" s="1" t="s">
        <v>32</v>
      </c>
      <c r="B15" s="1" t="n">
        <f aca="false" t="array" ref="B15:B15">_xlfn.SWITCH($A$2,"average", AVERAGE(Instances!B15:B15),"median", MEDIAN(Instances!B15:B15),"min", MIN(Instances!B15:B15),"max", MAX(Instances!B15:B15),"diff", MAX(Instances!B15:B15)-MIN(Instances!B15:B15))</f>
        <v>1309</v>
      </c>
      <c r="C15" s="1" t="n">
        <f aca="false" t="array" ref="C15:C15">_xlfn.SWITCH($A$2,"average", AVERAGE(Instances!C15:C15),"median", MEDIAN(Instances!C15:C15),"min", MIN(Instances!C15:C15),"max", MAX(Instances!C15:C15),"diff", MAX(Instances!C15:C15)-MIN(Instances!C15:C15))</f>
        <v>0</v>
      </c>
      <c r="D15" s="1" t="n">
        <f aca="false" t="array" ref="D15:D15">_xlfn.SWITCH($A$2,"average", AVERAGE(Instances!D15:D15),"median", MEDIAN(Instances!D15:D15),"min", MIN(Instances!D15:D15),"max", MAX(Instances!D15:D15),"diff", MAX(Instances!D15:D15)-MIN(Instances!D15:D15))</f>
        <v>272817</v>
      </c>
      <c r="E15" s="1" t="n">
        <f aca="false" t="array" ref="E15:E15">_xlfn.SWITCH($A$2,"average", AVERAGE(Instances!E15:E15),"median", MEDIAN(Instances!E15:E15),"min", MIN(Instances!E15:E15),"max", MAX(Instances!E15:E15),"diff", MAX(Instances!E15:E15)-MIN(Instances!E15:E15))</f>
        <v>0</v>
      </c>
      <c r="F15" s="1" t="n">
        <f aca="false" t="array" ref="F15:F15">_xlfn.SWITCH($A$2,"average", AVERAGE(Instances!F15:F15),"median", MEDIAN(Instances!F15:F15),"min", MIN(Instances!F15:F15),"max", MAX(Instances!F15:F15),"diff", MAX(Instances!F15:F15)-MIN(Instances!F15:F15))</f>
        <v>307</v>
      </c>
      <c r="G15" s="1" t="n">
        <f aca="false" t="array" ref="G15:G15">_xlfn.SWITCH($A$2,"average", AVERAGE(Instances!G15:G15),"median", MEDIAN(Instances!G15:G15),"min", MIN(Instances!G15:G15),"max", MAX(Instances!G15:G15),"diff", MAX(Instances!G15:G15)-MIN(Instances!G15:G15))</f>
        <v>0</v>
      </c>
      <c r="H15" s="1" t="n">
        <f aca="false" t="array" ref="H15:H15">_xlfn.SWITCH($A$2,"average", AVERAGE(Instances!H15:H15),"median", MEDIAN(Instances!H15:H15),"min", MIN(Instances!H15:H15),"max", MAX(Instances!H15:H15),"diff", MAX(Instances!H15:H15)-MIN(Instances!H15:H15))</f>
        <v>1</v>
      </c>
      <c r="I15" s="1" t="n">
        <f aca="false" t="array" ref="I15:I15">_xlfn.SWITCH($A$2,"average", AVERAGE(Instances!I15:I15),"median", MEDIAN(Instances!I15:I15),"min", MIN(Instances!I15:I15),"max", MAX(Instances!I15:I15),"diff", MAX(Instances!I15:I15)-MIN(Instances!I15:I15))</f>
        <v>4.056</v>
      </c>
      <c r="J15" s="1" t="n">
        <f aca="false" t="array" ref="J15:J15">_xlfn.SWITCH($A$2,"average", AVERAGE(Instances!J15:J15),"median", MEDIAN(Instances!J15:J15),"min", MIN(Instances!J15:J15),"max", MAX(Instances!J15:J15),"diff", MAX(Instances!J15:J15)-MIN(Instances!J15:J15))</f>
        <v>4.17</v>
      </c>
      <c r="K15" s="1" t="n">
        <f aca="false" t="array" ref="K15:K15">_xlfn.SWITCH($A$2,"average", AVERAGE(Instances!K15:K15),"median", MEDIAN(Instances!K15:K15),"min", MIN(Instances!K15:K15),"max", MAX(Instances!K15:K15),"diff", MAX(Instances!K15:K15)-MIN(Instances!K15:K15))</f>
        <v>0</v>
      </c>
      <c r="L15" s="1"/>
      <c r="M15" s="1" t="n">
        <f aca="false" t="array" ref="M15:M15">_xlfn.SWITCH($A$2,"average", AVERAGE(Instances!M15:M15),"median", MEDIAN(Instances!M15:M15),"min", MIN(Instances!M15:M15),"max", MAX(Instances!M15:M15),"diff", MAX(Instances!M15:M15)-MIN(Instances!M15:M15))</f>
        <v>909904</v>
      </c>
      <c r="N15" s="1" t="n">
        <f aca="false" t="array" ref="N15:N15">_xlfn.SWITCH($A$2,"average", AVERAGE(Instances!N15:N15),"median", MEDIAN(Instances!N15:N15),"min", MIN(Instances!N15:N15),"max", MAX(Instances!N15:N15),"diff", MAX(Instances!N15:N15)-MIN(Instances!N15:N15))</f>
        <v>0.03</v>
      </c>
      <c r="O15" s="1"/>
      <c r="P15" s="1" t="n">
        <f aca="false" t="array" ref="P15:P15">_xlfn.SWITCH($A$2,"average", AVERAGE(Instances!P15:P15),"median", MEDIAN(Instances!P15:P15),"min", MIN(Instances!P15:P15),"max", MAX(Instances!P15:P15),"diff", MAX(Instances!P15:P15)-MIN(Instances!P15:P15))</f>
        <v>4.17</v>
      </c>
      <c r="Q15" s="1" t="n">
        <f aca="false" t="array" ref="Q15:Q15">_xlfn.SWITCH($A$2,"average", AVERAGE(Instances!Q15:Q15),"median", MEDIAN(Instances!Q15:Q15),"min", MIN(Instances!Q15:Q15),"max", MAX(Instances!Q15:Q15),"diff", MAX(Instances!Q15:Q15)-MIN(Instances!Q15:Q15))</f>
        <v>0</v>
      </c>
      <c r="R15" s="1" t="n">
        <f aca="false" t="array" ref="R15:R15">_xlfn.SWITCH($A$2,"average", AVERAGE(Instances!R15:R15),"median", MEDIAN(Instances!R15:R15),"min", MIN(Instances!R15:R15),"max", MAX(Instances!R15:R15),"diff", MAX(Instances!R15:R15)-MIN(Instances!R15:R15))</f>
        <v>311554</v>
      </c>
      <c r="S15" s="1" t="n">
        <f aca="false">MIN($B15)</f>
        <v>1309</v>
      </c>
      <c r="T15" s="1" t="n">
        <f aca="false">MIN($C15)</f>
        <v>0</v>
      </c>
      <c r="U15" s="1" t="n">
        <f aca="false">MIN($D15)</f>
        <v>272817</v>
      </c>
      <c r="V15" s="1" t="n">
        <f aca="false">MIN($E15)</f>
        <v>0</v>
      </c>
      <c r="W15" s="1" t="n">
        <f aca="false">MIN($F15)</f>
        <v>307</v>
      </c>
      <c r="X15" s="1" t="n">
        <f aca="false">MIN($G15)</f>
        <v>0</v>
      </c>
      <c r="Y15" s="1" t="n">
        <f aca="false">MIN($H15)</f>
        <v>1</v>
      </c>
      <c r="Z15" s="1" t="n">
        <f aca="false">MIN($I15)</f>
        <v>4.056</v>
      </c>
      <c r="AA15" s="1" t="n">
        <f aca="false">MIN($J15)</f>
        <v>4.17</v>
      </c>
      <c r="AB15" s="1" t="n">
        <f aca="false">MIN($K15)</f>
        <v>0</v>
      </c>
      <c r="AC15" s="1" t="n">
        <f aca="false">MIN($M15)</f>
        <v>909904</v>
      </c>
      <c r="AD15" s="1" t="n">
        <f aca="false">MIN($N15)</f>
        <v>0.03</v>
      </c>
      <c r="AE15" s="1" t="n">
        <f aca="false">MIN($P15)</f>
        <v>4.17</v>
      </c>
      <c r="AF15" s="1" t="n">
        <f aca="false">MIN($Q15)</f>
        <v>0</v>
      </c>
      <c r="AG15" s="1" t="n">
        <f aca="false">MIN($R15)</f>
        <v>311554</v>
      </c>
      <c r="AH15" s="1" t="n">
        <f aca="false">MEDIAN($B15)</f>
        <v>1309</v>
      </c>
      <c r="AI15" s="1" t="n">
        <f aca="false">MEDIAN($C15)</f>
        <v>0</v>
      </c>
      <c r="AJ15" s="1" t="n">
        <f aca="false">MEDIAN($D15)</f>
        <v>272817</v>
      </c>
      <c r="AK15" s="1" t="n">
        <f aca="false">MEDIAN($E15)</f>
        <v>0</v>
      </c>
      <c r="AL15" s="1" t="n">
        <f aca="false">MEDIAN($F15)</f>
        <v>307</v>
      </c>
      <c r="AM15" s="1" t="n">
        <f aca="false">MEDIAN($G15)</f>
        <v>0</v>
      </c>
      <c r="AN15" s="1" t="n">
        <f aca="false">MEDIAN($H15)</f>
        <v>1</v>
      </c>
      <c r="AO15" s="1" t="n">
        <f aca="false">MEDIAN($I15)</f>
        <v>4.056</v>
      </c>
      <c r="AP15" s="1" t="n">
        <f aca="false">MEDIAN($J15)</f>
        <v>4.17</v>
      </c>
      <c r="AQ15" s="1" t="n">
        <f aca="false">MEDIAN($K15)</f>
        <v>0</v>
      </c>
      <c r="AR15" s="1" t="n">
        <f aca="false">MEDIAN($M15)</f>
        <v>909904</v>
      </c>
      <c r="AS15" s="1" t="n">
        <f aca="false">MEDIAN($N15)</f>
        <v>0.03</v>
      </c>
      <c r="AT15" s="1" t="n">
        <f aca="false">MEDIAN($P15)</f>
        <v>4.17</v>
      </c>
      <c r="AU15" s="1" t="n">
        <f aca="false">MEDIAN($Q15)</f>
        <v>0</v>
      </c>
      <c r="AV15" s="1" t="n">
        <f aca="false">MEDIAN($R15)</f>
        <v>311554</v>
      </c>
      <c r="AW15" s="1" t="n">
        <f aca="false">MAX($B15)</f>
        <v>1309</v>
      </c>
      <c r="AX15" s="1" t="n">
        <f aca="false">MAX($C15)</f>
        <v>0</v>
      </c>
      <c r="AY15" s="1" t="n">
        <f aca="false">MAX($D15)</f>
        <v>272817</v>
      </c>
      <c r="AZ15" s="1" t="n">
        <f aca="false">MAX($E15)</f>
        <v>0</v>
      </c>
      <c r="BA15" s="1" t="n">
        <f aca="false">MAX($F15)</f>
        <v>307</v>
      </c>
      <c r="BB15" s="1" t="n">
        <f aca="false">MAX($G15)</f>
        <v>0</v>
      </c>
      <c r="BC15" s="1" t="n">
        <f aca="false">MAX($H15)</f>
        <v>1</v>
      </c>
      <c r="BD15" s="1" t="n">
        <f aca="false">MAX($I15)</f>
        <v>4.056</v>
      </c>
      <c r="BE15" s="1" t="n">
        <f aca="false">MAX($J15)</f>
        <v>4.17</v>
      </c>
      <c r="BF15" s="1" t="n">
        <f aca="false">MAX($K15)</f>
        <v>0</v>
      </c>
      <c r="BG15" s="1" t="n">
        <f aca="false">MAX($M15)</f>
        <v>909904</v>
      </c>
      <c r="BH15" s="1" t="n">
        <f aca="false">MAX($N15)</f>
        <v>0.03</v>
      </c>
      <c r="BI15" s="1" t="n">
        <f aca="false">MAX($P15)</f>
        <v>4.17</v>
      </c>
      <c r="BJ15" s="1" t="n">
        <f aca="false">MAX($Q15)</f>
        <v>0</v>
      </c>
      <c r="BK15" s="1" t="n">
        <f aca="false">MAX($R15)</f>
        <v>311554</v>
      </c>
    </row>
    <row r="16" customFormat="false" ht="15" hidden="false" customHeight="false" outlineLevel="0" collapsed="false">
      <c r="A16" s="1" t="s">
        <v>33</v>
      </c>
      <c r="B16" s="1" t="n">
        <f aca="false" t="array" ref="B16:B16">_xlfn.SWITCH($A$2,"average", AVERAGE(Instances!B16:B16),"median", MEDIAN(Instances!B16:B16),"min", MIN(Instances!B16:B16),"max", MAX(Instances!B16:B16),"diff", MAX(Instances!B16:B16)-MIN(Instances!B16:B16))</f>
        <v>1247</v>
      </c>
      <c r="C16" s="1" t="n">
        <f aca="false" t="array" ref="C16:C16">_xlfn.SWITCH($A$2,"average", AVERAGE(Instances!C16:C16),"median", MEDIAN(Instances!C16:C16),"min", MIN(Instances!C16:C16),"max", MAX(Instances!C16:C16),"diff", MAX(Instances!C16:C16)-MIN(Instances!C16:C16))</f>
        <v>0</v>
      </c>
      <c r="D16" s="1" t="n">
        <f aca="false" t="array" ref="D16:D16">_xlfn.SWITCH($A$2,"average", AVERAGE(Instances!D16:D16),"median", MEDIAN(Instances!D16:D16),"min", MIN(Instances!D16:D16),"max", MAX(Instances!D16:D16),"diff", MAX(Instances!D16:D16)-MIN(Instances!D16:D16))</f>
        <v>365887</v>
      </c>
      <c r="E16" s="1" t="n">
        <f aca="false" t="array" ref="E16:E16">_xlfn.SWITCH($A$2,"average", AVERAGE(Instances!E16:E16),"median", MEDIAN(Instances!E16:E16),"min", MIN(Instances!E16:E16),"max", MAX(Instances!E16:E16),"diff", MAX(Instances!E16:E16)-MIN(Instances!E16:E16))</f>
        <v>0</v>
      </c>
      <c r="F16" s="1" t="n">
        <f aca="false" t="array" ref="F16:F16">_xlfn.SWITCH($A$2,"average", AVERAGE(Instances!F16:F16),"median", MEDIAN(Instances!F16:F16),"min", MIN(Instances!F16:F16),"max", MAX(Instances!F16:F16),"diff", MAX(Instances!F16:F16)-MIN(Instances!F16:F16))</f>
        <v>407</v>
      </c>
      <c r="G16" s="1" t="n">
        <f aca="false" t="array" ref="G16:G16">_xlfn.SWITCH($A$2,"average", AVERAGE(Instances!G16:G16),"median", MEDIAN(Instances!G16:G16),"min", MIN(Instances!G16:G16),"max", MAX(Instances!G16:G16),"diff", MAX(Instances!G16:G16)-MIN(Instances!G16:G16))</f>
        <v>0</v>
      </c>
      <c r="H16" s="1" t="n">
        <f aca="false" t="array" ref="H16:H16">_xlfn.SWITCH($A$2,"average", AVERAGE(Instances!H16:H16),"median", MEDIAN(Instances!H16:H16),"min", MIN(Instances!H16:H16),"max", MAX(Instances!H16:H16),"diff", MAX(Instances!H16:H16)-MIN(Instances!H16:H16))</f>
        <v>1</v>
      </c>
      <c r="I16" s="1" t="n">
        <f aca="false" t="array" ref="I16:I16">_xlfn.SWITCH($A$2,"average", AVERAGE(Instances!I16:I16),"median", MEDIAN(Instances!I16:I16),"min", MIN(Instances!I16:I16),"max", MAX(Instances!I16:I16),"diff", MAX(Instances!I16:I16)-MIN(Instances!I16:I16))</f>
        <v>5.493</v>
      </c>
      <c r="J16" s="1" t="n">
        <f aca="false" t="array" ref="J16:J16">_xlfn.SWITCH($A$2,"average", AVERAGE(Instances!J16:J16),"median", MEDIAN(Instances!J16:J16),"min", MIN(Instances!J16:J16),"max", MAX(Instances!J16:J16),"diff", MAX(Instances!J16:J16)-MIN(Instances!J16:J16))</f>
        <v>5.64</v>
      </c>
      <c r="K16" s="1" t="n">
        <f aca="false" t="array" ref="K16:K16">_xlfn.SWITCH($A$2,"average", AVERAGE(Instances!K16:K16),"median", MEDIAN(Instances!K16:K16),"min", MIN(Instances!K16:K16),"max", MAX(Instances!K16:K16),"diff", MAX(Instances!K16:K16)-MIN(Instances!K16:K16))</f>
        <v>0</v>
      </c>
      <c r="L16" s="1"/>
      <c r="M16" s="1" t="n">
        <f aca="false" t="array" ref="M16:M16">_xlfn.SWITCH($A$2,"average", AVERAGE(Instances!M16:M16),"median", MEDIAN(Instances!M16:M16),"min", MIN(Instances!M16:M16),"max", MAX(Instances!M16:M16),"diff", MAX(Instances!M16:M16)-MIN(Instances!M16:M16))</f>
        <v>1224686</v>
      </c>
      <c r="N16" s="1" t="n">
        <f aca="false" t="array" ref="N16:N16">_xlfn.SWITCH($A$2,"average", AVERAGE(Instances!N16:N16),"median", MEDIAN(Instances!N16:N16),"min", MIN(Instances!N16:N16),"max", MAX(Instances!N16:N16),"diff", MAX(Instances!N16:N16)-MIN(Instances!N16:N16))</f>
        <v>0.03</v>
      </c>
      <c r="O16" s="1"/>
      <c r="P16" s="1" t="n">
        <f aca="false" t="array" ref="P16:P16">_xlfn.SWITCH($A$2,"average", AVERAGE(Instances!P16:P16),"median", MEDIAN(Instances!P16:P16),"min", MIN(Instances!P16:P16),"max", MAX(Instances!P16:P16),"diff", MAX(Instances!P16:P16)-MIN(Instances!P16:P16))</f>
        <v>5.64</v>
      </c>
      <c r="Q16" s="1" t="n">
        <f aca="false" t="array" ref="Q16:Q16">_xlfn.SWITCH($A$2,"average", AVERAGE(Instances!Q16:Q16),"median", MEDIAN(Instances!Q16:Q16),"min", MIN(Instances!Q16:Q16),"max", MAX(Instances!Q16:Q16),"diff", MAX(Instances!Q16:Q16)-MIN(Instances!Q16:Q16))</f>
        <v>0</v>
      </c>
      <c r="R16" s="1" t="n">
        <f aca="false" t="array" ref="R16:R16">_xlfn.SWITCH($A$2,"average", AVERAGE(Instances!R16:R16),"median", MEDIAN(Instances!R16:R16),"min", MIN(Instances!R16:R16),"max", MAX(Instances!R16:R16),"diff", MAX(Instances!R16:R16)-MIN(Instances!R16:R16))</f>
        <v>404088</v>
      </c>
      <c r="S16" s="1" t="n">
        <f aca="false">MIN($B16)</f>
        <v>1247</v>
      </c>
      <c r="T16" s="1" t="n">
        <f aca="false">MIN($C16)</f>
        <v>0</v>
      </c>
      <c r="U16" s="1" t="n">
        <f aca="false">MIN($D16)</f>
        <v>365887</v>
      </c>
      <c r="V16" s="1" t="n">
        <f aca="false">MIN($E16)</f>
        <v>0</v>
      </c>
      <c r="W16" s="1" t="n">
        <f aca="false">MIN($F16)</f>
        <v>407</v>
      </c>
      <c r="X16" s="1" t="n">
        <f aca="false">MIN($G16)</f>
        <v>0</v>
      </c>
      <c r="Y16" s="1" t="n">
        <f aca="false">MIN($H16)</f>
        <v>1</v>
      </c>
      <c r="Z16" s="1" t="n">
        <f aca="false">MIN($I16)</f>
        <v>5.493</v>
      </c>
      <c r="AA16" s="1" t="n">
        <f aca="false">MIN($J16)</f>
        <v>5.64</v>
      </c>
      <c r="AB16" s="1" t="n">
        <f aca="false">MIN($K16)</f>
        <v>0</v>
      </c>
      <c r="AC16" s="1" t="n">
        <f aca="false">MIN($M16)</f>
        <v>1224686</v>
      </c>
      <c r="AD16" s="1" t="n">
        <f aca="false">MIN($N16)</f>
        <v>0.03</v>
      </c>
      <c r="AE16" s="1" t="n">
        <f aca="false">MIN($P16)</f>
        <v>5.64</v>
      </c>
      <c r="AF16" s="1" t="n">
        <f aca="false">MIN($Q16)</f>
        <v>0</v>
      </c>
      <c r="AG16" s="1" t="n">
        <f aca="false">MIN($R16)</f>
        <v>404088</v>
      </c>
      <c r="AH16" s="1" t="n">
        <f aca="false">MEDIAN($B16)</f>
        <v>1247</v>
      </c>
      <c r="AI16" s="1" t="n">
        <f aca="false">MEDIAN($C16)</f>
        <v>0</v>
      </c>
      <c r="AJ16" s="1" t="n">
        <f aca="false">MEDIAN($D16)</f>
        <v>365887</v>
      </c>
      <c r="AK16" s="1" t="n">
        <f aca="false">MEDIAN($E16)</f>
        <v>0</v>
      </c>
      <c r="AL16" s="1" t="n">
        <f aca="false">MEDIAN($F16)</f>
        <v>407</v>
      </c>
      <c r="AM16" s="1" t="n">
        <f aca="false">MEDIAN($G16)</f>
        <v>0</v>
      </c>
      <c r="AN16" s="1" t="n">
        <f aca="false">MEDIAN($H16)</f>
        <v>1</v>
      </c>
      <c r="AO16" s="1" t="n">
        <f aca="false">MEDIAN($I16)</f>
        <v>5.493</v>
      </c>
      <c r="AP16" s="1" t="n">
        <f aca="false">MEDIAN($J16)</f>
        <v>5.64</v>
      </c>
      <c r="AQ16" s="1" t="n">
        <f aca="false">MEDIAN($K16)</f>
        <v>0</v>
      </c>
      <c r="AR16" s="1" t="n">
        <f aca="false">MEDIAN($M16)</f>
        <v>1224686</v>
      </c>
      <c r="AS16" s="1" t="n">
        <f aca="false">MEDIAN($N16)</f>
        <v>0.03</v>
      </c>
      <c r="AT16" s="1" t="n">
        <f aca="false">MEDIAN($P16)</f>
        <v>5.64</v>
      </c>
      <c r="AU16" s="1" t="n">
        <f aca="false">MEDIAN($Q16)</f>
        <v>0</v>
      </c>
      <c r="AV16" s="1" t="n">
        <f aca="false">MEDIAN($R16)</f>
        <v>404088</v>
      </c>
      <c r="AW16" s="1" t="n">
        <f aca="false">MAX($B16)</f>
        <v>1247</v>
      </c>
      <c r="AX16" s="1" t="n">
        <f aca="false">MAX($C16)</f>
        <v>0</v>
      </c>
      <c r="AY16" s="1" t="n">
        <f aca="false">MAX($D16)</f>
        <v>365887</v>
      </c>
      <c r="AZ16" s="1" t="n">
        <f aca="false">MAX($E16)</f>
        <v>0</v>
      </c>
      <c r="BA16" s="1" t="n">
        <f aca="false">MAX($F16)</f>
        <v>407</v>
      </c>
      <c r="BB16" s="1" t="n">
        <f aca="false">MAX($G16)</f>
        <v>0</v>
      </c>
      <c r="BC16" s="1" t="n">
        <f aca="false">MAX($H16)</f>
        <v>1</v>
      </c>
      <c r="BD16" s="1" t="n">
        <f aca="false">MAX($I16)</f>
        <v>5.493</v>
      </c>
      <c r="BE16" s="1" t="n">
        <f aca="false">MAX($J16)</f>
        <v>5.64</v>
      </c>
      <c r="BF16" s="1" t="n">
        <f aca="false">MAX($K16)</f>
        <v>0</v>
      </c>
      <c r="BG16" s="1" t="n">
        <f aca="false">MAX($M16)</f>
        <v>1224686</v>
      </c>
      <c r="BH16" s="1" t="n">
        <f aca="false">MAX($N16)</f>
        <v>0.03</v>
      </c>
      <c r="BI16" s="1" t="n">
        <f aca="false">MAX($P16)</f>
        <v>5.64</v>
      </c>
      <c r="BJ16" s="1" t="n">
        <f aca="false">MAX($Q16)</f>
        <v>0</v>
      </c>
      <c r="BK16" s="1" t="n">
        <f aca="false">MAX($R16)</f>
        <v>404088</v>
      </c>
    </row>
    <row r="17" customFormat="false" ht="15" hidden="false" customHeight="false" outlineLevel="0" collapsed="false">
      <c r="A17" s="1" t="s">
        <v>34</v>
      </c>
      <c r="B17" s="1" t="n">
        <f aca="false" t="array" ref="B17:B17">_xlfn.SWITCH($A$2,"average", AVERAGE(Instances!B17:B17),"median", MEDIAN(Instances!B17:B17),"min", MIN(Instances!B17:B17),"max", MAX(Instances!B17:B17),"diff", MAX(Instances!B17:B17)-MIN(Instances!B17:B17))</f>
        <v>1501</v>
      </c>
      <c r="C17" s="1" t="n">
        <f aca="false" t="array" ref="C17:C17">_xlfn.SWITCH($A$2,"average", AVERAGE(Instances!C17:C17),"median", MEDIAN(Instances!C17:C17),"min", MIN(Instances!C17:C17),"max", MAX(Instances!C17:C17),"diff", MAX(Instances!C17:C17)-MIN(Instances!C17:C17))</f>
        <v>0</v>
      </c>
      <c r="D17" s="1" t="n">
        <f aca="false" t="array" ref="D17:D17">_xlfn.SWITCH($A$2,"average", AVERAGE(Instances!D17:D17),"median", MEDIAN(Instances!D17:D17),"min", MIN(Instances!D17:D17),"max", MAX(Instances!D17:D17),"diff", MAX(Instances!D17:D17)-MIN(Instances!D17:D17))</f>
        <v>329850</v>
      </c>
      <c r="E17" s="1" t="n">
        <f aca="false" t="array" ref="E17:E17">_xlfn.SWITCH($A$2,"average", AVERAGE(Instances!E17:E17),"median", MEDIAN(Instances!E17:E17),"min", MIN(Instances!E17:E17),"max", MAX(Instances!E17:E17),"diff", MAX(Instances!E17:E17)-MIN(Instances!E17:E17))</f>
        <v>0</v>
      </c>
      <c r="F17" s="1" t="n">
        <f aca="false" t="array" ref="F17:F17">_xlfn.SWITCH($A$2,"average", AVERAGE(Instances!F17:F17),"median", MEDIAN(Instances!F17:F17),"min", MIN(Instances!F17:F17),"max", MAX(Instances!F17:F17),"diff", MAX(Instances!F17:F17)-MIN(Instances!F17:F17))</f>
        <v>489</v>
      </c>
      <c r="G17" s="1" t="n">
        <f aca="false" t="array" ref="G17:G17">_xlfn.SWITCH($A$2,"average", AVERAGE(Instances!G17:G17),"median", MEDIAN(Instances!G17:G17),"min", MIN(Instances!G17:G17),"max", MAX(Instances!G17:G17),"diff", MAX(Instances!G17:G17)-MIN(Instances!G17:G17))</f>
        <v>0</v>
      </c>
      <c r="H17" s="1" t="n">
        <f aca="false" t="array" ref="H17:H17">_xlfn.SWITCH($A$2,"average", AVERAGE(Instances!H17:H17),"median", MEDIAN(Instances!H17:H17),"min", MIN(Instances!H17:H17),"max", MAX(Instances!H17:H17),"diff", MAX(Instances!H17:H17)-MIN(Instances!H17:H17))</f>
        <v>1</v>
      </c>
      <c r="I17" s="1" t="n">
        <f aca="false" t="array" ref="I17:I17">_xlfn.SWITCH($A$2,"average", AVERAGE(Instances!I17:I17),"median", MEDIAN(Instances!I17:I17),"min", MIN(Instances!I17:I17),"max", MAX(Instances!I17:I17),"diff", MAX(Instances!I17:I17)-MIN(Instances!I17:I17))</f>
        <v>6.973</v>
      </c>
      <c r="J17" s="1" t="n">
        <f aca="false" t="array" ref="J17:J17">_xlfn.SWITCH($A$2,"average", AVERAGE(Instances!J17:J17),"median", MEDIAN(Instances!J17:J17),"min", MIN(Instances!J17:J17),"max", MAX(Instances!J17:J17),"diff", MAX(Instances!J17:J17)-MIN(Instances!J17:J17))</f>
        <v>7.15</v>
      </c>
      <c r="K17" s="1" t="n">
        <f aca="false" t="array" ref="K17:K17">_xlfn.SWITCH($A$2,"average", AVERAGE(Instances!K17:K17),"median", MEDIAN(Instances!K17:K17),"min", MIN(Instances!K17:K17),"max", MAX(Instances!K17:K17),"diff", MAX(Instances!K17:K17)-MIN(Instances!K17:K17))</f>
        <v>0</v>
      </c>
      <c r="L17" s="1"/>
      <c r="M17" s="1" t="n">
        <f aca="false" t="array" ref="M17:M17">_xlfn.SWITCH($A$2,"average", AVERAGE(Instances!M17:M17),"median", MEDIAN(Instances!M17:M17),"min", MIN(Instances!M17:M17),"max", MAX(Instances!M17:M17),"diff", MAX(Instances!M17:M17)-MIN(Instances!M17:M17))</f>
        <v>1592096</v>
      </c>
      <c r="N17" s="1" t="n">
        <f aca="false" t="array" ref="N17:N17">_xlfn.SWITCH($A$2,"average", AVERAGE(Instances!N17:N17),"median", MEDIAN(Instances!N17:N17),"min", MIN(Instances!N17:N17),"max", MAX(Instances!N17:N17),"diff", MAX(Instances!N17:N17)-MIN(Instances!N17:N17))</f>
        <v>0.04</v>
      </c>
      <c r="O17" s="1"/>
      <c r="P17" s="1" t="n">
        <f aca="false" t="array" ref="P17:P17">_xlfn.SWITCH($A$2,"average", AVERAGE(Instances!P17:P17),"median", MEDIAN(Instances!P17:P17),"min", MIN(Instances!P17:P17),"max", MAX(Instances!P17:P17),"diff", MAX(Instances!P17:P17)-MIN(Instances!P17:P17))</f>
        <v>7.15</v>
      </c>
      <c r="Q17" s="1" t="n">
        <f aca="false" t="array" ref="Q17:Q17">_xlfn.SWITCH($A$2,"average", AVERAGE(Instances!Q17:Q17),"median", MEDIAN(Instances!Q17:Q17),"min", MIN(Instances!Q17:Q17),"max", MAX(Instances!Q17:Q17),"diff", MAX(Instances!Q17:Q17)-MIN(Instances!Q17:Q17))</f>
        <v>0</v>
      </c>
      <c r="R17" s="1" t="n">
        <f aca="false" t="array" ref="R17:R17">_xlfn.SWITCH($A$2,"average", AVERAGE(Instances!R17:R17),"median", MEDIAN(Instances!R17:R17),"min", MIN(Instances!R17:R17),"max", MAX(Instances!R17:R17),"diff", MAX(Instances!R17:R17)-MIN(Instances!R17:R17))</f>
        <v>492799</v>
      </c>
      <c r="S17" s="1" t="n">
        <f aca="false">MIN($B17)</f>
        <v>1501</v>
      </c>
      <c r="T17" s="1" t="n">
        <f aca="false">MIN($C17)</f>
        <v>0</v>
      </c>
      <c r="U17" s="1" t="n">
        <f aca="false">MIN($D17)</f>
        <v>329850</v>
      </c>
      <c r="V17" s="1" t="n">
        <f aca="false">MIN($E17)</f>
        <v>0</v>
      </c>
      <c r="W17" s="1" t="n">
        <f aca="false">MIN($F17)</f>
        <v>489</v>
      </c>
      <c r="X17" s="1" t="n">
        <f aca="false">MIN($G17)</f>
        <v>0</v>
      </c>
      <c r="Y17" s="1" t="n">
        <f aca="false">MIN($H17)</f>
        <v>1</v>
      </c>
      <c r="Z17" s="1" t="n">
        <f aca="false">MIN($I17)</f>
        <v>6.973</v>
      </c>
      <c r="AA17" s="1" t="n">
        <f aca="false">MIN($J17)</f>
        <v>7.15</v>
      </c>
      <c r="AB17" s="1" t="n">
        <f aca="false">MIN($K17)</f>
        <v>0</v>
      </c>
      <c r="AC17" s="1" t="n">
        <f aca="false">MIN($M17)</f>
        <v>1592096</v>
      </c>
      <c r="AD17" s="1" t="n">
        <f aca="false">MIN($N17)</f>
        <v>0.04</v>
      </c>
      <c r="AE17" s="1" t="n">
        <f aca="false">MIN($P17)</f>
        <v>7.15</v>
      </c>
      <c r="AF17" s="1" t="n">
        <f aca="false">MIN($Q17)</f>
        <v>0</v>
      </c>
      <c r="AG17" s="1" t="n">
        <f aca="false">MIN($R17)</f>
        <v>492799</v>
      </c>
      <c r="AH17" s="1" t="n">
        <f aca="false">MEDIAN($B17)</f>
        <v>1501</v>
      </c>
      <c r="AI17" s="1" t="n">
        <f aca="false">MEDIAN($C17)</f>
        <v>0</v>
      </c>
      <c r="AJ17" s="1" t="n">
        <f aca="false">MEDIAN($D17)</f>
        <v>329850</v>
      </c>
      <c r="AK17" s="1" t="n">
        <f aca="false">MEDIAN($E17)</f>
        <v>0</v>
      </c>
      <c r="AL17" s="1" t="n">
        <f aca="false">MEDIAN($F17)</f>
        <v>489</v>
      </c>
      <c r="AM17" s="1" t="n">
        <f aca="false">MEDIAN($G17)</f>
        <v>0</v>
      </c>
      <c r="AN17" s="1" t="n">
        <f aca="false">MEDIAN($H17)</f>
        <v>1</v>
      </c>
      <c r="AO17" s="1" t="n">
        <f aca="false">MEDIAN($I17)</f>
        <v>6.973</v>
      </c>
      <c r="AP17" s="1" t="n">
        <f aca="false">MEDIAN($J17)</f>
        <v>7.15</v>
      </c>
      <c r="AQ17" s="1" t="n">
        <f aca="false">MEDIAN($K17)</f>
        <v>0</v>
      </c>
      <c r="AR17" s="1" t="n">
        <f aca="false">MEDIAN($M17)</f>
        <v>1592096</v>
      </c>
      <c r="AS17" s="1" t="n">
        <f aca="false">MEDIAN($N17)</f>
        <v>0.04</v>
      </c>
      <c r="AT17" s="1" t="n">
        <f aca="false">MEDIAN($P17)</f>
        <v>7.15</v>
      </c>
      <c r="AU17" s="1" t="n">
        <f aca="false">MEDIAN($Q17)</f>
        <v>0</v>
      </c>
      <c r="AV17" s="1" t="n">
        <f aca="false">MEDIAN($R17)</f>
        <v>492799</v>
      </c>
      <c r="AW17" s="1" t="n">
        <f aca="false">MAX($B17)</f>
        <v>1501</v>
      </c>
      <c r="AX17" s="1" t="n">
        <f aca="false">MAX($C17)</f>
        <v>0</v>
      </c>
      <c r="AY17" s="1" t="n">
        <f aca="false">MAX($D17)</f>
        <v>329850</v>
      </c>
      <c r="AZ17" s="1" t="n">
        <f aca="false">MAX($E17)</f>
        <v>0</v>
      </c>
      <c r="BA17" s="1" t="n">
        <f aca="false">MAX($F17)</f>
        <v>489</v>
      </c>
      <c r="BB17" s="1" t="n">
        <f aca="false">MAX($G17)</f>
        <v>0</v>
      </c>
      <c r="BC17" s="1" t="n">
        <f aca="false">MAX($H17)</f>
        <v>1</v>
      </c>
      <c r="BD17" s="1" t="n">
        <f aca="false">MAX($I17)</f>
        <v>6.973</v>
      </c>
      <c r="BE17" s="1" t="n">
        <f aca="false">MAX($J17)</f>
        <v>7.15</v>
      </c>
      <c r="BF17" s="1" t="n">
        <f aca="false">MAX($K17)</f>
        <v>0</v>
      </c>
      <c r="BG17" s="1" t="n">
        <f aca="false">MAX($M17)</f>
        <v>1592096</v>
      </c>
      <c r="BH17" s="1" t="n">
        <f aca="false">MAX($N17)</f>
        <v>0.04</v>
      </c>
      <c r="BI17" s="1" t="n">
        <f aca="false">MAX($P17)</f>
        <v>7.15</v>
      </c>
      <c r="BJ17" s="1" t="n">
        <f aca="false">MAX($Q17)</f>
        <v>0</v>
      </c>
      <c r="BK17" s="1" t="n">
        <f aca="false">MAX($R17)</f>
        <v>492799</v>
      </c>
    </row>
    <row r="18" customFormat="false" ht="15" hidden="false" customHeight="false" outlineLevel="0" collapsed="false">
      <c r="A18" s="1" t="s">
        <v>35</v>
      </c>
      <c r="B18" s="1" t="n">
        <f aca="false" t="array" ref="B18:B18">_xlfn.SWITCH($A$2,"average", AVERAGE(Instances!B18:B18),"median", MEDIAN(Instances!B18:B18),"min", MIN(Instances!B18:B18),"max", MAX(Instances!B18:B18),"diff", MAX(Instances!B18:B18)-MIN(Instances!B18:B18))</f>
        <v>1587</v>
      </c>
      <c r="C18" s="1" t="n">
        <f aca="false" t="array" ref="C18:C18">_xlfn.SWITCH($A$2,"average", AVERAGE(Instances!C18:C18),"median", MEDIAN(Instances!C18:C18),"min", MIN(Instances!C18:C18),"max", MAX(Instances!C18:C18),"diff", MAX(Instances!C18:C18)-MIN(Instances!C18:C18))</f>
        <v>0</v>
      </c>
      <c r="D18" s="1" t="n">
        <f aca="false" t="array" ref="D18:D18">_xlfn.SWITCH($A$2,"average", AVERAGE(Instances!D18:D18),"median", MEDIAN(Instances!D18:D18),"min", MIN(Instances!D18:D18),"max", MAX(Instances!D18:D18),"diff", MAX(Instances!D18:D18)-MIN(Instances!D18:D18))</f>
        <v>351381</v>
      </c>
      <c r="E18" s="1" t="n">
        <f aca="false" t="array" ref="E18:E18">_xlfn.SWITCH($A$2,"average", AVERAGE(Instances!E18:E18),"median", MEDIAN(Instances!E18:E18),"min", MIN(Instances!E18:E18),"max", MAX(Instances!E18:E18),"diff", MAX(Instances!E18:E18)-MIN(Instances!E18:E18))</f>
        <v>0</v>
      </c>
      <c r="F18" s="1" t="n">
        <f aca="false" t="array" ref="F18:F18">_xlfn.SWITCH($A$2,"average", AVERAGE(Instances!F18:F18),"median", MEDIAN(Instances!F18:F18),"min", MIN(Instances!F18:F18),"max", MAX(Instances!F18:F18),"diff", MAX(Instances!F18:F18)-MIN(Instances!F18:F18))</f>
        <v>510</v>
      </c>
      <c r="G18" s="1" t="n">
        <f aca="false" t="array" ref="G18:G18">_xlfn.SWITCH($A$2,"average", AVERAGE(Instances!G18:G18),"median", MEDIAN(Instances!G18:G18),"min", MIN(Instances!G18:G18),"max", MAX(Instances!G18:G18),"diff", MAX(Instances!G18:G18)-MIN(Instances!G18:G18))</f>
        <v>0</v>
      </c>
      <c r="H18" s="1" t="n">
        <f aca="false" t="array" ref="H18:H18">_xlfn.SWITCH($A$2,"average", AVERAGE(Instances!H18:H18),"median", MEDIAN(Instances!H18:H18),"min", MIN(Instances!H18:H18),"max", MAX(Instances!H18:H18),"diff", MAX(Instances!H18:H18)-MIN(Instances!H18:H18))</f>
        <v>1</v>
      </c>
      <c r="I18" s="1" t="n">
        <f aca="false" t="array" ref="I18:I18">_xlfn.SWITCH($A$2,"average", AVERAGE(Instances!I18:I18),"median", MEDIAN(Instances!I18:I18),"min", MIN(Instances!I18:I18),"max", MAX(Instances!I18:I18),"diff", MAX(Instances!I18:I18)-MIN(Instances!I18:I18))</f>
        <v>7.217</v>
      </c>
      <c r="J18" s="1" t="n">
        <f aca="false" t="array" ref="J18:J18">_xlfn.SWITCH($A$2,"average", AVERAGE(Instances!J18:J18),"median", MEDIAN(Instances!J18:J18),"min", MIN(Instances!J18:J18),"max", MAX(Instances!J18:J18),"diff", MAX(Instances!J18:J18)-MIN(Instances!J18:J18))</f>
        <v>7.41</v>
      </c>
      <c r="K18" s="1" t="n">
        <f aca="false" t="array" ref="K18:K18">_xlfn.SWITCH($A$2,"average", AVERAGE(Instances!K18:K18),"median", MEDIAN(Instances!K18:K18),"min", MIN(Instances!K18:K18),"max", MAX(Instances!K18:K18),"diff", MAX(Instances!K18:K18)-MIN(Instances!K18:K18))</f>
        <v>0</v>
      </c>
      <c r="L18" s="1"/>
      <c r="M18" s="1" t="n">
        <f aca="false" t="array" ref="M18:M18">_xlfn.SWITCH($A$2,"average", AVERAGE(Instances!M18:M18),"median", MEDIAN(Instances!M18:M18),"min", MIN(Instances!M18:M18),"max", MAX(Instances!M18:M18),"diff", MAX(Instances!M18:M18)-MIN(Instances!M18:M18))</f>
        <v>1658783</v>
      </c>
      <c r="N18" s="1" t="n">
        <f aca="false" t="array" ref="N18:N18">_xlfn.SWITCH($A$2,"average", AVERAGE(Instances!N18:N18),"median", MEDIAN(Instances!N18:N18),"min", MIN(Instances!N18:N18),"max", MAX(Instances!N18:N18),"diff", MAX(Instances!N18:N18)-MIN(Instances!N18:N18))</f>
        <v>0.04</v>
      </c>
      <c r="O18" s="1"/>
      <c r="P18" s="1" t="n">
        <f aca="false" t="array" ref="P18:P18">_xlfn.SWITCH($A$2,"average", AVERAGE(Instances!P18:P18),"median", MEDIAN(Instances!P18:P18),"min", MIN(Instances!P18:P18),"max", MAX(Instances!P18:P18),"diff", MAX(Instances!P18:P18)-MIN(Instances!P18:P18))</f>
        <v>7.41</v>
      </c>
      <c r="Q18" s="1" t="n">
        <f aca="false" t="array" ref="Q18:Q18">_xlfn.SWITCH($A$2,"average", AVERAGE(Instances!Q18:Q18),"median", MEDIAN(Instances!Q18:Q18),"min", MIN(Instances!Q18:Q18),"max", MAX(Instances!Q18:Q18),"diff", MAX(Instances!Q18:Q18)-MIN(Instances!Q18:Q18))</f>
        <v>0</v>
      </c>
      <c r="R18" s="1" t="n">
        <f aca="false" t="array" ref="R18:R18">_xlfn.SWITCH($A$2,"average", AVERAGE(Instances!R18:R18),"median", MEDIAN(Instances!R18:R18),"min", MIN(Instances!R18:R18),"max", MAX(Instances!R18:R18),"diff", MAX(Instances!R18:R18)-MIN(Instances!R18:R18))</f>
        <v>512607</v>
      </c>
      <c r="S18" s="1" t="n">
        <f aca="false">MIN($B18)</f>
        <v>1587</v>
      </c>
      <c r="T18" s="1" t="n">
        <f aca="false">MIN($C18)</f>
        <v>0</v>
      </c>
      <c r="U18" s="1" t="n">
        <f aca="false">MIN($D18)</f>
        <v>351381</v>
      </c>
      <c r="V18" s="1" t="n">
        <f aca="false">MIN($E18)</f>
        <v>0</v>
      </c>
      <c r="W18" s="1" t="n">
        <f aca="false">MIN($F18)</f>
        <v>510</v>
      </c>
      <c r="X18" s="1" t="n">
        <f aca="false">MIN($G18)</f>
        <v>0</v>
      </c>
      <c r="Y18" s="1" t="n">
        <f aca="false">MIN($H18)</f>
        <v>1</v>
      </c>
      <c r="Z18" s="1" t="n">
        <f aca="false">MIN($I18)</f>
        <v>7.217</v>
      </c>
      <c r="AA18" s="1" t="n">
        <f aca="false">MIN($J18)</f>
        <v>7.41</v>
      </c>
      <c r="AB18" s="1" t="n">
        <f aca="false">MIN($K18)</f>
        <v>0</v>
      </c>
      <c r="AC18" s="1" t="n">
        <f aca="false">MIN($M18)</f>
        <v>1658783</v>
      </c>
      <c r="AD18" s="1" t="n">
        <f aca="false">MIN($N18)</f>
        <v>0.04</v>
      </c>
      <c r="AE18" s="1" t="n">
        <f aca="false">MIN($P18)</f>
        <v>7.41</v>
      </c>
      <c r="AF18" s="1" t="n">
        <f aca="false">MIN($Q18)</f>
        <v>0</v>
      </c>
      <c r="AG18" s="1" t="n">
        <f aca="false">MIN($R18)</f>
        <v>512607</v>
      </c>
      <c r="AH18" s="1" t="n">
        <f aca="false">MEDIAN($B18)</f>
        <v>1587</v>
      </c>
      <c r="AI18" s="1" t="n">
        <f aca="false">MEDIAN($C18)</f>
        <v>0</v>
      </c>
      <c r="AJ18" s="1" t="n">
        <f aca="false">MEDIAN($D18)</f>
        <v>351381</v>
      </c>
      <c r="AK18" s="1" t="n">
        <f aca="false">MEDIAN($E18)</f>
        <v>0</v>
      </c>
      <c r="AL18" s="1" t="n">
        <f aca="false">MEDIAN($F18)</f>
        <v>510</v>
      </c>
      <c r="AM18" s="1" t="n">
        <f aca="false">MEDIAN($G18)</f>
        <v>0</v>
      </c>
      <c r="AN18" s="1" t="n">
        <f aca="false">MEDIAN($H18)</f>
        <v>1</v>
      </c>
      <c r="AO18" s="1" t="n">
        <f aca="false">MEDIAN($I18)</f>
        <v>7.217</v>
      </c>
      <c r="AP18" s="1" t="n">
        <f aca="false">MEDIAN($J18)</f>
        <v>7.41</v>
      </c>
      <c r="AQ18" s="1" t="n">
        <f aca="false">MEDIAN($K18)</f>
        <v>0</v>
      </c>
      <c r="AR18" s="1" t="n">
        <f aca="false">MEDIAN($M18)</f>
        <v>1658783</v>
      </c>
      <c r="AS18" s="1" t="n">
        <f aca="false">MEDIAN($N18)</f>
        <v>0.04</v>
      </c>
      <c r="AT18" s="1" t="n">
        <f aca="false">MEDIAN($P18)</f>
        <v>7.41</v>
      </c>
      <c r="AU18" s="1" t="n">
        <f aca="false">MEDIAN($Q18)</f>
        <v>0</v>
      </c>
      <c r="AV18" s="1" t="n">
        <f aca="false">MEDIAN($R18)</f>
        <v>512607</v>
      </c>
      <c r="AW18" s="1" t="n">
        <f aca="false">MAX($B18)</f>
        <v>1587</v>
      </c>
      <c r="AX18" s="1" t="n">
        <f aca="false">MAX($C18)</f>
        <v>0</v>
      </c>
      <c r="AY18" s="1" t="n">
        <f aca="false">MAX($D18)</f>
        <v>351381</v>
      </c>
      <c r="AZ18" s="1" t="n">
        <f aca="false">MAX($E18)</f>
        <v>0</v>
      </c>
      <c r="BA18" s="1" t="n">
        <f aca="false">MAX($F18)</f>
        <v>510</v>
      </c>
      <c r="BB18" s="1" t="n">
        <f aca="false">MAX($G18)</f>
        <v>0</v>
      </c>
      <c r="BC18" s="1" t="n">
        <f aca="false">MAX($H18)</f>
        <v>1</v>
      </c>
      <c r="BD18" s="1" t="n">
        <f aca="false">MAX($I18)</f>
        <v>7.217</v>
      </c>
      <c r="BE18" s="1" t="n">
        <f aca="false">MAX($J18)</f>
        <v>7.41</v>
      </c>
      <c r="BF18" s="1" t="n">
        <f aca="false">MAX($K18)</f>
        <v>0</v>
      </c>
      <c r="BG18" s="1" t="n">
        <f aca="false">MAX($M18)</f>
        <v>1658783</v>
      </c>
      <c r="BH18" s="1" t="n">
        <f aca="false">MAX($N18)</f>
        <v>0.04</v>
      </c>
      <c r="BI18" s="1" t="n">
        <f aca="false">MAX($P18)</f>
        <v>7.41</v>
      </c>
      <c r="BJ18" s="1" t="n">
        <f aca="false">MAX($Q18)</f>
        <v>0</v>
      </c>
      <c r="BK18" s="1" t="n">
        <f aca="false">MAX($R18)</f>
        <v>512607</v>
      </c>
    </row>
    <row r="19" customFormat="false" ht="15" hidden="false" customHeight="false" outlineLevel="0" collapsed="false">
      <c r="A19" s="1" t="s">
        <v>36</v>
      </c>
      <c r="B19" s="1" t="n">
        <f aca="false" t="array" ref="B19:B19">_xlfn.SWITCH($A$2,"average", AVERAGE(Instances!B19:B19),"median", MEDIAN(Instances!B19:B19),"min", MIN(Instances!B19:B19),"max", MAX(Instances!B19:B19),"diff", MAX(Instances!B19:B19)-MIN(Instances!B19:B19))</f>
        <v>1993</v>
      </c>
      <c r="C19" s="1" t="n">
        <f aca="false" t="array" ref="C19:C19">_xlfn.SWITCH($A$2,"average", AVERAGE(Instances!C19:C19),"median", MEDIAN(Instances!C19:C19),"min", MIN(Instances!C19:C19),"max", MAX(Instances!C19:C19),"diff", MAX(Instances!C19:C19)-MIN(Instances!C19:C19))</f>
        <v>2</v>
      </c>
      <c r="D19" s="1" t="n">
        <f aca="false" t="array" ref="D19:D19">_xlfn.SWITCH($A$2,"average", AVERAGE(Instances!D19:D19),"median", MEDIAN(Instances!D19:D19),"min", MIN(Instances!D19:D19),"max", MAX(Instances!D19:D19),"diff", MAX(Instances!D19:D19)-MIN(Instances!D19:D19))</f>
        <v>376114</v>
      </c>
      <c r="E19" s="1" t="n">
        <f aca="false" t="array" ref="E19:E19">_xlfn.SWITCH($A$2,"average", AVERAGE(Instances!E19:E19),"median", MEDIAN(Instances!E19:E19),"min", MIN(Instances!E19:E19),"max", MAX(Instances!E19:E19),"diff", MAX(Instances!E19:E19)-MIN(Instances!E19:E19))</f>
        <v>0</v>
      </c>
      <c r="F19" s="1" t="n">
        <f aca="false" t="array" ref="F19:F19">_xlfn.SWITCH($A$2,"average", AVERAGE(Instances!F19:F19),"median", MEDIAN(Instances!F19:F19),"min", MIN(Instances!F19:F19),"max", MAX(Instances!F19:F19),"diff", MAX(Instances!F19:F19)-MIN(Instances!F19:F19))</f>
        <v>453</v>
      </c>
      <c r="G19" s="1" t="n">
        <f aca="false" t="array" ref="G19:G19">_xlfn.SWITCH($A$2,"average", AVERAGE(Instances!G19:G19),"median", MEDIAN(Instances!G19:G19),"min", MIN(Instances!G19:G19),"max", MAX(Instances!G19:G19),"diff", MAX(Instances!G19:G19)-MIN(Instances!G19:G19))</f>
        <v>0</v>
      </c>
      <c r="H19" s="1" t="n">
        <f aca="false" t="array" ref="H19:H19">_xlfn.SWITCH($A$2,"average", AVERAGE(Instances!H19:H19),"median", MEDIAN(Instances!H19:H19),"min", MIN(Instances!H19:H19),"max", MAX(Instances!H19:H19),"diff", MAX(Instances!H19:H19)-MIN(Instances!H19:H19))</f>
        <v>1</v>
      </c>
      <c r="I19" s="1" t="n">
        <f aca="false" t="array" ref="I19:I19">_xlfn.SWITCH($A$2,"average", AVERAGE(Instances!I19:I19),"median", MEDIAN(Instances!I19:I19),"min", MIN(Instances!I19:I19),"max", MAX(Instances!I19:I19),"diff", MAX(Instances!I19:I19)-MIN(Instances!I19:I19))</f>
        <v>6.241</v>
      </c>
      <c r="J19" s="1" t="n">
        <f aca="false" t="array" ref="J19:J19">_xlfn.SWITCH($A$2,"average", AVERAGE(Instances!J19:J19),"median", MEDIAN(Instances!J19:J19),"min", MIN(Instances!J19:J19),"max", MAX(Instances!J19:J19),"diff", MAX(Instances!J19:J19)-MIN(Instances!J19:J19))</f>
        <v>6.41</v>
      </c>
      <c r="K19" s="1" t="n">
        <f aca="false" t="array" ref="K19:K19">_xlfn.SWITCH($A$2,"average", AVERAGE(Instances!K19:K19),"median", MEDIAN(Instances!K19:K19),"min", MIN(Instances!K19:K19),"max", MAX(Instances!K19:K19),"diff", MAX(Instances!K19:K19)-MIN(Instances!K19:K19))</f>
        <v>0</v>
      </c>
      <c r="L19" s="1"/>
      <c r="M19" s="1" t="n">
        <f aca="false" t="array" ref="M19:M19">_xlfn.SWITCH($A$2,"average", AVERAGE(Instances!M19:M19),"median", MEDIAN(Instances!M19:M19),"min", MIN(Instances!M19:M19),"max", MAX(Instances!M19:M19),"diff", MAX(Instances!M19:M19)-MIN(Instances!M19:M19))</f>
        <v>1442200</v>
      </c>
      <c r="N19" s="1" t="n">
        <f aca="false" t="array" ref="N19:N19">_xlfn.SWITCH($A$2,"average", AVERAGE(Instances!N19:N19),"median", MEDIAN(Instances!N19:N19),"min", MIN(Instances!N19:N19),"max", MAX(Instances!N19:N19),"diff", MAX(Instances!N19:N19)-MIN(Instances!N19:N19))</f>
        <v>0.04</v>
      </c>
      <c r="O19" s="1"/>
      <c r="P19" s="1" t="n">
        <f aca="false" t="array" ref="P19:P19">_xlfn.SWITCH($A$2,"average", AVERAGE(Instances!P19:P19),"median", MEDIAN(Instances!P19:P19),"min", MIN(Instances!P19:P19),"max", MAX(Instances!P19:P19),"diff", MAX(Instances!P19:P19)-MIN(Instances!P19:P19))</f>
        <v>6.41</v>
      </c>
      <c r="Q19" s="1" t="n">
        <f aca="false" t="array" ref="Q19:Q19">_xlfn.SWITCH($A$2,"average", AVERAGE(Instances!Q19:Q19),"median", MEDIAN(Instances!Q19:Q19),"min", MIN(Instances!Q19:Q19),"max", MAX(Instances!Q19:Q19),"diff", MAX(Instances!Q19:Q19)-MIN(Instances!Q19:Q19))</f>
        <v>0</v>
      </c>
      <c r="R19" s="1" t="n">
        <f aca="false" t="array" ref="R19:R19">_xlfn.SWITCH($A$2,"average", AVERAGE(Instances!R19:R19),"median", MEDIAN(Instances!R19:R19),"min", MIN(Instances!R19:R19),"max", MAX(Instances!R19:R19),"diff", MAX(Instances!R19:R19)-MIN(Instances!R19:R19))</f>
        <v>449795</v>
      </c>
      <c r="S19" s="1" t="n">
        <f aca="false">MIN($B19)</f>
        <v>1993</v>
      </c>
      <c r="T19" s="1" t="n">
        <f aca="false">MIN($C19)</f>
        <v>2</v>
      </c>
      <c r="U19" s="1" t="n">
        <f aca="false">MIN($D19)</f>
        <v>376114</v>
      </c>
      <c r="V19" s="1" t="n">
        <f aca="false">MIN($E19)</f>
        <v>0</v>
      </c>
      <c r="W19" s="1" t="n">
        <f aca="false">MIN($F19)</f>
        <v>453</v>
      </c>
      <c r="X19" s="1" t="n">
        <f aca="false">MIN($G19)</f>
        <v>0</v>
      </c>
      <c r="Y19" s="1" t="n">
        <f aca="false">MIN($H19)</f>
        <v>1</v>
      </c>
      <c r="Z19" s="1" t="n">
        <f aca="false">MIN($I19)</f>
        <v>6.241</v>
      </c>
      <c r="AA19" s="1" t="n">
        <f aca="false">MIN($J19)</f>
        <v>6.41</v>
      </c>
      <c r="AB19" s="1" t="n">
        <f aca="false">MIN($K19)</f>
        <v>0</v>
      </c>
      <c r="AC19" s="1" t="n">
        <f aca="false">MIN($M19)</f>
        <v>1442200</v>
      </c>
      <c r="AD19" s="1" t="n">
        <f aca="false">MIN($N19)</f>
        <v>0.04</v>
      </c>
      <c r="AE19" s="1" t="n">
        <f aca="false">MIN($P19)</f>
        <v>6.41</v>
      </c>
      <c r="AF19" s="1" t="n">
        <f aca="false">MIN($Q19)</f>
        <v>0</v>
      </c>
      <c r="AG19" s="1" t="n">
        <f aca="false">MIN($R19)</f>
        <v>449795</v>
      </c>
      <c r="AH19" s="1" t="n">
        <f aca="false">MEDIAN($B19)</f>
        <v>1993</v>
      </c>
      <c r="AI19" s="1" t="n">
        <f aca="false">MEDIAN($C19)</f>
        <v>2</v>
      </c>
      <c r="AJ19" s="1" t="n">
        <f aca="false">MEDIAN($D19)</f>
        <v>376114</v>
      </c>
      <c r="AK19" s="1" t="n">
        <f aca="false">MEDIAN($E19)</f>
        <v>0</v>
      </c>
      <c r="AL19" s="1" t="n">
        <f aca="false">MEDIAN($F19)</f>
        <v>453</v>
      </c>
      <c r="AM19" s="1" t="n">
        <f aca="false">MEDIAN($G19)</f>
        <v>0</v>
      </c>
      <c r="AN19" s="1" t="n">
        <f aca="false">MEDIAN($H19)</f>
        <v>1</v>
      </c>
      <c r="AO19" s="1" t="n">
        <f aca="false">MEDIAN($I19)</f>
        <v>6.241</v>
      </c>
      <c r="AP19" s="1" t="n">
        <f aca="false">MEDIAN($J19)</f>
        <v>6.41</v>
      </c>
      <c r="AQ19" s="1" t="n">
        <f aca="false">MEDIAN($K19)</f>
        <v>0</v>
      </c>
      <c r="AR19" s="1" t="n">
        <f aca="false">MEDIAN($M19)</f>
        <v>1442200</v>
      </c>
      <c r="AS19" s="1" t="n">
        <f aca="false">MEDIAN($N19)</f>
        <v>0.04</v>
      </c>
      <c r="AT19" s="1" t="n">
        <f aca="false">MEDIAN($P19)</f>
        <v>6.41</v>
      </c>
      <c r="AU19" s="1" t="n">
        <f aca="false">MEDIAN($Q19)</f>
        <v>0</v>
      </c>
      <c r="AV19" s="1" t="n">
        <f aca="false">MEDIAN($R19)</f>
        <v>449795</v>
      </c>
      <c r="AW19" s="1" t="n">
        <f aca="false">MAX($B19)</f>
        <v>1993</v>
      </c>
      <c r="AX19" s="1" t="n">
        <f aca="false">MAX($C19)</f>
        <v>2</v>
      </c>
      <c r="AY19" s="1" t="n">
        <f aca="false">MAX($D19)</f>
        <v>376114</v>
      </c>
      <c r="AZ19" s="1" t="n">
        <f aca="false">MAX($E19)</f>
        <v>0</v>
      </c>
      <c r="BA19" s="1" t="n">
        <f aca="false">MAX($F19)</f>
        <v>453</v>
      </c>
      <c r="BB19" s="1" t="n">
        <f aca="false">MAX($G19)</f>
        <v>0</v>
      </c>
      <c r="BC19" s="1" t="n">
        <f aca="false">MAX($H19)</f>
        <v>1</v>
      </c>
      <c r="BD19" s="1" t="n">
        <f aca="false">MAX($I19)</f>
        <v>6.241</v>
      </c>
      <c r="BE19" s="1" t="n">
        <f aca="false">MAX($J19)</f>
        <v>6.41</v>
      </c>
      <c r="BF19" s="1" t="n">
        <f aca="false">MAX($K19)</f>
        <v>0</v>
      </c>
      <c r="BG19" s="1" t="n">
        <f aca="false">MAX($M19)</f>
        <v>1442200</v>
      </c>
      <c r="BH19" s="1" t="n">
        <f aca="false">MAX($N19)</f>
        <v>0.04</v>
      </c>
      <c r="BI19" s="1" t="n">
        <f aca="false">MAX($P19)</f>
        <v>6.41</v>
      </c>
      <c r="BJ19" s="1" t="n">
        <f aca="false">MAX($Q19)</f>
        <v>0</v>
      </c>
      <c r="BK19" s="1" t="n">
        <f aca="false">MAX($R19)</f>
        <v>449795</v>
      </c>
    </row>
    <row r="20" customFormat="false" ht="15" hidden="false" customHeight="false" outlineLevel="0" collapsed="false">
      <c r="A20" s="1" t="s">
        <v>37</v>
      </c>
      <c r="B20" s="1" t="n">
        <f aca="false" t="array" ref="B20:B20">_xlfn.SWITCH($A$2,"average", AVERAGE(Instances!B20:B20),"median", MEDIAN(Instances!B20:B20),"min", MIN(Instances!B20:B20),"max", MAX(Instances!B20:B20),"diff", MAX(Instances!B20:B20)-MIN(Instances!B20:B20))</f>
        <v>1066</v>
      </c>
      <c r="C20" s="1" t="n">
        <f aca="false" t="array" ref="C20:C20">_xlfn.SWITCH($A$2,"average", AVERAGE(Instances!C20:C20),"median", MEDIAN(Instances!C20:C20),"min", MIN(Instances!C20:C20),"max", MAX(Instances!C20:C20),"diff", MAX(Instances!C20:C20)-MIN(Instances!C20:C20))</f>
        <v>0</v>
      </c>
      <c r="D20" s="1" t="n">
        <f aca="false" t="array" ref="D20:D20">_xlfn.SWITCH($A$2,"average", AVERAGE(Instances!D20:D20),"median", MEDIAN(Instances!D20:D20),"min", MIN(Instances!D20:D20),"max", MAX(Instances!D20:D20),"diff", MAX(Instances!D20:D20)-MIN(Instances!D20:D20))</f>
        <v>333417</v>
      </c>
      <c r="E20" s="1" t="n">
        <f aca="false" t="array" ref="E20:E20">_xlfn.SWITCH($A$2,"average", AVERAGE(Instances!E20:E20),"median", MEDIAN(Instances!E20:E20),"min", MIN(Instances!E20:E20),"max", MAX(Instances!E20:E20),"diff", MAX(Instances!E20:E20)-MIN(Instances!E20:E20))</f>
        <v>0</v>
      </c>
      <c r="F20" s="1" t="n">
        <f aca="false" t="array" ref="F20:F20">_xlfn.SWITCH($A$2,"average", AVERAGE(Instances!F20:F20),"median", MEDIAN(Instances!F20:F20),"min", MIN(Instances!F20:F20),"max", MAX(Instances!F20:F20),"diff", MAX(Instances!F20:F20)-MIN(Instances!F20:F20))</f>
        <v>495</v>
      </c>
      <c r="G20" s="1" t="n">
        <f aca="false" t="array" ref="G20:G20">_xlfn.SWITCH($A$2,"average", AVERAGE(Instances!G20:G20),"median", MEDIAN(Instances!G20:G20),"min", MIN(Instances!G20:G20),"max", MAX(Instances!G20:G20),"diff", MAX(Instances!G20:G20)-MIN(Instances!G20:G20))</f>
        <v>0</v>
      </c>
      <c r="H20" s="1" t="n">
        <f aca="false" t="array" ref="H20:H20">_xlfn.SWITCH($A$2,"average", AVERAGE(Instances!H20:H20),"median", MEDIAN(Instances!H20:H20),"min", MIN(Instances!H20:H20),"max", MAX(Instances!H20:H20),"diff", MAX(Instances!H20:H20)-MIN(Instances!H20:H20))</f>
        <v>1</v>
      </c>
      <c r="I20" s="1" t="n">
        <f aca="false" t="array" ref="I20:I20">_xlfn.SWITCH($A$2,"average", AVERAGE(Instances!I20:I20),"median", MEDIAN(Instances!I20:I20),"min", MIN(Instances!I20:I20),"max", MAX(Instances!I20:I20),"diff", MAX(Instances!I20:I20)-MIN(Instances!I20:I20))</f>
        <v>6.878</v>
      </c>
      <c r="J20" s="1" t="n">
        <f aca="false" t="array" ref="J20:J20">_xlfn.SWITCH($A$2,"average", AVERAGE(Instances!J20:J20),"median", MEDIAN(Instances!J20:J20),"min", MIN(Instances!J20:J20),"max", MAX(Instances!J20:J20),"diff", MAX(Instances!J20:J20)-MIN(Instances!J20:J20))</f>
        <v>7.05</v>
      </c>
      <c r="K20" s="1" t="n">
        <f aca="false" t="array" ref="K20:K20">_xlfn.SWITCH($A$2,"average", AVERAGE(Instances!K20:K20),"median", MEDIAN(Instances!K20:K20),"min", MIN(Instances!K20:K20),"max", MAX(Instances!K20:K20),"diff", MAX(Instances!K20:K20)-MIN(Instances!K20:K20))</f>
        <v>0</v>
      </c>
      <c r="L20" s="1"/>
      <c r="M20" s="1" t="n">
        <f aca="false" t="array" ref="M20:M20">_xlfn.SWITCH($A$2,"average", AVERAGE(Instances!M20:M20),"median", MEDIAN(Instances!M20:M20),"min", MIN(Instances!M20:M20),"max", MAX(Instances!M20:M20),"diff", MAX(Instances!M20:M20)-MIN(Instances!M20:M20))</f>
        <v>1600104</v>
      </c>
      <c r="N20" s="1" t="n">
        <f aca="false" t="array" ref="N20:N20">_xlfn.SWITCH($A$2,"average", AVERAGE(Instances!N20:N20),"median", MEDIAN(Instances!N20:N20),"min", MIN(Instances!N20:N20),"max", MAX(Instances!N20:N20),"diff", MAX(Instances!N20:N20)-MIN(Instances!N20:N20))</f>
        <v>0.04</v>
      </c>
      <c r="O20" s="1"/>
      <c r="P20" s="1" t="n">
        <f aca="false" t="array" ref="P20:P20">_xlfn.SWITCH($A$2,"average", AVERAGE(Instances!P20:P20),"median", MEDIAN(Instances!P20:P20),"min", MIN(Instances!P20:P20),"max", MAX(Instances!P20:P20),"diff", MAX(Instances!P20:P20)-MIN(Instances!P20:P20))</f>
        <v>7.05</v>
      </c>
      <c r="Q20" s="1" t="n">
        <f aca="false" t="array" ref="Q20:Q20">_xlfn.SWITCH($A$2,"average", AVERAGE(Instances!Q20:Q20),"median", MEDIAN(Instances!Q20:Q20),"min", MIN(Instances!Q20:Q20),"max", MAX(Instances!Q20:Q20),"diff", MAX(Instances!Q20:Q20)-MIN(Instances!Q20:Q20))</f>
        <v>0</v>
      </c>
      <c r="R20" s="1" t="n">
        <f aca="false" t="array" ref="R20:R20">_xlfn.SWITCH($A$2,"average", AVERAGE(Instances!R20:R20),"median", MEDIAN(Instances!R20:R20),"min", MIN(Instances!R20:R20),"max", MAX(Instances!R20:R20),"diff", MAX(Instances!R20:R20)-MIN(Instances!R20:R20))</f>
        <v>496107</v>
      </c>
      <c r="S20" s="1" t="n">
        <f aca="false">MIN($B20)</f>
        <v>1066</v>
      </c>
      <c r="T20" s="1" t="n">
        <f aca="false">MIN($C20)</f>
        <v>0</v>
      </c>
      <c r="U20" s="1" t="n">
        <f aca="false">MIN($D20)</f>
        <v>333417</v>
      </c>
      <c r="V20" s="1" t="n">
        <f aca="false">MIN($E20)</f>
        <v>0</v>
      </c>
      <c r="W20" s="1" t="n">
        <f aca="false">MIN($F20)</f>
        <v>495</v>
      </c>
      <c r="X20" s="1" t="n">
        <f aca="false">MIN($G20)</f>
        <v>0</v>
      </c>
      <c r="Y20" s="1" t="n">
        <f aca="false">MIN($H20)</f>
        <v>1</v>
      </c>
      <c r="Z20" s="1" t="n">
        <f aca="false">MIN($I20)</f>
        <v>6.878</v>
      </c>
      <c r="AA20" s="1" t="n">
        <f aca="false">MIN($J20)</f>
        <v>7.05</v>
      </c>
      <c r="AB20" s="1" t="n">
        <f aca="false">MIN($K20)</f>
        <v>0</v>
      </c>
      <c r="AC20" s="1" t="n">
        <f aca="false">MIN($M20)</f>
        <v>1600104</v>
      </c>
      <c r="AD20" s="1" t="n">
        <f aca="false">MIN($N20)</f>
        <v>0.04</v>
      </c>
      <c r="AE20" s="1" t="n">
        <f aca="false">MIN($P20)</f>
        <v>7.05</v>
      </c>
      <c r="AF20" s="1" t="n">
        <f aca="false">MIN($Q20)</f>
        <v>0</v>
      </c>
      <c r="AG20" s="1" t="n">
        <f aca="false">MIN($R20)</f>
        <v>496107</v>
      </c>
      <c r="AH20" s="1" t="n">
        <f aca="false">MEDIAN($B20)</f>
        <v>1066</v>
      </c>
      <c r="AI20" s="1" t="n">
        <f aca="false">MEDIAN($C20)</f>
        <v>0</v>
      </c>
      <c r="AJ20" s="1" t="n">
        <f aca="false">MEDIAN($D20)</f>
        <v>333417</v>
      </c>
      <c r="AK20" s="1" t="n">
        <f aca="false">MEDIAN($E20)</f>
        <v>0</v>
      </c>
      <c r="AL20" s="1" t="n">
        <f aca="false">MEDIAN($F20)</f>
        <v>495</v>
      </c>
      <c r="AM20" s="1" t="n">
        <f aca="false">MEDIAN($G20)</f>
        <v>0</v>
      </c>
      <c r="AN20" s="1" t="n">
        <f aca="false">MEDIAN($H20)</f>
        <v>1</v>
      </c>
      <c r="AO20" s="1" t="n">
        <f aca="false">MEDIAN($I20)</f>
        <v>6.878</v>
      </c>
      <c r="AP20" s="1" t="n">
        <f aca="false">MEDIAN($J20)</f>
        <v>7.05</v>
      </c>
      <c r="AQ20" s="1" t="n">
        <f aca="false">MEDIAN($K20)</f>
        <v>0</v>
      </c>
      <c r="AR20" s="1" t="n">
        <f aca="false">MEDIAN($M20)</f>
        <v>1600104</v>
      </c>
      <c r="AS20" s="1" t="n">
        <f aca="false">MEDIAN($N20)</f>
        <v>0.04</v>
      </c>
      <c r="AT20" s="1" t="n">
        <f aca="false">MEDIAN($P20)</f>
        <v>7.05</v>
      </c>
      <c r="AU20" s="1" t="n">
        <f aca="false">MEDIAN($Q20)</f>
        <v>0</v>
      </c>
      <c r="AV20" s="1" t="n">
        <f aca="false">MEDIAN($R20)</f>
        <v>496107</v>
      </c>
      <c r="AW20" s="1" t="n">
        <f aca="false">MAX($B20)</f>
        <v>1066</v>
      </c>
      <c r="AX20" s="1" t="n">
        <f aca="false">MAX($C20)</f>
        <v>0</v>
      </c>
      <c r="AY20" s="1" t="n">
        <f aca="false">MAX($D20)</f>
        <v>333417</v>
      </c>
      <c r="AZ20" s="1" t="n">
        <f aca="false">MAX($E20)</f>
        <v>0</v>
      </c>
      <c r="BA20" s="1" t="n">
        <f aca="false">MAX($F20)</f>
        <v>495</v>
      </c>
      <c r="BB20" s="1" t="n">
        <f aca="false">MAX($G20)</f>
        <v>0</v>
      </c>
      <c r="BC20" s="1" t="n">
        <f aca="false">MAX($H20)</f>
        <v>1</v>
      </c>
      <c r="BD20" s="1" t="n">
        <f aca="false">MAX($I20)</f>
        <v>6.878</v>
      </c>
      <c r="BE20" s="1" t="n">
        <f aca="false">MAX($J20)</f>
        <v>7.05</v>
      </c>
      <c r="BF20" s="1" t="n">
        <f aca="false">MAX($K20)</f>
        <v>0</v>
      </c>
      <c r="BG20" s="1" t="n">
        <f aca="false">MAX($M20)</f>
        <v>1600104</v>
      </c>
      <c r="BH20" s="1" t="n">
        <f aca="false">MAX($N20)</f>
        <v>0.04</v>
      </c>
      <c r="BI20" s="1" t="n">
        <f aca="false">MAX($P20)</f>
        <v>7.05</v>
      </c>
      <c r="BJ20" s="1" t="n">
        <f aca="false">MAX($Q20)</f>
        <v>0</v>
      </c>
      <c r="BK20" s="1" t="n">
        <f aca="false">MAX($R20)</f>
        <v>496107</v>
      </c>
    </row>
    <row r="21" customFormat="false" ht="15" hidden="false" customHeight="false" outlineLevel="0" collapsed="false">
      <c r="A21" s="1" t="s">
        <v>38</v>
      </c>
      <c r="B21" s="1" t="n">
        <f aca="false" t="array" ref="B21:B21">_xlfn.SWITCH($A$2,"average", AVERAGE(Instances!B21:B21),"median", MEDIAN(Instances!B21:B21),"min", MIN(Instances!B21:B21),"max", MAX(Instances!B21:B21),"diff", MAX(Instances!B21:B21)-MIN(Instances!B21:B21))</f>
        <v>1160</v>
      </c>
      <c r="C21" s="1" t="n">
        <f aca="false" t="array" ref="C21:C21">_xlfn.SWITCH($A$2,"average", AVERAGE(Instances!C21:C21),"median", MEDIAN(Instances!C21:C21),"min", MIN(Instances!C21:C21),"max", MAX(Instances!C21:C21),"diff", MAX(Instances!C21:C21)-MIN(Instances!C21:C21))</f>
        <v>0</v>
      </c>
      <c r="D21" s="1" t="n">
        <f aca="false" t="array" ref="D21:D21">_xlfn.SWITCH($A$2,"average", AVERAGE(Instances!D21:D21),"median", MEDIAN(Instances!D21:D21),"min", MIN(Instances!D21:D21),"max", MAX(Instances!D21:D21),"diff", MAX(Instances!D21:D21)-MIN(Instances!D21:D21))</f>
        <v>355696</v>
      </c>
      <c r="E21" s="1" t="n">
        <f aca="false" t="array" ref="E21:E21">_xlfn.SWITCH($A$2,"average", AVERAGE(Instances!E21:E21),"median", MEDIAN(Instances!E21:E21),"min", MIN(Instances!E21:E21),"max", MAX(Instances!E21:E21),"diff", MAX(Instances!E21:E21)-MIN(Instances!E21:E21))</f>
        <v>0</v>
      </c>
      <c r="F21" s="1" t="n">
        <f aca="false" t="array" ref="F21:F21">_xlfn.SWITCH($A$2,"average", AVERAGE(Instances!F21:F21),"median", MEDIAN(Instances!F21:F21),"min", MIN(Instances!F21:F21),"max", MAX(Instances!F21:F21),"diff", MAX(Instances!F21:F21)-MIN(Instances!F21:F21))</f>
        <v>510</v>
      </c>
      <c r="G21" s="1" t="n">
        <f aca="false" t="array" ref="G21:G21">_xlfn.SWITCH($A$2,"average", AVERAGE(Instances!G21:G21),"median", MEDIAN(Instances!G21:G21),"min", MIN(Instances!G21:G21),"max", MAX(Instances!G21:G21),"diff", MAX(Instances!G21:G21)-MIN(Instances!G21:G21))</f>
        <v>0</v>
      </c>
      <c r="H21" s="1" t="n">
        <f aca="false" t="array" ref="H21:H21">_xlfn.SWITCH($A$2,"average", AVERAGE(Instances!H21:H21),"median", MEDIAN(Instances!H21:H21),"min", MIN(Instances!H21:H21),"max", MAX(Instances!H21:H21),"diff", MAX(Instances!H21:H21)-MIN(Instances!H21:H21))</f>
        <v>1</v>
      </c>
      <c r="I21" s="1" t="n">
        <f aca="false" t="array" ref="I21:I21">_xlfn.SWITCH($A$2,"average", AVERAGE(Instances!I21:I21),"median", MEDIAN(Instances!I21:I21),"min", MIN(Instances!I21:I21),"max", MAX(Instances!I21:I21),"diff", MAX(Instances!I21:I21)-MIN(Instances!I21:I21))</f>
        <v>7.263</v>
      </c>
      <c r="J21" s="1" t="n">
        <f aca="false" t="array" ref="J21:J21">_xlfn.SWITCH($A$2,"average", AVERAGE(Instances!J21:J21),"median", MEDIAN(Instances!J21:J21),"min", MIN(Instances!J21:J21),"max", MAX(Instances!J21:J21),"diff", MAX(Instances!J21:J21)-MIN(Instances!J21:J21))</f>
        <v>7.45</v>
      </c>
      <c r="K21" s="1" t="n">
        <f aca="false" t="array" ref="K21:K21">_xlfn.SWITCH($A$2,"average", AVERAGE(Instances!K21:K21),"median", MEDIAN(Instances!K21:K21),"min", MIN(Instances!K21:K21),"max", MAX(Instances!K21:K21),"diff", MAX(Instances!K21:K21)-MIN(Instances!K21:K21))</f>
        <v>0</v>
      </c>
      <c r="L21" s="1"/>
      <c r="M21" s="1" t="n">
        <f aca="false" t="array" ref="M21:M21">_xlfn.SWITCH($A$2,"average", AVERAGE(Instances!M21:M21),"median", MEDIAN(Instances!M21:M21),"min", MIN(Instances!M21:M21),"max", MAX(Instances!M21:M21),"diff", MAX(Instances!M21:M21)-MIN(Instances!M21:M21))</f>
        <v>1669215</v>
      </c>
      <c r="N21" s="1" t="n">
        <f aca="false" t="array" ref="N21:N21">_xlfn.SWITCH($A$2,"average", AVERAGE(Instances!N21:N21),"median", MEDIAN(Instances!N21:N21),"min", MIN(Instances!N21:N21),"max", MAX(Instances!N21:N21),"diff", MAX(Instances!N21:N21)-MIN(Instances!N21:N21))</f>
        <v>0.04</v>
      </c>
      <c r="O21" s="1"/>
      <c r="P21" s="1" t="n">
        <f aca="false" t="array" ref="P21:P21">_xlfn.SWITCH($A$2,"average", AVERAGE(Instances!P21:P21),"median", MEDIAN(Instances!P21:P21),"min", MIN(Instances!P21:P21),"max", MAX(Instances!P21:P21),"diff", MAX(Instances!P21:P21)-MIN(Instances!P21:P21))</f>
        <v>7.45</v>
      </c>
      <c r="Q21" s="1" t="n">
        <f aca="false" t="array" ref="Q21:Q21">_xlfn.SWITCH($A$2,"average", AVERAGE(Instances!Q21:Q21),"median", MEDIAN(Instances!Q21:Q21),"min", MIN(Instances!Q21:Q21),"max", MAX(Instances!Q21:Q21),"diff", MAX(Instances!Q21:Q21)-MIN(Instances!Q21:Q21))</f>
        <v>0</v>
      </c>
      <c r="R21" s="1" t="n">
        <f aca="false" t="array" ref="R21:R21">_xlfn.SWITCH($A$2,"average", AVERAGE(Instances!R21:R21),"median", MEDIAN(Instances!R21:R21),"min", MIN(Instances!R21:R21),"max", MAX(Instances!R21:R21),"diff", MAX(Instances!R21:R21)-MIN(Instances!R21:R21))</f>
        <v>515915</v>
      </c>
      <c r="S21" s="1" t="n">
        <f aca="false">MIN($B21)</f>
        <v>1160</v>
      </c>
      <c r="T21" s="1" t="n">
        <f aca="false">MIN($C21)</f>
        <v>0</v>
      </c>
      <c r="U21" s="1" t="n">
        <f aca="false">MIN($D21)</f>
        <v>355696</v>
      </c>
      <c r="V21" s="1" t="n">
        <f aca="false">MIN($E21)</f>
        <v>0</v>
      </c>
      <c r="W21" s="1" t="n">
        <f aca="false">MIN($F21)</f>
        <v>510</v>
      </c>
      <c r="X21" s="1" t="n">
        <f aca="false">MIN($G21)</f>
        <v>0</v>
      </c>
      <c r="Y21" s="1" t="n">
        <f aca="false">MIN($H21)</f>
        <v>1</v>
      </c>
      <c r="Z21" s="1" t="n">
        <f aca="false">MIN($I21)</f>
        <v>7.263</v>
      </c>
      <c r="AA21" s="1" t="n">
        <f aca="false">MIN($J21)</f>
        <v>7.45</v>
      </c>
      <c r="AB21" s="1" t="n">
        <f aca="false">MIN($K21)</f>
        <v>0</v>
      </c>
      <c r="AC21" s="1" t="n">
        <f aca="false">MIN($M21)</f>
        <v>1669215</v>
      </c>
      <c r="AD21" s="1" t="n">
        <f aca="false">MIN($N21)</f>
        <v>0.04</v>
      </c>
      <c r="AE21" s="1" t="n">
        <f aca="false">MIN($P21)</f>
        <v>7.45</v>
      </c>
      <c r="AF21" s="1" t="n">
        <f aca="false">MIN($Q21)</f>
        <v>0</v>
      </c>
      <c r="AG21" s="1" t="n">
        <f aca="false">MIN($R21)</f>
        <v>515915</v>
      </c>
      <c r="AH21" s="1" t="n">
        <f aca="false">MEDIAN($B21)</f>
        <v>1160</v>
      </c>
      <c r="AI21" s="1" t="n">
        <f aca="false">MEDIAN($C21)</f>
        <v>0</v>
      </c>
      <c r="AJ21" s="1" t="n">
        <f aca="false">MEDIAN($D21)</f>
        <v>355696</v>
      </c>
      <c r="AK21" s="1" t="n">
        <f aca="false">MEDIAN($E21)</f>
        <v>0</v>
      </c>
      <c r="AL21" s="1" t="n">
        <f aca="false">MEDIAN($F21)</f>
        <v>510</v>
      </c>
      <c r="AM21" s="1" t="n">
        <f aca="false">MEDIAN($G21)</f>
        <v>0</v>
      </c>
      <c r="AN21" s="1" t="n">
        <f aca="false">MEDIAN($H21)</f>
        <v>1</v>
      </c>
      <c r="AO21" s="1" t="n">
        <f aca="false">MEDIAN($I21)</f>
        <v>7.263</v>
      </c>
      <c r="AP21" s="1" t="n">
        <f aca="false">MEDIAN($J21)</f>
        <v>7.45</v>
      </c>
      <c r="AQ21" s="1" t="n">
        <f aca="false">MEDIAN($K21)</f>
        <v>0</v>
      </c>
      <c r="AR21" s="1" t="n">
        <f aca="false">MEDIAN($M21)</f>
        <v>1669215</v>
      </c>
      <c r="AS21" s="1" t="n">
        <f aca="false">MEDIAN($N21)</f>
        <v>0.04</v>
      </c>
      <c r="AT21" s="1" t="n">
        <f aca="false">MEDIAN($P21)</f>
        <v>7.45</v>
      </c>
      <c r="AU21" s="1" t="n">
        <f aca="false">MEDIAN($Q21)</f>
        <v>0</v>
      </c>
      <c r="AV21" s="1" t="n">
        <f aca="false">MEDIAN($R21)</f>
        <v>515915</v>
      </c>
      <c r="AW21" s="1" t="n">
        <f aca="false">MAX($B21)</f>
        <v>1160</v>
      </c>
      <c r="AX21" s="1" t="n">
        <f aca="false">MAX($C21)</f>
        <v>0</v>
      </c>
      <c r="AY21" s="1" t="n">
        <f aca="false">MAX($D21)</f>
        <v>355696</v>
      </c>
      <c r="AZ21" s="1" t="n">
        <f aca="false">MAX($E21)</f>
        <v>0</v>
      </c>
      <c r="BA21" s="1" t="n">
        <f aca="false">MAX($F21)</f>
        <v>510</v>
      </c>
      <c r="BB21" s="1" t="n">
        <f aca="false">MAX($G21)</f>
        <v>0</v>
      </c>
      <c r="BC21" s="1" t="n">
        <f aca="false">MAX($H21)</f>
        <v>1</v>
      </c>
      <c r="BD21" s="1" t="n">
        <f aca="false">MAX($I21)</f>
        <v>7.263</v>
      </c>
      <c r="BE21" s="1" t="n">
        <f aca="false">MAX($J21)</f>
        <v>7.45</v>
      </c>
      <c r="BF21" s="1" t="n">
        <f aca="false">MAX($K21)</f>
        <v>0</v>
      </c>
      <c r="BG21" s="1" t="n">
        <f aca="false">MAX($M21)</f>
        <v>1669215</v>
      </c>
      <c r="BH21" s="1" t="n">
        <f aca="false">MAX($N21)</f>
        <v>0.04</v>
      </c>
      <c r="BI21" s="1" t="n">
        <f aca="false">MAX($P21)</f>
        <v>7.45</v>
      </c>
      <c r="BJ21" s="1" t="n">
        <f aca="false">MAX($Q21)</f>
        <v>0</v>
      </c>
      <c r="BK21" s="1" t="n">
        <f aca="false">MAX($R21)</f>
        <v>515915</v>
      </c>
    </row>
    <row r="22" customFormat="false" ht="15" hidden="false" customHeight="false" outlineLevel="0" collapsed="false">
      <c r="A22" s="1" t="s">
        <v>39</v>
      </c>
      <c r="B22" s="1" t="n">
        <f aca="false" t="array" ref="B22:B22">_xlfn.SWITCH($A$2,"average", AVERAGE(Instances!B22:B22),"median", MEDIAN(Instances!B22:B22),"min", MIN(Instances!B22:B22),"max", MAX(Instances!B22:B22),"diff", MAX(Instances!B22:B22)-MIN(Instances!B22:B22))</f>
        <v>1900</v>
      </c>
      <c r="C22" s="1" t="n">
        <f aca="false" t="array" ref="C22:C22">_xlfn.SWITCH($A$2,"average", AVERAGE(Instances!C22:C22),"median", MEDIAN(Instances!C22:C22),"min", MIN(Instances!C22:C22),"max", MAX(Instances!C22:C22),"diff", MAX(Instances!C22:C22)-MIN(Instances!C22:C22))</f>
        <v>3</v>
      </c>
      <c r="D22" s="1" t="n">
        <f aca="false" t="array" ref="D22:D22">_xlfn.SWITCH($A$2,"average", AVERAGE(Instances!D22:D22),"median", MEDIAN(Instances!D22:D22),"min", MIN(Instances!D22:D22),"max", MAX(Instances!D22:D22),"diff", MAX(Instances!D22:D22)-MIN(Instances!D22:D22))</f>
        <v>361000</v>
      </c>
      <c r="E22" s="1" t="n">
        <f aca="false" t="array" ref="E22:E22">_xlfn.SWITCH($A$2,"average", AVERAGE(Instances!E22:E22),"median", MEDIAN(Instances!E22:E22),"min", MIN(Instances!E22:E22),"max", MAX(Instances!E22:E22),"diff", MAX(Instances!E22:E22)-MIN(Instances!E22:E22))</f>
        <v>0</v>
      </c>
      <c r="F22" s="1" t="n">
        <f aca="false" t="array" ref="F22:F22">_xlfn.SWITCH($A$2,"average", AVERAGE(Instances!F22:F22),"median", MEDIAN(Instances!F22:F22),"min", MIN(Instances!F22:F22),"max", MAX(Instances!F22:F22),"diff", MAX(Instances!F22:F22)-MIN(Instances!F22:F22))</f>
        <v>443</v>
      </c>
      <c r="G22" s="1" t="n">
        <f aca="false" t="array" ref="G22:G22">_xlfn.SWITCH($A$2,"average", AVERAGE(Instances!G22:G22),"median", MEDIAN(Instances!G22:G22),"min", MIN(Instances!G22:G22),"max", MAX(Instances!G22:G22),"diff", MAX(Instances!G22:G22)-MIN(Instances!G22:G22))</f>
        <v>0</v>
      </c>
      <c r="H22" s="1" t="n">
        <f aca="false" t="array" ref="H22:H22">_xlfn.SWITCH($A$2,"average", AVERAGE(Instances!H22:H22),"median", MEDIAN(Instances!H22:H22),"min", MIN(Instances!H22:H22),"max", MAX(Instances!H22:H22),"diff", MAX(Instances!H22:H22)-MIN(Instances!H22:H22))</f>
        <v>1</v>
      </c>
      <c r="I22" s="1" t="n">
        <f aca="false" t="array" ref="I22:I22">_xlfn.SWITCH($A$2,"average", AVERAGE(Instances!I22:I22),"median", MEDIAN(Instances!I22:I22),"min", MIN(Instances!I22:I22),"max", MAX(Instances!I22:I22),"diff", MAX(Instances!I22:I22)-MIN(Instances!I22:I22))</f>
        <v>6.214</v>
      </c>
      <c r="J22" s="1" t="n">
        <f aca="false" t="array" ref="J22:J22">_xlfn.SWITCH($A$2,"average", AVERAGE(Instances!J22:J22),"median", MEDIAN(Instances!J22:J22),"min", MIN(Instances!J22:J22),"max", MAX(Instances!J22:J22),"diff", MAX(Instances!J22:J22)-MIN(Instances!J22:J22))</f>
        <v>6.38</v>
      </c>
      <c r="K22" s="1" t="n">
        <f aca="false" t="array" ref="K22:K22">_xlfn.SWITCH($A$2,"average", AVERAGE(Instances!K22:K22),"median", MEDIAN(Instances!K22:K22),"min", MIN(Instances!K22:K22),"max", MAX(Instances!K22:K22),"diff", MAX(Instances!K22:K22)-MIN(Instances!K22:K22))</f>
        <v>0</v>
      </c>
      <c r="L22" s="1"/>
      <c r="M22" s="1" t="n">
        <f aca="false" t="array" ref="M22:M22">_xlfn.SWITCH($A$2,"average", AVERAGE(Instances!M22:M22),"median", MEDIAN(Instances!M22:M22),"min", MIN(Instances!M22:M22),"max", MAX(Instances!M22:M22),"diff", MAX(Instances!M22:M22)-MIN(Instances!M22:M22))</f>
        <v>1405476</v>
      </c>
      <c r="N22" s="1" t="n">
        <f aca="false" t="array" ref="N22:N22">_xlfn.SWITCH($A$2,"average", AVERAGE(Instances!N22:N22),"median", MEDIAN(Instances!N22:N22),"min", MIN(Instances!N22:N22),"max", MAX(Instances!N22:N22),"diff", MAX(Instances!N22:N22)-MIN(Instances!N22:N22))</f>
        <v>0.04</v>
      </c>
      <c r="O22" s="1"/>
      <c r="P22" s="1" t="n">
        <f aca="false" t="array" ref="P22:P22">_xlfn.SWITCH($A$2,"average", AVERAGE(Instances!P22:P22),"median", MEDIAN(Instances!P22:P22),"min", MIN(Instances!P22:P22),"max", MAX(Instances!P22:P22),"diff", MAX(Instances!P22:P22)-MIN(Instances!P22:P22))</f>
        <v>6.38</v>
      </c>
      <c r="Q22" s="1" t="n">
        <f aca="false" t="array" ref="Q22:Q22">_xlfn.SWITCH($A$2,"average", AVERAGE(Instances!Q22:Q22),"median", MEDIAN(Instances!Q22:Q22),"min", MIN(Instances!Q22:Q22),"max", MAX(Instances!Q22:Q22),"diff", MAX(Instances!Q22:Q22)-MIN(Instances!Q22:Q22))</f>
        <v>0</v>
      </c>
      <c r="R22" s="1" t="n">
        <f aca="false" t="array" ref="R22:R22">_xlfn.SWITCH($A$2,"average", AVERAGE(Instances!R22:R22),"median", MEDIAN(Instances!R22:R22),"min", MIN(Instances!R22:R22),"max", MAX(Instances!R22:R22),"diff", MAX(Instances!R22:R22)-MIN(Instances!R22:R22))</f>
        <v>439871</v>
      </c>
      <c r="S22" s="1" t="n">
        <f aca="false">MIN($B22)</f>
        <v>1900</v>
      </c>
      <c r="T22" s="1" t="n">
        <f aca="false">MIN($C22)</f>
        <v>3</v>
      </c>
      <c r="U22" s="1" t="n">
        <f aca="false">MIN($D22)</f>
        <v>361000</v>
      </c>
      <c r="V22" s="1" t="n">
        <f aca="false">MIN($E22)</f>
        <v>0</v>
      </c>
      <c r="W22" s="1" t="n">
        <f aca="false">MIN($F22)</f>
        <v>443</v>
      </c>
      <c r="X22" s="1" t="n">
        <f aca="false">MIN($G22)</f>
        <v>0</v>
      </c>
      <c r="Y22" s="1" t="n">
        <f aca="false">MIN($H22)</f>
        <v>1</v>
      </c>
      <c r="Z22" s="1" t="n">
        <f aca="false">MIN($I22)</f>
        <v>6.214</v>
      </c>
      <c r="AA22" s="1" t="n">
        <f aca="false">MIN($J22)</f>
        <v>6.38</v>
      </c>
      <c r="AB22" s="1" t="n">
        <f aca="false">MIN($K22)</f>
        <v>0</v>
      </c>
      <c r="AC22" s="1" t="n">
        <f aca="false">MIN($M22)</f>
        <v>1405476</v>
      </c>
      <c r="AD22" s="1" t="n">
        <f aca="false">MIN($N22)</f>
        <v>0.04</v>
      </c>
      <c r="AE22" s="1" t="n">
        <f aca="false">MIN($P22)</f>
        <v>6.38</v>
      </c>
      <c r="AF22" s="1" t="n">
        <f aca="false">MIN($Q22)</f>
        <v>0</v>
      </c>
      <c r="AG22" s="1" t="n">
        <f aca="false">MIN($R22)</f>
        <v>439871</v>
      </c>
      <c r="AH22" s="1" t="n">
        <f aca="false">MEDIAN($B22)</f>
        <v>1900</v>
      </c>
      <c r="AI22" s="1" t="n">
        <f aca="false">MEDIAN($C22)</f>
        <v>3</v>
      </c>
      <c r="AJ22" s="1" t="n">
        <f aca="false">MEDIAN($D22)</f>
        <v>361000</v>
      </c>
      <c r="AK22" s="1" t="n">
        <f aca="false">MEDIAN($E22)</f>
        <v>0</v>
      </c>
      <c r="AL22" s="1" t="n">
        <f aca="false">MEDIAN($F22)</f>
        <v>443</v>
      </c>
      <c r="AM22" s="1" t="n">
        <f aca="false">MEDIAN($G22)</f>
        <v>0</v>
      </c>
      <c r="AN22" s="1" t="n">
        <f aca="false">MEDIAN($H22)</f>
        <v>1</v>
      </c>
      <c r="AO22" s="1" t="n">
        <f aca="false">MEDIAN($I22)</f>
        <v>6.214</v>
      </c>
      <c r="AP22" s="1" t="n">
        <f aca="false">MEDIAN($J22)</f>
        <v>6.38</v>
      </c>
      <c r="AQ22" s="1" t="n">
        <f aca="false">MEDIAN($K22)</f>
        <v>0</v>
      </c>
      <c r="AR22" s="1" t="n">
        <f aca="false">MEDIAN($M22)</f>
        <v>1405476</v>
      </c>
      <c r="AS22" s="1" t="n">
        <f aca="false">MEDIAN($N22)</f>
        <v>0.04</v>
      </c>
      <c r="AT22" s="1" t="n">
        <f aca="false">MEDIAN($P22)</f>
        <v>6.38</v>
      </c>
      <c r="AU22" s="1" t="n">
        <f aca="false">MEDIAN($Q22)</f>
        <v>0</v>
      </c>
      <c r="AV22" s="1" t="n">
        <f aca="false">MEDIAN($R22)</f>
        <v>439871</v>
      </c>
      <c r="AW22" s="1" t="n">
        <f aca="false">MAX($B22)</f>
        <v>1900</v>
      </c>
      <c r="AX22" s="1" t="n">
        <f aca="false">MAX($C22)</f>
        <v>3</v>
      </c>
      <c r="AY22" s="1" t="n">
        <f aca="false">MAX($D22)</f>
        <v>361000</v>
      </c>
      <c r="AZ22" s="1" t="n">
        <f aca="false">MAX($E22)</f>
        <v>0</v>
      </c>
      <c r="BA22" s="1" t="n">
        <f aca="false">MAX($F22)</f>
        <v>443</v>
      </c>
      <c r="BB22" s="1" t="n">
        <f aca="false">MAX($G22)</f>
        <v>0</v>
      </c>
      <c r="BC22" s="1" t="n">
        <f aca="false">MAX($H22)</f>
        <v>1</v>
      </c>
      <c r="BD22" s="1" t="n">
        <f aca="false">MAX($I22)</f>
        <v>6.214</v>
      </c>
      <c r="BE22" s="1" t="n">
        <f aca="false">MAX($J22)</f>
        <v>6.38</v>
      </c>
      <c r="BF22" s="1" t="n">
        <f aca="false">MAX($K22)</f>
        <v>0</v>
      </c>
      <c r="BG22" s="1" t="n">
        <f aca="false">MAX($M22)</f>
        <v>1405476</v>
      </c>
      <c r="BH22" s="1" t="n">
        <f aca="false">MAX($N22)</f>
        <v>0.04</v>
      </c>
      <c r="BI22" s="1" t="n">
        <f aca="false">MAX($P22)</f>
        <v>6.38</v>
      </c>
      <c r="BJ22" s="1" t="n">
        <f aca="false">MAX($Q22)</f>
        <v>0</v>
      </c>
      <c r="BK22" s="1" t="n">
        <f aca="false">MAX($R22)</f>
        <v>439871</v>
      </c>
    </row>
    <row r="23" customFormat="false" ht="15" hidden="false" customHeight="false" outlineLevel="0" collapsed="false">
      <c r="A23" s="1" t="s">
        <v>40</v>
      </c>
      <c r="B23" s="1" t="n">
        <f aca="false" t="array" ref="B23:B23">_xlfn.SWITCH($A$2,"average", AVERAGE(Instances!B23:B23),"median", MEDIAN(Instances!B23:B23),"min", MIN(Instances!B23:B23),"max", MAX(Instances!B23:B23),"diff", MAX(Instances!B23:B23)-MIN(Instances!B23:B23))</f>
        <v>2111</v>
      </c>
      <c r="C23" s="1" t="n">
        <f aca="false" t="array" ref="C23:C23">_xlfn.SWITCH($A$2,"average", AVERAGE(Instances!C23:C23),"median", MEDIAN(Instances!C23:C23),"min", MIN(Instances!C23:C23),"max", MAX(Instances!C23:C23),"diff", MAX(Instances!C23:C23)-MIN(Instances!C23:C23))</f>
        <v>2</v>
      </c>
      <c r="D23" s="1" t="n">
        <f aca="false" t="array" ref="D23:D23">_xlfn.SWITCH($A$2,"average", AVERAGE(Instances!D23:D23),"median", MEDIAN(Instances!D23:D23),"min", MIN(Instances!D23:D23),"max", MAX(Instances!D23:D23),"diff", MAX(Instances!D23:D23)-MIN(Instances!D23:D23))</f>
        <v>395308</v>
      </c>
      <c r="E23" s="1" t="n">
        <f aca="false" t="array" ref="E23:E23">_xlfn.SWITCH($A$2,"average", AVERAGE(Instances!E23:E23),"median", MEDIAN(Instances!E23:E23),"min", MIN(Instances!E23:E23),"max", MAX(Instances!E23:E23),"diff", MAX(Instances!E23:E23)-MIN(Instances!E23:E23))</f>
        <v>0</v>
      </c>
      <c r="F23" s="1" t="n">
        <f aca="false" t="array" ref="F23:F23">_xlfn.SWITCH($A$2,"average", AVERAGE(Instances!F23:F23),"median", MEDIAN(Instances!F23:F23),"min", MIN(Instances!F23:F23),"max", MAX(Instances!F23:F23),"diff", MAX(Instances!F23:F23)-MIN(Instances!F23:F23))</f>
        <v>473</v>
      </c>
      <c r="G23" s="1" t="n">
        <f aca="false" t="array" ref="G23:G23">_xlfn.SWITCH($A$2,"average", AVERAGE(Instances!G23:G23),"median", MEDIAN(Instances!G23:G23),"min", MIN(Instances!G23:G23),"max", MAX(Instances!G23:G23),"diff", MAX(Instances!G23:G23)-MIN(Instances!G23:G23))</f>
        <v>0</v>
      </c>
      <c r="H23" s="1" t="n">
        <f aca="false" t="array" ref="H23:H23">_xlfn.SWITCH($A$2,"average", AVERAGE(Instances!H23:H23),"median", MEDIAN(Instances!H23:H23),"min", MIN(Instances!H23:H23),"max", MAX(Instances!H23:H23),"diff", MAX(Instances!H23:H23)-MIN(Instances!H23:H23))</f>
        <v>1</v>
      </c>
      <c r="I23" s="1" t="n">
        <f aca="false" t="array" ref="I23:I23">_xlfn.SWITCH($A$2,"average", AVERAGE(Instances!I23:I23),"median", MEDIAN(Instances!I23:I23),"min", MIN(Instances!I23:I23),"max", MAX(Instances!I23:I23),"diff", MAX(Instances!I23:I23)-MIN(Instances!I23:I23))</f>
        <v>6.514</v>
      </c>
      <c r="J23" s="1" t="n">
        <f aca="false" t="array" ref="J23:J23">_xlfn.SWITCH($A$2,"average", AVERAGE(Instances!J23:J23),"median", MEDIAN(Instances!J23:J23),"min", MIN(Instances!J23:J23),"max", MAX(Instances!J23:J23),"diff", MAX(Instances!J23:J23)-MIN(Instances!J23:J23))</f>
        <v>6.68</v>
      </c>
      <c r="K23" s="1" t="n">
        <f aca="false" t="array" ref="K23:K23">_xlfn.SWITCH($A$2,"average", AVERAGE(Instances!K23:K23),"median", MEDIAN(Instances!K23:K23),"min", MIN(Instances!K23:K23),"max", MAX(Instances!K23:K23),"diff", MAX(Instances!K23:K23)-MIN(Instances!K23:K23))</f>
        <v>0</v>
      </c>
      <c r="L23" s="1"/>
      <c r="M23" s="1" t="n">
        <f aca="false" t="array" ref="M23:M23">_xlfn.SWITCH($A$2,"average", AVERAGE(Instances!M23:M23),"median", MEDIAN(Instances!M23:M23),"min", MIN(Instances!M23:M23),"max", MAX(Instances!M23:M23),"diff", MAX(Instances!M23:M23)-MIN(Instances!M23:M23))</f>
        <v>1497152</v>
      </c>
      <c r="N23" s="1" t="n">
        <f aca="false" t="array" ref="N23:N23">_xlfn.SWITCH($A$2,"average", AVERAGE(Instances!N23:N23),"median", MEDIAN(Instances!N23:N23),"min", MIN(Instances!N23:N23),"max", MAX(Instances!N23:N23),"diff", MAX(Instances!N23:N23)-MIN(Instances!N23:N23))</f>
        <v>0.04</v>
      </c>
      <c r="O23" s="1"/>
      <c r="P23" s="1" t="n">
        <f aca="false" t="array" ref="P23:P23">_xlfn.SWITCH($A$2,"average", AVERAGE(Instances!P23:P23),"median", MEDIAN(Instances!P23:P23),"min", MIN(Instances!P23:P23),"max", MAX(Instances!P23:P23),"diff", MAX(Instances!P23:P23)-MIN(Instances!P23:P23))</f>
        <v>6.68</v>
      </c>
      <c r="Q23" s="1" t="n">
        <f aca="false" t="array" ref="Q23:Q23">_xlfn.SWITCH($A$2,"average", AVERAGE(Instances!Q23:Q23),"median", MEDIAN(Instances!Q23:Q23),"min", MIN(Instances!Q23:Q23),"max", MAX(Instances!Q23:Q23),"diff", MAX(Instances!Q23:Q23)-MIN(Instances!Q23:Q23))</f>
        <v>0</v>
      </c>
      <c r="R23" s="1" t="n">
        <f aca="false" t="array" ref="R23:R23">_xlfn.SWITCH($A$2,"average", AVERAGE(Instances!R23:R23),"median", MEDIAN(Instances!R23:R23),"min", MIN(Instances!R23:R23),"max", MAX(Instances!R23:R23),"diff", MAX(Instances!R23:R23)-MIN(Instances!R23:R23))</f>
        <v>467989</v>
      </c>
      <c r="S23" s="1" t="n">
        <f aca="false">MIN($B23)</f>
        <v>2111</v>
      </c>
      <c r="T23" s="1" t="n">
        <f aca="false">MIN($C23)</f>
        <v>2</v>
      </c>
      <c r="U23" s="1" t="n">
        <f aca="false">MIN($D23)</f>
        <v>395308</v>
      </c>
      <c r="V23" s="1" t="n">
        <f aca="false">MIN($E23)</f>
        <v>0</v>
      </c>
      <c r="W23" s="1" t="n">
        <f aca="false">MIN($F23)</f>
        <v>473</v>
      </c>
      <c r="X23" s="1" t="n">
        <f aca="false">MIN($G23)</f>
        <v>0</v>
      </c>
      <c r="Y23" s="1" t="n">
        <f aca="false">MIN($H23)</f>
        <v>1</v>
      </c>
      <c r="Z23" s="1" t="n">
        <f aca="false">MIN($I23)</f>
        <v>6.514</v>
      </c>
      <c r="AA23" s="1" t="n">
        <f aca="false">MIN($J23)</f>
        <v>6.68</v>
      </c>
      <c r="AB23" s="1" t="n">
        <f aca="false">MIN($K23)</f>
        <v>0</v>
      </c>
      <c r="AC23" s="1" t="n">
        <f aca="false">MIN($M23)</f>
        <v>1497152</v>
      </c>
      <c r="AD23" s="1" t="n">
        <f aca="false">MIN($N23)</f>
        <v>0.04</v>
      </c>
      <c r="AE23" s="1" t="n">
        <f aca="false">MIN($P23)</f>
        <v>6.68</v>
      </c>
      <c r="AF23" s="1" t="n">
        <f aca="false">MIN($Q23)</f>
        <v>0</v>
      </c>
      <c r="AG23" s="1" t="n">
        <f aca="false">MIN($R23)</f>
        <v>467989</v>
      </c>
      <c r="AH23" s="1" t="n">
        <f aca="false">MEDIAN($B23)</f>
        <v>2111</v>
      </c>
      <c r="AI23" s="1" t="n">
        <f aca="false">MEDIAN($C23)</f>
        <v>2</v>
      </c>
      <c r="AJ23" s="1" t="n">
        <f aca="false">MEDIAN($D23)</f>
        <v>395308</v>
      </c>
      <c r="AK23" s="1" t="n">
        <f aca="false">MEDIAN($E23)</f>
        <v>0</v>
      </c>
      <c r="AL23" s="1" t="n">
        <f aca="false">MEDIAN($F23)</f>
        <v>473</v>
      </c>
      <c r="AM23" s="1" t="n">
        <f aca="false">MEDIAN($G23)</f>
        <v>0</v>
      </c>
      <c r="AN23" s="1" t="n">
        <f aca="false">MEDIAN($H23)</f>
        <v>1</v>
      </c>
      <c r="AO23" s="1" t="n">
        <f aca="false">MEDIAN($I23)</f>
        <v>6.514</v>
      </c>
      <c r="AP23" s="1" t="n">
        <f aca="false">MEDIAN($J23)</f>
        <v>6.68</v>
      </c>
      <c r="AQ23" s="1" t="n">
        <f aca="false">MEDIAN($K23)</f>
        <v>0</v>
      </c>
      <c r="AR23" s="1" t="n">
        <f aca="false">MEDIAN($M23)</f>
        <v>1497152</v>
      </c>
      <c r="AS23" s="1" t="n">
        <f aca="false">MEDIAN($N23)</f>
        <v>0.04</v>
      </c>
      <c r="AT23" s="1" t="n">
        <f aca="false">MEDIAN($P23)</f>
        <v>6.68</v>
      </c>
      <c r="AU23" s="1" t="n">
        <f aca="false">MEDIAN($Q23)</f>
        <v>0</v>
      </c>
      <c r="AV23" s="1" t="n">
        <f aca="false">MEDIAN($R23)</f>
        <v>467989</v>
      </c>
      <c r="AW23" s="1" t="n">
        <f aca="false">MAX($B23)</f>
        <v>2111</v>
      </c>
      <c r="AX23" s="1" t="n">
        <f aca="false">MAX($C23)</f>
        <v>2</v>
      </c>
      <c r="AY23" s="1" t="n">
        <f aca="false">MAX($D23)</f>
        <v>395308</v>
      </c>
      <c r="AZ23" s="1" t="n">
        <f aca="false">MAX($E23)</f>
        <v>0</v>
      </c>
      <c r="BA23" s="1" t="n">
        <f aca="false">MAX($F23)</f>
        <v>473</v>
      </c>
      <c r="BB23" s="1" t="n">
        <f aca="false">MAX($G23)</f>
        <v>0</v>
      </c>
      <c r="BC23" s="1" t="n">
        <f aca="false">MAX($H23)</f>
        <v>1</v>
      </c>
      <c r="BD23" s="1" t="n">
        <f aca="false">MAX($I23)</f>
        <v>6.514</v>
      </c>
      <c r="BE23" s="1" t="n">
        <f aca="false">MAX($J23)</f>
        <v>6.68</v>
      </c>
      <c r="BF23" s="1" t="n">
        <f aca="false">MAX($K23)</f>
        <v>0</v>
      </c>
      <c r="BG23" s="1" t="n">
        <f aca="false">MAX($M23)</f>
        <v>1497152</v>
      </c>
      <c r="BH23" s="1" t="n">
        <f aca="false">MAX($N23)</f>
        <v>0.04</v>
      </c>
      <c r="BI23" s="1" t="n">
        <f aca="false">MAX($P23)</f>
        <v>6.68</v>
      </c>
      <c r="BJ23" s="1" t="n">
        <f aca="false">MAX($Q23)</f>
        <v>0</v>
      </c>
      <c r="BK23" s="1" t="n">
        <f aca="false">MAX($R23)</f>
        <v>467989</v>
      </c>
    </row>
    <row r="24" customFormat="false" ht="15" hidden="false" customHeight="false" outlineLevel="0" collapsed="false">
      <c r="A24" s="1" t="s">
        <v>41</v>
      </c>
      <c r="B24" s="1" t="n">
        <f aca="false" t="array" ref="B24:B24">_xlfn.SWITCH($A$2,"average", AVERAGE(Instances!B24:B24),"median", MEDIAN(Instances!B24:B24),"min", MIN(Instances!B24:B24),"max", MAX(Instances!B24:B24),"diff", MAX(Instances!B24:B24)-MIN(Instances!B24:B24))</f>
        <v>1674</v>
      </c>
      <c r="C24" s="1" t="n">
        <f aca="false" t="array" ref="C24:C24">_xlfn.SWITCH($A$2,"average", AVERAGE(Instances!C24:C24),"median", MEDIAN(Instances!C24:C24),"min", MIN(Instances!C24:C24),"max", MAX(Instances!C24:C24),"diff", MAX(Instances!C24:C24)-MIN(Instances!C24:C24))</f>
        <v>0</v>
      </c>
      <c r="D24" s="1" t="n">
        <f aca="false" t="array" ref="D24:D24">_xlfn.SWITCH($A$2,"average", AVERAGE(Instances!D24:D24),"median", MEDIAN(Instances!D24:D24),"min", MIN(Instances!D24:D24),"max", MAX(Instances!D24:D24),"diff", MAX(Instances!D24:D24)-MIN(Instances!D24:D24))</f>
        <v>498101</v>
      </c>
      <c r="E24" s="1" t="n">
        <f aca="false" t="array" ref="E24:E24">_xlfn.SWITCH($A$2,"average", AVERAGE(Instances!E24:E24),"median", MEDIAN(Instances!E24:E24),"min", MIN(Instances!E24:E24),"max", MAX(Instances!E24:E24),"diff", MAX(Instances!E24:E24)-MIN(Instances!E24:E24))</f>
        <v>0</v>
      </c>
      <c r="F24" s="1" t="n">
        <f aca="false" t="array" ref="F24:F24">_xlfn.SWITCH($A$2,"average", AVERAGE(Instances!F24:F24),"median", MEDIAN(Instances!F24:F24),"min", MIN(Instances!F24:F24),"max", MAX(Instances!F24:F24),"diff", MAX(Instances!F24:F24)-MIN(Instances!F24:F24))</f>
        <v>590</v>
      </c>
      <c r="G24" s="1" t="n">
        <f aca="false" t="array" ref="G24:G24">_xlfn.SWITCH($A$2,"average", AVERAGE(Instances!G24:G24),"median", MEDIAN(Instances!G24:G24),"min", MIN(Instances!G24:G24),"max", MAX(Instances!G24:G24),"diff", MAX(Instances!G24:G24)-MIN(Instances!G24:G24))</f>
        <v>0</v>
      </c>
      <c r="H24" s="1" t="n">
        <f aca="false" t="array" ref="H24:H24">_xlfn.SWITCH($A$2,"average", AVERAGE(Instances!H24:H24),"median", MEDIAN(Instances!H24:H24),"min", MIN(Instances!H24:H24),"max", MAX(Instances!H24:H24),"diff", MAX(Instances!H24:H24)-MIN(Instances!H24:H24))</f>
        <v>1</v>
      </c>
      <c r="I24" s="1" t="n">
        <f aca="false" t="array" ref="I24:I24">_xlfn.SWITCH($A$2,"average", AVERAGE(Instances!I24:I24),"median", MEDIAN(Instances!I24:I24),"min", MIN(Instances!I24:I24),"max", MAX(Instances!I24:I24),"diff", MAX(Instances!I24:I24)-MIN(Instances!I24:I24))</f>
        <v>8.926</v>
      </c>
      <c r="J24" s="1" t="n">
        <f aca="false" t="array" ref="J24:J24">_xlfn.SWITCH($A$2,"average", AVERAGE(Instances!J24:J24),"median", MEDIAN(Instances!J24:J24),"min", MIN(Instances!J24:J24),"max", MAX(Instances!J24:J24),"diff", MAX(Instances!J24:J24)-MIN(Instances!J24:J24))</f>
        <v>9.15</v>
      </c>
      <c r="K24" s="1" t="n">
        <f aca="false" t="array" ref="K24:K24">_xlfn.SWITCH($A$2,"average", AVERAGE(Instances!K24:K24),"median", MEDIAN(Instances!K24:K24),"min", MIN(Instances!K24:K24),"max", MAX(Instances!K24:K24),"diff", MAX(Instances!K24:K24)-MIN(Instances!K24:K24))</f>
        <v>0</v>
      </c>
      <c r="L24" s="1"/>
      <c r="M24" s="1" t="n">
        <f aca="false" t="array" ref="M24:M24">_xlfn.SWITCH($A$2,"average", AVERAGE(Instances!M24:M24),"median", MEDIAN(Instances!M24:M24),"min", MIN(Instances!M24:M24),"max", MAX(Instances!M24:M24),"diff", MAX(Instances!M24:M24)-MIN(Instances!M24:M24))</f>
        <v>2094012</v>
      </c>
      <c r="N24" s="1" t="n">
        <f aca="false" t="array" ref="N24:N24">_xlfn.SWITCH($A$2,"average", AVERAGE(Instances!N24:N24),"median", MEDIAN(Instances!N24:N24),"min", MIN(Instances!N24:N24),"max", MAX(Instances!N24:N24),"diff", MAX(Instances!N24:N24)-MIN(Instances!N24:N24))</f>
        <v>0.05</v>
      </c>
      <c r="O24" s="1"/>
      <c r="P24" s="1" t="n">
        <f aca="false" t="array" ref="P24:P24">_xlfn.SWITCH($A$2,"average", AVERAGE(Instances!P24:P24),"median", MEDIAN(Instances!P24:P24),"min", MIN(Instances!P24:P24),"max", MAX(Instances!P24:P24),"diff", MAX(Instances!P24:P24)-MIN(Instances!P24:P24))</f>
        <v>9.15</v>
      </c>
      <c r="Q24" s="1" t="n">
        <f aca="false" t="array" ref="Q24:Q24">_xlfn.SWITCH($A$2,"average", AVERAGE(Instances!Q24:Q24),"median", MEDIAN(Instances!Q24:Q24),"min", MIN(Instances!Q24:Q24),"max", MAX(Instances!Q24:Q24),"diff", MAX(Instances!Q24:Q24)-MIN(Instances!Q24:Q24))</f>
        <v>0</v>
      </c>
      <c r="R24" s="1" t="n">
        <f aca="false" t="array" ref="R24:R24">_xlfn.SWITCH($A$2,"average", AVERAGE(Instances!R24:R24),"median", MEDIAN(Instances!R24:R24),"min", MIN(Instances!R24:R24),"max", MAX(Instances!R24:R24),"diff", MAX(Instances!R24:R24)-MIN(Instances!R24:R24))</f>
        <v>603131</v>
      </c>
      <c r="S24" s="1" t="n">
        <f aca="false">MIN($B24)</f>
        <v>1674</v>
      </c>
      <c r="T24" s="1" t="n">
        <f aca="false">MIN($C24)</f>
        <v>0</v>
      </c>
      <c r="U24" s="1" t="n">
        <f aca="false">MIN($D24)</f>
        <v>498101</v>
      </c>
      <c r="V24" s="1" t="n">
        <f aca="false">MIN($E24)</f>
        <v>0</v>
      </c>
      <c r="W24" s="1" t="n">
        <f aca="false">MIN($F24)</f>
        <v>590</v>
      </c>
      <c r="X24" s="1" t="n">
        <f aca="false">MIN($G24)</f>
        <v>0</v>
      </c>
      <c r="Y24" s="1" t="n">
        <f aca="false">MIN($H24)</f>
        <v>1</v>
      </c>
      <c r="Z24" s="1" t="n">
        <f aca="false">MIN($I24)</f>
        <v>8.926</v>
      </c>
      <c r="AA24" s="1" t="n">
        <f aca="false">MIN($J24)</f>
        <v>9.15</v>
      </c>
      <c r="AB24" s="1" t="n">
        <f aca="false">MIN($K24)</f>
        <v>0</v>
      </c>
      <c r="AC24" s="1" t="n">
        <f aca="false">MIN($M24)</f>
        <v>2094012</v>
      </c>
      <c r="AD24" s="1" t="n">
        <f aca="false">MIN($N24)</f>
        <v>0.05</v>
      </c>
      <c r="AE24" s="1" t="n">
        <f aca="false">MIN($P24)</f>
        <v>9.15</v>
      </c>
      <c r="AF24" s="1" t="n">
        <f aca="false">MIN($Q24)</f>
        <v>0</v>
      </c>
      <c r="AG24" s="1" t="n">
        <f aca="false">MIN($R24)</f>
        <v>603131</v>
      </c>
      <c r="AH24" s="1" t="n">
        <f aca="false">MEDIAN($B24)</f>
        <v>1674</v>
      </c>
      <c r="AI24" s="1" t="n">
        <f aca="false">MEDIAN($C24)</f>
        <v>0</v>
      </c>
      <c r="AJ24" s="1" t="n">
        <f aca="false">MEDIAN($D24)</f>
        <v>498101</v>
      </c>
      <c r="AK24" s="1" t="n">
        <f aca="false">MEDIAN($E24)</f>
        <v>0</v>
      </c>
      <c r="AL24" s="1" t="n">
        <f aca="false">MEDIAN($F24)</f>
        <v>590</v>
      </c>
      <c r="AM24" s="1" t="n">
        <f aca="false">MEDIAN($G24)</f>
        <v>0</v>
      </c>
      <c r="AN24" s="1" t="n">
        <f aca="false">MEDIAN($H24)</f>
        <v>1</v>
      </c>
      <c r="AO24" s="1" t="n">
        <f aca="false">MEDIAN($I24)</f>
        <v>8.926</v>
      </c>
      <c r="AP24" s="1" t="n">
        <f aca="false">MEDIAN($J24)</f>
        <v>9.15</v>
      </c>
      <c r="AQ24" s="1" t="n">
        <f aca="false">MEDIAN($K24)</f>
        <v>0</v>
      </c>
      <c r="AR24" s="1" t="n">
        <f aca="false">MEDIAN($M24)</f>
        <v>2094012</v>
      </c>
      <c r="AS24" s="1" t="n">
        <f aca="false">MEDIAN($N24)</f>
        <v>0.05</v>
      </c>
      <c r="AT24" s="1" t="n">
        <f aca="false">MEDIAN($P24)</f>
        <v>9.15</v>
      </c>
      <c r="AU24" s="1" t="n">
        <f aca="false">MEDIAN($Q24)</f>
        <v>0</v>
      </c>
      <c r="AV24" s="1" t="n">
        <f aca="false">MEDIAN($R24)</f>
        <v>603131</v>
      </c>
      <c r="AW24" s="1" t="n">
        <f aca="false">MAX($B24)</f>
        <v>1674</v>
      </c>
      <c r="AX24" s="1" t="n">
        <f aca="false">MAX($C24)</f>
        <v>0</v>
      </c>
      <c r="AY24" s="1" t="n">
        <f aca="false">MAX($D24)</f>
        <v>498101</v>
      </c>
      <c r="AZ24" s="1" t="n">
        <f aca="false">MAX($E24)</f>
        <v>0</v>
      </c>
      <c r="BA24" s="1" t="n">
        <f aca="false">MAX($F24)</f>
        <v>590</v>
      </c>
      <c r="BB24" s="1" t="n">
        <f aca="false">MAX($G24)</f>
        <v>0</v>
      </c>
      <c r="BC24" s="1" t="n">
        <f aca="false">MAX($H24)</f>
        <v>1</v>
      </c>
      <c r="BD24" s="1" t="n">
        <f aca="false">MAX($I24)</f>
        <v>8.926</v>
      </c>
      <c r="BE24" s="1" t="n">
        <f aca="false">MAX($J24)</f>
        <v>9.15</v>
      </c>
      <c r="BF24" s="1" t="n">
        <f aca="false">MAX($K24)</f>
        <v>0</v>
      </c>
      <c r="BG24" s="1" t="n">
        <f aca="false">MAX($M24)</f>
        <v>2094012</v>
      </c>
      <c r="BH24" s="1" t="n">
        <f aca="false">MAX($N24)</f>
        <v>0.05</v>
      </c>
      <c r="BI24" s="1" t="n">
        <f aca="false">MAX($P24)</f>
        <v>9.15</v>
      </c>
      <c r="BJ24" s="1" t="n">
        <f aca="false">MAX($Q24)</f>
        <v>0</v>
      </c>
      <c r="BK24" s="1" t="n">
        <f aca="false">MAX($R24)</f>
        <v>603131</v>
      </c>
    </row>
    <row r="25" customFormat="false" ht="15" hidden="false" customHeight="false" outlineLevel="0" collapsed="false">
      <c r="A25" s="1" t="s">
        <v>42</v>
      </c>
      <c r="B25" s="1" t="n">
        <f aca="false" t="array" ref="B25:B25">_xlfn.SWITCH($A$2,"average", AVERAGE(Instances!B25:B25),"median", MEDIAN(Instances!B25:B25),"min", MIN(Instances!B25:B25),"max", MAX(Instances!B25:B25),"diff", MAX(Instances!B25:B25)-MIN(Instances!B25:B25))</f>
        <v>2186</v>
      </c>
      <c r="C25" s="1" t="n">
        <f aca="false" t="array" ref="C25:C25">_xlfn.SWITCH($A$2,"average", AVERAGE(Instances!C25:C25),"median", MEDIAN(Instances!C25:C25),"min", MIN(Instances!C25:C25),"max", MAX(Instances!C25:C25),"diff", MAX(Instances!C25:C25)-MIN(Instances!C25:C25))</f>
        <v>2</v>
      </c>
      <c r="D25" s="1" t="n">
        <f aca="false" t="array" ref="D25:D25">_xlfn.SWITCH($A$2,"average", AVERAGE(Instances!D25:D25),"median", MEDIAN(Instances!D25:D25),"min", MIN(Instances!D25:D25),"max", MAX(Instances!D25:D25),"diff", MAX(Instances!D25:D25)-MIN(Instances!D25:D25))</f>
        <v>601587</v>
      </c>
      <c r="E25" s="1" t="n">
        <f aca="false" t="array" ref="E25:E25">_xlfn.SWITCH($A$2,"average", AVERAGE(Instances!E25:E25),"median", MEDIAN(Instances!E25:E25),"min", MIN(Instances!E25:E25),"max", MAX(Instances!E25:E25),"diff", MAX(Instances!E25:E25)-MIN(Instances!E25:E25))</f>
        <v>0</v>
      </c>
      <c r="F25" s="1" t="n">
        <f aca="false" t="array" ref="F25:F25">_xlfn.SWITCH($A$2,"average", AVERAGE(Instances!F25:F25),"median", MEDIAN(Instances!F25:F25),"min", MIN(Instances!F25:F25),"max", MAX(Instances!F25:F25),"diff", MAX(Instances!F25:F25)-MIN(Instances!F25:F25))</f>
        <v>701</v>
      </c>
      <c r="G25" s="1" t="n">
        <f aca="false" t="array" ref="G25:G25">_xlfn.SWITCH($A$2,"average", AVERAGE(Instances!G25:G25),"median", MEDIAN(Instances!G25:G25),"min", MIN(Instances!G25:G25),"max", MAX(Instances!G25:G25),"diff", MAX(Instances!G25:G25)-MIN(Instances!G25:G25))</f>
        <v>0</v>
      </c>
      <c r="H25" s="1" t="n">
        <f aca="false" t="array" ref="H25:H25">_xlfn.SWITCH($A$2,"average", AVERAGE(Instances!H25:H25),"median", MEDIAN(Instances!H25:H25),"min", MIN(Instances!H25:H25),"max", MAX(Instances!H25:H25),"diff", MAX(Instances!H25:H25)-MIN(Instances!H25:H25))</f>
        <v>1</v>
      </c>
      <c r="I25" s="1" t="n">
        <f aca="false" t="array" ref="I25:I25">_xlfn.SWITCH($A$2,"average", AVERAGE(Instances!I25:I25),"median", MEDIAN(Instances!I25:I25),"min", MIN(Instances!I25:I25),"max", MAX(Instances!I25:I25),"diff", MAX(Instances!I25:I25)-MIN(Instances!I25:I25))</f>
        <v>10.648</v>
      </c>
      <c r="J25" s="1" t="n">
        <f aca="false" t="array" ref="J25:J25">_xlfn.SWITCH($A$2,"average", AVERAGE(Instances!J25:J25),"median", MEDIAN(Instances!J25:J25),"min", MIN(Instances!J25:J25),"max", MAX(Instances!J25:J25),"diff", MAX(Instances!J25:J25)-MIN(Instances!J25:J25))</f>
        <v>10.91</v>
      </c>
      <c r="K25" s="1" t="n">
        <f aca="false" t="array" ref="K25:K25">_xlfn.SWITCH($A$2,"average", AVERAGE(Instances!K25:K25),"median", MEDIAN(Instances!K25:K25),"min", MIN(Instances!K25:K25),"max", MAX(Instances!K25:K25),"diff", MAX(Instances!K25:K25)-MIN(Instances!K25:K25))</f>
        <v>0</v>
      </c>
      <c r="L25" s="1"/>
      <c r="M25" s="1" t="n">
        <f aca="false" t="array" ref="M25:M25">_xlfn.SWITCH($A$2,"average", AVERAGE(Instances!M25:M25),"median", MEDIAN(Instances!M25:M25),"min", MIN(Instances!M25:M25),"max", MAX(Instances!M25:M25),"diff", MAX(Instances!M25:M25)-MIN(Instances!M25:M25))</f>
        <v>2493125</v>
      </c>
      <c r="N25" s="1" t="n">
        <f aca="false" t="array" ref="N25:N25">_xlfn.SWITCH($A$2,"average", AVERAGE(Instances!N25:N25),"median", MEDIAN(Instances!N25:N25),"min", MIN(Instances!N25:N25),"max", MAX(Instances!N25:N25),"diff", MAX(Instances!N25:N25)-MIN(Instances!N25:N25))</f>
        <v>0.07</v>
      </c>
      <c r="O25" s="1"/>
      <c r="P25" s="1" t="n">
        <f aca="false" t="array" ref="P25:P25">_xlfn.SWITCH($A$2,"average", AVERAGE(Instances!P25:P25),"median", MEDIAN(Instances!P25:P25),"min", MIN(Instances!P25:P25),"max", MAX(Instances!P25:P25),"diff", MAX(Instances!P25:P25)-MIN(Instances!P25:P25))</f>
        <v>10.91</v>
      </c>
      <c r="Q25" s="1" t="n">
        <f aca="false" t="array" ref="Q25:Q25">_xlfn.SWITCH($A$2,"average", AVERAGE(Instances!Q25:Q25),"median", MEDIAN(Instances!Q25:Q25),"min", MIN(Instances!Q25:Q25),"max", MAX(Instances!Q25:Q25),"diff", MAX(Instances!Q25:Q25)-MIN(Instances!Q25:Q25))</f>
        <v>0</v>
      </c>
      <c r="R25" s="1" t="n">
        <f aca="false" t="array" ref="R25:R25">_xlfn.SWITCH($A$2,"average", AVERAGE(Instances!R25:R25),"median", MEDIAN(Instances!R25:R25),"min", MIN(Instances!R25:R25),"max", MAX(Instances!R25:R25),"diff", MAX(Instances!R25:R25)-MIN(Instances!R25:R25))</f>
        <v>692010</v>
      </c>
      <c r="S25" s="1" t="n">
        <f aca="false">MIN($B25)</f>
        <v>2186</v>
      </c>
      <c r="T25" s="1" t="n">
        <f aca="false">MIN($C25)</f>
        <v>2</v>
      </c>
      <c r="U25" s="1" t="n">
        <f aca="false">MIN($D25)</f>
        <v>601587</v>
      </c>
      <c r="V25" s="1" t="n">
        <f aca="false">MIN($E25)</f>
        <v>0</v>
      </c>
      <c r="W25" s="1" t="n">
        <f aca="false">MIN($F25)</f>
        <v>701</v>
      </c>
      <c r="X25" s="1" t="n">
        <f aca="false">MIN($G25)</f>
        <v>0</v>
      </c>
      <c r="Y25" s="1" t="n">
        <f aca="false">MIN($H25)</f>
        <v>1</v>
      </c>
      <c r="Z25" s="1" t="n">
        <f aca="false">MIN($I25)</f>
        <v>10.648</v>
      </c>
      <c r="AA25" s="1" t="n">
        <f aca="false">MIN($J25)</f>
        <v>10.91</v>
      </c>
      <c r="AB25" s="1" t="n">
        <f aca="false">MIN($K25)</f>
        <v>0</v>
      </c>
      <c r="AC25" s="1" t="n">
        <f aca="false">MIN($M25)</f>
        <v>2493125</v>
      </c>
      <c r="AD25" s="1" t="n">
        <f aca="false">MIN($N25)</f>
        <v>0.07</v>
      </c>
      <c r="AE25" s="1" t="n">
        <f aca="false">MIN($P25)</f>
        <v>10.91</v>
      </c>
      <c r="AF25" s="1" t="n">
        <f aca="false">MIN($Q25)</f>
        <v>0</v>
      </c>
      <c r="AG25" s="1" t="n">
        <f aca="false">MIN($R25)</f>
        <v>692010</v>
      </c>
      <c r="AH25" s="1" t="n">
        <f aca="false">MEDIAN($B25)</f>
        <v>2186</v>
      </c>
      <c r="AI25" s="1" t="n">
        <f aca="false">MEDIAN($C25)</f>
        <v>2</v>
      </c>
      <c r="AJ25" s="1" t="n">
        <f aca="false">MEDIAN($D25)</f>
        <v>601587</v>
      </c>
      <c r="AK25" s="1" t="n">
        <f aca="false">MEDIAN($E25)</f>
        <v>0</v>
      </c>
      <c r="AL25" s="1" t="n">
        <f aca="false">MEDIAN($F25)</f>
        <v>701</v>
      </c>
      <c r="AM25" s="1" t="n">
        <f aca="false">MEDIAN($G25)</f>
        <v>0</v>
      </c>
      <c r="AN25" s="1" t="n">
        <f aca="false">MEDIAN($H25)</f>
        <v>1</v>
      </c>
      <c r="AO25" s="1" t="n">
        <f aca="false">MEDIAN($I25)</f>
        <v>10.648</v>
      </c>
      <c r="AP25" s="1" t="n">
        <f aca="false">MEDIAN($J25)</f>
        <v>10.91</v>
      </c>
      <c r="AQ25" s="1" t="n">
        <f aca="false">MEDIAN($K25)</f>
        <v>0</v>
      </c>
      <c r="AR25" s="1" t="n">
        <f aca="false">MEDIAN($M25)</f>
        <v>2493125</v>
      </c>
      <c r="AS25" s="1" t="n">
        <f aca="false">MEDIAN($N25)</f>
        <v>0.07</v>
      </c>
      <c r="AT25" s="1" t="n">
        <f aca="false">MEDIAN($P25)</f>
        <v>10.91</v>
      </c>
      <c r="AU25" s="1" t="n">
        <f aca="false">MEDIAN($Q25)</f>
        <v>0</v>
      </c>
      <c r="AV25" s="1" t="n">
        <f aca="false">MEDIAN($R25)</f>
        <v>692010</v>
      </c>
      <c r="AW25" s="1" t="n">
        <f aca="false">MAX($B25)</f>
        <v>2186</v>
      </c>
      <c r="AX25" s="1" t="n">
        <f aca="false">MAX($C25)</f>
        <v>2</v>
      </c>
      <c r="AY25" s="1" t="n">
        <f aca="false">MAX($D25)</f>
        <v>601587</v>
      </c>
      <c r="AZ25" s="1" t="n">
        <f aca="false">MAX($E25)</f>
        <v>0</v>
      </c>
      <c r="BA25" s="1" t="n">
        <f aca="false">MAX($F25)</f>
        <v>701</v>
      </c>
      <c r="BB25" s="1" t="n">
        <f aca="false">MAX($G25)</f>
        <v>0</v>
      </c>
      <c r="BC25" s="1" t="n">
        <f aca="false">MAX($H25)</f>
        <v>1</v>
      </c>
      <c r="BD25" s="1" t="n">
        <f aca="false">MAX($I25)</f>
        <v>10.648</v>
      </c>
      <c r="BE25" s="1" t="n">
        <f aca="false">MAX($J25)</f>
        <v>10.91</v>
      </c>
      <c r="BF25" s="1" t="n">
        <f aca="false">MAX($K25)</f>
        <v>0</v>
      </c>
      <c r="BG25" s="1" t="n">
        <f aca="false">MAX($M25)</f>
        <v>2493125</v>
      </c>
      <c r="BH25" s="1" t="n">
        <f aca="false">MAX($N25)</f>
        <v>0.07</v>
      </c>
      <c r="BI25" s="1" t="n">
        <f aca="false">MAX($P25)</f>
        <v>10.91</v>
      </c>
      <c r="BJ25" s="1" t="n">
        <f aca="false">MAX($Q25)</f>
        <v>0</v>
      </c>
      <c r="BK25" s="1" t="n">
        <f aca="false">MAX($R25)</f>
        <v>692010</v>
      </c>
    </row>
    <row r="26" customFormat="false" ht="15" hidden="false" customHeight="false" outlineLevel="0" collapsed="false">
      <c r="A26" s="1" t="s">
        <v>43</v>
      </c>
      <c r="B26" s="1" t="n">
        <f aca="false" t="array" ref="B26:B26">_xlfn.SWITCH($A$2,"average", AVERAGE(Instances!B26:B26),"median", MEDIAN(Instances!B26:B26),"min", MIN(Instances!B26:B26),"max", MAX(Instances!B26:B26),"diff", MAX(Instances!B26:B26)-MIN(Instances!B26:B26))</f>
        <v>1887</v>
      </c>
      <c r="C26" s="1" t="n">
        <f aca="false" t="array" ref="C26:C26">_xlfn.SWITCH($A$2,"average", AVERAGE(Instances!C26:C26),"median", MEDIAN(Instances!C26:C26),"min", MIN(Instances!C26:C26),"max", MAX(Instances!C26:C26),"diff", MAX(Instances!C26:C26)-MIN(Instances!C26:C26))</f>
        <v>0</v>
      </c>
      <c r="D26" s="1" t="n">
        <f aca="false" t="array" ref="D26:D26">_xlfn.SWITCH($A$2,"average", AVERAGE(Instances!D26:D26),"median", MEDIAN(Instances!D26:D26),"min", MIN(Instances!D26:D26),"max", MAX(Instances!D26:D26),"diff", MAX(Instances!D26:D26)-MIN(Instances!D26:D26))</f>
        <v>447546</v>
      </c>
      <c r="E26" s="1" t="n">
        <f aca="false" t="array" ref="E26:E26">_xlfn.SWITCH($A$2,"average", AVERAGE(Instances!E26:E26),"median", MEDIAN(Instances!E26:E26),"min", MIN(Instances!E26:E26),"max", MAX(Instances!E26:E26),"diff", MAX(Instances!E26:E26)-MIN(Instances!E26:E26))</f>
        <v>0</v>
      </c>
      <c r="F26" s="1" t="n">
        <f aca="false" t="array" ref="F26:F26">_xlfn.SWITCH($A$2,"average", AVERAGE(Instances!F26:F26),"median", MEDIAN(Instances!F26:F26),"min", MIN(Instances!F26:F26),"max", MAX(Instances!F26:F26),"diff", MAX(Instances!F26:F26)-MIN(Instances!F26:F26))</f>
        <v>642</v>
      </c>
      <c r="G26" s="1" t="n">
        <f aca="false" t="array" ref="G26:G26">_xlfn.SWITCH($A$2,"average", AVERAGE(Instances!G26:G26),"median", MEDIAN(Instances!G26:G26),"min", MIN(Instances!G26:G26),"max", MAX(Instances!G26:G26),"diff", MAX(Instances!G26:G26)-MIN(Instances!G26:G26))</f>
        <v>0</v>
      </c>
      <c r="H26" s="1" t="n">
        <f aca="false" t="array" ref="H26:H26">_xlfn.SWITCH($A$2,"average", AVERAGE(Instances!H26:H26),"median", MEDIAN(Instances!H26:H26),"min", MIN(Instances!H26:H26),"max", MAX(Instances!H26:H26),"diff", MAX(Instances!H26:H26)-MIN(Instances!H26:H26))</f>
        <v>1</v>
      </c>
      <c r="I26" s="1" t="n">
        <f aca="false" t="array" ref="I26:I26">_xlfn.SWITCH($A$2,"average", AVERAGE(Instances!I26:I26),"median", MEDIAN(Instances!I26:I26),"min", MIN(Instances!I26:I26),"max", MAX(Instances!I26:I26),"diff", MAX(Instances!I26:I26)-MIN(Instances!I26:I26))</f>
        <v>9.77</v>
      </c>
      <c r="J26" s="1" t="n">
        <f aca="false" t="array" ref="J26:J26">_xlfn.SWITCH($A$2,"average", AVERAGE(Instances!J26:J26),"median", MEDIAN(Instances!J26:J26),"min", MIN(Instances!J26:J26),"max", MAX(Instances!J26:J26),"diff", MAX(Instances!J26:J26)-MIN(Instances!J26:J26))</f>
        <v>10.01</v>
      </c>
      <c r="K26" s="1" t="n">
        <f aca="false" t="array" ref="K26:K26">_xlfn.SWITCH($A$2,"average", AVERAGE(Instances!K26:K26),"median", MEDIAN(Instances!K26:K26),"min", MIN(Instances!K26:K26),"max", MAX(Instances!K26:K26),"diff", MAX(Instances!K26:K26)-MIN(Instances!K26:K26))</f>
        <v>0</v>
      </c>
      <c r="L26" s="1"/>
      <c r="M26" s="1" t="n">
        <f aca="false" t="array" ref="M26:M26">_xlfn.SWITCH($A$2,"average", AVERAGE(Instances!M26:M26),"median", MEDIAN(Instances!M26:M26),"min", MIN(Instances!M26:M26),"max", MAX(Instances!M26:M26),"diff", MAX(Instances!M26:M26)-MIN(Instances!M26:M26))</f>
        <v>2265581</v>
      </c>
      <c r="N26" s="1" t="n">
        <f aca="false" t="array" ref="N26:N26">_xlfn.SWITCH($A$2,"average", AVERAGE(Instances!N26:N26),"median", MEDIAN(Instances!N26:N26),"min", MIN(Instances!N26:N26),"max", MAX(Instances!N26:N26),"diff", MAX(Instances!N26:N26)-MIN(Instances!N26:N26))</f>
        <v>0.05</v>
      </c>
      <c r="O26" s="1"/>
      <c r="P26" s="1" t="n">
        <f aca="false" t="array" ref="P26:P26">_xlfn.SWITCH($A$2,"average", AVERAGE(Instances!P26:P26),"median", MEDIAN(Instances!P26:P26),"min", MIN(Instances!P26:P26),"max", MAX(Instances!P26:P26),"diff", MAX(Instances!P26:P26)-MIN(Instances!P26:P26))</f>
        <v>10.01</v>
      </c>
      <c r="Q26" s="1" t="n">
        <f aca="false" t="array" ref="Q26:Q26">_xlfn.SWITCH($A$2,"average", AVERAGE(Instances!Q26:Q26),"median", MEDIAN(Instances!Q26:Q26),"min", MIN(Instances!Q26:Q26),"max", MAX(Instances!Q26:Q26),"diff", MAX(Instances!Q26:Q26)-MIN(Instances!Q26:Q26))</f>
        <v>0</v>
      </c>
      <c r="R26" s="1" t="n">
        <f aca="false" t="array" ref="R26:R26">_xlfn.SWITCH($A$2,"average", AVERAGE(Instances!R26:R26),"median", MEDIAN(Instances!R26:R26),"min", MIN(Instances!R26:R26),"max", MAX(Instances!R26:R26),"diff", MAX(Instances!R26:R26)-MIN(Instances!R26:R26))</f>
        <v>644643</v>
      </c>
      <c r="S26" s="1" t="n">
        <f aca="false">MIN($B26)</f>
        <v>1887</v>
      </c>
      <c r="T26" s="1" t="n">
        <f aca="false">MIN($C26)</f>
        <v>0</v>
      </c>
      <c r="U26" s="1" t="n">
        <f aca="false">MIN($D26)</f>
        <v>447546</v>
      </c>
      <c r="V26" s="1" t="n">
        <f aca="false">MIN($E26)</f>
        <v>0</v>
      </c>
      <c r="W26" s="1" t="n">
        <f aca="false">MIN($F26)</f>
        <v>642</v>
      </c>
      <c r="X26" s="1" t="n">
        <f aca="false">MIN($G26)</f>
        <v>0</v>
      </c>
      <c r="Y26" s="1" t="n">
        <f aca="false">MIN($H26)</f>
        <v>1</v>
      </c>
      <c r="Z26" s="1" t="n">
        <f aca="false">MIN($I26)</f>
        <v>9.77</v>
      </c>
      <c r="AA26" s="1" t="n">
        <f aca="false">MIN($J26)</f>
        <v>10.01</v>
      </c>
      <c r="AB26" s="1" t="n">
        <f aca="false">MIN($K26)</f>
        <v>0</v>
      </c>
      <c r="AC26" s="1" t="n">
        <f aca="false">MIN($M26)</f>
        <v>2265581</v>
      </c>
      <c r="AD26" s="1" t="n">
        <f aca="false">MIN($N26)</f>
        <v>0.05</v>
      </c>
      <c r="AE26" s="1" t="n">
        <f aca="false">MIN($P26)</f>
        <v>10.01</v>
      </c>
      <c r="AF26" s="1" t="n">
        <f aca="false">MIN($Q26)</f>
        <v>0</v>
      </c>
      <c r="AG26" s="1" t="n">
        <f aca="false">MIN($R26)</f>
        <v>644643</v>
      </c>
      <c r="AH26" s="1" t="n">
        <f aca="false">MEDIAN($B26)</f>
        <v>1887</v>
      </c>
      <c r="AI26" s="1" t="n">
        <f aca="false">MEDIAN($C26)</f>
        <v>0</v>
      </c>
      <c r="AJ26" s="1" t="n">
        <f aca="false">MEDIAN($D26)</f>
        <v>447546</v>
      </c>
      <c r="AK26" s="1" t="n">
        <f aca="false">MEDIAN($E26)</f>
        <v>0</v>
      </c>
      <c r="AL26" s="1" t="n">
        <f aca="false">MEDIAN($F26)</f>
        <v>642</v>
      </c>
      <c r="AM26" s="1" t="n">
        <f aca="false">MEDIAN($G26)</f>
        <v>0</v>
      </c>
      <c r="AN26" s="1" t="n">
        <f aca="false">MEDIAN($H26)</f>
        <v>1</v>
      </c>
      <c r="AO26" s="1" t="n">
        <f aca="false">MEDIAN($I26)</f>
        <v>9.77</v>
      </c>
      <c r="AP26" s="1" t="n">
        <f aca="false">MEDIAN($J26)</f>
        <v>10.01</v>
      </c>
      <c r="AQ26" s="1" t="n">
        <f aca="false">MEDIAN($K26)</f>
        <v>0</v>
      </c>
      <c r="AR26" s="1" t="n">
        <f aca="false">MEDIAN($M26)</f>
        <v>2265581</v>
      </c>
      <c r="AS26" s="1" t="n">
        <f aca="false">MEDIAN($N26)</f>
        <v>0.05</v>
      </c>
      <c r="AT26" s="1" t="n">
        <f aca="false">MEDIAN($P26)</f>
        <v>10.01</v>
      </c>
      <c r="AU26" s="1" t="n">
        <f aca="false">MEDIAN($Q26)</f>
        <v>0</v>
      </c>
      <c r="AV26" s="1" t="n">
        <f aca="false">MEDIAN($R26)</f>
        <v>644643</v>
      </c>
      <c r="AW26" s="1" t="n">
        <f aca="false">MAX($B26)</f>
        <v>1887</v>
      </c>
      <c r="AX26" s="1" t="n">
        <f aca="false">MAX($C26)</f>
        <v>0</v>
      </c>
      <c r="AY26" s="1" t="n">
        <f aca="false">MAX($D26)</f>
        <v>447546</v>
      </c>
      <c r="AZ26" s="1" t="n">
        <f aca="false">MAX($E26)</f>
        <v>0</v>
      </c>
      <c r="BA26" s="1" t="n">
        <f aca="false">MAX($F26)</f>
        <v>642</v>
      </c>
      <c r="BB26" s="1" t="n">
        <f aca="false">MAX($G26)</f>
        <v>0</v>
      </c>
      <c r="BC26" s="1" t="n">
        <f aca="false">MAX($H26)</f>
        <v>1</v>
      </c>
      <c r="BD26" s="1" t="n">
        <f aca="false">MAX($I26)</f>
        <v>9.77</v>
      </c>
      <c r="BE26" s="1" t="n">
        <f aca="false">MAX($J26)</f>
        <v>10.01</v>
      </c>
      <c r="BF26" s="1" t="n">
        <f aca="false">MAX($K26)</f>
        <v>0</v>
      </c>
      <c r="BG26" s="1" t="n">
        <f aca="false">MAX($M26)</f>
        <v>2265581</v>
      </c>
      <c r="BH26" s="1" t="n">
        <f aca="false">MAX($N26)</f>
        <v>0.05</v>
      </c>
      <c r="BI26" s="1" t="n">
        <f aca="false">MAX($P26)</f>
        <v>10.01</v>
      </c>
      <c r="BJ26" s="1" t="n">
        <f aca="false">MAX($Q26)</f>
        <v>0</v>
      </c>
      <c r="BK26" s="1" t="n">
        <f aca="false">MAX($R26)</f>
        <v>644643</v>
      </c>
    </row>
    <row r="27" customFormat="false" ht="15" hidden="false" customHeight="false" outlineLevel="0" collapsed="false">
      <c r="A27" s="1" t="s">
        <v>44</v>
      </c>
      <c r="B27" s="1" t="n">
        <f aca="false" t="array" ref="B27:B27">_xlfn.SWITCH($A$2,"average", AVERAGE(Instances!B27:B27),"median", MEDIAN(Instances!B27:B27),"min", MIN(Instances!B27:B27),"max", MAX(Instances!B27:B27),"diff", MAX(Instances!B27:B27)-MIN(Instances!B27:B27))</f>
        <v>1621</v>
      </c>
      <c r="C27" s="1" t="n">
        <f aca="false" t="array" ref="C27:C27">_xlfn.SWITCH($A$2,"average", AVERAGE(Instances!C27:C27),"median", MEDIAN(Instances!C27:C27),"min", MIN(Instances!C27:C27),"max", MAX(Instances!C27:C27),"diff", MAX(Instances!C27:C27)-MIN(Instances!C27:C27))</f>
        <v>51</v>
      </c>
      <c r="D27" s="1" t="n">
        <f aca="false" t="array" ref="D27:D27">_xlfn.SWITCH($A$2,"average", AVERAGE(Instances!D27:D27),"median", MEDIAN(Instances!D27:D27),"min", MIN(Instances!D27:D27),"max", MAX(Instances!D27:D27),"diff", MAX(Instances!D27:D27)-MIN(Instances!D27:D27))</f>
        <v>608170</v>
      </c>
      <c r="E27" s="1" t="n">
        <f aca="false" t="array" ref="E27:E27">_xlfn.SWITCH($A$2,"average", AVERAGE(Instances!E27:E27),"median", MEDIAN(Instances!E27:E27),"min", MIN(Instances!E27:E27),"max", MAX(Instances!E27:E27),"diff", MAX(Instances!E27:E27)-MIN(Instances!E27:E27))</f>
        <v>0</v>
      </c>
      <c r="F27" s="1" t="n">
        <f aca="false" t="array" ref="F27:F27">_xlfn.SWITCH($A$2,"average", AVERAGE(Instances!F27:F27),"median", MEDIAN(Instances!F27:F27),"min", MIN(Instances!F27:F27),"max", MAX(Instances!F27:F27),"diff", MAX(Instances!F27:F27)-MIN(Instances!F27:F27))</f>
        <v>704</v>
      </c>
      <c r="G27" s="1" t="n">
        <f aca="false" t="array" ref="G27:G27">_xlfn.SWITCH($A$2,"average", AVERAGE(Instances!G27:G27),"median", MEDIAN(Instances!G27:G27),"min", MIN(Instances!G27:G27),"max", MAX(Instances!G27:G27),"diff", MAX(Instances!G27:G27)-MIN(Instances!G27:G27))</f>
        <v>0</v>
      </c>
      <c r="H27" s="1" t="n">
        <f aca="false" t="array" ref="H27:H27">_xlfn.SWITCH($A$2,"average", AVERAGE(Instances!H27:H27),"median", MEDIAN(Instances!H27:H27),"min", MIN(Instances!H27:H27),"max", MAX(Instances!H27:H27),"diff", MAX(Instances!H27:H27)-MIN(Instances!H27:H27))</f>
        <v>1</v>
      </c>
      <c r="I27" s="1" t="n">
        <f aca="false" t="array" ref="I27:I27">_xlfn.SWITCH($A$2,"average", AVERAGE(Instances!I27:I27),"median", MEDIAN(Instances!I27:I27),"min", MIN(Instances!I27:I27),"max", MAX(Instances!I27:I27),"diff", MAX(Instances!I27:I27)-MIN(Instances!I27:I27))</f>
        <v>10.645</v>
      </c>
      <c r="J27" s="1" t="n">
        <f aca="false" t="array" ref="J27:J27">_xlfn.SWITCH($A$2,"average", AVERAGE(Instances!J27:J27),"median", MEDIAN(Instances!J27:J27),"min", MIN(Instances!J27:J27),"max", MAX(Instances!J27:J27),"diff", MAX(Instances!J27:J27)-MIN(Instances!J27:J27))</f>
        <v>10.89</v>
      </c>
      <c r="K27" s="1" t="n">
        <f aca="false" t="array" ref="K27:K27">_xlfn.SWITCH($A$2,"average", AVERAGE(Instances!K27:K27),"median", MEDIAN(Instances!K27:K27),"min", MIN(Instances!K27:K27),"max", MAX(Instances!K27:K27),"diff", MAX(Instances!K27:K27)-MIN(Instances!K27:K27))</f>
        <v>0</v>
      </c>
      <c r="L27" s="1"/>
      <c r="M27" s="1" t="n">
        <f aca="false" t="array" ref="M27:M27">_xlfn.SWITCH($A$2,"average", AVERAGE(Instances!M27:M27),"median", MEDIAN(Instances!M27:M27),"min", MIN(Instances!M27:M27),"max", MAX(Instances!M27:M27),"diff", MAX(Instances!M27:M27)-MIN(Instances!M27:M27))</f>
        <v>2503597</v>
      </c>
      <c r="N27" s="1" t="n">
        <f aca="false" t="array" ref="N27:N27">_xlfn.SWITCH($A$2,"average", AVERAGE(Instances!N27:N27),"median", MEDIAN(Instances!N27:N27),"min", MIN(Instances!N27:N27),"max", MAX(Instances!N27:N27),"diff", MAX(Instances!N27:N27)-MIN(Instances!N27:N27))</f>
        <v>0.08</v>
      </c>
      <c r="O27" s="1"/>
      <c r="P27" s="1" t="n">
        <f aca="false" t="array" ref="P27:P27">_xlfn.SWITCH($A$2,"average", AVERAGE(Instances!P27:P27),"median", MEDIAN(Instances!P27:P27),"min", MIN(Instances!P27:P27),"max", MAX(Instances!P27:P27),"diff", MAX(Instances!P27:P27)-MIN(Instances!P27:P27))</f>
        <v>10.89</v>
      </c>
      <c r="Q27" s="1" t="n">
        <f aca="false" t="array" ref="Q27:Q27">_xlfn.SWITCH($A$2,"average", AVERAGE(Instances!Q27:Q27),"median", MEDIAN(Instances!Q27:Q27),"min", MIN(Instances!Q27:Q27),"max", MAX(Instances!Q27:Q27),"diff", MAX(Instances!Q27:Q27)-MIN(Instances!Q27:Q27))</f>
        <v>0</v>
      </c>
      <c r="R27" s="1" t="n">
        <f aca="false" t="array" ref="R27:R27">_xlfn.SWITCH($A$2,"average", AVERAGE(Instances!R27:R27),"median", MEDIAN(Instances!R27:R27),"min", MIN(Instances!R27:R27),"max", MAX(Instances!R27:R27),"diff", MAX(Instances!R27:R27)-MIN(Instances!R27:R27))</f>
        <v>695334</v>
      </c>
      <c r="S27" s="1" t="n">
        <f aca="false">MIN($B27)</f>
        <v>1621</v>
      </c>
      <c r="T27" s="1" t="n">
        <f aca="false">MIN($C27)</f>
        <v>51</v>
      </c>
      <c r="U27" s="1" t="n">
        <f aca="false">MIN($D27)</f>
        <v>608170</v>
      </c>
      <c r="V27" s="1" t="n">
        <f aca="false">MIN($E27)</f>
        <v>0</v>
      </c>
      <c r="W27" s="1" t="n">
        <f aca="false">MIN($F27)</f>
        <v>704</v>
      </c>
      <c r="X27" s="1" t="n">
        <f aca="false">MIN($G27)</f>
        <v>0</v>
      </c>
      <c r="Y27" s="1" t="n">
        <f aca="false">MIN($H27)</f>
        <v>1</v>
      </c>
      <c r="Z27" s="1" t="n">
        <f aca="false">MIN($I27)</f>
        <v>10.645</v>
      </c>
      <c r="AA27" s="1" t="n">
        <f aca="false">MIN($J27)</f>
        <v>10.89</v>
      </c>
      <c r="AB27" s="1" t="n">
        <f aca="false">MIN($K27)</f>
        <v>0</v>
      </c>
      <c r="AC27" s="1" t="n">
        <f aca="false">MIN($M27)</f>
        <v>2503597</v>
      </c>
      <c r="AD27" s="1" t="n">
        <f aca="false">MIN($N27)</f>
        <v>0.08</v>
      </c>
      <c r="AE27" s="1" t="n">
        <f aca="false">MIN($P27)</f>
        <v>10.89</v>
      </c>
      <c r="AF27" s="1" t="n">
        <f aca="false">MIN($Q27)</f>
        <v>0</v>
      </c>
      <c r="AG27" s="1" t="n">
        <f aca="false">MIN($R27)</f>
        <v>695334</v>
      </c>
      <c r="AH27" s="1" t="n">
        <f aca="false">MEDIAN($B27)</f>
        <v>1621</v>
      </c>
      <c r="AI27" s="1" t="n">
        <f aca="false">MEDIAN($C27)</f>
        <v>51</v>
      </c>
      <c r="AJ27" s="1" t="n">
        <f aca="false">MEDIAN($D27)</f>
        <v>608170</v>
      </c>
      <c r="AK27" s="1" t="n">
        <f aca="false">MEDIAN($E27)</f>
        <v>0</v>
      </c>
      <c r="AL27" s="1" t="n">
        <f aca="false">MEDIAN($F27)</f>
        <v>704</v>
      </c>
      <c r="AM27" s="1" t="n">
        <f aca="false">MEDIAN($G27)</f>
        <v>0</v>
      </c>
      <c r="AN27" s="1" t="n">
        <f aca="false">MEDIAN($H27)</f>
        <v>1</v>
      </c>
      <c r="AO27" s="1" t="n">
        <f aca="false">MEDIAN($I27)</f>
        <v>10.645</v>
      </c>
      <c r="AP27" s="1" t="n">
        <f aca="false">MEDIAN($J27)</f>
        <v>10.89</v>
      </c>
      <c r="AQ27" s="1" t="n">
        <f aca="false">MEDIAN($K27)</f>
        <v>0</v>
      </c>
      <c r="AR27" s="1" t="n">
        <f aca="false">MEDIAN($M27)</f>
        <v>2503597</v>
      </c>
      <c r="AS27" s="1" t="n">
        <f aca="false">MEDIAN($N27)</f>
        <v>0.08</v>
      </c>
      <c r="AT27" s="1" t="n">
        <f aca="false">MEDIAN($P27)</f>
        <v>10.89</v>
      </c>
      <c r="AU27" s="1" t="n">
        <f aca="false">MEDIAN($Q27)</f>
        <v>0</v>
      </c>
      <c r="AV27" s="1" t="n">
        <f aca="false">MEDIAN($R27)</f>
        <v>695334</v>
      </c>
      <c r="AW27" s="1" t="n">
        <f aca="false">MAX($B27)</f>
        <v>1621</v>
      </c>
      <c r="AX27" s="1" t="n">
        <f aca="false">MAX($C27)</f>
        <v>51</v>
      </c>
      <c r="AY27" s="1" t="n">
        <f aca="false">MAX($D27)</f>
        <v>608170</v>
      </c>
      <c r="AZ27" s="1" t="n">
        <f aca="false">MAX($E27)</f>
        <v>0</v>
      </c>
      <c r="BA27" s="1" t="n">
        <f aca="false">MAX($F27)</f>
        <v>704</v>
      </c>
      <c r="BB27" s="1" t="n">
        <f aca="false">MAX($G27)</f>
        <v>0</v>
      </c>
      <c r="BC27" s="1" t="n">
        <f aca="false">MAX($H27)</f>
        <v>1</v>
      </c>
      <c r="BD27" s="1" t="n">
        <f aca="false">MAX($I27)</f>
        <v>10.645</v>
      </c>
      <c r="BE27" s="1" t="n">
        <f aca="false">MAX($J27)</f>
        <v>10.89</v>
      </c>
      <c r="BF27" s="1" t="n">
        <f aca="false">MAX($K27)</f>
        <v>0</v>
      </c>
      <c r="BG27" s="1" t="n">
        <f aca="false">MAX($M27)</f>
        <v>2503597</v>
      </c>
      <c r="BH27" s="1" t="n">
        <f aca="false">MAX($N27)</f>
        <v>0.08</v>
      </c>
      <c r="BI27" s="1" t="n">
        <f aca="false">MAX($P27)</f>
        <v>10.89</v>
      </c>
      <c r="BJ27" s="1" t="n">
        <f aca="false">MAX($Q27)</f>
        <v>0</v>
      </c>
      <c r="BK27" s="1" t="n">
        <f aca="false">MAX($R27)</f>
        <v>695334</v>
      </c>
    </row>
    <row r="28" customFormat="false" ht="15" hidden="false" customHeight="false" outlineLevel="0" collapsed="false">
      <c r="A28" s="1" t="s">
        <v>45</v>
      </c>
      <c r="B28" s="1" t="n">
        <f aca="false" t="array" ref="B28:B28">_xlfn.SWITCH($A$2,"average", AVERAGE(Instances!B28:B28),"median", MEDIAN(Instances!B28:B28),"min", MIN(Instances!B28:B28),"max", MAX(Instances!B28:B28),"diff", MAX(Instances!B28:B28)-MIN(Instances!B28:B28))</f>
        <v>2226</v>
      </c>
      <c r="C28" s="1" t="n">
        <f aca="false" t="array" ref="C28:C28">_xlfn.SWITCH($A$2,"average", AVERAGE(Instances!C28:C28),"median", MEDIAN(Instances!C28:C28),"min", MIN(Instances!C28:C28),"max", MAX(Instances!C28:C28),"diff", MAX(Instances!C28:C28)-MIN(Instances!C28:C28))</f>
        <v>0</v>
      </c>
      <c r="D28" s="1" t="n">
        <f aca="false" t="array" ref="D28:D28">_xlfn.SWITCH($A$2,"average", AVERAGE(Instances!D28:D28),"median", MEDIAN(Instances!D28:D28),"min", MIN(Instances!D28:D28),"max", MAX(Instances!D28:D28),"diff", MAX(Instances!D28:D28)-MIN(Instances!D28:D28))</f>
        <v>512982</v>
      </c>
      <c r="E28" s="1" t="n">
        <f aca="false" t="array" ref="E28:E28">_xlfn.SWITCH($A$2,"average", AVERAGE(Instances!E28:E28),"median", MEDIAN(Instances!E28:E28),"min", MIN(Instances!E28:E28),"max", MAX(Instances!E28:E28),"diff", MAX(Instances!E28:E28)-MIN(Instances!E28:E28))</f>
        <v>0</v>
      </c>
      <c r="F28" s="1" t="n">
        <f aca="false" t="array" ref="F28:F28">_xlfn.SWITCH($A$2,"average", AVERAGE(Instances!F28:F28),"median", MEDIAN(Instances!F28:F28),"min", MIN(Instances!F28:F28),"max", MAX(Instances!F28:F28),"diff", MAX(Instances!F28:F28)-MIN(Instances!F28:F28))</f>
        <v>598</v>
      </c>
      <c r="G28" s="1" t="n">
        <f aca="false" t="array" ref="G28:G28">_xlfn.SWITCH($A$2,"average", AVERAGE(Instances!G28:G28),"median", MEDIAN(Instances!G28:G28),"min", MIN(Instances!G28:G28),"max", MAX(Instances!G28:G28),"diff", MAX(Instances!G28:G28)-MIN(Instances!G28:G28))</f>
        <v>0</v>
      </c>
      <c r="H28" s="1" t="n">
        <f aca="false" t="array" ref="H28:H28">_xlfn.SWITCH($A$2,"average", AVERAGE(Instances!H28:H28),"median", MEDIAN(Instances!H28:H28),"min", MIN(Instances!H28:H28),"max", MAX(Instances!H28:H28),"diff", MAX(Instances!H28:H28)-MIN(Instances!H28:H28))</f>
        <v>1</v>
      </c>
      <c r="I28" s="1" t="n">
        <f aca="false" t="array" ref="I28:I28">_xlfn.SWITCH($A$2,"average", AVERAGE(Instances!I28:I28),"median", MEDIAN(Instances!I28:I28),"min", MIN(Instances!I28:I28),"max", MAX(Instances!I28:I28),"diff", MAX(Instances!I28:I28)-MIN(Instances!I28:I28))</f>
        <v>9.177</v>
      </c>
      <c r="J28" s="1" t="n">
        <f aca="false" t="array" ref="J28:J28">_xlfn.SWITCH($A$2,"average", AVERAGE(Instances!J28:J28),"median", MEDIAN(Instances!J28:J28),"min", MIN(Instances!J28:J28),"max", MAX(Instances!J28:J28),"diff", MAX(Instances!J28:J28)-MIN(Instances!J28:J28))</f>
        <v>9.41</v>
      </c>
      <c r="K28" s="1" t="n">
        <f aca="false" t="array" ref="K28:K28">_xlfn.SWITCH($A$2,"average", AVERAGE(Instances!K28:K28),"median", MEDIAN(Instances!K28:K28),"min", MIN(Instances!K28:K28),"max", MAX(Instances!K28:K28),"diff", MAX(Instances!K28:K28)-MIN(Instances!K28:K28))</f>
        <v>0</v>
      </c>
      <c r="L28" s="1"/>
      <c r="M28" s="1" t="n">
        <f aca="false" t="array" ref="M28:M28">_xlfn.SWITCH($A$2,"average", AVERAGE(Instances!M28:M28),"median", MEDIAN(Instances!M28:M28),"min", MIN(Instances!M28:M28),"max", MAX(Instances!M28:M28),"diff", MAX(Instances!M28:M28)-MIN(Instances!M28:M28))</f>
        <v>2144847</v>
      </c>
      <c r="N28" s="1" t="n">
        <f aca="false" t="array" ref="N28:N28">_xlfn.SWITCH($A$2,"average", AVERAGE(Instances!N28:N28),"median", MEDIAN(Instances!N28:N28),"min", MIN(Instances!N28:N28),"max", MAX(Instances!N28:N28),"diff", MAX(Instances!N28:N28)-MIN(Instances!N28:N28))</f>
        <v>0.05</v>
      </c>
      <c r="O28" s="1"/>
      <c r="P28" s="1" t="n">
        <f aca="false" t="array" ref="P28:P28">_xlfn.SWITCH($A$2,"average", AVERAGE(Instances!P28:P28),"median", MEDIAN(Instances!P28:P28),"min", MIN(Instances!P28:P28),"max", MAX(Instances!P28:P28),"diff", MAX(Instances!P28:P28)-MIN(Instances!P28:P28))</f>
        <v>9.41</v>
      </c>
      <c r="Q28" s="1" t="n">
        <f aca="false" t="array" ref="Q28:Q28">_xlfn.SWITCH($A$2,"average", AVERAGE(Instances!Q28:Q28),"median", MEDIAN(Instances!Q28:Q28),"min", MIN(Instances!Q28:Q28),"max", MAX(Instances!Q28:Q28),"diff", MAX(Instances!Q28:Q28)-MIN(Instances!Q28:Q28))</f>
        <v>0</v>
      </c>
      <c r="R28" s="1" t="n">
        <f aca="false" t="array" ref="R28:R28">_xlfn.SWITCH($A$2,"average", AVERAGE(Instances!R28:R28),"median", MEDIAN(Instances!R28:R28),"min", MIN(Instances!R28:R28),"max", MAX(Instances!R28:R28),"diff", MAX(Instances!R28:R28)-MIN(Instances!R28:R28))</f>
        <v>616389</v>
      </c>
      <c r="S28" s="1" t="n">
        <f aca="false">MIN($B28)</f>
        <v>2226</v>
      </c>
      <c r="T28" s="1" t="n">
        <f aca="false">MIN($C28)</f>
        <v>0</v>
      </c>
      <c r="U28" s="1" t="n">
        <f aca="false">MIN($D28)</f>
        <v>512982</v>
      </c>
      <c r="V28" s="1" t="n">
        <f aca="false">MIN($E28)</f>
        <v>0</v>
      </c>
      <c r="W28" s="1" t="n">
        <f aca="false">MIN($F28)</f>
        <v>598</v>
      </c>
      <c r="X28" s="1" t="n">
        <f aca="false">MIN($G28)</f>
        <v>0</v>
      </c>
      <c r="Y28" s="1" t="n">
        <f aca="false">MIN($H28)</f>
        <v>1</v>
      </c>
      <c r="Z28" s="1" t="n">
        <f aca="false">MIN($I28)</f>
        <v>9.177</v>
      </c>
      <c r="AA28" s="1" t="n">
        <f aca="false">MIN($J28)</f>
        <v>9.41</v>
      </c>
      <c r="AB28" s="1" t="n">
        <f aca="false">MIN($K28)</f>
        <v>0</v>
      </c>
      <c r="AC28" s="1" t="n">
        <f aca="false">MIN($M28)</f>
        <v>2144847</v>
      </c>
      <c r="AD28" s="1" t="n">
        <f aca="false">MIN($N28)</f>
        <v>0.05</v>
      </c>
      <c r="AE28" s="1" t="n">
        <f aca="false">MIN($P28)</f>
        <v>9.41</v>
      </c>
      <c r="AF28" s="1" t="n">
        <f aca="false">MIN($Q28)</f>
        <v>0</v>
      </c>
      <c r="AG28" s="1" t="n">
        <f aca="false">MIN($R28)</f>
        <v>616389</v>
      </c>
      <c r="AH28" s="1" t="n">
        <f aca="false">MEDIAN($B28)</f>
        <v>2226</v>
      </c>
      <c r="AI28" s="1" t="n">
        <f aca="false">MEDIAN($C28)</f>
        <v>0</v>
      </c>
      <c r="AJ28" s="1" t="n">
        <f aca="false">MEDIAN($D28)</f>
        <v>512982</v>
      </c>
      <c r="AK28" s="1" t="n">
        <f aca="false">MEDIAN($E28)</f>
        <v>0</v>
      </c>
      <c r="AL28" s="1" t="n">
        <f aca="false">MEDIAN($F28)</f>
        <v>598</v>
      </c>
      <c r="AM28" s="1" t="n">
        <f aca="false">MEDIAN($G28)</f>
        <v>0</v>
      </c>
      <c r="AN28" s="1" t="n">
        <f aca="false">MEDIAN($H28)</f>
        <v>1</v>
      </c>
      <c r="AO28" s="1" t="n">
        <f aca="false">MEDIAN($I28)</f>
        <v>9.177</v>
      </c>
      <c r="AP28" s="1" t="n">
        <f aca="false">MEDIAN($J28)</f>
        <v>9.41</v>
      </c>
      <c r="AQ28" s="1" t="n">
        <f aca="false">MEDIAN($K28)</f>
        <v>0</v>
      </c>
      <c r="AR28" s="1" t="n">
        <f aca="false">MEDIAN($M28)</f>
        <v>2144847</v>
      </c>
      <c r="AS28" s="1" t="n">
        <f aca="false">MEDIAN($N28)</f>
        <v>0.05</v>
      </c>
      <c r="AT28" s="1" t="n">
        <f aca="false">MEDIAN($P28)</f>
        <v>9.41</v>
      </c>
      <c r="AU28" s="1" t="n">
        <f aca="false">MEDIAN($Q28)</f>
        <v>0</v>
      </c>
      <c r="AV28" s="1" t="n">
        <f aca="false">MEDIAN($R28)</f>
        <v>616389</v>
      </c>
      <c r="AW28" s="1" t="n">
        <f aca="false">MAX($B28)</f>
        <v>2226</v>
      </c>
      <c r="AX28" s="1" t="n">
        <f aca="false">MAX($C28)</f>
        <v>0</v>
      </c>
      <c r="AY28" s="1" t="n">
        <f aca="false">MAX($D28)</f>
        <v>512982</v>
      </c>
      <c r="AZ28" s="1" t="n">
        <f aca="false">MAX($E28)</f>
        <v>0</v>
      </c>
      <c r="BA28" s="1" t="n">
        <f aca="false">MAX($F28)</f>
        <v>598</v>
      </c>
      <c r="BB28" s="1" t="n">
        <f aca="false">MAX($G28)</f>
        <v>0</v>
      </c>
      <c r="BC28" s="1" t="n">
        <f aca="false">MAX($H28)</f>
        <v>1</v>
      </c>
      <c r="BD28" s="1" t="n">
        <f aca="false">MAX($I28)</f>
        <v>9.177</v>
      </c>
      <c r="BE28" s="1" t="n">
        <f aca="false">MAX($J28)</f>
        <v>9.41</v>
      </c>
      <c r="BF28" s="1" t="n">
        <f aca="false">MAX($K28)</f>
        <v>0</v>
      </c>
      <c r="BG28" s="1" t="n">
        <f aca="false">MAX($M28)</f>
        <v>2144847</v>
      </c>
      <c r="BH28" s="1" t="n">
        <f aca="false">MAX($N28)</f>
        <v>0.05</v>
      </c>
      <c r="BI28" s="1" t="n">
        <f aca="false">MAX($P28)</f>
        <v>9.41</v>
      </c>
      <c r="BJ28" s="1" t="n">
        <f aca="false">MAX($Q28)</f>
        <v>0</v>
      </c>
      <c r="BK28" s="1" t="n">
        <f aca="false">MAX($R28)</f>
        <v>616389</v>
      </c>
    </row>
    <row r="29" customFormat="false" ht="15" hidden="false" customHeight="false" outlineLevel="0" collapsed="false">
      <c r="A29" s="1" t="s">
        <v>46</v>
      </c>
      <c r="B29" s="1" t="n">
        <f aca="false" t="array" ref="B29:B29">_xlfn.SWITCH($A$2,"average", AVERAGE(Instances!B29:B29),"median", MEDIAN(Instances!B29:B29),"min", MIN(Instances!B29:B29),"max", MAX(Instances!B29:B29),"diff", MAX(Instances!B29:B29)-MIN(Instances!B29:B29))</f>
        <v>3461</v>
      </c>
      <c r="C29" s="1" t="n">
        <f aca="false" t="array" ref="C29:C29">_xlfn.SWITCH($A$2,"average", AVERAGE(Instances!C29:C29),"median", MEDIAN(Instances!C29:C29),"min", MIN(Instances!C29:C29),"max", MAX(Instances!C29:C29),"diff", MAX(Instances!C29:C29)-MIN(Instances!C29:C29))</f>
        <v>77</v>
      </c>
      <c r="D29" s="1" t="n">
        <f aca="false" t="array" ref="D29:D29">_xlfn.SWITCH($A$2,"average", AVERAGE(Instances!D29:D29),"median", MEDIAN(Instances!D29:D29),"min", MIN(Instances!D29:D29),"max", MAX(Instances!D29:D29),"diff", MAX(Instances!D29:D29)-MIN(Instances!D29:D29))</f>
        <v>605285</v>
      </c>
      <c r="E29" s="1" t="n">
        <f aca="false" t="array" ref="E29:E29">_xlfn.SWITCH($A$2,"average", AVERAGE(Instances!E29:E29),"median", MEDIAN(Instances!E29:E29),"min", MIN(Instances!E29:E29),"max", MAX(Instances!E29:E29),"diff", MAX(Instances!E29:E29)-MIN(Instances!E29:E29))</f>
        <v>0</v>
      </c>
      <c r="F29" s="1" t="n">
        <f aca="false" t="array" ref="F29:F29">_xlfn.SWITCH($A$2,"average", AVERAGE(Instances!F29:F29),"median", MEDIAN(Instances!F29:F29),"min", MIN(Instances!F29:F29),"max", MAX(Instances!F29:F29),"diff", MAX(Instances!F29:F29)-MIN(Instances!F29:F29))</f>
        <v>706</v>
      </c>
      <c r="G29" s="1" t="n">
        <f aca="false" t="array" ref="G29:G29">_xlfn.SWITCH($A$2,"average", AVERAGE(Instances!G29:G29),"median", MEDIAN(Instances!G29:G29),"min", MIN(Instances!G29:G29),"max", MAX(Instances!G29:G29),"diff", MAX(Instances!G29:G29)-MIN(Instances!G29:G29))</f>
        <v>0</v>
      </c>
      <c r="H29" s="1" t="n">
        <f aca="false" t="array" ref="H29:H29">_xlfn.SWITCH($A$2,"average", AVERAGE(Instances!H29:H29),"median", MEDIAN(Instances!H29:H29),"min", MIN(Instances!H29:H29),"max", MAX(Instances!H29:H29),"diff", MAX(Instances!H29:H29)-MIN(Instances!H29:H29))</f>
        <v>1</v>
      </c>
      <c r="I29" s="1" t="n">
        <f aca="false" t="array" ref="I29:I29">_xlfn.SWITCH($A$2,"average", AVERAGE(Instances!I29:I29),"median", MEDIAN(Instances!I29:I29),"min", MIN(Instances!I29:I29),"max", MAX(Instances!I29:I29),"diff", MAX(Instances!I29:I29)-MIN(Instances!I29:I29))</f>
        <v>10.759</v>
      </c>
      <c r="J29" s="1" t="n">
        <f aca="false" t="array" ref="J29:J29">_xlfn.SWITCH($A$2,"average", AVERAGE(Instances!J29:J29),"median", MEDIAN(Instances!J29:J29),"min", MIN(Instances!J29:J29),"max", MAX(Instances!J29:J29),"diff", MAX(Instances!J29:J29)-MIN(Instances!J29:J29))</f>
        <v>10.98</v>
      </c>
      <c r="K29" s="1" t="n">
        <f aca="false" t="array" ref="K29:K29">_xlfn.SWITCH($A$2,"average", AVERAGE(Instances!K29:K29),"median", MEDIAN(Instances!K29:K29),"min", MIN(Instances!K29:K29),"max", MAX(Instances!K29:K29),"diff", MAX(Instances!K29:K29)-MIN(Instances!K29:K29))</f>
        <v>1</v>
      </c>
      <c r="L29" s="1"/>
      <c r="M29" s="1" t="n">
        <f aca="false" t="array" ref="M29:M29">_xlfn.SWITCH($A$2,"average", AVERAGE(Instances!M29:M29),"median", MEDIAN(Instances!M29:M29),"min", MIN(Instances!M29:M29),"max", MAX(Instances!M29:M29),"diff", MAX(Instances!M29:M29)-MIN(Instances!M29:M29))</f>
        <v>2503597</v>
      </c>
      <c r="N29" s="1" t="n">
        <f aca="false" t="array" ref="N29:N29">_xlfn.SWITCH($A$2,"average", AVERAGE(Instances!N29:N29),"median", MEDIAN(Instances!N29:N29),"min", MIN(Instances!N29:N29),"max", MAX(Instances!N29:N29),"diff", MAX(Instances!N29:N29)-MIN(Instances!N29:N29))</f>
        <v>0.12</v>
      </c>
      <c r="O29" s="1"/>
      <c r="P29" s="1" t="n">
        <f aca="false" t="array" ref="P29:P29">_xlfn.SWITCH($A$2,"average", AVERAGE(Instances!P29:P29),"median", MEDIAN(Instances!P29:P29),"min", MIN(Instances!P29:P29),"max", MAX(Instances!P29:P29),"diff", MAX(Instances!P29:P29)-MIN(Instances!P29:P29))</f>
        <v>10.98</v>
      </c>
      <c r="Q29" s="1" t="n">
        <f aca="false" t="array" ref="Q29:Q29">_xlfn.SWITCH($A$2,"average", AVERAGE(Instances!Q29:Q29),"median", MEDIAN(Instances!Q29:Q29),"min", MIN(Instances!Q29:Q29),"max", MAX(Instances!Q29:Q29),"diff", MAX(Instances!Q29:Q29)-MIN(Instances!Q29:Q29))</f>
        <v>0</v>
      </c>
      <c r="R29" s="1" t="n">
        <f aca="false" t="array" ref="R29:R29">_xlfn.SWITCH($A$2,"average", AVERAGE(Instances!R29:R29),"median", MEDIAN(Instances!R29:R29),"min", MIN(Instances!R29:R29),"max", MAX(Instances!R29:R29),"diff", MAX(Instances!R29:R29)-MIN(Instances!R29:R29))</f>
        <v>695334</v>
      </c>
      <c r="S29" s="1" t="n">
        <f aca="false">MIN($B29)</f>
        <v>3461</v>
      </c>
      <c r="T29" s="1" t="n">
        <f aca="false">MIN($C29)</f>
        <v>77</v>
      </c>
      <c r="U29" s="1" t="n">
        <f aca="false">MIN($D29)</f>
        <v>605285</v>
      </c>
      <c r="V29" s="1" t="n">
        <f aca="false">MIN($E29)</f>
        <v>0</v>
      </c>
      <c r="W29" s="1" t="n">
        <f aca="false">MIN($F29)</f>
        <v>706</v>
      </c>
      <c r="X29" s="1" t="n">
        <f aca="false">MIN($G29)</f>
        <v>0</v>
      </c>
      <c r="Y29" s="1" t="n">
        <f aca="false">MIN($H29)</f>
        <v>1</v>
      </c>
      <c r="Z29" s="1" t="n">
        <f aca="false">MIN($I29)</f>
        <v>10.759</v>
      </c>
      <c r="AA29" s="1" t="n">
        <f aca="false">MIN($J29)</f>
        <v>10.98</v>
      </c>
      <c r="AB29" s="1" t="n">
        <f aca="false">MIN($K29)</f>
        <v>1</v>
      </c>
      <c r="AC29" s="1" t="n">
        <f aca="false">MIN($M29)</f>
        <v>2503597</v>
      </c>
      <c r="AD29" s="1" t="n">
        <f aca="false">MIN($N29)</f>
        <v>0.12</v>
      </c>
      <c r="AE29" s="1" t="n">
        <f aca="false">MIN($P29)</f>
        <v>10.98</v>
      </c>
      <c r="AF29" s="1" t="n">
        <f aca="false">MIN($Q29)</f>
        <v>0</v>
      </c>
      <c r="AG29" s="1" t="n">
        <f aca="false">MIN($R29)</f>
        <v>695334</v>
      </c>
      <c r="AH29" s="1" t="n">
        <f aca="false">MEDIAN($B29)</f>
        <v>3461</v>
      </c>
      <c r="AI29" s="1" t="n">
        <f aca="false">MEDIAN($C29)</f>
        <v>77</v>
      </c>
      <c r="AJ29" s="1" t="n">
        <f aca="false">MEDIAN($D29)</f>
        <v>605285</v>
      </c>
      <c r="AK29" s="1" t="n">
        <f aca="false">MEDIAN($E29)</f>
        <v>0</v>
      </c>
      <c r="AL29" s="1" t="n">
        <f aca="false">MEDIAN($F29)</f>
        <v>706</v>
      </c>
      <c r="AM29" s="1" t="n">
        <f aca="false">MEDIAN($G29)</f>
        <v>0</v>
      </c>
      <c r="AN29" s="1" t="n">
        <f aca="false">MEDIAN($H29)</f>
        <v>1</v>
      </c>
      <c r="AO29" s="1" t="n">
        <f aca="false">MEDIAN($I29)</f>
        <v>10.759</v>
      </c>
      <c r="AP29" s="1" t="n">
        <f aca="false">MEDIAN($J29)</f>
        <v>10.98</v>
      </c>
      <c r="AQ29" s="1" t="n">
        <f aca="false">MEDIAN($K29)</f>
        <v>1</v>
      </c>
      <c r="AR29" s="1" t="n">
        <f aca="false">MEDIAN($M29)</f>
        <v>2503597</v>
      </c>
      <c r="AS29" s="1" t="n">
        <f aca="false">MEDIAN($N29)</f>
        <v>0.12</v>
      </c>
      <c r="AT29" s="1" t="n">
        <f aca="false">MEDIAN($P29)</f>
        <v>10.98</v>
      </c>
      <c r="AU29" s="1" t="n">
        <f aca="false">MEDIAN($Q29)</f>
        <v>0</v>
      </c>
      <c r="AV29" s="1" t="n">
        <f aca="false">MEDIAN($R29)</f>
        <v>695334</v>
      </c>
      <c r="AW29" s="1" t="n">
        <f aca="false">MAX($B29)</f>
        <v>3461</v>
      </c>
      <c r="AX29" s="1" t="n">
        <f aca="false">MAX($C29)</f>
        <v>77</v>
      </c>
      <c r="AY29" s="1" t="n">
        <f aca="false">MAX($D29)</f>
        <v>605285</v>
      </c>
      <c r="AZ29" s="1" t="n">
        <f aca="false">MAX($E29)</f>
        <v>0</v>
      </c>
      <c r="BA29" s="1" t="n">
        <f aca="false">MAX($F29)</f>
        <v>706</v>
      </c>
      <c r="BB29" s="1" t="n">
        <f aca="false">MAX($G29)</f>
        <v>0</v>
      </c>
      <c r="BC29" s="1" t="n">
        <f aca="false">MAX($H29)</f>
        <v>1</v>
      </c>
      <c r="BD29" s="1" t="n">
        <f aca="false">MAX($I29)</f>
        <v>10.759</v>
      </c>
      <c r="BE29" s="1" t="n">
        <f aca="false">MAX($J29)</f>
        <v>10.98</v>
      </c>
      <c r="BF29" s="1" t="n">
        <f aca="false">MAX($K29)</f>
        <v>1</v>
      </c>
      <c r="BG29" s="1" t="n">
        <f aca="false">MAX($M29)</f>
        <v>2503597</v>
      </c>
      <c r="BH29" s="1" t="n">
        <f aca="false">MAX($N29)</f>
        <v>0.12</v>
      </c>
      <c r="BI29" s="1" t="n">
        <f aca="false">MAX($P29)</f>
        <v>10.98</v>
      </c>
      <c r="BJ29" s="1" t="n">
        <f aca="false">MAX($Q29)</f>
        <v>0</v>
      </c>
      <c r="BK29" s="1" t="n">
        <f aca="false">MAX($R29)</f>
        <v>695334</v>
      </c>
    </row>
    <row r="30" customFormat="false" ht="15" hidden="false" customHeight="false" outlineLevel="0" collapsed="false">
      <c r="A30" s="1" t="s">
        <v>47</v>
      </c>
      <c r="B30" s="1" t="n">
        <f aca="false" t="array" ref="B30:B30">_xlfn.SWITCH($A$2,"average", AVERAGE(Instances!B30:B30),"median", MEDIAN(Instances!B30:B30),"min", MIN(Instances!B30:B30),"max", MAX(Instances!B30:B30),"diff", MAX(Instances!B30:B30)-MIN(Instances!B30:B30))</f>
        <v>2230</v>
      </c>
      <c r="C30" s="1" t="n">
        <f aca="false" t="array" ref="C30:C30">_xlfn.SWITCH($A$2,"average", AVERAGE(Instances!C30:C30),"median", MEDIAN(Instances!C30:C30),"min", MIN(Instances!C30:C30),"max", MAX(Instances!C30:C30),"diff", MAX(Instances!C30:C30)-MIN(Instances!C30:C30))</f>
        <v>6</v>
      </c>
      <c r="D30" s="1" t="n">
        <f aca="false" t="array" ref="D30:D30">_xlfn.SWITCH($A$2,"average", AVERAGE(Instances!D30:D30),"median", MEDIAN(Instances!D30:D30),"min", MIN(Instances!D30:D30),"max", MAX(Instances!D30:D30),"diff", MAX(Instances!D30:D30)-MIN(Instances!D30:D30))</f>
        <v>518398</v>
      </c>
      <c r="E30" s="1" t="n">
        <f aca="false" t="array" ref="E30:E30">_xlfn.SWITCH($A$2,"average", AVERAGE(Instances!E30:E30),"median", MEDIAN(Instances!E30:E30),"min", MIN(Instances!E30:E30),"max", MAX(Instances!E30:E30),"diff", MAX(Instances!E30:E30)-MIN(Instances!E30:E30))</f>
        <v>0</v>
      </c>
      <c r="F30" s="1" t="n">
        <f aca="false" t="array" ref="F30:F30">_xlfn.SWITCH($A$2,"average", AVERAGE(Instances!F30:F30),"median", MEDIAN(Instances!F30:F30),"min", MIN(Instances!F30:F30),"max", MAX(Instances!F30:F30),"diff", MAX(Instances!F30:F30)-MIN(Instances!F30:F30))</f>
        <v>606</v>
      </c>
      <c r="G30" s="1" t="n">
        <f aca="false" t="array" ref="G30:G30">_xlfn.SWITCH($A$2,"average", AVERAGE(Instances!G30:G30),"median", MEDIAN(Instances!G30:G30),"min", MIN(Instances!G30:G30),"max", MAX(Instances!G30:G30),"diff", MAX(Instances!G30:G30)-MIN(Instances!G30:G30))</f>
        <v>0</v>
      </c>
      <c r="H30" s="1" t="n">
        <f aca="false" t="array" ref="H30:H30">_xlfn.SWITCH($A$2,"average", AVERAGE(Instances!H30:H30),"median", MEDIAN(Instances!H30:H30),"min", MIN(Instances!H30:H30),"max", MAX(Instances!H30:H30),"diff", MAX(Instances!H30:H30)-MIN(Instances!H30:H30))</f>
        <v>1</v>
      </c>
      <c r="I30" s="1" t="n">
        <f aca="false" t="array" ref="I30:I30">_xlfn.SWITCH($A$2,"average", AVERAGE(Instances!I30:I30),"median", MEDIAN(Instances!I30:I30),"min", MIN(Instances!I30:I30),"max", MAX(Instances!I30:I30),"diff", MAX(Instances!I30:I30)-MIN(Instances!I30:I30))</f>
        <v>9.163</v>
      </c>
      <c r="J30" s="1" t="n">
        <f aca="false" t="array" ref="J30:J30">_xlfn.SWITCH($A$2,"average", AVERAGE(Instances!J30:J30),"median", MEDIAN(Instances!J30:J30),"min", MIN(Instances!J30:J30),"max", MAX(Instances!J30:J30),"diff", MAX(Instances!J30:J30)-MIN(Instances!J30:J30))</f>
        <v>9.4</v>
      </c>
      <c r="K30" s="1" t="n">
        <f aca="false" t="array" ref="K30:K30">_xlfn.SWITCH($A$2,"average", AVERAGE(Instances!K30:K30),"median", MEDIAN(Instances!K30:K30),"min", MIN(Instances!K30:K30),"max", MAX(Instances!K30:K30),"diff", MAX(Instances!K30:K30)-MIN(Instances!K30:K30))</f>
        <v>0</v>
      </c>
      <c r="L30" s="1"/>
      <c r="M30" s="1" t="n">
        <f aca="false" t="array" ref="M30:M30">_xlfn.SWITCH($A$2,"average", AVERAGE(Instances!M30:M30),"median", MEDIAN(Instances!M30:M30),"min", MIN(Instances!M30:M30),"max", MAX(Instances!M30:M30),"diff", MAX(Instances!M30:M30)-MIN(Instances!M30:M30))</f>
        <v>2159343</v>
      </c>
      <c r="N30" s="1" t="n">
        <f aca="false" t="array" ref="N30:N30">_xlfn.SWITCH($A$2,"average", AVERAGE(Instances!N30:N30),"median", MEDIAN(Instances!N30:N30),"min", MIN(Instances!N30:N30),"max", MAX(Instances!N30:N30),"diff", MAX(Instances!N30:N30)-MIN(Instances!N30:N30))</f>
        <v>0.06</v>
      </c>
      <c r="O30" s="1"/>
      <c r="P30" s="1" t="n">
        <f aca="false" t="array" ref="P30:P30">_xlfn.SWITCH($A$2,"average", AVERAGE(Instances!P30:P30),"median", MEDIAN(Instances!P30:P30),"min", MIN(Instances!P30:P30),"max", MAX(Instances!P30:P30),"diff", MAX(Instances!P30:P30)-MIN(Instances!P30:P30))</f>
        <v>9.4</v>
      </c>
      <c r="Q30" s="1" t="n">
        <f aca="false" t="array" ref="Q30:Q30">_xlfn.SWITCH($A$2,"average", AVERAGE(Instances!Q30:Q30),"median", MEDIAN(Instances!Q30:Q30),"min", MIN(Instances!Q30:Q30),"max", MAX(Instances!Q30:Q30),"diff", MAX(Instances!Q30:Q30)-MIN(Instances!Q30:Q30))</f>
        <v>0</v>
      </c>
      <c r="R30" s="1" t="n">
        <f aca="false" t="array" ref="R30:R30">_xlfn.SWITCH($A$2,"average", AVERAGE(Instances!R30:R30),"median", MEDIAN(Instances!R30:R30),"min", MIN(Instances!R30:R30),"max", MAX(Instances!R30:R30),"diff", MAX(Instances!R30:R30)-MIN(Instances!R30:R30))</f>
        <v>621375</v>
      </c>
      <c r="S30" s="1" t="n">
        <f aca="false">MIN($B30)</f>
        <v>2230</v>
      </c>
      <c r="T30" s="1" t="n">
        <f aca="false">MIN($C30)</f>
        <v>6</v>
      </c>
      <c r="U30" s="1" t="n">
        <f aca="false">MIN($D30)</f>
        <v>518398</v>
      </c>
      <c r="V30" s="1" t="n">
        <f aca="false">MIN($E30)</f>
        <v>0</v>
      </c>
      <c r="W30" s="1" t="n">
        <f aca="false">MIN($F30)</f>
        <v>606</v>
      </c>
      <c r="X30" s="1" t="n">
        <f aca="false">MIN($G30)</f>
        <v>0</v>
      </c>
      <c r="Y30" s="1" t="n">
        <f aca="false">MIN($H30)</f>
        <v>1</v>
      </c>
      <c r="Z30" s="1" t="n">
        <f aca="false">MIN($I30)</f>
        <v>9.163</v>
      </c>
      <c r="AA30" s="1" t="n">
        <f aca="false">MIN($J30)</f>
        <v>9.4</v>
      </c>
      <c r="AB30" s="1" t="n">
        <f aca="false">MIN($K30)</f>
        <v>0</v>
      </c>
      <c r="AC30" s="1" t="n">
        <f aca="false">MIN($M30)</f>
        <v>2159343</v>
      </c>
      <c r="AD30" s="1" t="n">
        <f aca="false">MIN($N30)</f>
        <v>0.06</v>
      </c>
      <c r="AE30" s="1" t="n">
        <f aca="false">MIN($P30)</f>
        <v>9.4</v>
      </c>
      <c r="AF30" s="1" t="n">
        <f aca="false">MIN($Q30)</f>
        <v>0</v>
      </c>
      <c r="AG30" s="1" t="n">
        <f aca="false">MIN($R30)</f>
        <v>621375</v>
      </c>
      <c r="AH30" s="1" t="n">
        <f aca="false">MEDIAN($B30)</f>
        <v>2230</v>
      </c>
      <c r="AI30" s="1" t="n">
        <f aca="false">MEDIAN($C30)</f>
        <v>6</v>
      </c>
      <c r="AJ30" s="1" t="n">
        <f aca="false">MEDIAN($D30)</f>
        <v>518398</v>
      </c>
      <c r="AK30" s="1" t="n">
        <f aca="false">MEDIAN($E30)</f>
        <v>0</v>
      </c>
      <c r="AL30" s="1" t="n">
        <f aca="false">MEDIAN($F30)</f>
        <v>606</v>
      </c>
      <c r="AM30" s="1" t="n">
        <f aca="false">MEDIAN($G30)</f>
        <v>0</v>
      </c>
      <c r="AN30" s="1" t="n">
        <f aca="false">MEDIAN($H30)</f>
        <v>1</v>
      </c>
      <c r="AO30" s="1" t="n">
        <f aca="false">MEDIAN($I30)</f>
        <v>9.163</v>
      </c>
      <c r="AP30" s="1" t="n">
        <f aca="false">MEDIAN($J30)</f>
        <v>9.4</v>
      </c>
      <c r="AQ30" s="1" t="n">
        <f aca="false">MEDIAN($K30)</f>
        <v>0</v>
      </c>
      <c r="AR30" s="1" t="n">
        <f aca="false">MEDIAN($M30)</f>
        <v>2159343</v>
      </c>
      <c r="AS30" s="1" t="n">
        <f aca="false">MEDIAN($N30)</f>
        <v>0.06</v>
      </c>
      <c r="AT30" s="1" t="n">
        <f aca="false">MEDIAN($P30)</f>
        <v>9.4</v>
      </c>
      <c r="AU30" s="1" t="n">
        <f aca="false">MEDIAN($Q30)</f>
        <v>0</v>
      </c>
      <c r="AV30" s="1" t="n">
        <f aca="false">MEDIAN($R30)</f>
        <v>621375</v>
      </c>
      <c r="AW30" s="1" t="n">
        <f aca="false">MAX($B30)</f>
        <v>2230</v>
      </c>
      <c r="AX30" s="1" t="n">
        <f aca="false">MAX($C30)</f>
        <v>6</v>
      </c>
      <c r="AY30" s="1" t="n">
        <f aca="false">MAX($D30)</f>
        <v>518398</v>
      </c>
      <c r="AZ30" s="1" t="n">
        <f aca="false">MAX($E30)</f>
        <v>0</v>
      </c>
      <c r="BA30" s="1" t="n">
        <f aca="false">MAX($F30)</f>
        <v>606</v>
      </c>
      <c r="BB30" s="1" t="n">
        <f aca="false">MAX($G30)</f>
        <v>0</v>
      </c>
      <c r="BC30" s="1" t="n">
        <f aca="false">MAX($H30)</f>
        <v>1</v>
      </c>
      <c r="BD30" s="1" t="n">
        <f aca="false">MAX($I30)</f>
        <v>9.163</v>
      </c>
      <c r="BE30" s="1" t="n">
        <f aca="false">MAX($J30)</f>
        <v>9.4</v>
      </c>
      <c r="BF30" s="1" t="n">
        <f aca="false">MAX($K30)</f>
        <v>0</v>
      </c>
      <c r="BG30" s="1" t="n">
        <f aca="false">MAX($M30)</f>
        <v>2159343</v>
      </c>
      <c r="BH30" s="1" t="n">
        <f aca="false">MAX($N30)</f>
        <v>0.06</v>
      </c>
      <c r="BI30" s="1" t="n">
        <f aca="false">MAX($P30)</f>
        <v>9.4</v>
      </c>
      <c r="BJ30" s="1" t="n">
        <f aca="false">MAX($Q30)</f>
        <v>0</v>
      </c>
      <c r="BK30" s="1" t="n">
        <f aca="false">MAX($R30)</f>
        <v>621375</v>
      </c>
    </row>
    <row r="31" customFormat="false" ht="15" hidden="false" customHeight="false" outlineLevel="0" collapsed="false">
      <c r="A31" s="1" t="s">
        <v>48</v>
      </c>
      <c r="B31" s="1" t="n">
        <f aca="false" t="array" ref="B31:B31">_xlfn.SWITCH($A$2,"average", AVERAGE(Instances!B31:B31),"median", MEDIAN(Instances!B31:B31),"min", MIN(Instances!B31:B31),"max", MAX(Instances!B31:B31),"diff", MAX(Instances!B31:B31)-MIN(Instances!B31:B31))</f>
        <v>4466</v>
      </c>
      <c r="C31" s="1" t="n">
        <f aca="false" t="array" ref="C31:C31">_xlfn.SWITCH($A$2,"average", AVERAGE(Instances!C31:C31),"median", MEDIAN(Instances!C31:C31),"min", MIN(Instances!C31:C31),"max", MAX(Instances!C31:C31),"diff", MAX(Instances!C31:C31)-MIN(Instances!C31:C31))</f>
        <v>89</v>
      </c>
      <c r="D31" s="1" t="n">
        <f aca="false" t="array" ref="D31:D31">_xlfn.SWITCH($A$2,"average", AVERAGE(Instances!D31:D31),"median", MEDIAN(Instances!D31:D31),"min", MIN(Instances!D31:D31),"max", MAX(Instances!D31:D31),"diff", MAX(Instances!D31:D31)-MIN(Instances!D31:D31))</f>
        <v>621551</v>
      </c>
      <c r="E31" s="1" t="n">
        <f aca="false" t="array" ref="E31:E31">_xlfn.SWITCH($A$2,"average", AVERAGE(Instances!E31:E31),"median", MEDIAN(Instances!E31:E31),"min", MIN(Instances!E31:E31),"max", MAX(Instances!E31:E31),"diff", MAX(Instances!E31:E31)-MIN(Instances!E31:E31))</f>
        <v>0</v>
      </c>
      <c r="F31" s="1" t="n">
        <f aca="false" t="array" ref="F31:F31">_xlfn.SWITCH($A$2,"average", AVERAGE(Instances!F31:F31),"median", MEDIAN(Instances!F31:F31),"min", MIN(Instances!F31:F31),"max", MAX(Instances!F31:F31),"diff", MAX(Instances!F31:F31)-MIN(Instances!F31:F31))</f>
        <v>771</v>
      </c>
      <c r="G31" s="1" t="n">
        <f aca="false" t="array" ref="G31:G31">_xlfn.SWITCH($A$2,"average", AVERAGE(Instances!G31:G31),"median", MEDIAN(Instances!G31:G31),"min", MIN(Instances!G31:G31),"max", MAX(Instances!G31:G31),"diff", MAX(Instances!G31:G31)-MIN(Instances!G31:G31))</f>
        <v>0</v>
      </c>
      <c r="H31" s="1" t="n">
        <f aca="false" t="array" ref="H31:H31">_xlfn.SWITCH($A$2,"average", AVERAGE(Instances!H31:H31),"median", MEDIAN(Instances!H31:H31),"min", MIN(Instances!H31:H31),"max", MAX(Instances!H31:H31),"diff", MAX(Instances!H31:H31)-MIN(Instances!H31:H31))</f>
        <v>1</v>
      </c>
      <c r="I31" s="1" t="n">
        <f aca="false" t="array" ref="I31:I31">_xlfn.SWITCH($A$2,"average", AVERAGE(Instances!I31:I31),"median", MEDIAN(Instances!I31:I31),"min", MIN(Instances!I31:I31),"max", MAX(Instances!I31:I31),"diff", MAX(Instances!I31:I31)-MIN(Instances!I31:I31))</f>
        <v>12.196</v>
      </c>
      <c r="J31" s="1" t="n">
        <f aca="false" t="array" ref="J31:J31">_xlfn.SWITCH($A$2,"average", AVERAGE(Instances!J31:J31),"median", MEDIAN(Instances!J31:J31),"min", MIN(Instances!J31:J31),"max", MAX(Instances!J31:J31),"diff", MAX(Instances!J31:J31)-MIN(Instances!J31:J31))</f>
        <v>12.48</v>
      </c>
      <c r="K31" s="1" t="n">
        <f aca="false" t="array" ref="K31:K31">_xlfn.SWITCH($A$2,"average", AVERAGE(Instances!K31:K31),"median", MEDIAN(Instances!K31:K31),"min", MIN(Instances!K31:K31),"max", MAX(Instances!K31:K31),"diff", MAX(Instances!K31:K31)-MIN(Instances!K31:K31))</f>
        <v>1</v>
      </c>
      <c r="L31" s="1"/>
      <c r="M31" s="1" t="n">
        <f aca="false" t="array" ref="M31:M31">_xlfn.SWITCH($A$2,"average", AVERAGE(Instances!M31:M31),"median", MEDIAN(Instances!M31:M31),"min", MIN(Instances!M31:M31),"max", MAX(Instances!M31:M31),"diff", MAX(Instances!M31:M31)-MIN(Instances!M31:M31))</f>
        <v>2827189</v>
      </c>
      <c r="N31" s="1" t="n">
        <f aca="false" t="array" ref="N31:N31">_xlfn.SWITCH($A$2,"average", AVERAGE(Instances!N31:N31),"median", MEDIAN(Instances!N31:N31),"min", MIN(Instances!N31:N31),"max", MAX(Instances!N31:N31),"diff", MAX(Instances!N31:N31)-MIN(Instances!N31:N31))</f>
        <v>0.14</v>
      </c>
      <c r="O31" s="1"/>
      <c r="P31" s="1" t="n">
        <f aca="false" t="array" ref="P31:P31">_xlfn.SWITCH($A$2,"average", AVERAGE(Instances!P31:P31),"median", MEDIAN(Instances!P31:P31),"min", MIN(Instances!P31:P31),"max", MAX(Instances!P31:P31),"diff", MAX(Instances!P31:P31)-MIN(Instances!P31:P31))</f>
        <v>12.48</v>
      </c>
      <c r="Q31" s="1" t="n">
        <f aca="false" t="array" ref="Q31:Q31">_xlfn.SWITCH($A$2,"average", AVERAGE(Instances!Q31:Q31),"median", MEDIAN(Instances!Q31:Q31),"min", MIN(Instances!Q31:Q31),"max", MAX(Instances!Q31:Q31),"diff", MAX(Instances!Q31:Q31)-MIN(Instances!Q31:Q31))</f>
        <v>0</v>
      </c>
      <c r="R31" s="1" t="n">
        <f aca="false" t="array" ref="R31:R31">_xlfn.SWITCH($A$2,"average", AVERAGE(Instances!R31:R31),"median", MEDIAN(Instances!R31:R31),"min", MIN(Instances!R31:R31),"max", MAX(Instances!R31:R31),"diff", MAX(Instances!R31:R31)-MIN(Instances!R31:R31))</f>
        <v>752883</v>
      </c>
      <c r="S31" s="1" t="n">
        <f aca="false">MIN($B31)</f>
        <v>4466</v>
      </c>
      <c r="T31" s="1" t="n">
        <f aca="false">MIN($C31)</f>
        <v>89</v>
      </c>
      <c r="U31" s="1" t="n">
        <f aca="false">MIN($D31)</f>
        <v>621551</v>
      </c>
      <c r="V31" s="1" t="n">
        <f aca="false">MIN($E31)</f>
        <v>0</v>
      </c>
      <c r="W31" s="1" t="n">
        <f aca="false">MIN($F31)</f>
        <v>771</v>
      </c>
      <c r="X31" s="1" t="n">
        <f aca="false">MIN($G31)</f>
        <v>0</v>
      </c>
      <c r="Y31" s="1" t="n">
        <f aca="false">MIN($H31)</f>
        <v>1</v>
      </c>
      <c r="Z31" s="1" t="n">
        <f aca="false">MIN($I31)</f>
        <v>12.196</v>
      </c>
      <c r="AA31" s="1" t="n">
        <f aca="false">MIN($J31)</f>
        <v>12.48</v>
      </c>
      <c r="AB31" s="1" t="n">
        <f aca="false">MIN($K31)</f>
        <v>1</v>
      </c>
      <c r="AC31" s="1" t="n">
        <f aca="false">MIN($M31)</f>
        <v>2827189</v>
      </c>
      <c r="AD31" s="1" t="n">
        <f aca="false">MIN($N31)</f>
        <v>0.14</v>
      </c>
      <c r="AE31" s="1" t="n">
        <f aca="false">MIN($P31)</f>
        <v>12.48</v>
      </c>
      <c r="AF31" s="1" t="n">
        <f aca="false">MIN($Q31)</f>
        <v>0</v>
      </c>
      <c r="AG31" s="1" t="n">
        <f aca="false">MIN($R31)</f>
        <v>752883</v>
      </c>
      <c r="AH31" s="1" t="n">
        <f aca="false">MEDIAN($B31)</f>
        <v>4466</v>
      </c>
      <c r="AI31" s="1" t="n">
        <f aca="false">MEDIAN($C31)</f>
        <v>89</v>
      </c>
      <c r="AJ31" s="1" t="n">
        <f aca="false">MEDIAN($D31)</f>
        <v>621551</v>
      </c>
      <c r="AK31" s="1" t="n">
        <f aca="false">MEDIAN($E31)</f>
        <v>0</v>
      </c>
      <c r="AL31" s="1" t="n">
        <f aca="false">MEDIAN($F31)</f>
        <v>771</v>
      </c>
      <c r="AM31" s="1" t="n">
        <f aca="false">MEDIAN($G31)</f>
        <v>0</v>
      </c>
      <c r="AN31" s="1" t="n">
        <f aca="false">MEDIAN($H31)</f>
        <v>1</v>
      </c>
      <c r="AO31" s="1" t="n">
        <f aca="false">MEDIAN($I31)</f>
        <v>12.196</v>
      </c>
      <c r="AP31" s="1" t="n">
        <f aca="false">MEDIAN($J31)</f>
        <v>12.48</v>
      </c>
      <c r="AQ31" s="1" t="n">
        <f aca="false">MEDIAN($K31)</f>
        <v>1</v>
      </c>
      <c r="AR31" s="1" t="n">
        <f aca="false">MEDIAN($M31)</f>
        <v>2827189</v>
      </c>
      <c r="AS31" s="1" t="n">
        <f aca="false">MEDIAN($N31)</f>
        <v>0.14</v>
      </c>
      <c r="AT31" s="1" t="n">
        <f aca="false">MEDIAN($P31)</f>
        <v>12.48</v>
      </c>
      <c r="AU31" s="1" t="n">
        <f aca="false">MEDIAN($Q31)</f>
        <v>0</v>
      </c>
      <c r="AV31" s="1" t="n">
        <f aca="false">MEDIAN($R31)</f>
        <v>752883</v>
      </c>
      <c r="AW31" s="1" t="n">
        <f aca="false">MAX($B31)</f>
        <v>4466</v>
      </c>
      <c r="AX31" s="1" t="n">
        <f aca="false">MAX($C31)</f>
        <v>89</v>
      </c>
      <c r="AY31" s="1" t="n">
        <f aca="false">MAX($D31)</f>
        <v>621551</v>
      </c>
      <c r="AZ31" s="1" t="n">
        <f aca="false">MAX($E31)</f>
        <v>0</v>
      </c>
      <c r="BA31" s="1" t="n">
        <f aca="false">MAX($F31)</f>
        <v>771</v>
      </c>
      <c r="BB31" s="1" t="n">
        <f aca="false">MAX($G31)</f>
        <v>0</v>
      </c>
      <c r="BC31" s="1" t="n">
        <f aca="false">MAX($H31)</f>
        <v>1</v>
      </c>
      <c r="BD31" s="1" t="n">
        <f aca="false">MAX($I31)</f>
        <v>12.196</v>
      </c>
      <c r="BE31" s="1" t="n">
        <f aca="false">MAX($J31)</f>
        <v>12.48</v>
      </c>
      <c r="BF31" s="1" t="n">
        <f aca="false">MAX($K31)</f>
        <v>1</v>
      </c>
      <c r="BG31" s="1" t="n">
        <f aca="false">MAX($M31)</f>
        <v>2827189</v>
      </c>
      <c r="BH31" s="1" t="n">
        <f aca="false">MAX($N31)</f>
        <v>0.14</v>
      </c>
      <c r="BI31" s="1" t="n">
        <f aca="false">MAX($P31)</f>
        <v>12.48</v>
      </c>
      <c r="BJ31" s="1" t="n">
        <f aca="false">MAX($Q31)</f>
        <v>0</v>
      </c>
      <c r="BK31" s="1" t="n">
        <f aca="false">MAX($R31)</f>
        <v>752883</v>
      </c>
    </row>
    <row r="32" customFormat="false" ht="15" hidden="false" customHeight="false" outlineLevel="0" collapsed="false">
      <c r="A32" s="1" t="s">
        <v>49</v>
      </c>
      <c r="B32" s="1" t="n">
        <f aca="false" t="array" ref="B32:B32">_xlfn.SWITCH($A$2,"average", AVERAGE(Instances!B32:B32),"median", MEDIAN(Instances!B32:B32),"min", MIN(Instances!B32:B32),"max", MAX(Instances!B32:B32),"diff", MAX(Instances!B32:B32)-MIN(Instances!B32:B32))</f>
        <v>6950</v>
      </c>
      <c r="C32" s="1" t="n">
        <f aca="false" t="array" ref="C32:C32">_xlfn.SWITCH($A$2,"average", AVERAGE(Instances!C32:C32),"median", MEDIAN(Instances!C32:C32),"min", MIN(Instances!C32:C32),"max", MAX(Instances!C32:C32),"diff", MAX(Instances!C32:C32)-MIN(Instances!C32:C32))</f>
        <v>390</v>
      </c>
      <c r="D32" s="1" t="n">
        <f aca="false" t="array" ref="D32:D32">_xlfn.SWITCH($A$2,"average", AVERAGE(Instances!D32:D32),"median", MEDIAN(Instances!D32:D32),"min", MIN(Instances!D32:D32),"max", MAX(Instances!D32:D32),"diff", MAX(Instances!D32:D32)-MIN(Instances!D32:D32))</f>
        <v>575850</v>
      </c>
      <c r="E32" s="1" t="n">
        <f aca="false" t="array" ref="E32:E32">_xlfn.SWITCH($A$2,"average", AVERAGE(Instances!E32:E32),"median", MEDIAN(Instances!E32:E32),"min", MIN(Instances!E32:E32),"max", MAX(Instances!E32:E32),"diff", MAX(Instances!E32:E32)-MIN(Instances!E32:E32))</f>
        <v>0</v>
      </c>
      <c r="F32" s="1" t="n">
        <f aca="false" t="array" ref="F32:F32">_xlfn.SWITCH($A$2,"average", AVERAGE(Instances!F32:F32),"median", MEDIAN(Instances!F32:F32),"min", MIN(Instances!F32:F32),"max", MAX(Instances!F32:F32),"diff", MAX(Instances!F32:F32)-MIN(Instances!F32:F32))</f>
        <v>823</v>
      </c>
      <c r="G32" s="1" t="n">
        <f aca="false" t="array" ref="G32:G32">_xlfn.SWITCH($A$2,"average", AVERAGE(Instances!G32:G32),"median", MEDIAN(Instances!G32:G32),"min", MIN(Instances!G32:G32),"max", MAX(Instances!G32:G32),"diff", MAX(Instances!G32:G32)-MIN(Instances!G32:G32))</f>
        <v>0</v>
      </c>
      <c r="H32" s="1" t="n">
        <f aca="false" t="array" ref="H32:H32">_xlfn.SWITCH($A$2,"average", AVERAGE(Instances!H32:H32),"median", MEDIAN(Instances!H32:H32),"min", MIN(Instances!H32:H32),"max", MAX(Instances!H32:H32),"diff", MAX(Instances!H32:H32)-MIN(Instances!H32:H32))</f>
        <v>1</v>
      </c>
      <c r="I32" s="1" t="n">
        <f aca="false" t="array" ref="I32:I32">_xlfn.SWITCH($A$2,"average", AVERAGE(Instances!I32:I32),"median", MEDIAN(Instances!I32:I32),"min", MIN(Instances!I32:I32),"max", MAX(Instances!I32:I32),"diff", MAX(Instances!I32:I32)-MIN(Instances!I32:I32))</f>
        <v>13.221</v>
      </c>
      <c r="J32" s="1" t="n">
        <f aca="false" t="array" ref="J32:J32">_xlfn.SWITCH($A$2,"average", AVERAGE(Instances!J32:J32),"median", MEDIAN(Instances!J32:J32),"min", MIN(Instances!J32:J32),"max", MAX(Instances!J32:J32),"diff", MAX(Instances!J32:J32)-MIN(Instances!J32:J32))</f>
        <v>13.52</v>
      </c>
      <c r="K32" s="1" t="n">
        <f aca="false" t="array" ref="K32:K32">_xlfn.SWITCH($A$2,"average", AVERAGE(Instances!K32:K32),"median", MEDIAN(Instances!K32:K32),"min", MIN(Instances!K32:K32),"max", MAX(Instances!K32:K32),"diff", MAX(Instances!K32:K32)-MIN(Instances!K32:K32))</f>
        <v>3</v>
      </c>
      <c r="L32" s="1"/>
      <c r="M32" s="1" t="n">
        <f aca="false" t="array" ref="M32:M32">_xlfn.SWITCH($A$2,"average", AVERAGE(Instances!M32:M32),"median", MEDIAN(Instances!M32:M32),"min", MIN(Instances!M32:M32),"max", MAX(Instances!M32:M32),"diff", MAX(Instances!M32:M32)-MIN(Instances!M32:M32))</f>
        <v>3040494</v>
      </c>
      <c r="N32" s="1" t="n">
        <f aca="false" t="array" ref="N32:N32">_xlfn.SWITCH($A$2,"average", AVERAGE(Instances!N32:N32),"median", MEDIAN(Instances!N32:N32),"min", MIN(Instances!N32:N32),"max", MAX(Instances!N32:N32),"diff", MAX(Instances!N32:N32)-MIN(Instances!N32:N32))</f>
        <v>0.28</v>
      </c>
      <c r="O32" s="1"/>
      <c r="P32" s="1" t="n">
        <f aca="false" t="array" ref="P32:P32">_xlfn.SWITCH($A$2,"average", AVERAGE(Instances!P32:P32),"median", MEDIAN(Instances!P32:P32),"min", MIN(Instances!P32:P32),"max", MAX(Instances!P32:P32),"diff", MAX(Instances!P32:P32)-MIN(Instances!P32:P32))</f>
        <v>13.52</v>
      </c>
      <c r="Q32" s="1" t="n">
        <f aca="false" t="array" ref="Q32:Q32">_xlfn.SWITCH($A$2,"average", AVERAGE(Instances!Q32:Q32),"median", MEDIAN(Instances!Q32:Q32),"min", MIN(Instances!Q32:Q32),"max", MAX(Instances!Q32:Q32),"diff", MAX(Instances!Q32:Q32)-MIN(Instances!Q32:Q32))</f>
        <v>0</v>
      </c>
      <c r="R32" s="1" t="n">
        <f aca="false" t="array" ref="R32:R32">_xlfn.SWITCH($A$2,"average", AVERAGE(Instances!R32:R32),"median", MEDIAN(Instances!R32:R32),"min", MIN(Instances!R32:R32),"max", MAX(Instances!R32:R32),"diff", MAX(Instances!R32:R32)-MIN(Instances!R32:R32))</f>
        <v>799607</v>
      </c>
      <c r="S32" s="1" t="n">
        <f aca="false">MIN($B32)</f>
        <v>6950</v>
      </c>
      <c r="T32" s="1" t="n">
        <f aca="false">MIN($C32)</f>
        <v>390</v>
      </c>
      <c r="U32" s="1" t="n">
        <f aca="false">MIN($D32)</f>
        <v>575850</v>
      </c>
      <c r="V32" s="1" t="n">
        <f aca="false">MIN($E32)</f>
        <v>0</v>
      </c>
      <c r="W32" s="1" t="n">
        <f aca="false">MIN($F32)</f>
        <v>823</v>
      </c>
      <c r="X32" s="1" t="n">
        <f aca="false">MIN($G32)</f>
        <v>0</v>
      </c>
      <c r="Y32" s="1" t="n">
        <f aca="false">MIN($H32)</f>
        <v>1</v>
      </c>
      <c r="Z32" s="1" t="n">
        <f aca="false">MIN($I32)</f>
        <v>13.221</v>
      </c>
      <c r="AA32" s="1" t="n">
        <f aca="false">MIN($J32)</f>
        <v>13.52</v>
      </c>
      <c r="AB32" s="1" t="n">
        <f aca="false">MIN($K32)</f>
        <v>3</v>
      </c>
      <c r="AC32" s="1" t="n">
        <f aca="false">MIN($M32)</f>
        <v>3040494</v>
      </c>
      <c r="AD32" s="1" t="n">
        <f aca="false">MIN($N32)</f>
        <v>0.28</v>
      </c>
      <c r="AE32" s="1" t="n">
        <f aca="false">MIN($P32)</f>
        <v>13.52</v>
      </c>
      <c r="AF32" s="1" t="n">
        <f aca="false">MIN($Q32)</f>
        <v>0</v>
      </c>
      <c r="AG32" s="1" t="n">
        <f aca="false">MIN($R32)</f>
        <v>799607</v>
      </c>
      <c r="AH32" s="1" t="n">
        <f aca="false">MEDIAN($B32)</f>
        <v>6950</v>
      </c>
      <c r="AI32" s="1" t="n">
        <f aca="false">MEDIAN($C32)</f>
        <v>390</v>
      </c>
      <c r="AJ32" s="1" t="n">
        <f aca="false">MEDIAN($D32)</f>
        <v>575850</v>
      </c>
      <c r="AK32" s="1" t="n">
        <f aca="false">MEDIAN($E32)</f>
        <v>0</v>
      </c>
      <c r="AL32" s="1" t="n">
        <f aca="false">MEDIAN($F32)</f>
        <v>823</v>
      </c>
      <c r="AM32" s="1" t="n">
        <f aca="false">MEDIAN($G32)</f>
        <v>0</v>
      </c>
      <c r="AN32" s="1" t="n">
        <f aca="false">MEDIAN($H32)</f>
        <v>1</v>
      </c>
      <c r="AO32" s="1" t="n">
        <f aca="false">MEDIAN($I32)</f>
        <v>13.221</v>
      </c>
      <c r="AP32" s="1" t="n">
        <f aca="false">MEDIAN($J32)</f>
        <v>13.52</v>
      </c>
      <c r="AQ32" s="1" t="n">
        <f aca="false">MEDIAN($K32)</f>
        <v>3</v>
      </c>
      <c r="AR32" s="1" t="n">
        <f aca="false">MEDIAN($M32)</f>
        <v>3040494</v>
      </c>
      <c r="AS32" s="1" t="n">
        <f aca="false">MEDIAN($N32)</f>
        <v>0.28</v>
      </c>
      <c r="AT32" s="1" t="n">
        <f aca="false">MEDIAN($P32)</f>
        <v>13.52</v>
      </c>
      <c r="AU32" s="1" t="n">
        <f aca="false">MEDIAN($Q32)</f>
        <v>0</v>
      </c>
      <c r="AV32" s="1" t="n">
        <f aca="false">MEDIAN($R32)</f>
        <v>799607</v>
      </c>
      <c r="AW32" s="1" t="n">
        <f aca="false">MAX($B32)</f>
        <v>6950</v>
      </c>
      <c r="AX32" s="1" t="n">
        <f aca="false">MAX($C32)</f>
        <v>390</v>
      </c>
      <c r="AY32" s="1" t="n">
        <f aca="false">MAX($D32)</f>
        <v>575850</v>
      </c>
      <c r="AZ32" s="1" t="n">
        <f aca="false">MAX($E32)</f>
        <v>0</v>
      </c>
      <c r="BA32" s="1" t="n">
        <f aca="false">MAX($F32)</f>
        <v>823</v>
      </c>
      <c r="BB32" s="1" t="n">
        <f aca="false">MAX($G32)</f>
        <v>0</v>
      </c>
      <c r="BC32" s="1" t="n">
        <f aca="false">MAX($H32)</f>
        <v>1</v>
      </c>
      <c r="BD32" s="1" t="n">
        <f aca="false">MAX($I32)</f>
        <v>13.221</v>
      </c>
      <c r="BE32" s="1" t="n">
        <f aca="false">MAX($J32)</f>
        <v>13.52</v>
      </c>
      <c r="BF32" s="1" t="n">
        <f aca="false">MAX($K32)</f>
        <v>3</v>
      </c>
      <c r="BG32" s="1" t="n">
        <f aca="false">MAX($M32)</f>
        <v>3040494</v>
      </c>
      <c r="BH32" s="1" t="n">
        <f aca="false">MAX($N32)</f>
        <v>0.28</v>
      </c>
      <c r="BI32" s="1" t="n">
        <f aca="false">MAX($P32)</f>
        <v>13.52</v>
      </c>
      <c r="BJ32" s="1" t="n">
        <f aca="false">MAX($Q32)</f>
        <v>0</v>
      </c>
      <c r="BK32" s="1" t="n">
        <f aca="false">MAX($R32)</f>
        <v>799607</v>
      </c>
    </row>
    <row r="33" customFormat="false" ht="15" hidden="false" customHeight="false" outlineLevel="0" collapsed="false">
      <c r="A33" s="1" t="s">
        <v>50</v>
      </c>
      <c r="B33" s="1" t="n">
        <f aca="false" t="array" ref="B33:B33">_xlfn.SWITCH($A$2,"average", AVERAGE(Instances!B33:B33),"median", MEDIAN(Instances!B33:B33),"min", MIN(Instances!B33:B33),"max", MAX(Instances!B33:B33),"diff", MAX(Instances!B33:B33)-MIN(Instances!B33:B33))</f>
        <v>6976</v>
      </c>
      <c r="C33" s="1" t="n">
        <f aca="false" t="array" ref="C33:C33">_xlfn.SWITCH($A$2,"average", AVERAGE(Instances!C33:C33),"median", MEDIAN(Instances!C33:C33),"min", MIN(Instances!C33:C33),"max", MAX(Instances!C33:C33),"diff", MAX(Instances!C33:C33)-MIN(Instances!C33:C33))</f>
        <v>153</v>
      </c>
      <c r="D33" s="1" t="n">
        <f aca="false" t="array" ref="D33:D33">_xlfn.SWITCH($A$2,"average", AVERAGE(Instances!D33:D33),"median", MEDIAN(Instances!D33:D33),"min", MIN(Instances!D33:D33),"max", MAX(Instances!D33:D33),"diff", MAX(Instances!D33:D33)-MIN(Instances!D33:D33))</f>
        <v>627111</v>
      </c>
      <c r="E33" s="1" t="n">
        <f aca="false" t="array" ref="E33:E33">_xlfn.SWITCH($A$2,"average", AVERAGE(Instances!E33:E33),"median", MEDIAN(Instances!E33:E33),"min", MIN(Instances!E33:E33),"max", MAX(Instances!E33:E33),"diff", MAX(Instances!E33:E33)-MIN(Instances!E33:E33))</f>
        <v>0</v>
      </c>
      <c r="F33" s="1" t="n">
        <f aca="false" t="array" ref="F33:F33">_xlfn.SWITCH($A$2,"average", AVERAGE(Instances!F33:F33),"median", MEDIAN(Instances!F33:F33),"min", MIN(Instances!F33:F33),"max", MAX(Instances!F33:F33),"diff", MAX(Instances!F33:F33)-MIN(Instances!F33:F33))</f>
        <v>773</v>
      </c>
      <c r="G33" s="1" t="n">
        <f aca="false" t="array" ref="G33:G33">_xlfn.SWITCH($A$2,"average", AVERAGE(Instances!G33:G33),"median", MEDIAN(Instances!G33:G33),"min", MIN(Instances!G33:G33),"max", MAX(Instances!G33:G33),"diff", MAX(Instances!G33:G33)-MIN(Instances!G33:G33))</f>
        <v>0</v>
      </c>
      <c r="H33" s="1" t="n">
        <f aca="false" t="array" ref="H33:H33">_xlfn.SWITCH($A$2,"average", AVERAGE(Instances!H33:H33),"median", MEDIAN(Instances!H33:H33),"min", MIN(Instances!H33:H33),"max", MAX(Instances!H33:H33),"diff", MAX(Instances!H33:H33)-MIN(Instances!H33:H33))</f>
        <v>1</v>
      </c>
      <c r="I33" s="1" t="n">
        <f aca="false" t="array" ref="I33:I33">_xlfn.SWITCH($A$2,"average", AVERAGE(Instances!I33:I33),"median", MEDIAN(Instances!I33:I33),"min", MIN(Instances!I33:I33),"max", MAX(Instances!I33:I33),"diff", MAX(Instances!I33:I33)-MIN(Instances!I33:I33))</f>
        <v>12.265</v>
      </c>
      <c r="J33" s="1" t="n">
        <f aca="false" t="array" ref="J33:J33">_xlfn.SWITCH($A$2,"average", AVERAGE(Instances!J33:J33),"median", MEDIAN(Instances!J33:J33),"min", MIN(Instances!J33:J33),"max", MAX(Instances!J33:J33),"diff", MAX(Instances!J33:J33)-MIN(Instances!J33:J33))</f>
        <v>12.52</v>
      </c>
      <c r="K33" s="1" t="n">
        <f aca="false" t="array" ref="K33:K33">_xlfn.SWITCH($A$2,"average", AVERAGE(Instances!K33:K33),"median", MEDIAN(Instances!K33:K33),"min", MIN(Instances!K33:K33),"max", MAX(Instances!K33:K33),"diff", MAX(Instances!K33:K33)-MIN(Instances!K33:K33))</f>
        <v>2</v>
      </c>
      <c r="L33" s="1"/>
      <c r="M33" s="1" t="n">
        <f aca="false" t="array" ref="M33:M33">_xlfn.SWITCH($A$2,"average", AVERAGE(Instances!M33:M33),"median", MEDIAN(Instances!M33:M33),"min", MIN(Instances!M33:M33),"max", MAX(Instances!M33:M33),"diff", MAX(Instances!M33:M33)-MIN(Instances!M33:M33))</f>
        <v>2837701</v>
      </c>
      <c r="N33" s="1" t="n">
        <f aca="false" t="array" ref="N33:N33">_xlfn.SWITCH($A$2,"average", AVERAGE(Instances!N33:N33),"median", MEDIAN(Instances!N33:N33),"min", MIN(Instances!N33:N33),"max", MAX(Instances!N33:N33),"diff", MAX(Instances!N33:N33)-MIN(Instances!N33:N33))</f>
        <v>0.2</v>
      </c>
      <c r="O33" s="1"/>
      <c r="P33" s="1" t="n">
        <f aca="false" t="array" ref="P33:P33">_xlfn.SWITCH($A$2,"average", AVERAGE(Instances!P33:P33),"median", MEDIAN(Instances!P33:P33),"min", MIN(Instances!P33:P33),"max", MAX(Instances!P33:P33),"diff", MAX(Instances!P33:P33)-MIN(Instances!P33:P33))</f>
        <v>12.52</v>
      </c>
      <c r="Q33" s="1" t="n">
        <f aca="false" t="array" ref="Q33:Q33">_xlfn.SWITCH($A$2,"average", AVERAGE(Instances!Q33:Q33),"median", MEDIAN(Instances!Q33:Q33),"min", MIN(Instances!Q33:Q33),"max", MAX(Instances!Q33:Q33),"diff", MAX(Instances!Q33:Q33)-MIN(Instances!Q33:Q33))</f>
        <v>0</v>
      </c>
      <c r="R33" s="1" t="n">
        <f aca="false" t="array" ref="R33:R33">_xlfn.SWITCH($A$2,"average", AVERAGE(Instances!R33:R33),"median", MEDIAN(Instances!R33:R33),"min", MIN(Instances!R33:R33),"max", MAX(Instances!R33:R33),"diff", MAX(Instances!R33:R33)-MIN(Instances!R33:R33))</f>
        <v>756223</v>
      </c>
      <c r="S33" s="1" t="n">
        <f aca="false">MIN($B33)</f>
        <v>6976</v>
      </c>
      <c r="T33" s="1" t="n">
        <f aca="false">MIN($C33)</f>
        <v>153</v>
      </c>
      <c r="U33" s="1" t="n">
        <f aca="false">MIN($D33)</f>
        <v>627111</v>
      </c>
      <c r="V33" s="1" t="n">
        <f aca="false">MIN($E33)</f>
        <v>0</v>
      </c>
      <c r="W33" s="1" t="n">
        <f aca="false">MIN($F33)</f>
        <v>773</v>
      </c>
      <c r="X33" s="1" t="n">
        <f aca="false">MIN($G33)</f>
        <v>0</v>
      </c>
      <c r="Y33" s="1" t="n">
        <f aca="false">MIN($H33)</f>
        <v>1</v>
      </c>
      <c r="Z33" s="1" t="n">
        <f aca="false">MIN($I33)</f>
        <v>12.265</v>
      </c>
      <c r="AA33" s="1" t="n">
        <f aca="false">MIN($J33)</f>
        <v>12.52</v>
      </c>
      <c r="AB33" s="1" t="n">
        <f aca="false">MIN($K33)</f>
        <v>2</v>
      </c>
      <c r="AC33" s="1" t="n">
        <f aca="false">MIN($M33)</f>
        <v>2837701</v>
      </c>
      <c r="AD33" s="1" t="n">
        <f aca="false">MIN($N33)</f>
        <v>0.2</v>
      </c>
      <c r="AE33" s="1" t="n">
        <f aca="false">MIN($P33)</f>
        <v>12.52</v>
      </c>
      <c r="AF33" s="1" t="n">
        <f aca="false">MIN($Q33)</f>
        <v>0</v>
      </c>
      <c r="AG33" s="1" t="n">
        <f aca="false">MIN($R33)</f>
        <v>756223</v>
      </c>
      <c r="AH33" s="1" t="n">
        <f aca="false">MEDIAN($B33)</f>
        <v>6976</v>
      </c>
      <c r="AI33" s="1" t="n">
        <f aca="false">MEDIAN($C33)</f>
        <v>153</v>
      </c>
      <c r="AJ33" s="1" t="n">
        <f aca="false">MEDIAN($D33)</f>
        <v>627111</v>
      </c>
      <c r="AK33" s="1" t="n">
        <f aca="false">MEDIAN($E33)</f>
        <v>0</v>
      </c>
      <c r="AL33" s="1" t="n">
        <f aca="false">MEDIAN($F33)</f>
        <v>773</v>
      </c>
      <c r="AM33" s="1" t="n">
        <f aca="false">MEDIAN($G33)</f>
        <v>0</v>
      </c>
      <c r="AN33" s="1" t="n">
        <f aca="false">MEDIAN($H33)</f>
        <v>1</v>
      </c>
      <c r="AO33" s="1" t="n">
        <f aca="false">MEDIAN($I33)</f>
        <v>12.265</v>
      </c>
      <c r="AP33" s="1" t="n">
        <f aca="false">MEDIAN($J33)</f>
        <v>12.52</v>
      </c>
      <c r="AQ33" s="1" t="n">
        <f aca="false">MEDIAN($K33)</f>
        <v>2</v>
      </c>
      <c r="AR33" s="1" t="n">
        <f aca="false">MEDIAN($M33)</f>
        <v>2837701</v>
      </c>
      <c r="AS33" s="1" t="n">
        <f aca="false">MEDIAN($N33)</f>
        <v>0.2</v>
      </c>
      <c r="AT33" s="1" t="n">
        <f aca="false">MEDIAN($P33)</f>
        <v>12.52</v>
      </c>
      <c r="AU33" s="1" t="n">
        <f aca="false">MEDIAN($Q33)</f>
        <v>0</v>
      </c>
      <c r="AV33" s="1" t="n">
        <f aca="false">MEDIAN($R33)</f>
        <v>756223</v>
      </c>
      <c r="AW33" s="1" t="n">
        <f aca="false">MAX($B33)</f>
        <v>6976</v>
      </c>
      <c r="AX33" s="1" t="n">
        <f aca="false">MAX($C33)</f>
        <v>153</v>
      </c>
      <c r="AY33" s="1" t="n">
        <f aca="false">MAX($D33)</f>
        <v>627111</v>
      </c>
      <c r="AZ33" s="1" t="n">
        <f aca="false">MAX($E33)</f>
        <v>0</v>
      </c>
      <c r="BA33" s="1" t="n">
        <f aca="false">MAX($F33)</f>
        <v>773</v>
      </c>
      <c r="BB33" s="1" t="n">
        <f aca="false">MAX($G33)</f>
        <v>0</v>
      </c>
      <c r="BC33" s="1" t="n">
        <f aca="false">MAX($H33)</f>
        <v>1</v>
      </c>
      <c r="BD33" s="1" t="n">
        <f aca="false">MAX($I33)</f>
        <v>12.265</v>
      </c>
      <c r="BE33" s="1" t="n">
        <f aca="false">MAX($J33)</f>
        <v>12.52</v>
      </c>
      <c r="BF33" s="1" t="n">
        <f aca="false">MAX($K33)</f>
        <v>2</v>
      </c>
      <c r="BG33" s="1" t="n">
        <f aca="false">MAX($M33)</f>
        <v>2837701</v>
      </c>
      <c r="BH33" s="1" t="n">
        <f aca="false">MAX($N33)</f>
        <v>0.2</v>
      </c>
      <c r="BI33" s="1" t="n">
        <f aca="false">MAX($P33)</f>
        <v>12.52</v>
      </c>
      <c r="BJ33" s="1" t="n">
        <f aca="false">MAX($Q33)</f>
        <v>0</v>
      </c>
      <c r="BK33" s="1" t="n">
        <f aca="false">MAX($R33)</f>
        <v>756223</v>
      </c>
    </row>
    <row r="34" customFormat="false" ht="15" hidden="false" customHeight="false" outlineLevel="0" collapsed="false">
      <c r="A34" s="1" t="s">
        <v>51</v>
      </c>
      <c r="B34" s="1" t="n">
        <f aca="false" t="array" ref="B34:B34">_xlfn.SWITCH($A$2,"average", AVERAGE(Instances!B34:B34),"median", MEDIAN(Instances!B34:B34),"min", MIN(Instances!B34:B34),"max", MAX(Instances!B34:B34),"diff", MAX(Instances!B34:B34)-MIN(Instances!B34:B34))</f>
        <v>2395</v>
      </c>
      <c r="C34" s="1" t="n">
        <f aca="false" t="array" ref="C34:C34">_xlfn.SWITCH($A$2,"average", AVERAGE(Instances!C34:C34),"median", MEDIAN(Instances!C34:C34),"min", MIN(Instances!C34:C34),"max", MAX(Instances!C34:C34),"diff", MAX(Instances!C34:C34)-MIN(Instances!C34:C34))</f>
        <v>3</v>
      </c>
      <c r="D34" s="1" t="n">
        <f aca="false" t="array" ref="D34:D34">_xlfn.SWITCH($A$2,"average", AVERAGE(Instances!D34:D34),"median", MEDIAN(Instances!D34:D34),"min", MIN(Instances!D34:D34),"max", MAX(Instances!D34:D34),"diff", MAX(Instances!D34:D34)-MIN(Instances!D34:D34))</f>
        <v>619833</v>
      </c>
      <c r="E34" s="1" t="n">
        <f aca="false" t="array" ref="E34:E34">_xlfn.SWITCH($A$2,"average", AVERAGE(Instances!E34:E34),"median", MEDIAN(Instances!E34:E34),"min", MIN(Instances!E34:E34),"max", MAX(Instances!E34:E34),"diff", MAX(Instances!E34:E34)-MIN(Instances!E34:E34))</f>
        <v>0</v>
      </c>
      <c r="F34" s="1" t="n">
        <f aca="false" t="array" ref="F34:F34">_xlfn.SWITCH($A$2,"average", AVERAGE(Instances!F34:F34),"median", MEDIAN(Instances!F34:F34),"min", MIN(Instances!F34:F34),"max", MAX(Instances!F34:F34),"diff", MAX(Instances!F34:F34)-MIN(Instances!F34:F34))</f>
        <v>768</v>
      </c>
      <c r="G34" s="1" t="n">
        <f aca="false" t="array" ref="G34:G34">_xlfn.SWITCH($A$2,"average", AVERAGE(Instances!G34:G34),"median", MEDIAN(Instances!G34:G34),"min", MIN(Instances!G34:G34),"max", MAX(Instances!G34:G34),"diff", MAX(Instances!G34:G34)-MIN(Instances!G34:G34))</f>
        <v>0</v>
      </c>
      <c r="H34" s="1" t="n">
        <f aca="false" t="array" ref="H34:H34">_xlfn.SWITCH($A$2,"average", AVERAGE(Instances!H34:H34),"median", MEDIAN(Instances!H34:H34),"min", MIN(Instances!H34:H34),"max", MAX(Instances!H34:H34),"diff", MAX(Instances!H34:H34)-MIN(Instances!H34:H34))</f>
        <v>1</v>
      </c>
      <c r="I34" s="1" t="n">
        <f aca="false" t="array" ref="I34:I34">_xlfn.SWITCH($A$2,"average", AVERAGE(Instances!I34:I34),"median", MEDIAN(Instances!I34:I34),"min", MIN(Instances!I34:I34),"max", MAX(Instances!I34:I34),"diff", MAX(Instances!I34:I34)-MIN(Instances!I34:I34))</f>
        <v>12.065</v>
      </c>
      <c r="J34" s="1" t="n">
        <f aca="false" t="array" ref="J34:J34">_xlfn.SWITCH($A$2,"average", AVERAGE(Instances!J34:J34),"median", MEDIAN(Instances!J34:J34),"min", MIN(Instances!J34:J34),"max", MAX(Instances!J34:J34),"diff", MAX(Instances!J34:J34)-MIN(Instances!J34:J34))</f>
        <v>12.35</v>
      </c>
      <c r="K34" s="1" t="n">
        <f aca="false" t="array" ref="K34:K34">_xlfn.SWITCH($A$2,"average", AVERAGE(Instances!K34:K34),"median", MEDIAN(Instances!K34:K34),"min", MIN(Instances!K34:K34),"max", MAX(Instances!K34:K34),"diff", MAX(Instances!K34:K34)-MIN(Instances!K34:K34))</f>
        <v>0</v>
      </c>
      <c r="L34" s="1"/>
      <c r="M34" s="1" t="n">
        <f aca="false" t="array" ref="M34:M34">_xlfn.SWITCH($A$2,"average", AVERAGE(Instances!M34:M34),"median", MEDIAN(Instances!M34:M34),"min", MIN(Instances!M34:M34),"max", MAX(Instances!M34:M34),"diff", MAX(Instances!M34:M34)-MIN(Instances!M34:M34))</f>
        <v>2823145</v>
      </c>
      <c r="N34" s="1" t="n">
        <f aca="false" t="array" ref="N34:N34">_xlfn.SWITCH($A$2,"average", AVERAGE(Instances!N34:N34),"median", MEDIAN(Instances!N34:N34),"min", MIN(Instances!N34:N34),"max", MAX(Instances!N34:N34),"diff", MAX(Instances!N34:N34)-MIN(Instances!N34:N34))</f>
        <v>0.07</v>
      </c>
      <c r="O34" s="1"/>
      <c r="P34" s="1" t="n">
        <f aca="false" t="array" ref="P34:P34">_xlfn.SWITCH($A$2,"average", AVERAGE(Instances!P34:P34),"median", MEDIAN(Instances!P34:P34),"min", MIN(Instances!P34:P34),"max", MAX(Instances!P34:P34),"diff", MAX(Instances!P34:P34)-MIN(Instances!P34:P34))</f>
        <v>12.35</v>
      </c>
      <c r="Q34" s="1" t="n">
        <f aca="false" t="array" ref="Q34:Q34">_xlfn.SWITCH($A$2,"average", AVERAGE(Instances!Q34:Q34),"median", MEDIAN(Instances!Q34:Q34),"min", MIN(Instances!Q34:Q34),"max", MAX(Instances!Q34:Q34),"diff", MAX(Instances!Q34:Q34)-MIN(Instances!Q34:Q34))</f>
        <v>0</v>
      </c>
      <c r="R34" s="1" t="n">
        <f aca="false" t="array" ref="R34:R34">_xlfn.SWITCH($A$2,"average", AVERAGE(Instances!R34:R34),"median", MEDIAN(Instances!R34:R34),"min", MIN(Instances!R34:R34),"max", MAX(Instances!R34:R34),"diff", MAX(Instances!R34:R34)-MIN(Instances!R34:R34))</f>
        <v>751213</v>
      </c>
      <c r="S34" s="1" t="n">
        <f aca="false">MIN($B34)</f>
        <v>2395</v>
      </c>
      <c r="T34" s="1" t="n">
        <f aca="false">MIN($C34)</f>
        <v>3</v>
      </c>
      <c r="U34" s="1" t="n">
        <f aca="false">MIN($D34)</f>
        <v>619833</v>
      </c>
      <c r="V34" s="1" t="n">
        <f aca="false">MIN($E34)</f>
        <v>0</v>
      </c>
      <c r="W34" s="1" t="n">
        <f aca="false">MIN($F34)</f>
        <v>768</v>
      </c>
      <c r="X34" s="1" t="n">
        <f aca="false">MIN($G34)</f>
        <v>0</v>
      </c>
      <c r="Y34" s="1" t="n">
        <f aca="false">MIN($H34)</f>
        <v>1</v>
      </c>
      <c r="Z34" s="1" t="n">
        <f aca="false">MIN($I34)</f>
        <v>12.065</v>
      </c>
      <c r="AA34" s="1" t="n">
        <f aca="false">MIN($J34)</f>
        <v>12.35</v>
      </c>
      <c r="AB34" s="1" t="n">
        <f aca="false">MIN($K34)</f>
        <v>0</v>
      </c>
      <c r="AC34" s="1" t="n">
        <f aca="false">MIN($M34)</f>
        <v>2823145</v>
      </c>
      <c r="AD34" s="1" t="n">
        <f aca="false">MIN($N34)</f>
        <v>0.07</v>
      </c>
      <c r="AE34" s="1" t="n">
        <f aca="false">MIN($P34)</f>
        <v>12.35</v>
      </c>
      <c r="AF34" s="1" t="n">
        <f aca="false">MIN($Q34)</f>
        <v>0</v>
      </c>
      <c r="AG34" s="1" t="n">
        <f aca="false">MIN($R34)</f>
        <v>751213</v>
      </c>
      <c r="AH34" s="1" t="n">
        <f aca="false">MEDIAN($B34)</f>
        <v>2395</v>
      </c>
      <c r="AI34" s="1" t="n">
        <f aca="false">MEDIAN($C34)</f>
        <v>3</v>
      </c>
      <c r="AJ34" s="1" t="n">
        <f aca="false">MEDIAN($D34)</f>
        <v>619833</v>
      </c>
      <c r="AK34" s="1" t="n">
        <f aca="false">MEDIAN($E34)</f>
        <v>0</v>
      </c>
      <c r="AL34" s="1" t="n">
        <f aca="false">MEDIAN($F34)</f>
        <v>768</v>
      </c>
      <c r="AM34" s="1" t="n">
        <f aca="false">MEDIAN($G34)</f>
        <v>0</v>
      </c>
      <c r="AN34" s="1" t="n">
        <f aca="false">MEDIAN($H34)</f>
        <v>1</v>
      </c>
      <c r="AO34" s="1" t="n">
        <f aca="false">MEDIAN($I34)</f>
        <v>12.065</v>
      </c>
      <c r="AP34" s="1" t="n">
        <f aca="false">MEDIAN($J34)</f>
        <v>12.35</v>
      </c>
      <c r="AQ34" s="1" t="n">
        <f aca="false">MEDIAN($K34)</f>
        <v>0</v>
      </c>
      <c r="AR34" s="1" t="n">
        <f aca="false">MEDIAN($M34)</f>
        <v>2823145</v>
      </c>
      <c r="AS34" s="1" t="n">
        <f aca="false">MEDIAN($N34)</f>
        <v>0.07</v>
      </c>
      <c r="AT34" s="1" t="n">
        <f aca="false">MEDIAN($P34)</f>
        <v>12.35</v>
      </c>
      <c r="AU34" s="1" t="n">
        <f aca="false">MEDIAN($Q34)</f>
        <v>0</v>
      </c>
      <c r="AV34" s="1" t="n">
        <f aca="false">MEDIAN($R34)</f>
        <v>751213</v>
      </c>
      <c r="AW34" s="1" t="n">
        <f aca="false">MAX($B34)</f>
        <v>2395</v>
      </c>
      <c r="AX34" s="1" t="n">
        <f aca="false">MAX($C34)</f>
        <v>3</v>
      </c>
      <c r="AY34" s="1" t="n">
        <f aca="false">MAX($D34)</f>
        <v>619833</v>
      </c>
      <c r="AZ34" s="1" t="n">
        <f aca="false">MAX($E34)</f>
        <v>0</v>
      </c>
      <c r="BA34" s="1" t="n">
        <f aca="false">MAX($F34)</f>
        <v>768</v>
      </c>
      <c r="BB34" s="1" t="n">
        <f aca="false">MAX($G34)</f>
        <v>0</v>
      </c>
      <c r="BC34" s="1" t="n">
        <f aca="false">MAX($H34)</f>
        <v>1</v>
      </c>
      <c r="BD34" s="1" t="n">
        <f aca="false">MAX($I34)</f>
        <v>12.065</v>
      </c>
      <c r="BE34" s="1" t="n">
        <f aca="false">MAX($J34)</f>
        <v>12.35</v>
      </c>
      <c r="BF34" s="1" t="n">
        <f aca="false">MAX($K34)</f>
        <v>0</v>
      </c>
      <c r="BG34" s="1" t="n">
        <f aca="false">MAX($M34)</f>
        <v>2823145</v>
      </c>
      <c r="BH34" s="1" t="n">
        <f aca="false">MAX($N34)</f>
        <v>0.07</v>
      </c>
      <c r="BI34" s="1" t="n">
        <f aca="false">MAX($P34)</f>
        <v>12.35</v>
      </c>
      <c r="BJ34" s="1" t="n">
        <f aca="false">MAX($Q34)</f>
        <v>0</v>
      </c>
      <c r="BK34" s="1" t="n">
        <f aca="false">MAX($R34)</f>
        <v>751213</v>
      </c>
    </row>
    <row r="35" customFormat="false" ht="15" hidden="false" customHeight="false" outlineLevel="0" collapsed="false">
      <c r="A35" s="1" t="s">
        <v>52</v>
      </c>
      <c r="B35" s="1" t="n">
        <f aca="false" t="array" ref="B35:B35">_xlfn.SWITCH($A$2,"average", AVERAGE(Instances!B35:B35),"median", MEDIAN(Instances!B35:B35),"min", MIN(Instances!B35:B35),"max", MAX(Instances!B35:B35),"diff", MAX(Instances!B35:B35)-MIN(Instances!B35:B35))</f>
        <v>2362</v>
      </c>
      <c r="C35" s="1" t="n">
        <f aca="false" t="array" ref="C35:C35">_xlfn.SWITCH($A$2,"average", AVERAGE(Instances!C35:C35),"median", MEDIAN(Instances!C35:C35),"min", MIN(Instances!C35:C35),"max", MAX(Instances!C35:C35),"diff", MAX(Instances!C35:C35)-MIN(Instances!C35:C35))</f>
        <v>0</v>
      </c>
      <c r="D35" s="1" t="n">
        <f aca="false" t="array" ref="D35:D35">_xlfn.SWITCH($A$2,"average", AVERAGE(Instances!D35:D35),"median", MEDIAN(Instances!D35:D35),"min", MIN(Instances!D35:D35),"max", MAX(Instances!D35:D35),"diff", MAX(Instances!D35:D35)-MIN(Instances!D35:D35))</f>
        <v>736842</v>
      </c>
      <c r="E35" s="1" t="n">
        <f aca="false" t="array" ref="E35:E35">_xlfn.SWITCH($A$2,"average", AVERAGE(Instances!E35:E35),"median", MEDIAN(Instances!E35:E35),"min", MIN(Instances!E35:E35),"max", MAX(Instances!E35:E35),"diff", MAX(Instances!E35:E35)-MIN(Instances!E35:E35))</f>
        <v>0</v>
      </c>
      <c r="F35" s="1" t="n">
        <f aca="false" t="array" ref="F35:F35">_xlfn.SWITCH($A$2,"average", AVERAGE(Instances!F35:F35),"median", MEDIAN(Instances!F35:F35),"min", MIN(Instances!F35:F35),"max", MAX(Instances!F35:F35),"diff", MAX(Instances!F35:F35)-MIN(Instances!F35:F35))</f>
        <v>859</v>
      </c>
      <c r="G35" s="1" t="n">
        <f aca="false" t="array" ref="G35:G35">_xlfn.SWITCH($A$2,"average", AVERAGE(Instances!G35:G35),"median", MEDIAN(Instances!G35:G35),"min", MIN(Instances!G35:G35),"max", MAX(Instances!G35:G35),"diff", MAX(Instances!G35:G35)-MIN(Instances!G35:G35))</f>
        <v>0</v>
      </c>
      <c r="H35" s="1" t="n">
        <f aca="false" t="array" ref="H35:H35">_xlfn.SWITCH($A$2,"average", AVERAGE(Instances!H35:H35),"median", MEDIAN(Instances!H35:H35),"min", MIN(Instances!H35:H35),"max", MAX(Instances!H35:H35),"diff", MAX(Instances!H35:H35)-MIN(Instances!H35:H35))</f>
        <v>1</v>
      </c>
      <c r="I35" s="1" t="n">
        <f aca="false" t="array" ref="I35:I35">_xlfn.SWITCH($A$2,"average", AVERAGE(Instances!I35:I35),"median", MEDIAN(Instances!I35:I35),"min", MIN(Instances!I35:I35),"max", MAX(Instances!I35:I35),"diff", MAX(Instances!I35:I35)-MIN(Instances!I35:I35))</f>
        <v>13.975</v>
      </c>
      <c r="J35" s="1" t="n">
        <f aca="false" t="array" ref="J35:J35">_xlfn.SWITCH($A$2,"average", AVERAGE(Instances!J35:J35),"median", MEDIAN(Instances!J35:J35),"min", MIN(Instances!J35:J35),"max", MAX(Instances!J35:J35),"diff", MAX(Instances!J35:J35)-MIN(Instances!J35:J35))</f>
        <v>14.27</v>
      </c>
      <c r="K35" s="1" t="n">
        <f aca="false" t="array" ref="K35:K35">_xlfn.SWITCH($A$2,"average", AVERAGE(Instances!K35:K35),"median", MEDIAN(Instances!K35:K35),"min", MIN(Instances!K35:K35),"max", MAX(Instances!K35:K35),"diff", MAX(Instances!K35:K35)-MIN(Instances!K35:K35))</f>
        <v>0</v>
      </c>
      <c r="L35" s="1"/>
      <c r="M35" s="1" t="n">
        <f aca="false" t="array" ref="M35:M35">_xlfn.SWITCH($A$2,"average", AVERAGE(Instances!M35:M35),"median", MEDIAN(Instances!M35:M35),"min", MIN(Instances!M35:M35),"max", MAX(Instances!M35:M35),"diff", MAX(Instances!M35:M35)-MIN(Instances!M35:M35))</f>
        <v>3292779</v>
      </c>
      <c r="N35" s="1" t="n">
        <f aca="false" t="array" ref="N35:N35">_xlfn.SWITCH($A$2,"average", AVERAGE(Instances!N35:N35),"median", MEDIAN(Instances!N35:N35),"min", MIN(Instances!N35:N35),"max", MAX(Instances!N35:N35),"diff", MAX(Instances!N35:N35)-MIN(Instances!N35:N35))</f>
        <v>0.08</v>
      </c>
      <c r="O35" s="1"/>
      <c r="P35" s="1" t="n">
        <f aca="false" t="array" ref="P35:P35">_xlfn.SWITCH($A$2,"average", AVERAGE(Instances!P35:P35),"median", MEDIAN(Instances!P35:P35),"min", MIN(Instances!P35:P35),"max", MAX(Instances!P35:P35),"diff", MAX(Instances!P35:P35)-MIN(Instances!P35:P35))</f>
        <v>14.27</v>
      </c>
      <c r="Q35" s="1" t="n">
        <f aca="false" t="array" ref="Q35:Q35">_xlfn.SWITCH($A$2,"average", AVERAGE(Instances!Q35:Q35),"median", MEDIAN(Instances!Q35:Q35),"min", MIN(Instances!Q35:Q35),"max", MAX(Instances!Q35:Q35),"diff", MAX(Instances!Q35:Q35)-MIN(Instances!Q35:Q35))</f>
        <v>0</v>
      </c>
      <c r="R35" s="1" t="n">
        <f aca="false" t="array" ref="R35:R35">_xlfn.SWITCH($A$2,"average", AVERAGE(Instances!R35:R35),"median", MEDIAN(Instances!R35:R35),"min", MIN(Instances!R35:R35),"max", MAX(Instances!R35:R35),"diff", MAX(Instances!R35:R35)-MIN(Instances!R35:R35))</f>
        <v>845532</v>
      </c>
      <c r="S35" s="1" t="n">
        <f aca="false">MIN($B35)</f>
        <v>2362</v>
      </c>
      <c r="T35" s="1" t="n">
        <f aca="false">MIN($C35)</f>
        <v>0</v>
      </c>
      <c r="U35" s="1" t="n">
        <f aca="false">MIN($D35)</f>
        <v>736842</v>
      </c>
      <c r="V35" s="1" t="n">
        <f aca="false">MIN($E35)</f>
        <v>0</v>
      </c>
      <c r="W35" s="1" t="n">
        <f aca="false">MIN($F35)</f>
        <v>859</v>
      </c>
      <c r="X35" s="1" t="n">
        <f aca="false">MIN($G35)</f>
        <v>0</v>
      </c>
      <c r="Y35" s="1" t="n">
        <f aca="false">MIN($H35)</f>
        <v>1</v>
      </c>
      <c r="Z35" s="1" t="n">
        <f aca="false">MIN($I35)</f>
        <v>13.975</v>
      </c>
      <c r="AA35" s="1" t="n">
        <f aca="false">MIN($J35)</f>
        <v>14.27</v>
      </c>
      <c r="AB35" s="1" t="n">
        <f aca="false">MIN($K35)</f>
        <v>0</v>
      </c>
      <c r="AC35" s="1" t="n">
        <f aca="false">MIN($M35)</f>
        <v>3292779</v>
      </c>
      <c r="AD35" s="1" t="n">
        <f aca="false">MIN($N35)</f>
        <v>0.08</v>
      </c>
      <c r="AE35" s="1" t="n">
        <f aca="false">MIN($P35)</f>
        <v>14.27</v>
      </c>
      <c r="AF35" s="1" t="n">
        <f aca="false">MIN($Q35)</f>
        <v>0</v>
      </c>
      <c r="AG35" s="1" t="n">
        <f aca="false">MIN($R35)</f>
        <v>845532</v>
      </c>
      <c r="AH35" s="1" t="n">
        <f aca="false">MEDIAN($B35)</f>
        <v>2362</v>
      </c>
      <c r="AI35" s="1" t="n">
        <f aca="false">MEDIAN($C35)</f>
        <v>0</v>
      </c>
      <c r="AJ35" s="1" t="n">
        <f aca="false">MEDIAN($D35)</f>
        <v>736842</v>
      </c>
      <c r="AK35" s="1" t="n">
        <f aca="false">MEDIAN($E35)</f>
        <v>0</v>
      </c>
      <c r="AL35" s="1" t="n">
        <f aca="false">MEDIAN($F35)</f>
        <v>859</v>
      </c>
      <c r="AM35" s="1" t="n">
        <f aca="false">MEDIAN($G35)</f>
        <v>0</v>
      </c>
      <c r="AN35" s="1" t="n">
        <f aca="false">MEDIAN($H35)</f>
        <v>1</v>
      </c>
      <c r="AO35" s="1" t="n">
        <f aca="false">MEDIAN($I35)</f>
        <v>13.975</v>
      </c>
      <c r="AP35" s="1" t="n">
        <f aca="false">MEDIAN($J35)</f>
        <v>14.27</v>
      </c>
      <c r="AQ35" s="1" t="n">
        <f aca="false">MEDIAN($K35)</f>
        <v>0</v>
      </c>
      <c r="AR35" s="1" t="n">
        <f aca="false">MEDIAN($M35)</f>
        <v>3292779</v>
      </c>
      <c r="AS35" s="1" t="n">
        <f aca="false">MEDIAN($N35)</f>
        <v>0.08</v>
      </c>
      <c r="AT35" s="1" t="n">
        <f aca="false">MEDIAN($P35)</f>
        <v>14.27</v>
      </c>
      <c r="AU35" s="1" t="n">
        <f aca="false">MEDIAN($Q35)</f>
        <v>0</v>
      </c>
      <c r="AV35" s="1" t="n">
        <f aca="false">MEDIAN($R35)</f>
        <v>845532</v>
      </c>
      <c r="AW35" s="1" t="n">
        <f aca="false">MAX($B35)</f>
        <v>2362</v>
      </c>
      <c r="AX35" s="1" t="n">
        <f aca="false">MAX($C35)</f>
        <v>0</v>
      </c>
      <c r="AY35" s="1" t="n">
        <f aca="false">MAX($D35)</f>
        <v>736842</v>
      </c>
      <c r="AZ35" s="1" t="n">
        <f aca="false">MAX($E35)</f>
        <v>0</v>
      </c>
      <c r="BA35" s="1" t="n">
        <f aca="false">MAX($F35)</f>
        <v>859</v>
      </c>
      <c r="BB35" s="1" t="n">
        <f aca="false">MAX($G35)</f>
        <v>0</v>
      </c>
      <c r="BC35" s="1" t="n">
        <f aca="false">MAX($H35)</f>
        <v>1</v>
      </c>
      <c r="BD35" s="1" t="n">
        <f aca="false">MAX($I35)</f>
        <v>13.975</v>
      </c>
      <c r="BE35" s="1" t="n">
        <f aca="false">MAX($J35)</f>
        <v>14.27</v>
      </c>
      <c r="BF35" s="1" t="n">
        <f aca="false">MAX($K35)</f>
        <v>0</v>
      </c>
      <c r="BG35" s="1" t="n">
        <f aca="false">MAX($M35)</f>
        <v>3292779</v>
      </c>
      <c r="BH35" s="1" t="n">
        <f aca="false">MAX($N35)</f>
        <v>0.08</v>
      </c>
      <c r="BI35" s="1" t="n">
        <f aca="false">MAX($P35)</f>
        <v>14.27</v>
      </c>
      <c r="BJ35" s="1" t="n">
        <f aca="false">MAX($Q35)</f>
        <v>0</v>
      </c>
      <c r="BK35" s="1" t="n">
        <f aca="false">MAX($R35)</f>
        <v>845532</v>
      </c>
    </row>
    <row r="36" customFormat="false" ht="15" hidden="false" customHeight="false" outlineLevel="0" collapsed="false">
      <c r="A36" s="1" t="s">
        <v>53</v>
      </c>
      <c r="B36" s="1" t="n">
        <f aca="false" t="array" ref="B36:B36">_xlfn.SWITCH($A$2,"average", AVERAGE(Instances!B36:B36),"median", MEDIAN(Instances!B36:B36),"min", MIN(Instances!B36:B36),"max", MAX(Instances!B36:B36),"diff", MAX(Instances!B36:B36)-MIN(Instances!B36:B36))</f>
        <v>2629</v>
      </c>
      <c r="C36" s="1" t="n">
        <f aca="false" t="array" ref="C36:C36">_xlfn.SWITCH($A$2,"average", AVERAGE(Instances!C36:C36),"median", MEDIAN(Instances!C36:C36),"min", MIN(Instances!C36:C36),"max", MAX(Instances!C36:C36),"diff", MAX(Instances!C36:C36)-MIN(Instances!C36:C36))</f>
        <v>72</v>
      </c>
      <c r="D36" s="1" t="n">
        <f aca="false" t="array" ref="D36:D36">_xlfn.SWITCH($A$2,"average", AVERAGE(Instances!D36:D36),"median", MEDIAN(Instances!D36:D36),"min", MIN(Instances!D36:D36),"max", MAX(Instances!D36:D36),"diff", MAX(Instances!D36:D36)-MIN(Instances!D36:D36))</f>
        <v>625249</v>
      </c>
      <c r="E36" s="1" t="n">
        <f aca="false" t="array" ref="E36:E36">_xlfn.SWITCH($A$2,"average", AVERAGE(Instances!E36:E36),"median", MEDIAN(Instances!E36:E36),"min", MIN(Instances!E36:E36),"max", MAX(Instances!E36:E36),"diff", MAX(Instances!E36:E36)-MIN(Instances!E36:E36))</f>
        <v>0</v>
      </c>
      <c r="F36" s="1" t="n">
        <f aca="false" t="array" ref="F36:F36">_xlfn.SWITCH($A$2,"average", AVERAGE(Instances!F36:F36),"median", MEDIAN(Instances!F36:F36),"min", MIN(Instances!F36:F36),"max", MAX(Instances!F36:F36),"diff", MAX(Instances!F36:F36)-MIN(Instances!F36:F36))</f>
        <v>771</v>
      </c>
      <c r="G36" s="1" t="n">
        <f aca="false" t="array" ref="G36:G36">_xlfn.SWITCH($A$2,"average", AVERAGE(Instances!G36:G36),"median", MEDIAN(Instances!G36:G36),"min", MIN(Instances!G36:G36),"max", MAX(Instances!G36:G36),"diff", MAX(Instances!G36:G36)-MIN(Instances!G36:G36))</f>
        <v>0</v>
      </c>
      <c r="H36" s="1" t="n">
        <f aca="false" t="array" ref="H36:H36">_xlfn.SWITCH($A$2,"average", AVERAGE(Instances!H36:H36),"median", MEDIAN(Instances!H36:H36),"min", MIN(Instances!H36:H36),"max", MAX(Instances!H36:H36),"diff", MAX(Instances!H36:H36)-MIN(Instances!H36:H36))</f>
        <v>1</v>
      </c>
      <c r="I36" s="1" t="n">
        <f aca="false" t="array" ref="I36:I36">_xlfn.SWITCH($A$2,"average", AVERAGE(Instances!I36:I36),"median", MEDIAN(Instances!I36:I36),"min", MIN(Instances!I36:I36),"max", MAX(Instances!I36:I36),"diff", MAX(Instances!I36:I36)-MIN(Instances!I36:I36))</f>
        <v>12.177</v>
      </c>
      <c r="J36" s="1" t="n">
        <f aca="false" t="array" ref="J36:J36">_xlfn.SWITCH($A$2,"average", AVERAGE(Instances!J36:J36),"median", MEDIAN(Instances!J36:J36),"min", MIN(Instances!J36:J36),"max", MAX(Instances!J36:J36),"diff", MAX(Instances!J36:J36)-MIN(Instances!J36:J36))</f>
        <v>12.46</v>
      </c>
      <c r="K36" s="1" t="n">
        <f aca="false" t="array" ref="K36:K36">_xlfn.SWITCH($A$2,"average", AVERAGE(Instances!K36:K36),"median", MEDIAN(Instances!K36:K36),"min", MIN(Instances!K36:K36),"max", MAX(Instances!K36:K36),"diff", MAX(Instances!K36:K36)-MIN(Instances!K36:K36))</f>
        <v>0</v>
      </c>
      <c r="L36" s="1"/>
      <c r="M36" s="1" t="n">
        <f aca="false" t="array" ref="M36:M36">_xlfn.SWITCH($A$2,"average", AVERAGE(Instances!M36:M36),"median", MEDIAN(Instances!M36:M36),"min", MIN(Instances!M36:M36),"max", MAX(Instances!M36:M36),"diff", MAX(Instances!M36:M36)-MIN(Instances!M36:M36))</f>
        <v>2837701</v>
      </c>
      <c r="N36" s="1" t="n">
        <f aca="false" t="array" ref="N36:N36">_xlfn.SWITCH($A$2,"average", AVERAGE(Instances!N36:N36),"median", MEDIAN(Instances!N36:N36),"min", MIN(Instances!N36:N36),"max", MAX(Instances!N36:N36),"diff", MAX(Instances!N36:N36)-MIN(Instances!N36:N36))</f>
        <v>0.09</v>
      </c>
      <c r="O36" s="1"/>
      <c r="P36" s="1" t="n">
        <f aca="false" t="array" ref="P36:P36">_xlfn.SWITCH($A$2,"average", AVERAGE(Instances!P36:P36),"median", MEDIAN(Instances!P36:P36),"min", MIN(Instances!P36:P36),"max", MAX(Instances!P36:P36),"diff", MAX(Instances!P36:P36)-MIN(Instances!P36:P36))</f>
        <v>12.46</v>
      </c>
      <c r="Q36" s="1" t="n">
        <f aca="false" t="array" ref="Q36:Q36">_xlfn.SWITCH($A$2,"average", AVERAGE(Instances!Q36:Q36),"median", MEDIAN(Instances!Q36:Q36),"min", MIN(Instances!Q36:Q36),"max", MAX(Instances!Q36:Q36),"diff", MAX(Instances!Q36:Q36)-MIN(Instances!Q36:Q36))</f>
        <v>0</v>
      </c>
      <c r="R36" s="1" t="n">
        <f aca="false" t="array" ref="R36:R36">_xlfn.SWITCH($A$2,"average", AVERAGE(Instances!R36:R36),"median", MEDIAN(Instances!R36:R36),"min", MIN(Instances!R36:R36),"max", MAX(Instances!R36:R36),"diff", MAX(Instances!R36:R36)-MIN(Instances!R36:R36))</f>
        <v>756223</v>
      </c>
      <c r="S36" s="1" t="n">
        <f aca="false">MIN($B36)</f>
        <v>2629</v>
      </c>
      <c r="T36" s="1" t="n">
        <f aca="false">MIN($C36)</f>
        <v>72</v>
      </c>
      <c r="U36" s="1" t="n">
        <f aca="false">MIN($D36)</f>
        <v>625249</v>
      </c>
      <c r="V36" s="1" t="n">
        <f aca="false">MIN($E36)</f>
        <v>0</v>
      </c>
      <c r="W36" s="1" t="n">
        <f aca="false">MIN($F36)</f>
        <v>771</v>
      </c>
      <c r="X36" s="1" t="n">
        <f aca="false">MIN($G36)</f>
        <v>0</v>
      </c>
      <c r="Y36" s="1" t="n">
        <f aca="false">MIN($H36)</f>
        <v>1</v>
      </c>
      <c r="Z36" s="1" t="n">
        <f aca="false">MIN($I36)</f>
        <v>12.177</v>
      </c>
      <c r="AA36" s="1" t="n">
        <f aca="false">MIN($J36)</f>
        <v>12.46</v>
      </c>
      <c r="AB36" s="1" t="n">
        <f aca="false">MIN($K36)</f>
        <v>0</v>
      </c>
      <c r="AC36" s="1" t="n">
        <f aca="false">MIN($M36)</f>
        <v>2837701</v>
      </c>
      <c r="AD36" s="1" t="n">
        <f aca="false">MIN($N36)</f>
        <v>0.09</v>
      </c>
      <c r="AE36" s="1" t="n">
        <f aca="false">MIN($P36)</f>
        <v>12.46</v>
      </c>
      <c r="AF36" s="1" t="n">
        <f aca="false">MIN($Q36)</f>
        <v>0</v>
      </c>
      <c r="AG36" s="1" t="n">
        <f aca="false">MIN($R36)</f>
        <v>756223</v>
      </c>
      <c r="AH36" s="1" t="n">
        <f aca="false">MEDIAN($B36)</f>
        <v>2629</v>
      </c>
      <c r="AI36" s="1" t="n">
        <f aca="false">MEDIAN($C36)</f>
        <v>72</v>
      </c>
      <c r="AJ36" s="1" t="n">
        <f aca="false">MEDIAN($D36)</f>
        <v>625249</v>
      </c>
      <c r="AK36" s="1" t="n">
        <f aca="false">MEDIAN($E36)</f>
        <v>0</v>
      </c>
      <c r="AL36" s="1" t="n">
        <f aca="false">MEDIAN($F36)</f>
        <v>771</v>
      </c>
      <c r="AM36" s="1" t="n">
        <f aca="false">MEDIAN($G36)</f>
        <v>0</v>
      </c>
      <c r="AN36" s="1" t="n">
        <f aca="false">MEDIAN($H36)</f>
        <v>1</v>
      </c>
      <c r="AO36" s="1" t="n">
        <f aca="false">MEDIAN($I36)</f>
        <v>12.177</v>
      </c>
      <c r="AP36" s="1" t="n">
        <f aca="false">MEDIAN($J36)</f>
        <v>12.46</v>
      </c>
      <c r="AQ36" s="1" t="n">
        <f aca="false">MEDIAN($K36)</f>
        <v>0</v>
      </c>
      <c r="AR36" s="1" t="n">
        <f aca="false">MEDIAN($M36)</f>
        <v>2837701</v>
      </c>
      <c r="AS36" s="1" t="n">
        <f aca="false">MEDIAN($N36)</f>
        <v>0.09</v>
      </c>
      <c r="AT36" s="1" t="n">
        <f aca="false">MEDIAN($P36)</f>
        <v>12.46</v>
      </c>
      <c r="AU36" s="1" t="n">
        <f aca="false">MEDIAN($Q36)</f>
        <v>0</v>
      </c>
      <c r="AV36" s="1" t="n">
        <f aca="false">MEDIAN($R36)</f>
        <v>756223</v>
      </c>
      <c r="AW36" s="1" t="n">
        <f aca="false">MAX($B36)</f>
        <v>2629</v>
      </c>
      <c r="AX36" s="1" t="n">
        <f aca="false">MAX($C36)</f>
        <v>72</v>
      </c>
      <c r="AY36" s="1" t="n">
        <f aca="false">MAX($D36)</f>
        <v>625249</v>
      </c>
      <c r="AZ36" s="1" t="n">
        <f aca="false">MAX($E36)</f>
        <v>0</v>
      </c>
      <c r="BA36" s="1" t="n">
        <f aca="false">MAX($F36)</f>
        <v>771</v>
      </c>
      <c r="BB36" s="1" t="n">
        <f aca="false">MAX($G36)</f>
        <v>0</v>
      </c>
      <c r="BC36" s="1" t="n">
        <f aca="false">MAX($H36)</f>
        <v>1</v>
      </c>
      <c r="BD36" s="1" t="n">
        <f aca="false">MAX($I36)</f>
        <v>12.177</v>
      </c>
      <c r="BE36" s="1" t="n">
        <f aca="false">MAX($J36)</f>
        <v>12.46</v>
      </c>
      <c r="BF36" s="1" t="n">
        <f aca="false">MAX($K36)</f>
        <v>0</v>
      </c>
      <c r="BG36" s="1" t="n">
        <f aca="false">MAX($M36)</f>
        <v>2837701</v>
      </c>
      <c r="BH36" s="1" t="n">
        <f aca="false">MAX($N36)</f>
        <v>0.09</v>
      </c>
      <c r="BI36" s="1" t="n">
        <f aca="false">MAX($P36)</f>
        <v>12.46</v>
      </c>
      <c r="BJ36" s="1" t="n">
        <f aca="false">MAX($Q36)</f>
        <v>0</v>
      </c>
      <c r="BK36" s="1" t="n">
        <f aca="false">MAX($R36)</f>
        <v>756223</v>
      </c>
    </row>
    <row r="37" customFormat="false" ht="15" hidden="false" customHeight="false" outlineLevel="0" collapsed="false">
      <c r="A37" s="1" t="s">
        <v>54</v>
      </c>
      <c r="B37" s="1" t="n">
        <f aca="false" t="array" ref="B37:B37">_xlfn.SWITCH($A$2,"average", AVERAGE(Instances!B37:B37),"median", MEDIAN(Instances!B37:B37),"min", MIN(Instances!B37:B37),"max", MAX(Instances!B37:B37),"diff", MAX(Instances!B37:B37)-MIN(Instances!B37:B37))</f>
        <v>2372</v>
      </c>
      <c r="C37" s="1" t="n">
        <f aca="false" t="array" ref="C37:C37">_xlfn.SWITCH($A$2,"average", AVERAGE(Instances!C37:C37),"median", MEDIAN(Instances!C37:C37),"min", MIN(Instances!C37:C37),"max", MAX(Instances!C37:C37),"diff", MAX(Instances!C37:C37)-MIN(Instances!C37:C37))</f>
        <v>2</v>
      </c>
      <c r="D37" s="1" t="n">
        <f aca="false" t="array" ref="D37:D37">_xlfn.SWITCH($A$2,"average", AVERAGE(Instances!D37:D37),"median", MEDIAN(Instances!D37:D37),"min", MIN(Instances!D37:D37),"max", MAX(Instances!D37:D37),"diff", MAX(Instances!D37:D37)-MIN(Instances!D37:D37))</f>
        <v>643180</v>
      </c>
      <c r="E37" s="1" t="n">
        <f aca="false" t="array" ref="E37:E37">_xlfn.SWITCH($A$2,"average", AVERAGE(Instances!E37:E37),"median", MEDIAN(Instances!E37:E37),"min", MIN(Instances!E37:E37),"max", MAX(Instances!E37:E37),"diff", MAX(Instances!E37:E37)-MIN(Instances!E37:E37))</f>
        <v>0</v>
      </c>
      <c r="F37" s="1" t="n">
        <f aca="false" t="array" ref="F37:F37">_xlfn.SWITCH($A$2,"average", AVERAGE(Instances!F37:F37),"median", MEDIAN(Instances!F37:F37),"min", MIN(Instances!F37:F37),"max", MAX(Instances!F37:F37),"diff", MAX(Instances!F37:F37)-MIN(Instances!F37:F37))</f>
        <v>793</v>
      </c>
      <c r="G37" s="1" t="n">
        <f aca="false" t="array" ref="G37:G37">_xlfn.SWITCH($A$2,"average", AVERAGE(Instances!G37:G37),"median", MEDIAN(Instances!G37:G37),"min", MIN(Instances!G37:G37),"max", MAX(Instances!G37:G37),"diff", MAX(Instances!G37:G37)-MIN(Instances!G37:G37))</f>
        <v>0</v>
      </c>
      <c r="H37" s="1" t="n">
        <f aca="false" t="array" ref="H37:H37">_xlfn.SWITCH($A$2,"average", AVERAGE(Instances!H37:H37),"median", MEDIAN(Instances!H37:H37),"min", MIN(Instances!H37:H37),"max", MAX(Instances!H37:H37),"diff", MAX(Instances!H37:H37)-MIN(Instances!H37:H37))</f>
        <v>1</v>
      </c>
      <c r="I37" s="1" t="n">
        <f aca="false" t="array" ref="I37:I37">_xlfn.SWITCH($A$2,"average", AVERAGE(Instances!I37:I37),"median", MEDIAN(Instances!I37:I37),"min", MIN(Instances!I37:I37),"max", MAX(Instances!I37:I37),"diff", MAX(Instances!I37:I37)-MIN(Instances!I37:I37))</f>
        <v>12.274</v>
      </c>
      <c r="J37" s="1" t="n">
        <f aca="false" t="array" ref="J37:J37">_xlfn.SWITCH($A$2,"average", AVERAGE(Instances!J37:J37),"median", MEDIAN(Instances!J37:J37),"min", MIN(Instances!J37:J37),"max", MAX(Instances!J37:J37),"diff", MAX(Instances!J37:J37)-MIN(Instances!J37:J37))</f>
        <v>12.56</v>
      </c>
      <c r="K37" s="1" t="n">
        <f aca="false" t="array" ref="K37:K37">_xlfn.SWITCH($A$2,"average", AVERAGE(Instances!K37:K37),"median", MEDIAN(Instances!K37:K37),"min", MIN(Instances!K37:K37),"max", MAX(Instances!K37:K37),"diff", MAX(Instances!K37:K37)-MIN(Instances!K37:K37))</f>
        <v>0</v>
      </c>
      <c r="L37" s="1"/>
      <c r="M37" s="1" t="n">
        <f aca="false" t="array" ref="M37:M37">_xlfn.SWITCH($A$2,"average", AVERAGE(Instances!M37:M37),"median", MEDIAN(Instances!M37:M37),"min", MIN(Instances!M37:M37),"max", MAX(Instances!M37:M37),"diff", MAX(Instances!M37:M37)-MIN(Instances!M37:M37))</f>
        <v>2901978</v>
      </c>
      <c r="N37" s="1" t="n">
        <f aca="false" t="array" ref="N37:N37">_xlfn.SWITCH($A$2,"average", AVERAGE(Instances!N37:N37),"median", MEDIAN(Instances!N37:N37),"min", MIN(Instances!N37:N37),"max", MAX(Instances!N37:N37),"diff", MAX(Instances!N37:N37)-MIN(Instances!N37:N37))</f>
        <v>0.07</v>
      </c>
      <c r="O37" s="1"/>
      <c r="P37" s="1" t="n">
        <f aca="false" t="array" ref="P37:P37">_xlfn.SWITCH($A$2,"average", AVERAGE(Instances!P37:P37),"median", MEDIAN(Instances!P37:P37),"min", MIN(Instances!P37:P37),"max", MAX(Instances!P37:P37),"diff", MAX(Instances!P37:P37)-MIN(Instances!P37:P37))</f>
        <v>12.56</v>
      </c>
      <c r="Q37" s="1" t="n">
        <f aca="false" t="array" ref="Q37:Q37">_xlfn.SWITCH($A$2,"average", AVERAGE(Instances!Q37:Q37),"median", MEDIAN(Instances!Q37:Q37),"min", MIN(Instances!Q37:Q37),"max", MAX(Instances!Q37:Q37),"diff", MAX(Instances!Q37:Q37)-MIN(Instances!Q37:Q37))</f>
        <v>0</v>
      </c>
      <c r="R37" s="1" t="n">
        <f aca="false" t="array" ref="R37:R37">_xlfn.SWITCH($A$2,"average", AVERAGE(Instances!R37:R37),"median", MEDIAN(Instances!R37:R37),"min", MIN(Instances!R37:R37),"max", MAX(Instances!R37:R37),"diff", MAX(Instances!R37:R37)-MIN(Instances!R37:R37))</f>
        <v>771217</v>
      </c>
      <c r="S37" s="1" t="n">
        <f aca="false">MIN($B37)</f>
        <v>2372</v>
      </c>
      <c r="T37" s="1" t="n">
        <f aca="false">MIN($C37)</f>
        <v>2</v>
      </c>
      <c r="U37" s="1" t="n">
        <f aca="false">MIN($D37)</f>
        <v>643180</v>
      </c>
      <c r="V37" s="1" t="n">
        <f aca="false">MIN($E37)</f>
        <v>0</v>
      </c>
      <c r="W37" s="1" t="n">
        <f aca="false">MIN($F37)</f>
        <v>793</v>
      </c>
      <c r="X37" s="1" t="n">
        <f aca="false">MIN($G37)</f>
        <v>0</v>
      </c>
      <c r="Y37" s="1" t="n">
        <f aca="false">MIN($H37)</f>
        <v>1</v>
      </c>
      <c r="Z37" s="1" t="n">
        <f aca="false">MIN($I37)</f>
        <v>12.274</v>
      </c>
      <c r="AA37" s="1" t="n">
        <f aca="false">MIN($J37)</f>
        <v>12.56</v>
      </c>
      <c r="AB37" s="1" t="n">
        <f aca="false">MIN($K37)</f>
        <v>0</v>
      </c>
      <c r="AC37" s="1" t="n">
        <f aca="false">MIN($M37)</f>
        <v>2901978</v>
      </c>
      <c r="AD37" s="1" t="n">
        <f aca="false">MIN($N37)</f>
        <v>0.07</v>
      </c>
      <c r="AE37" s="1" t="n">
        <f aca="false">MIN($P37)</f>
        <v>12.56</v>
      </c>
      <c r="AF37" s="1" t="n">
        <f aca="false">MIN($Q37)</f>
        <v>0</v>
      </c>
      <c r="AG37" s="1" t="n">
        <f aca="false">MIN($R37)</f>
        <v>771217</v>
      </c>
      <c r="AH37" s="1" t="n">
        <f aca="false">MEDIAN($B37)</f>
        <v>2372</v>
      </c>
      <c r="AI37" s="1" t="n">
        <f aca="false">MEDIAN($C37)</f>
        <v>2</v>
      </c>
      <c r="AJ37" s="1" t="n">
        <f aca="false">MEDIAN($D37)</f>
        <v>643180</v>
      </c>
      <c r="AK37" s="1" t="n">
        <f aca="false">MEDIAN($E37)</f>
        <v>0</v>
      </c>
      <c r="AL37" s="1" t="n">
        <f aca="false">MEDIAN($F37)</f>
        <v>793</v>
      </c>
      <c r="AM37" s="1" t="n">
        <f aca="false">MEDIAN($G37)</f>
        <v>0</v>
      </c>
      <c r="AN37" s="1" t="n">
        <f aca="false">MEDIAN($H37)</f>
        <v>1</v>
      </c>
      <c r="AO37" s="1" t="n">
        <f aca="false">MEDIAN($I37)</f>
        <v>12.274</v>
      </c>
      <c r="AP37" s="1" t="n">
        <f aca="false">MEDIAN($J37)</f>
        <v>12.56</v>
      </c>
      <c r="AQ37" s="1" t="n">
        <f aca="false">MEDIAN($K37)</f>
        <v>0</v>
      </c>
      <c r="AR37" s="1" t="n">
        <f aca="false">MEDIAN($M37)</f>
        <v>2901978</v>
      </c>
      <c r="AS37" s="1" t="n">
        <f aca="false">MEDIAN($N37)</f>
        <v>0.07</v>
      </c>
      <c r="AT37" s="1" t="n">
        <f aca="false">MEDIAN($P37)</f>
        <v>12.56</v>
      </c>
      <c r="AU37" s="1" t="n">
        <f aca="false">MEDIAN($Q37)</f>
        <v>0</v>
      </c>
      <c r="AV37" s="1" t="n">
        <f aca="false">MEDIAN($R37)</f>
        <v>771217</v>
      </c>
      <c r="AW37" s="1" t="n">
        <f aca="false">MAX($B37)</f>
        <v>2372</v>
      </c>
      <c r="AX37" s="1" t="n">
        <f aca="false">MAX($C37)</f>
        <v>2</v>
      </c>
      <c r="AY37" s="1" t="n">
        <f aca="false">MAX($D37)</f>
        <v>643180</v>
      </c>
      <c r="AZ37" s="1" t="n">
        <f aca="false">MAX($E37)</f>
        <v>0</v>
      </c>
      <c r="BA37" s="1" t="n">
        <f aca="false">MAX($F37)</f>
        <v>793</v>
      </c>
      <c r="BB37" s="1" t="n">
        <f aca="false">MAX($G37)</f>
        <v>0</v>
      </c>
      <c r="BC37" s="1" t="n">
        <f aca="false">MAX($H37)</f>
        <v>1</v>
      </c>
      <c r="BD37" s="1" t="n">
        <f aca="false">MAX($I37)</f>
        <v>12.274</v>
      </c>
      <c r="BE37" s="1" t="n">
        <f aca="false">MAX($J37)</f>
        <v>12.56</v>
      </c>
      <c r="BF37" s="1" t="n">
        <f aca="false">MAX($K37)</f>
        <v>0</v>
      </c>
      <c r="BG37" s="1" t="n">
        <f aca="false">MAX($M37)</f>
        <v>2901978</v>
      </c>
      <c r="BH37" s="1" t="n">
        <f aca="false">MAX($N37)</f>
        <v>0.07</v>
      </c>
      <c r="BI37" s="1" t="n">
        <f aca="false">MAX($P37)</f>
        <v>12.56</v>
      </c>
      <c r="BJ37" s="1" t="n">
        <f aca="false">MAX($Q37)</f>
        <v>0</v>
      </c>
      <c r="BK37" s="1" t="n">
        <f aca="false">MAX($R37)</f>
        <v>771217</v>
      </c>
    </row>
    <row r="38" customFormat="false" ht="15" hidden="false" customHeight="false" outlineLevel="0" collapsed="false">
      <c r="A38" s="1" t="s">
        <v>55</v>
      </c>
      <c r="B38" s="1" t="n">
        <f aca="false" t="array" ref="B38:B38">_xlfn.SWITCH($A$2,"average", AVERAGE(Instances!B38:B38),"median", MEDIAN(Instances!B38:B38),"min", MIN(Instances!B38:B38),"max", MAX(Instances!B38:B38),"diff", MAX(Instances!B38:B38)-MIN(Instances!B38:B38))</f>
        <v>18533</v>
      </c>
      <c r="C38" s="1" t="n">
        <f aca="false" t="array" ref="C38:C38">_xlfn.SWITCH($A$2,"average", AVERAGE(Instances!C38:C38),"median", MEDIAN(Instances!C38:C38),"min", MIN(Instances!C38:C38),"max", MAX(Instances!C38:C38),"diff", MAX(Instances!C38:C38)-MIN(Instances!C38:C38))</f>
        <v>224</v>
      </c>
      <c r="D38" s="1" t="n">
        <f aca="false" t="array" ref="D38:D38">_xlfn.SWITCH($A$2,"average", AVERAGE(Instances!D38:D38),"median", MEDIAN(Instances!D38:D38),"min", MIN(Instances!D38:D38),"max", MAX(Instances!D38:D38),"diff", MAX(Instances!D38:D38)-MIN(Instances!D38:D38))</f>
        <v>722068</v>
      </c>
      <c r="E38" s="1" t="n">
        <f aca="false" t="array" ref="E38:E38">_xlfn.SWITCH($A$2,"average", AVERAGE(Instances!E38:E38),"median", MEDIAN(Instances!E38:E38),"min", MIN(Instances!E38:E38),"max", MAX(Instances!E38:E38),"diff", MAX(Instances!E38:E38)-MIN(Instances!E38:E38))</f>
        <v>0</v>
      </c>
      <c r="F38" s="1" t="n">
        <f aca="false" t="array" ref="F38:F38">_xlfn.SWITCH($A$2,"average", AVERAGE(Instances!F38:F38),"median", MEDIAN(Instances!F38:F38),"min", MIN(Instances!F38:F38),"max", MAX(Instances!F38:F38),"diff", MAX(Instances!F38:F38)-MIN(Instances!F38:F38))</f>
        <v>922</v>
      </c>
      <c r="G38" s="1" t="n">
        <f aca="false" t="array" ref="G38:G38">_xlfn.SWITCH($A$2,"average", AVERAGE(Instances!G38:G38),"median", MEDIAN(Instances!G38:G38),"min", MIN(Instances!G38:G38),"max", MAX(Instances!G38:G38),"diff", MAX(Instances!G38:G38)-MIN(Instances!G38:G38))</f>
        <v>0</v>
      </c>
      <c r="H38" s="1" t="n">
        <f aca="false" t="array" ref="H38:H38">_xlfn.SWITCH($A$2,"average", AVERAGE(Instances!H38:H38),"median", MEDIAN(Instances!H38:H38),"min", MIN(Instances!H38:H38),"max", MAX(Instances!H38:H38),"diff", MAX(Instances!H38:H38)-MIN(Instances!H38:H38))</f>
        <v>1</v>
      </c>
      <c r="I38" s="1" t="n">
        <f aca="false" t="array" ref="I38:I38">_xlfn.SWITCH($A$2,"average", AVERAGE(Instances!I38:I38),"median", MEDIAN(Instances!I38:I38),"min", MIN(Instances!I38:I38),"max", MAX(Instances!I38:I38),"diff", MAX(Instances!I38:I38)-MIN(Instances!I38:I38))</f>
        <v>15.316</v>
      </c>
      <c r="J38" s="1" t="n">
        <f aca="false" t="array" ref="J38:J38">_xlfn.SWITCH($A$2,"average", AVERAGE(Instances!J38:J38),"median", MEDIAN(Instances!J38:J38),"min", MIN(Instances!J38:J38),"max", MAX(Instances!J38:J38),"diff", MAX(Instances!J38:J38)-MIN(Instances!J38:J38))</f>
        <v>15.63</v>
      </c>
      <c r="K38" s="1" t="n">
        <f aca="false" t="array" ref="K38:K38">_xlfn.SWITCH($A$2,"average", AVERAGE(Instances!K38:K38),"median", MEDIAN(Instances!K38:K38),"min", MIN(Instances!K38:K38),"max", MAX(Instances!K38:K38),"diff", MAX(Instances!K38:K38)-MIN(Instances!K38:K38))</f>
        <v>2</v>
      </c>
      <c r="L38" s="1"/>
      <c r="M38" s="1" t="n">
        <f aca="false" t="array" ref="M38:M38">_xlfn.SWITCH($A$2,"average", AVERAGE(Instances!M38:M38),"median", MEDIAN(Instances!M38:M38),"min", MIN(Instances!M38:M38),"max", MAX(Instances!M38:M38),"diff", MAX(Instances!M38:M38)-MIN(Instances!M38:M38))</f>
        <v>3532875</v>
      </c>
      <c r="N38" s="1" t="n">
        <f aca="false" t="array" ref="N38:N38">_xlfn.SWITCH($A$2,"average", AVERAGE(Instances!N38:N38),"median", MEDIAN(Instances!N38:N38),"min", MIN(Instances!N38:N38),"max", MAX(Instances!N38:N38),"diff", MAX(Instances!N38:N38)-MIN(Instances!N38:N38))</f>
        <v>0.34</v>
      </c>
      <c r="O38" s="1"/>
      <c r="P38" s="1" t="n">
        <f aca="false" t="array" ref="P38:P38">_xlfn.SWITCH($A$2,"average", AVERAGE(Instances!P38:P38),"median", MEDIAN(Instances!P38:P38),"min", MIN(Instances!P38:P38),"max", MAX(Instances!P38:P38),"diff", MAX(Instances!P38:P38)-MIN(Instances!P38:P38))</f>
        <v>15.63</v>
      </c>
      <c r="Q38" s="1" t="n">
        <f aca="false" t="array" ref="Q38:Q38">_xlfn.SWITCH($A$2,"average", AVERAGE(Instances!Q38:Q38),"median", MEDIAN(Instances!Q38:Q38),"min", MIN(Instances!Q38:Q38),"max", MAX(Instances!Q38:Q38),"diff", MAX(Instances!Q38:Q38)-MIN(Instances!Q38:Q38))</f>
        <v>0</v>
      </c>
      <c r="R38" s="1" t="n">
        <f aca="false" t="array" ref="R38:R38">_xlfn.SWITCH($A$2,"average", AVERAGE(Instances!R38:R38),"median", MEDIAN(Instances!R38:R38),"min", MIN(Instances!R38:R38),"max", MAX(Instances!R38:R38),"diff", MAX(Instances!R38:R38)-MIN(Instances!R38:R38))</f>
        <v>906978</v>
      </c>
      <c r="S38" s="1" t="n">
        <f aca="false">MIN($B38)</f>
        <v>18533</v>
      </c>
      <c r="T38" s="1" t="n">
        <f aca="false">MIN($C38)</f>
        <v>224</v>
      </c>
      <c r="U38" s="1" t="n">
        <f aca="false">MIN($D38)</f>
        <v>722068</v>
      </c>
      <c r="V38" s="1" t="n">
        <f aca="false">MIN($E38)</f>
        <v>0</v>
      </c>
      <c r="W38" s="1" t="n">
        <f aca="false">MIN($F38)</f>
        <v>922</v>
      </c>
      <c r="X38" s="1" t="n">
        <f aca="false">MIN($G38)</f>
        <v>0</v>
      </c>
      <c r="Y38" s="1" t="n">
        <f aca="false">MIN($H38)</f>
        <v>1</v>
      </c>
      <c r="Z38" s="1" t="n">
        <f aca="false">MIN($I38)</f>
        <v>15.316</v>
      </c>
      <c r="AA38" s="1" t="n">
        <f aca="false">MIN($J38)</f>
        <v>15.63</v>
      </c>
      <c r="AB38" s="1" t="n">
        <f aca="false">MIN($K38)</f>
        <v>2</v>
      </c>
      <c r="AC38" s="1" t="n">
        <f aca="false">MIN($M38)</f>
        <v>3532875</v>
      </c>
      <c r="AD38" s="1" t="n">
        <f aca="false">MIN($N38)</f>
        <v>0.34</v>
      </c>
      <c r="AE38" s="1" t="n">
        <f aca="false">MIN($P38)</f>
        <v>15.63</v>
      </c>
      <c r="AF38" s="1" t="n">
        <f aca="false">MIN($Q38)</f>
        <v>0</v>
      </c>
      <c r="AG38" s="1" t="n">
        <f aca="false">MIN($R38)</f>
        <v>906978</v>
      </c>
      <c r="AH38" s="1" t="n">
        <f aca="false">MEDIAN($B38)</f>
        <v>18533</v>
      </c>
      <c r="AI38" s="1" t="n">
        <f aca="false">MEDIAN($C38)</f>
        <v>224</v>
      </c>
      <c r="AJ38" s="1" t="n">
        <f aca="false">MEDIAN($D38)</f>
        <v>722068</v>
      </c>
      <c r="AK38" s="1" t="n">
        <f aca="false">MEDIAN($E38)</f>
        <v>0</v>
      </c>
      <c r="AL38" s="1" t="n">
        <f aca="false">MEDIAN($F38)</f>
        <v>922</v>
      </c>
      <c r="AM38" s="1" t="n">
        <f aca="false">MEDIAN($G38)</f>
        <v>0</v>
      </c>
      <c r="AN38" s="1" t="n">
        <f aca="false">MEDIAN($H38)</f>
        <v>1</v>
      </c>
      <c r="AO38" s="1" t="n">
        <f aca="false">MEDIAN($I38)</f>
        <v>15.316</v>
      </c>
      <c r="AP38" s="1" t="n">
        <f aca="false">MEDIAN($J38)</f>
        <v>15.63</v>
      </c>
      <c r="AQ38" s="1" t="n">
        <f aca="false">MEDIAN($K38)</f>
        <v>2</v>
      </c>
      <c r="AR38" s="1" t="n">
        <f aca="false">MEDIAN($M38)</f>
        <v>3532875</v>
      </c>
      <c r="AS38" s="1" t="n">
        <f aca="false">MEDIAN($N38)</f>
        <v>0.34</v>
      </c>
      <c r="AT38" s="1" t="n">
        <f aca="false">MEDIAN($P38)</f>
        <v>15.63</v>
      </c>
      <c r="AU38" s="1" t="n">
        <f aca="false">MEDIAN($Q38)</f>
        <v>0</v>
      </c>
      <c r="AV38" s="1" t="n">
        <f aca="false">MEDIAN($R38)</f>
        <v>906978</v>
      </c>
      <c r="AW38" s="1" t="n">
        <f aca="false">MAX($B38)</f>
        <v>18533</v>
      </c>
      <c r="AX38" s="1" t="n">
        <f aca="false">MAX($C38)</f>
        <v>224</v>
      </c>
      <c r="AY38" s="1" t="n">
        <f aca="false">MAX($D38)</f>
        <v>722068</v>
      </c>
      <c r="AZ38" s="1" t="n">
        <f aca="false">MAX($E38)</f>
        <v>0</v>
      </c>
      <c r="BA38" s="1" t="n">
        <f aca="false">MAX($F38)</f>
        <v>922</v>
      </c>
      <c r="BB38" s="1" t="n">
        <f aca="false">MAX($G38)</f>
        <v>0</v>
      </c>
      <c r="BC38" s="1" t="n">
        <f aca="false">MAX($H38)</f>
        <v>1</v>
      </c>
      <c r="BD38" s="1" t="n">
        <f aca="false">MAX($I38)</f>
        <v>15.316</v>
      </c>
      <c r="BE38" s="1" t="n">
        <f aca="false">MAX($J38)</f>
        <v>15.63</v>
      </c>
      <c r="BF38" s="1" t="n">
        <f aca="false">MAX($K38)</f>
        <v>2</v>
      </c>
      <c r="BG38" s="1" t="n">
        <f aca="false">MAX($M38)</f>
        <v>3532875</v>
      </c>
      <c r="BH38" s="1" t="n">
        <f aca="false">MAX($N38)</f>
        <v>0.34</v>
      </c>
      <c r="BI38" s="1" t="n">
        <f aca="false">MAX($P38)</f>
        <v>15.63</v>
      </c>
      <c r="BJ38" s="1" t="n">
        <f aca="false">MAX($Q38)</f>
        <v>0</v>
      </c>
      <c r="BK38" s="1" t="n">
        <f aca="false">MAX($R38)</f>
        <v>906978</v>
      </c>
    </row>
    <row r="39" customFormat="false" ht="15" hidden="false" customHeight="false" outlineLevel="0" collapsed="false">
      <c r="A39" s="1" t="s">
        <v>56</v>
      </c>
      <c r="B39" s="1" t="n">
        <f aca="false" t="array" ref="B39:B39">_xlfn.SWITCH($A$2,"average", AVERAGE(Instances!B39:B39),"median", MEDIAN(Instances!B39:B39),"min", MIN(Instances!B39:B39),"max", MAX(Instances!B39:B39),"diff", MAX(Instances!B39:B39)-MIN(Instances!B39:B39))</f>
        <v>380</v>
      </c>
      <c r="C39" s="1" t="n">
        <f aca="false" t="array" ref="C39:C39">_xlfn.SWITCH($A$2,"average", AVERAGE(Instances!C39:C39),"median", MEDIAN(Instances!C39:C39),"min", MIN(Instances!C39:C39),"max", MAX(Instances!C39:C39),"diff", MAX(Instances!C39:C39)-MIN(Instances!C39:C39))</f>
        <v>0</v>
      </c>
      <c r="D39" s="1" t="n">
        <f aca="false" t="array" ref="D39:D39">_xlfn.SWITCH($A$2,"average", AVERAGE(Instances!D39:D39),"median", MEDIAN(Instances!D39:D39),"min", MIN(Instances!D39:D39),"max", MAX(Instances!D39:D39),"diff", MAX(Instances!D39:D39)-MIN(Instances!D39:D39))</f>
        <v>147686</v>
      </c>
      <c r="E39" s="1" t="n">
        <f aca="false" t="array" ref="E39:E39">_xlfn.SWITCH($A$2,"average", AVERAGE(Instances!E39:E39),"median", MEDIAN(Instances!E39:E39),"min", MIN(Instances!E39:E39),"max", MAX(Instances!E39:E39),"diff", MAX(Instances!E39:E39)-MIN(Instances!E39:E39))</f>
        <v>0</v>
      </c>
      <c r="F39" s="1" t="n">
        <f aca="false" t="array" ref="F39:F39">_xlfn.SWITCH($A$2,"average", AVERAGE(Instances!F39:F39),"median", MEDIAN(Instances!F39:F39),"min", MIN(Instances!F39:F39),"max", MAX(Instances!F39:F39),"diff", MAX(Instances!F39:F39)-MIN(Instances!F39:F39))</f>
        <v>164</v>
      </c>
      <c r="G39" s="1" t="n">
        <f aca="false" t="array" ref="G39:G39">_xlfn.SWITCH($A$2,"average", AVERAGE(Instances!G39:G39),"median", MEDIAN(Instances!G39:G39),"min", MIN(Instances!G39:G39),"max", MAX(Instances!G39:G39),"diff", MAX(Instances!G39:G39)-MIN(Instances!G39:G39))</f>
        <v>0</v>
      </c>
      <c r="H39" s="1" t="n">
        <f aca="false" t="array" ref="H39:H39">_xlfn.SWITCH($A$2,"average", AVERAGE(Instances!H39:H39),"median", MEDIAN(Instances!H39:H39),"min", MIN(Instances!H39:H39),"max", MAX(Instances!H39:H39),"diff", MAX(Instances!H39:H39)-MIN(Instances!H39:H39))</f>
        <v>1</v>
      </c>
      <c r="I39" s="1" t="n">
        <f aca="false" t="array" ref="I39:I39">_xlfn.SWITCH($A$2,"average", AVERAGE(Instances!I39:I39),"median", MEDIAN(Instances!I39:I39),"min", MIN(Instances!I39:I39),"max", MAX(Instances!I39:I39),"diff", MAX(Instances!I39:I39)-MIN(Instances!I39:I39))</f>
        <v>2.093</v>
      </c>
      <c r="J39" s="1" t="n">
        <f aca="false" t="array" ref="J39:J39">_xlfn.SWITCH($A$2,"average", AVERAGE(Instances!J39:J39),"median", MEDIAN(Instances!J39:J39),"min", MIN(Instances!J39:J39),"max", MAX(Instances!J39:J39),"diff", MAX(Instances!J39:J39)-MIN(Instances!J39:J39))</f>
        <v>2.15</v>
      </c>
      <c r="K39" s="1" t="n">
        <f aca="false" t="array" ref="K39:K39">_xlfn.SWITCH($A$2,"average", AVERAGE(Instances!K39:K39),"median", MEDIAN(Instances!K39:K39),"min", MIN(Instances!K39:K39),"max", MAX(Instances!K39:K39),"diff", MAX(Instances!K39:K39)-MIN(Instances!K39:K39))</f>
        <v>0</v>
      </c>
      <c r="L39" s="1"/>
      <c r="M39" s="1" t="n">
        <f aca="false" t="array" ref="M39:M39">_xlfn.SWITCH($A$2,"average", AVERAGE(Instances!M39:M39),"median", MEDIAN(Instances!M39:M39),"min", MIN(Instances!M39:M39),"max", MAX(Instances!M39:M39),"diff", MAX(Instances!M39:M39)-MIN(Instances!M39:M39))</f>
        <v>423697</v>
      </c>
      <c r="N39" s="1" t="n">
        <f aca="false" t="array" ref="N39:N39">_xlfn.SWITCH($A$2,"average", AVERAGE(Instances!N39:N39),"median", MEDIAN(Instances!N39:N39),"min", MIN(Instances!N39:N39),"max", MAX(Instances!N39:N39),"diff", MAX(Instances!N39:N39)-MIN(Instances!N39:N39))</f>
        <v>0.01</v>
      </c>
      <c r="O39" s="1"/>
      <c r="P39" s="1" t="n">
        <f aca="false" t="array" ref="P39:P39">_xlfn.SWITCH($A$2,"average", AVERAGE(Instances!P39:P39),"median", MEDIAN(Instances!P39:P39),"min", MIN(Instances!P39:P39),"max", MAX(Instances!P39:P39),"diff", MAX(Instances!P39:P39)-MIN(Instances!P39:P39))</f>
        <v>2.15</v>
      </c>
      <c r="Q39" s="1" t="n">
        <f aca="false" t="array" ref="Q39:Q39">_xlfn.SWITCH($A$2,"average", AVERAGE(Instances!Q39:Q39),"median", MEDIAN(Instances!Q39:Q39),"min", MIN(Instances!Q39:Q39),"max", MAX(Instances!Q39:Q39),"diff", MAX(Instances!Q39:Q39)-MIN(Instances!Q39:Q39))</f>
        <v>0</v>
      </c>
      <c r="R39" s="1" t="n">
        <f aca="false" t="array" ref="R39:R39">_xlfn.SWITCH($A$2,"average", AVERAGE(Instances!R39:R39),"median", MEDIAN(Instances!R39:R39),"min", MIN(Instances!R39:R39),"max", MAX(Instances!R39:R39),"diff", MAX(Instances!R39:R39)-MIN(Instances!R39:R39))</f>
        <v>159335</v>
      </c>
      <c r="S39" s="1" t="n">
        <f aca="false">MIN($B39)</f>
        <v>380</v>
      </c>
      <c r="T39" s="1" t="n">
        <f aca="false">MIN($C39)</f>
        <v>0</v>
      </c>
      <c r="U39" s="1" t="n">
        <f aca="false">MIN($D39)</f>
        <v>147686</v>
      </c>
      <c r="V39" s="1" t="n">
        <f aca="false">MIN($E39)</f>
        <v>0</v>
      </c>
      <c r="W39" s="1" t="n">
        <f aca="false">MIN($F39)</f>
        <v>164</v>
      </c>
      <c r="X39" s="1" t="n">
        <f aca="false">MIN($G39)</f>
        <v>0</v>
      </c>
      <c r="Y39" s="1" t="n">
        <f aca="false">MIN($H39)</f>
        <v>1</v>
      </c>
      <c r="Z39" s="1" t="n">
        <f aca="false">MIN($I39)</f>
        <v>2.093</v>
      </c>
      <c r="AA39" s="1" t="n">
        <f aca="false">MIN($J39)</f>
        <v>2.15</v>
      </c>
      <c r="AB39" s="1" t="n">
        <f aca="false">MIN($K39)</f>
        <v>0</v>
      </c>
      <c r="AC39" s="1" t="n">
        <f aca="false">MIN($M39)</f>
        <v>423697</v>
      </c>
      <c r="AD39" s="1" t="n">
        <f aca="false">MIN($N39)</f>
        <v>0.01</v>
      </c>
      <c r="AE39" s="1" t="n">
        <f aca="false">MIN($P39)</f>
        <v>2.15</v>
      </c>
      <c r="AF39" s="1" t="n">
        <f aca="false">MIN($Q39)</f>
        <v>0</v>
      </c>
      <c r="AG39" s="1" t="n">
        <f aca="false">MIN($R39)</f>
        <v>159335</v>
      </c>
      <c r="AH39" s="1" t="n">
        <f aca="false">MEDIAN($B39)</f>
        <v>380</v>
      </c>
      <c r="AI39" s="1" t="n">
        <f aca="false">MEDIAN($C39)</f>
        <v>0</v>
      </c>
      <c r="AJ39" s="1" t="n">
        <f aca="false">MEDIAN($D39)</f>
        <v>147686</v>
      </c>
      <c r="AK39" s="1" t="n">
        <f aca="false">MEDIAN($E39)</f>
        <v>0</v>
      </c>
      <c r="AL39" s="1" t="n">
        <f aca="false">MEDIAN($F39)</f>
        <v>164</v>
      </c>
      <c r="AM39" s="1" t="n">
        <f aca="false">MEDIAN($G39)</f>
        <v>0</v>
      </c>
      <c r="AN39" s="1" t="n">
        <f aca="false">MEDIAN($H39)</f>
        <v>1</v>
      </c>
      <c r="AO39" s="1" t="n">
        <f aca="false">MEDIAN($I39)</f>
        <v>2.093</v>
      </c>
      <c r="AP39" s="1" t="n">
        <f aca="false">MEDIAN($J39)</f>
        <v>2.15</v>
      </c>
      <c r="AQ39" s="1" t="n">
        <f aca="false">MEDIAN($K39)</f>
        <v>0</v>
      </c>
      <c r="AR39" s="1" t="n">
        <f aca="false">MEDIAN($M39)</f>
        <v>423697</v>
      </c>
      <c r="AS39" s="1" t="n">
        <f aca="false">MEDIAN($N39)</f>
        <v>0.01</v>
      </c>
      <c r="AT39" s="1" t="n">
        <f aca="false">MEDIAN($P39)</f>
        <v>2.15</v>
      </c>
      <c r="AU39" s="1" t="n">
        <f aca="false">MEDIAN($Q39)</f>
        <v>0</v>
      </c>
      <c r="AV39" s="1" t="n">
        <f aca="false">MEDIAN($R39)</f>
        <v>159335</v>
      </c>
      <c r="AW39" s="1" t="n">
        <f aca="false">MAX($B39)</f>
        <v>380</v>
      </c>
      <c r="AX39" s="1" t="n">
        <f aca="false">MAX($C39)</f>
        <v>0</v>
      </c>
      <c r="AY39" s="1" t="n">
        <f aca="false">MAX($D39)</f>
        <v>147686</v>
      </c>
      <c r="AZ39" s="1" t="n">
        <f aca="false">MAX($E39)</f>
        <v>0</v>
      </c>
      <c r="BA39" s="1" t="n">
        <f aca="false">MAX($F39)</f>
        <v>164</v>
      </c>
      <c r="BB39" s="1" t="n">
        <f aca="false">MAX($G39)</f>
        <v>0</v>
      </c>
      <c r="BC39" s="1" t="n">
        <f aca="false">MAX($H39)</f>
        <v>1</v>
      </c>
      <c r="BD39" s="1" t="n">
        <f aca="false">MAX($I39)</f>
        <v>2.093</v>
      </c>
      <c r="BE39" s="1" t="n">
        <f aca="false">MAX($J39)</f>
        <v>2.15</v>
      </c>
      <c r="BF39" s="1" t="n">
        <f aca="false">MAX($K39)</f>
        <v>0</v>
      </c>
      <c r="BG39" s="1" t="n">
        <f aca="false">MAX($M39)</f>
        <v>423697</v>
      </c>
      <c r="BH39" s="1" t="n">
        <f aca="false">MAX($N39)</f>
        <v>0.01</v>
      </c>
      <c r="BI39" s="1" t="n">
        <f aca="false">MAX($P39)</f>
        <v>2.15</v>
      </c>
      <c r="BJ39" s="1" t="n">
        <f aca="false">MAX($Q39)</f>
        <v>0</v>
      </c>
      <c r="BK39" s="1" t="n">
        <f aca="false">MAX($R39)</f>
        <v>159335</v>
      </c>
    </row>
    <row r="40" customFormat="false" ht="15" hidden="false" customHeight="false" outlineLevel="0" collapsed="false">
      <c r="A40" s="1" t="s">
        <v>57</v>
      </c>
      <c r="B40" s="1" t="n">
        <f aca="false" t="array" ref="B40:B40">_xlfn.SWITCH($A$2,"average", AVERAGE(Instances!B40:B40),"median", MEDIAN(Instances!B40:B40),"min", MIN(Instances!B40:B40),"max", MAX(Instances!B40:B40),"diff", MAX(Instances!B40:B40)-MIN(Instances!B40:B40))</f>
        <v>1095</v>
      </c>
      <c r="C40" s="1" t="n">
        <f aca="false" t="array" ref="C40:C40">_xlfn.SWITCH($A$2,"average", AVERAGE(Instances!C40:C40),"median", MEDIAN(Instances!C40:C40),"min", MIN(Instances!C40:C40),"max", MAX(Instances!C40:C40),"diff", MAX(Instances!C40:C40)-MIN(Instances!C40:C40))</f>
        <v>0</v>
      </c>
      <c r="D40" s="1" t="n">
        <f aca="false" t="array" ref="D40:D40">_xlfn.SWITCH($A$2,"average", AVERAGE(Instances!D40:D40),"median", MEDIAN(Instances!D40:D40),"min", MIN(Instances!D40:D40),"max", MAX(Instances!D40:D40),"diff", MAX(Instances!D40:D40)-MIN(Instances!D40:D40))</f>
        <v>701280</v>
      </c>
      <c r="E40" s="1" t="n">
        <f aca="false" t="array" ref="E40:E40">_xlfn.SWITCH($A$2,"average", AVERAGE(Instances!E40:E40),"median", MEDIAN(Instances!E40:E40),"min", MIN(Instances!E40:E40),"max", MAX(Instances!E40:E40),"diff", MAX(Instances!E40:E40)-MIN(Instances!E40:E40))</f>
        <v>0</v>
      </c>
      <c r="F40" s="1" t="n">
        <f aca="false" t="array" ref="F40:F40">_xlfn.SWITCH($A$2,"average", AVERAGE(Instances!F40:F40),"median", MEDIAN(Instances!F40:F40),"min", MIN(Instances!F40:F40),"max", MAX(Instances!F40:F40),"diff", MAX(Instances!F40:F40)-MIN(Instances!F40:F40))</f>
        <v>448</v>
      </c>
      <c r="G40" s="1" t="n">
        <f aca="false" t="array" ref="G40:G40">_xlfn.SWITCH($A$2,"average", AVERAGE(Instances!G40:G40),"median", MEDIAN(Instances!G40:G40),"min", MIN(Instances!G40:G40),"max", MAX(Instances!G40:G40),"diff", MAX(Instances!G40:G40)-MIN(Instances!G40:G40))</f>
        <v>0</v>
      </c>
      <c r="H40" s="1" t="n">
        <f aca="false" t="array" ref="H40:H40">_xlfn.SWITCH($A$2,"average", AVERAGE(Instances!H40:H40),"median", MEDIAN(Instances!H40:H40),"min", MIN(Instances!H40:H40),"max", MAX(Instances!H40:H40),"diff", MAX(Instances!H40:H40)-MIN(Instances!H40:H40))</f>
        <v>1</v>
      </c>
      <c r="I40" s="1" t="n">
        <f aca="false" t="array" ref="I40:I40">_xlfn.SWITCH($A$2,"average", AVERAGE(Instances!I40:I40),"median", MEDIAN(Instances!I40:I40),"min", MIN(Instances!I40:I40),"max", MAX(Instances!I40:I40),"diff", MAX(Instances!I40:I40)-MIN(Instances!I40:I40))</f>
        <v>5.598</v>
      </c>
      <c r="J40" s="1" t="n">
        <f aca="false" t="array" ref="J40:J40">_xlfn.SWITCH($A$2,"average", AVERAGE(Instances!J40:J40),"median", MEDIAN(Instances!J40:J40),"min", MIN(Instances!J40:J40),"max", MAX(Instances!J40:J40),"diff", MAX(Instances!J40:J40)-MIN(Instances!J40:J40))</f>
        <v>5.77</v>
      </c>
      <c r="K40" s="1" t="n">
        <f aca="false" t="array" ref="K40:K40">_xlfn.SWITCH($A$2,"average", AVERAGE(Instances!K40:K40),"median", MEDIAN(Instances!K40:K40),"min", MIN(Instances!K40:K40),"max", MAX(Instances!K40:K40),"diff", MAX(Instances!K40:K40)-MIN(Instances!K40:K40))</f>
        <v>0</v>
      </c>
      <c r="L40" s="1"/>
      <c r="M40" s="1" t="n">
        <f aca="false" t="array" ref="M40:M40">_xlfn.SWITCH($A$2,"average", AVERAGE(Instances!M40:M40),"median", MEDIAN(Instances!M40:M40),"min", MIN(Instances!M40:M40),"max", MAX(Instances!M40:M40),"diff", MAX(Instances!M40:M40)-MIN(Instances!M40:M40))</f>
        <v>1222170</v>
      </c>
      <c r="N40" s="1" t="n">
        <f aca="false" t="array" ref="N40:N40">_xlfn.SWITCH($A$2,"average", AVERAGE(Instances!N40:N40),"median", MEDIAN(Instances!N40:N40),"min", MIN(Instances!N40:N40),"max", MAX(Instances!N40:N40),"diff", MAX(Instances!N40:N40)-MIN(Instances!N40:N40))</f>
        <v>0.05</v>
      </c>
      <c r="O40" s="1"/>
      <c r="P40" s="1" t="n">
        <f aca="false" t="array" ref="P40:P40">_xlfn.SWITCH($A$2,"average", AVERAGE(Instances!P40:P40),"median", MEDIAN(Instances!P40:P40),"min", MIN(Instances!P40:P40),"max", MAX(Instances!P40:P40),"diff", MAX(Instances!P40:P40)-MIN(Instances!P40:P40))</f>
        <v>5.77</v>
      </c>
      <c r="Q40" s="1" t="n">
        <f aca="false" t="array" ref="Q40:Q40">_xlfn.SWITCH($A$2,"average", AVERAGE(Instances!Q40:Q40),"median", MEDIAN(Instances!Q40:Q40),"min", MIN(Instances!Q40:Q40),"max", MAX(Instances!Q40:Q40),"diff", MAX(Instances!Q40:Q40)-MIN(Instances!Q40:Q40))</f>
        <v>0</v>
      </c>
      <c r="R40" s="1" t="n">
        <f aca="false" t="array" ref="R40:R40">_xlfn.SWITCH($A$2,"average", AVERAGE(Instances!R40:R40),"median", MEDIAN(Instances!R40:R40),"min", MIN(Instances!R40:R40),"max", MAX(Instances!R40:R40),"diff", MAX(Instances!R40:R40)-MIN(Instances!R40:R40))</f>
        <v>439341</v>
      </c>
      <c r="S40" s="1" t="n">
        <f aca="false">MIN($B40)</f>
        <v>1095</v>
      </c>
      <c r="T40" s="1" t="n">
        <f aca="false">MIN($C40)</f>
        <v>0</v>
      </c>
      <c r="U40" s="1" t="n">
        <f aca="false">MIN($D40)</f>
        <v>701280</v>
      </c>
      <c r="V40" s="1" t="n">
        <f aca="false">MIN($E40)</f>
        <v>0</v>
      </c>
      <c r="W40" s="1" t="n">
        <f aca="false">MIN($F40)</f>
        <v>448</v>
      </c>
      <c r="X40" s="1" t="n">
        <f aca="false">MIN($G40)</f>
        <v>0</v>
      </c>
      <c r="Y40" s="1" t="n">
        <f aca="false">MIN($H40)</f>
        <v>1</v>
      </c>
      <c r="Z40" s="1" t="n">
        <f aca="false">MIN($I40)</f>
        <v>5.598</v>
      </c>
      <c r="AA40" s="1" t="n">
        <f aca="false">MIN($J40)</f>
        <v>5.77</v>
      </c>
      <c r="AB40" s="1" t="n">
        <f aca="false">MIN($K40)</f>
        <v>0</v>
      </c>
      <c r="AC40" s="1" t="n">
        <f aca="false">MIN($M40)</f>
        <v>1222170</v>
      </c>
      <c r="AD40" s="1" t="n">
        <f aca="false">MIN($N40)</f>
        <v>0.05</v>
      </c>
      <c r="AE40" s="1" t="n">
        <f aca="false">MIN($P40)</f>
        <v>5.77</v>
      </c>
      <c r="AF40" s="1" t="n">
        <f aca="false">MIN($Q40)</f>
        <v>0</v>
      </c>
      <c r="AG40" s="1" t="n">
        <f aca="false">MIN($R40)</f>
        <v>439341</v>
      </c>
      <c r="AH40" s="1" t="n">
        <f aca="false">MEDIAN($B40)</f>
        <v>1095</v>
      </c>
      <c r="AI40" s="1" t="n">
        <f aca="false">MEDIAN($C40)</f>
        <v>0</v>
      </c>
      <c r="AJ40" s="1" t="n">
        <f aca="false">MEDIAN($D40)</f>
        <v>701280</v>
      </c>
      <c r="AK40" s="1" t="n">
        <f aca="false">MEDIAN($E40)</f>
        <v>0</v>
      </c>
      <c r="AL40" s="1" t="n">
        <f aca="false">MEDIAN($F40)</f>
        <v>448</v>
      </c>
      <c r="AM40" s="1" t="n">
        <f aca="false">MEDIAN($G40)</f>
        <v>0</v>
      </c>
      <c r="AN40" s="1" t="n">
        <f aca="false">MEDIAN($H40)</f>
        <v>1</v>
      </c>
      <c r="AO40" s="1" t="n">
        <f aca="false">MEDIAN($I40)</f>
        <v>5.598</v>
      </c>
      <c r="AP40" s="1" t="n">
        <f aca="false">MEDIAN($J40)</f>
        <v>5.77</v>
      </c>
      <c r="AQ40" s="1" t="n">
        <f aca="false">MEDIAN($K40)</f>
        <v>0</v>
      </c>
      <c r="AR40" s="1" t="n">
        <f aca="false">MEDIAN($M40)</f>
        <v>1222170</v>
      </c>
      <c r="AS40" s="1" t="n">
        <f aca="false">MEDIAN($N40)</f>
        <v>0.05</v>
      </c>
      <c r="AT40" s="1" t="n">
        <f aca="false">MEDIAN($P40)</f>
        <v>5.77</v>
      </c>
      <c r="AU40" s="1" t="n">
        <f aca="false">MEDIAN($Q40)</f>
        <v>0</v>
      </c>
      <c r="AV40" s="1" t="n">
        <f aca="false">MEDIAN($R40)</f>
        <v>439341</v>
      </c>
      <c r="AW40" s="1" t="n">
        <f aca="false">MAX($B40)</f>
        <v>1095</v>
      </c>
      <c r="AX40" s="1" t="n">
        <f aca="false">MAX($C40)</f>
        <v>0</v>
      </c>
      <c r="AY40" s="1" t="n">
        <f aca="false">MAX($D40)</f>
        <v>701280</v>
      </c>
      <c r="AZ40" s="1" t="n">
        <f aca="false">MAX($E40)</f>
        <v>0</v>
      </c>
      <c r="BA40" s="1" t="n">
        <f aca="false">MAX($F40)</f>
        <v>448</v>
      </c>
      <c r="BB40" s="1" t="n">
        <f aca="false">MAX($G40)</f>
        <v>0</v>
      </c>
      <c r="BC40" s="1" t="n">
        <f aca="false">MAX($H40)</f>
        <v>1</v>
      </c>
      <c r="BD40" s="1" t="n">
        <f aca="false">MAX($I40)</f>
        <v>5.598</v>
      </c>
      <c r="BE40" s="1" t="n">
        <f aca="false">MAX($J40)</f>
        <v>5.77</v>
      </c>
      <c r="BF40" s="1" t="n">
        <f aca="false">MAX($K40)</f>
        <v>0</v>
      </c>
      <c r="BG40" s="1" t="n">
        <f aca="false">MAX($M40)</f>
        <v>1222170</v>
      </c>
      <c r="BH40" s="1" t="n">
        <f aca="false">MAX($N40)</f>
        <v>0.05</v>
      </c>
      <c r="BI40" s="1" t="n">
        <f aca="false">MAX($P40)</f>
        <v>5.77</v>
      </c>
      <c r="BJ40" s="1" t="n">
        <f aca="false">MAX($Q40)</f>
        <v>0</v>
      </c>
      <c r="BK40" s="1" t="n">
        <f aca="false">MAX($R40)</f>
        <v>439341</v>
      </c>
    </row>
    <row r="41" customFormat="false" ht="15" hidden="false" customHeight="false" outlineLevel="0" collapsed="false">
      <c r="A41" s="1" t="s">
        <v>58</v>
      </c>
      <c r="B41" s="1" t="n">
        <f aca="false" t="array" ref="B41:B41">_xlfn.SWITCH($A$2,"average", AVERAGE(Instances!B41:B41),"median", MEDIAN(Instances!B41:B41),"min", MIN(Instances!B41:B41),"max", MAX(Instances!B41:B41),"diff", MAX(Instances!B41:B41)-MIN(Instances!B41:B41))</f>
        <v>2254</v>
      </c>
      <c r="C41" s="1" t="n">
        <f aca="false" t="array" ref="C41:C41">_xlfn.SWITCH($A$2,"average", AVERAGE(Instances!C41:C41),"median", MEDIAN(Instances!C41:C41),"min", MIN(Instances!C41:C41),"max", MAX(Instances!C41:C41),"diff", MAX(Instances!C41:C41)-MIN(Instances!C41:C41))</f>
        <v>167</v>
      </c>
      <c r="D41" s="1" t="n">
        <f aca="false" t="array" ref="D41:D41">_xlfn.SWITCH($A$2,"average", AVERAGE(Instances!D41:D41),"median", MEDIAN(Instances!D41:D41),"min", MIN(Instances!D41:D41),"max", MAX(Instances!D41:D41),"diff", MAX(Instances!D41:D41)-MIN(Instances!D41:D41))</f>
        <v>430577</v>
      </c>
      <c r="E41" s="1" t="n">
        <f aca="false" t="array" ref="E41:E41">_xlfn.SWITCH($A$2,"average", AVERAGE(Instances!E41:E41),"median", MEDIAN(Instances!E41:E41),"min", MIN(Instances!E41:E41),"max", MAX(Instances!E41:E41),"diff", MAX(Instances!E41:E41)-MIN(Instances!E41:E41))</f>
        <v>0</v>
      </c>
      <c r="F41" s="1" t="n">
        <f aca="false" t="array" ref="F41:F41">_xlfn.SWITCH($A$2,"average", AVERAGE(Instances!F41:F41),"median", MEDIAN(Instances!F41:F41),"min", MIN(Instances!F41:F41),"max", MAX(Instances!F41:F41),"diff", MAX(Instances!F41:F41)-MIN(Instances!F41:F41))</f>
        <v>300</v>
      </c>
      <c r="G41" s="1" t="n">
        <f aca="false" t="array" ref="G41:G41">_xlfn.SWITCH($A$2,"average", AVERAGE(Instances!G41:G41),"median", MEDIAN(Instances!G41:G41),"min", MIN(Instances!G41:G41),"max", MAX(Instances!G41:G41),"diff", MAX(Instances!G41:G41)-MIN(Instances!G41:G41))</f>
        <v>0</v>
      </c>
      <c r="H41" s="1" t="n">
        <f aca="false" t="array" ref="H41:H41">_xlfn.SWITCH($A$2,"average", AVERAGE(Instances!H41:H41),"median", MEDIAN(Instances!H41:H41),"min", MIN(Instances!H41:H41),"max", MAX(Instances!H41:H41),"diff", MAX(Instances!H41:H41)-MIN(Instances!H41:H41))</f>
        <v>1</v>
      </c>
      <c r="I41" s="1" t="n">
        <f aca="false" t="array" ref="I41:I41">_xlfn.SWITCH($A$2,"average", AVERAGE(Instances!I41:I41),"median", MEDIAN(Instances!I41:I41),"min", MIN(Instances!I41:I41),"max", MAX(Instances!I41:I41),"diff", MAX(Instances!I41:I41)-MIN(Instances!I41:I41))</f>
        <v>4.024</v>
      </c>
      <c r="J41" s="1" t="n">
        <f aca="false" t="array" ref="J41:J41">_xlfn.SWITCH($A$2,"average", AVERAGE(Instances!J41:J41),"median", MEDIAN(Instances!J41:J41),"min", MIN(Instances!J41:J41),"max", MAX(Instances!J41:J41),"diff", MAX(Instances!J41:J41)-MIN(Instances!J41:J41))</f>
        <v>4.12</v>
      </c>
      <c r="K41" s="1" t="n">
        <f aca="false" t="array" ref="K41:K41">_xlfn.SWITCH($A$2,"average", AVERAGE(Instances!K41:K41),"median", MEDIAN(Instances!K41:K41),"min", MIN(Instances!K41:K41),"max", MAX(Instances!K41:K41),"diff", MAX(Instances!K41:K41)-MIN(Instances!K41:K41))</f>
        <v>1</v>
      </c>
      <c r="L41" s="1"/>
      <c r="M41" s="1" t="n">
        <f aca="false" t="array" ref="M41:M41">_xlfn.SWITCH($A$2,"average", AVERAGE(Instances!M41:M41),"median", MEDIAN(Instances!M41:M41),"min", MIN(Instances!M41:M41),"max", MAX(Instances!M41:M41),"diff", MAX(Instances!M41:M41)-MIN(Instances!M41:M41))</f>
        <v>849463</v>
      </c>
      <c r="N41" s="1" t="n">
        <f aca="false" t="array" ref="N41:N41">_xlfn.SWITCH($A$2,"average", AVERAGE(Instances!N41:N41),"median", MEDIAN(Instances!N41:N41),"min", MIN(Instances!N41:N41),"max", MAX(Instances!N41:N41),"diff", MAX(Instances!N41:N41)-MIN(Instances!N41:N41))</f>
        <v>0.13</v>
      </c>
      <c r="O41" s="1"/>
      <c r="P41" s="1" t="n">
        <f aca="false" t="array" ref="P41:P41">_xlfn.SWITCH($A$2,"average", AVERAGE(Instances!P41:P41),"median", MEDIAN(Instances!P41:P41),"min", MIN(Instances!P41:P41),"max", MAX(Instances!P41:P41),"diff", MAX(Instances!P41:P41)-MIN(Instances!P41:P41))</f>
        <v>4.12</v>
      </c>
      <c r="Q41" s="1" t="n">
        <f aca="false" t="array" ref="Q41:Q41">_xlfn.SWITCH($A$2,"average", AVERAGE(Instances!Q41:Q41),"median", MEDIAN(Instances!Q41:Q41),"min", MIN(Instances!Q41:Q41),"max", MAX(Instances!Q41:Q41),"diff", MAX(Instances!Q41:Q41)-MIN(Instances!Q41:Q41))</f>
        <v>0</v>
      </c>
      <c r="R41" s="1" t="n">
        <f aca="false" t="array" ref="R41:R41">_xlfn.SWITCH($A$2,"average", AVERAGE(Instances!R41:R41),"median", MEDIAN(Instances!R41:R41),"min", MIN(Instances!R41:R41),"max", MAX(Instances!R41:R41),"diff", MAX(Instances!R41:R41)-MIN(Instances!R41:R41))</f>
        <v>307725</v>
      </c>
      <c r="S41" s="1" t="n">
        <f aca="false">MIN($B41)</f>
        <v>2254</v>
      </c>
      <c r="T41" s="1" t="n">
        <f aca="false">MIN($C41)</f>
        <v>167</v>
      </c>
      <c r="U41" s="1" t="n">
        <f aca="false">MIN($D41)</f>
        <v>430577</v>
      </c>
      <c r="V41" s="1" t="n">
        <f aca="false">MIN($E41)</f>
        <v>0</v>
      </c>
      <c r="W41" s="1" t="n">
        <f aca="false">MIN($F41)</f>
        <v>300</v>
      </c>
      <c r="X41" s="1" t="n">
        <f aca="false">MIN($G41)</f>
        <v>0</v>
      </c>
      <c r="Y41" s="1" t="n">
        <f aca="false">MIN($H41)</f>
        <v>1</v>
      </c>
      <c r="Z41" s="1" t="n">
        <f aca="false">MIN($I41)</f>
        <v>4.024</v>
      </c>
      <c r="AA41" s="1" t="n">
        <f aca="false">MIN($J41)</f>
        <v>4.12</v>
      </c>
      <c r="AB41" s="1" t="n">
        <f aca="false">MIN($K41)</f>
        <v>1</v>
      </c>
      <c r="AC41" s="1" t="n">
        <f aca="false">MIN($M41)</f>
        <v>849463</v>
      </c>
      <c r="AD41" s="1" t="n">
        <f aca="false">MIN($N41)</f>
        <v>0.13</v>
      </c>
      <c r="AE41" s="1" t="n">
        <f aca="false">MIN($P41)</f>
        <v>4.12</v>
      </c>
      <c r="AF41" s="1" t="n">
        <f aca="false">MIN($Q41)</f>
        <v>0</v>
      </c>
      <c r="AG41" s="1" t="n">
        <f aca="false">MIN($R41)</f>
        <v>307725</v>
      </c>
      <c r="AH41" s="1" t="n">
        <f aca="false">MEDIAN($B41)</f>
        <v>2254</v>
      </c>
      <c r="AI41" s="1" t="n">
        <f aca="false">MEDIAN($C41)</f>
        <v>167</v>
      </c>
      <c r="AJ41" s="1" t="n">
        <f aca="false">MEDIAN($D41)</f>
        <v>430577</v>
      </c>
      <c r="AK41" s="1" t="n">
        <f aca="false">MEDIAN($E41)</f>
        <v>0</v>
      </c>
      <c r="AL41" s="1" t="n">
        <f aca="false">MEDIAN($F41)</f>
        <v>300</v>
      </c>
      <c r="AM41" s="1" t="n">
        <f aca="false">MEDIAN($G41)</f>
        <v>0</v>
      </c>
      <c r="AN41" s="1" t="n">
        <f aca="false">MEDIAN($H41)</f>
        <v>1</v>
      </c>
      <c r="AO41" s="1" t="n">
        <f aca="false">MEDIAN($I41)</f>
        <v>4.024</v>
      </c>
      <c r="AP41" s="1" t="n">
        <f aca="false">MEDIAN($J41)</f>
        <v>4.12</v>
      </c>
      <c r="AQ41" s="1" t="n">
        <f aca="false">MEDIAN($K41)</f>
        <v>1</v>
      </c>
      <c r="AR41" s="1" t="n">
        <f aca="false">MEDIAN($M41)</f>
        <v>849463</v>
      </c>
      <c r="AS41" s="1" t="n">
        <f aca="false">MEDIAN($N41)</f>
        <v>0.13</v>
      </c>
      <c r="AT41" s="1" t="n">
        <f aca="false">MEDIAN($P41)</f>
        <v>4.12</v>
      </c>
      <c r="AU41" s="1" t="n">
        <f aca="false">MEDIAN($Q41)</f>
        <v>0</v>
      </c>
      <c r="AV41" s="1" t="n">
        <f aca="false">MEDIAN($R41)</f>
        <v>307725</v>
      </c>
      <c r="AW41" s="1" t="n">
        <f aca="false">MAX($B41)</f>
        <v>2254</v>
      </c>
      <c r="AX41" s="1" t="n">
        <f aca="false">MAX($C41)</f>
        <v>167</v>
      </c>
      <c r="AY41" s="1" t="n">
        <f aca="false">MAX($D41)</f>
        <v>430577</v>
      </c>
      <c r="AZ41" s="1" t="n">
        <f aca="false">MAX($E41)</f>
        <v>0</v>
      </c>
      <c r="BA41" s="1" t="n">
        <f aca="false">MAX($F41)</f>
        <v>300</v>
      </c>
      <c r="BB41" s="1" t="n">
        <f aca="false">MAX($G41)</f>
        <v>0</v>
      </c>
      <c r="BC41" s="1" t="n">
        <f aca="false">MAX($H41)</f>
        <v>1</v>
      </c>
      <c r="BD41" s="1" t="n">
        <f aca="false">MAX($I41)</f>
        <v>4.024</v>
      </c>
      <c r="BE41" s="1" t="n">
        <f aca="false">MAX($J41)</f>
        <v>4.12</v>
      </c>
      <c r="BF41" s="1" t="n">
        <f aca="false">MAX($K41)</f>
        <v>1</v>
      </c>
      <c r="BG41" s="1" t="n">
        <f aca="false">MAX($M41)</f>
        <v>849463</v>
      </c>
      <c r="BH41" s="1" t="n">
        <f aca="false">MAX($N41)</f>
        <v>0.13</v>
      </c>
      <c r="BI41" s="1" t="n">
        <f aca="false">MAX($P41)</f>
        <v>4.12</v>
      </c>
      <c r="BJ41" s="1" t="n">
        <f aca="false">MAX($Q41)</f>
        <v>0</v>
      </c>
      <c r="BK41" s="1" t="n">
        <f aca="false">MAX($R41)</f>
        <v>307725</v>
      </c>
    </row>
    <row r="42" customFormat="false" ht="15" hidden="false" customHeight="false" outlineLevel="0" collapsed="false">
      <c r="A42" s="1" t="s">
        <v>59</v>
      </c>
      <c r="B42" s="1" t="n">
        <f aca="false" t="array" ref="B42:B42">_xlfn.SWITCH($A$2,"average", AVERAGE(Instances!B42:B42),"median", MEDIAN(Instances!B42:B42),"min", MIN(Instances!B42:B42),"max", MAX(Instances!B42:B42),"diff", MAX(Instances!B42:B42)-MIN(Instances!B42:B42))</f>
        <v>1766</v>
      </c>
      <c r="C42" s="1" t="n">
        <f aca="false" t="array" ref="C42:C42">_xlfn.SWITCH($A$2,"average", AVERAGE(Instances!C42:C42),"median", MEDIAN(Instances!C42:C42),"min", MIN(Instances!C42:C42),"max", MAX(Instances!C42:C42),"diff", MAX(Instances!C42:C42)-MIN(Instances!C42:C42))</f>
        <v>0</v>
      </c>
      <c r="D42" s="1" t="n">
        <f aca="false" t="array" ref="D42:D42">_xlfn.SWITCH($A$2,"average", AVERAGE(Instances!D42:D42),"median", MEDIAN(Instances!D42:D42),"min", MIN(Instances!D42:D42),"max", MAX(Instances!D42:D42),"diff", MAX(Instances!D42:D42)-MIN(Instances!D42:D42))</f>
        <v>549457</v>
      </c>
      <c r="E42" s="1" t="n">
        <f aca="false" t="array" ref="E42:E42">_xlfn.SWITCH($A$2,"average", AVERAGE(Instances!E42:E42),"median", MEDIAN(Instances!E42:E42),"min", MIN(Instances!E42:E42),"max", MAX(Instances!E42:E42),"diff", MAX(Instances!E42:E42)-MIN(Instances!E42:E42))</f>
        <v>0</v>
      </c>
      <c r="F42" s="1" t="n">
        <f aca="false" t="array" ref="F42:F42">_xlfn.SWITCH($A$2,"average", AVERAGE(Instances!F42:F42),"median", MEDIAN(Instances!F42:F42),"min", MIN(Instances!F42:F42),"max", MAX(Instances!F42:F42),"diff", MAX(Instances!F42:F42)-MIN(Instances!F42:F42))</f>
        <v>384</v>
      </c>
      <c r="G42" s="1" t="n">
        <f aca="false" t="array" ref="G42:G42">_xlfn.SWITCH($A$2,"average", AVERAGE(Instances!G42:G42),"median", MEDIAN(Instances!G42:G42),"min", MIN(Instances!G42:G42),"max", MAX(Instances!G42:G42),"diff", MAX(Instances!G42:G42)-MIN(Instances!G42:G42))</f>
        <v>0</v>
      </c>
      <c r="H42" s="1" t="n">
        <f aca="false" t="array" ref="H42:H42">_xlfn.SWITCH($A$2,"average", AVERAGE(Instances!H42:H42),"median", MEDIAN(Instances!H42:H42),"min", MIN(Instances!H42:H42),"max", MAX(Instances!H42:H42),"diff", MAX(Instances!H42:H42)-MIN(Instances!H42:H42))</f>
        <v>1</v>
      </c>
      <c r="I42" s="1" t="n">
        <f aca="false" t="array" ref="I42:I42">_xlfn.SWITCH($A$2,"average", AVERAGE(Instances!I42:I42),"median", MEDIAN(Instances!I42:I42),"min", MIN(Instances!I42:I42),"max", MAX(Instances!I42:I42),"diff", MAX(Instances!I42:I42)-MIN(Instances!I42:I42))</f>
        <v>4.887</v>
      </c>
      <c r="J42" s="1" t="n">
        <f aca="false" t="array" ref="J42:J42">_xlfn.SWITCH($A$2,"average", AVERAGE(Instances!J42:J42),"median", MEDIAN(Instances!J42:J42),"min", MIN(Instances!J42:J42),"max", MAX(Instances!J42:J42),"diff", MAX(Instances!J42:J42)-MIN(Instances!J42:J42))</f>
        <v>5.03</v>
      </c>
      <c r="K42" s="1" t="n">
        <f aca="false" t="array" ref="K42:K42">_xlfn.SWITCH($A$2,"average", AVERAGE(Instances!K42:K42),"median", MEDIAN(Instances!K42:K42),"min", MIN(Instances!K42:K42),"max", MAX(Instances!K42:K42),"diff", MAX(Instances!K42:K42)-MIN(Instances!K42:K42))</f>
        <v>0</v>
      </c>
      <c r="L42" s="1"/>
      <c r="M42" s="1" t="n">
        <f aca="false" t="array" ref="M42:M42">_xlfn.SWITCH($A$2,"average", AVERAGE(Instances!M42:M42),"median", MEDIAN(Instances!M42:M42),"min", MIN(Instances!M42:M42),"max", MAX(Instances!M42:M42),"diff", MAX(Instances!M42:M42)-MIN(Instances!M42:M42))</f>
        <v>1049999</v>
      </c>
      <c r="N42" s="1" t="n">
        <f aca="false" t="array" ref="N42:N42">_xlfn.SWITCH($A$2,"average", AVERAGE(Instances!N42:N42),"median", MEDIAN(Instances!N42:N42),"min", MIN(Instances!N42:N42),"max", MAX(Instances!N42:N42),"diff", MAX(Instances!N42:N42)-MIN(Instances!N42:N42))</f>
        <v>0.05</v>
      </c>
      <c r="O42" s="1"/>
      <c r="P42" s="1" t="n">
        <f aca="false" t="array" ref="P42:P42">_xlfn.SWITCH($A$2,"average", AVERAGE(Instances!P42:P42),"median", MEDIAN(Instances!P42:P42),"min", MIN(Instances!P42:P42),"max", MAX(Instances!P42:P42),"diff", MAX(Instances!P42:P42)-MIN(Instances!P42:P42))</f>
        <v>5.03</v>
      </c>
      <c r="Q42" s="1" t="n">
        <f aca="false" t="array" ref="Q42:Q42">_xlfn.SWITCH($A$2,"average", AVERAGE(Instances!Q42:Q42),"median", MEDIAN(Instances!Q42:Q42),"min", MIN(Instances!Q42:Q42),"max", MAX(Instances!Q42:Q42),"diff", MAX(Instances!Q42:Q42)-MIN(Instances!Q42:Q42))</f>
        <v>0</v>
      </c>
      <c r="R42" s="1" t="n">
        <f aca="false" t="array" ref="R42:R42">_xlfn.SWITCH($A$2,"average", AVERAGE(Instances!R42:R42),"median", MEDIAN(Instances!R42:R42),"min", MIN(Instances!R42:R42),"max", MAX(Instances!R42:R42),"diff", MAX(Instances!R42:R42)-MIN(Instances!R42:R42))</f>
        <v>381912</v>
      </c>
      <c r="S42" s="1" t="n">
        <f aca="false">MIN($B42)</f>
        <v>1766</v>
      </c>
      <c r="T42" s="1" t="n">
        <f aca="false">MIN($C42)</f>
        <v>0</v>
      </c>
      <c r="U42" s="1" t="n">
        <f aca="false">MIN($D42)</f>
        <v>549457</v>
      </c>
      <c r="V42" s="1" t="n">
        <f aca="false">MIN($E42)</f>
        <v>0</v>
      </c>
      <c r="W42" s="1" t="n">
        <f aca="false">MIN($F42)</f>
        <v>384</v>
      </c>
      <c r="X42" s="1" t="n">
        <f aca="false">MIN($G42)</f>
        <v>0</v>
      </c>
      <c r="Y42" s="1" t="n">
        <f aca="false">MIN($H42)</f>
        <v>1</v>
      </c>
      <c r="Z42" s="1" t="n">
        <f aca="false">MIN($I42)</f>
        <v>4.887</v>
      </c>
      <c r="AA42" s="1" t="n">
        <f aca="false">MIN($J42)</f>
        <v>5.03</v>
      </c>
      <c r="AB42" s="1" t="n">
        <f aca="false">MIN($K42)</f>
        <v>0</v>
      </c>
      <c r="AC42" s="1" t="n">
        <f aca="false">MIN($M42)</f>
        <v>1049999</v>
      </c>
      <c r="AD42" s="1" t="n">
        <f aca="false">MIN($N42)</f>
        <v>0.05</v>
      </c>
      <c r="AE42" s="1" t="n">
        <f aca="false">MIN($P42)</f>
        <v>5.03</v>
      </c>
      <c r="AF42" s="1" t="n">
        <f aca="false">MIN($Q42)</f>
        <v>0</v>
      </c>
      <c r="AG42" s="1" t="n">
        <f aca="false">MIN($R42)</f>
        <v>381912</v>
      </c>
      <c r="AH42" s="1" t="n">
        <f aca="false">MEDIAN($B42)</f>
        <v>1766</v>
      </c>
      <c r="AI42" s="1" t="n">
        <f aca="false">MEDIAN($C42)</f>
        <v>0</v>
      </c>
      <c r="AJ42" s="1" t="n">
        <f aca="false">MEDIAN($D42)</f>
        <v>549457</v>
      </c>
      <c r="AK42" s="1" t="n">
        <f aca="false">MEDIAN($E42)</f>
        <v>0</v>
      </c>
      <c r="AL42" s="1" t="n">
        <f aca="false">MEDIAN($F42)</f>
        <v>384</v>
      </c>
      <c r="AM42" s="1" t="n">
        <f aca="false">MEDIAN($G42)</f>
        <v>0</v>
      </c>
      <c r="AN42" s="1" t="n">
        <f aca="false">MEDIAN($H42)</f>
        <v>1</v>
      </c>
      <c r="AO42" s="1" t="n">
        <f aca="false">MEDIAN($I42)</f>
        <v>4.887</v>
      </c>
      <c r="AP42" s="1" t="n">
        <f aca="false">MEDIAN($J42)</f>
        <v>5.03</v>
      </c>
      <c r="AQ42" s="1" t="n">
        <f aca="false">MEDIAN($K42)</f>
        <v>0</v>
      </c>
      <c r="AR42" s="1" t="n">
        <f aca="false">MEDIAN($M42)</f>
        <v>1049999</v>
      </c>
      <c r="AS42" s="1" t="n">
        <f aca="false">MEDIAN($N42)</f>
        <v>0.05</v>
      </c>
      <c r="AT42" s="1" t="n">
        <f aca="false">MEDIAN($P42)</f>
        <v>5.03</v>
      </c>
      <c r="AU42" s="1" t="n">
        <f aca="false">MEDIAN($Q42)</f>
        <v>0</v>
      </c>
      <c r="AV42" s="1" t="n">
        <f aca="false">MEDIAN($R42)</f>
        <v>381912</v>
      </c>
      <c r="AW42" s="1" t="n">
        <f aca="false">MAX($B42)</f>
        <v>1766</v>
      </c>
      <c r="AX42" s="1" t="n">
        <f aca="false">MAX($C42)</f>
        <v>0</v>
      </c>
      <c r="AY42" s="1" t="n">
        <f aca="false">MAX($D42)</f>
        <v>549457</v>
      </c>
      <c r="AZ42" s="1" t="n">
        <f aca="false">MAX($E42)</f>
        <v>0</v>
      </c>
      <c r="BA42" s="1" t="n">
        <f aca="false">MAX($F42)</f>
        <v>384</v>
      </c>
      <c r="BB42" s="1" t="n">
        <f aca="false">MAX($G42)</f>
        <v>0</v>
      </c>
      <c r="BC42" s="1" t="n">
        <f aca="false">MAX($H42)</f>
        <v>1</v>
      </c>
      <c r="BD42" s="1" t="n">
        <f aca="false">MAX($I42)</f>
        <v>4.887</v>
      </c>
      <c r="BE42" s="1" t="n">
        <f aca="false">MAX($J42)</f>
        <v>5.03</v>
      </c>
      <c r="BF42" s="1" t="n">
        <f aca="false">MAX($K42)</f>
        <v>0</v>
      </c>
      <c r="BG42" s="1" t="n">
        <f aca="false">MAX($M42)</f>
        <v>1049999</v>
      </c>
      <c r="BH42" s="1" t="n">
        <f aca="false">MAX($N42)</f>
        <v>0.05</v>
      </c>
      <c r="BI42" s="1" t="n">
        <f aca="false">MAX($P42)</f>
        <v>5.03</v>
      </c>
      <c r="BJ42" s="1" t="n">
        <f aca="false">MAX($Q42)</f>
        <v>0</v>
      </c>
      <c r="BK42" s="1" t="n">
        <f aca="false">MAX($R42)</f>
        <v>381912</v>
      </c>
    </row>
    <row r="43" customFormat="false" ht="15" hidden="false" customHeight="false" outlineLevel="0" collapsed="false">
      <c r="A43" s="1" t="s">
        <v>60</v>
      </c>
      <c r="B43" s="1" t="n">
        <f aca="false" t="array" ref="B43:B43">_xlfn.SWITCH($A$2,"average", AVERAGE(Instances!B43:B43),"median", MEDIAN(Instances!B43:B43),"min", MIN(Instances!B43:B43),"max", MAX(Instances!B43:B43),"diff", MAX(Instances!B43:B43)-MIN(Instances!B43:B43))</f>
        <v>1466</v>
      </c>
      <c r="C43" s="1" t="n">
        <f aca="false" t="array" ref="C43:C43">_xlfn.SWITCH($A$2,"average", AVERAGE(Instances!C43:C43),"median", MEDIAN(Instances!C43:C43),"min", MIN(Instances!C43:C43),"max", MAX(Instances!C43:C43),"diff", MAX(Instances!C43:C43)-MIN(Instances!C43:C43))</f>
        <v>0</v>
      </c>
      <c r="D43" s="1" t="n">
        <f aca="false" t="array" ref="D43:D43">_xlfn.SWITCH($A$2,"average", AVERAGE(Instances!D43:D43),"median", MEDIAN(Instances!D43:D43),"min", MIN(Instances!D43:D43),"max", MAX(Instances!D43:D43),"diff", MAX(Instances!D43:D43)-MIN(Instances!D43:D43))</f>
        <v>460414</v>
      </c>
      <c r="E43" s="1" t="n">
        <f aca="false" t="array" ref="E43:E43">_xlfn.SWITCH($A$2,"average", AVERAGE(Instances!E43:E43),"median", MEDIAN(Instances!E43:E43),"min", MIN(Instances!E43:E43),"max", MAX(Instances!E43:E43),"diff", MAX(Instances!E43:E43)-MIN(Instances!E43:E43))</f>
        <v>0</v>
      </c>
      <c r="F43" s="1" t="n">
        <f aca="false" t="array" ref="F43:F43">_xlfn.SWITCH($A$2,"average", AVERAGE(Instances!F43:F43),"median", MEDIAN(Instances!F43:F43),"min", MIN(Instances!F43:F43),"max", MAX(Instances!F43:F43),"diff", MAX(Instances!F43:F43)-MIN(Instances!F43:F43))</f>
        <v>372</v>
      </c>
      <c r="G43" s="1" t="n">
        <f aca="false" t="array" ref="G43:G43">_xlfn.SWITCH($A$2,"average", AVERAGE(Instances!G43:G43),"median", MEDIAN(Instances!G43:G43),"min", MIN(Instances!G43:G43),"max", MAX(Instances!G43:G43),"diff", MAX(Instances!G43:G43)-MIN(Instances!G43:G43))</f>
        <v>0</v>
      </c>
      <c r="H43" s="1" t="n">
        <f aca="false" t="array" ref="H43:H43">_xlfn.SWITCH($A$2,"average", AVERAGE(Instances!H43:H43),"median", MEDIAN(Instances!H43:H43),"min", MIN(Instances!H43:H43),"max", MAX(Instances!H43:H43),"diff", MAX(Instances!H43:H43)-MIN(Instances!H43:H43))</f>
        <v>1</v>
      </c>
      <c r="I43" s="1" t="n">
        <f aca="false" t="array" ref="I43:I43">_xlfn.SWITCH($A$2,"average", AVERAGE(Instances!I43:I43),"median", MEDIAN(Instances!I43:I43),"min", MIN(Instances!I43:I43),"max", MAX(Instances!I43:I43),"diff", MAX(Instances!I43:I43)-MIN(Instances!I43:I43))</f>
        <v>4.685</v>
      </c>
      <c r="J43" s="1" t="n">
        <f aca="false" t="array" ref="J43:J43">_xlfn.SWITCH($A$2,"average", AVERAGE(Instances!J43:J43),"median", MEDIAN(Instances!J43:J43),"min", MIN(Instances!J43:J43),"max", MAX(Instances!J43:J43),"diff", MAX(Instances!J43:J43)-MIN(Instances!J43:J43))</f>
        <v>4.81</v>
      </c>
      <c r="K43" s="1" t="n">
        <f aca="false" t="array" ref="K43:K43">_xlfn.SWITCH($A$2,"average", AVERAGE(Instances!K43:K43),"median", MEDIAN(Instances!K43:K43),"min", MIN(Instances!K43:K43),"max", MAX(Instances!K43:K43),"diff", MAX(Instances!K43:K43)-MIN(Instances!K43:K43))</f>
        <v>0</v>
      </c>
      <c r="L43" s="1"/>
      <c r="M43" s="1" t="n">
        <f aca="false" t="array" ref="M43:M43">_xlfn.SWITCH($A$2,"average", AVERAGE(Instances!M43:M43),"median", MEDIAN(Instances!M43:M43),"min", MIN(Instances!M43:M43),"max", MAX(Instances!M43:M43),"diff", MAX(Instances!M43:M43)-MIN(Instances!M43:M43))</f>
        <v>1020426</v>
      </c>
      <c r="N43" s="1" t="n">
        <f aca="false" t="array" ref="N43:N43">_xlfn.SWITCH($A$2,"average", AVERAGE(Instances!N43:N43),"median", MEDIAN(Instances!N43:N43),"min", MIN(Instances!N43:N43),"max", MAX(Instances!N43:N43),"diff", MAX(Instances!N43:N43)-MIN(Instances!N43:N43))</f>
        <v>0.04</v>
      </c>
      <c r="O43" s="1"/>
      <c r="P43" s="1" t="n">
        <f aca="false" t="array" ref="P43:P43">_xlfn.SWITCH($A$2,"average", AVERAGE(Instances!P43:P43),"median", MEDIAN(Instances!P43:P43),"min", MIN(Instances!P43:P43),"max", MAX(Instances!P43:P43),"diff", MAX(Instances!P43:P43)-MIN(Instances!P43:P43))</f>
        <v>4.81</v>
      </c>
      <c r="Q43" s="1" t="n">
        <f aca="false" t="array" ref="Q43:Q43">_xlfn.SWITCH($A$2,"average", AVERAGE(Instances!Q43:Q43),"median", MEDIAN(Instances!Q43:Q43),"min", MIN(Instances!Q43:Q43),"max", MAX(Instances!Q43:Q43),"diff", MAX(Instances!Q43:Q43)-MIN(Instances!Q43:Q43))</f>
        <v>0</v>
      </c>
      <c r="R43" s="1" t="n">
        <f aca="false" t="array" ref="R43:R43">_xlfn.SWITCH($A$2,"average", AVERAGE(Instances!R43:R43),"median", MEDIAN(Instances!R43:R43),"min", MIN(Instances!R43:R43),"max", MAX(Instances!R43:R43),"diff", MAX(Instances!R43:R43)-MIN(Instances!R43:R43))</f>
        <v>367238</v>
      </c>
      <c r="S43" s="1" t="n">
        <f aca="false">MIN($B43)</f>
        <v>1466</v>
      </c>
      <c r="T43" s="1" t="n">
        <f aca="false">MIN($C43)</f>
        <v>0</v>
      </c>
      <c r="U43" s="1" t="n">
        <f aca="false">MIN($D43)</f>
        <v>460414</v>
      </c>
      <c r="V43" s="1" t="n">
        <f aca="false">MIN($E43)</f>
        <v>0</v>
      </c>
      <c r="W43" s="1" t="n">
        <f aca="false">MIN($F43)</f>
        <v>372</v>
      </c>
      <c r="X43" s="1" t="n">
        <f aca="false">MIN($G43)</f>
        <v>0</v>
      </c>
      <c r="Y43" s="1" t="n">
        <f aca="false">MIN($H43)</f>
        <v>1</v>
      </c>
      <c r="Z43" s="1" t="n">
        <f aca="false">MIN($I43)</f>
        <v>4.685</v>
      </c>
      <c r="AA43" s="1" t="n">
        <f aca="false">MIN($J43)</f>
        <v>4.81</v>
      </c>
      <c r="AB43" s="1" t="n">
        <f aca="false">MIN($K43)</f>
        <v>0</v>
      </c>
      <c r="AC43" s="1" t="n">
        <f aca="false">MIN($M43)</f>
        <v>1020426</v>
      </c>
      <c r="AD43" s="1" t="n">
        <f aca="false">MIN($N43)</f>
        <v>0.04</v>
      </c>
      <c r="AE43" s="1" t="n">
        <f aca="false">MIN($P43)</f>
        <v>4.81</v>
      </c>
      <c r="AF43" s="1" t="n">
        <f aca="false">MIN($Q43)</f>
        <v>0</v>
      </c>
      <c r="AG43" s="1" t="n">
        <f aca="false">MIN($R43)</f>
        <v>367238</v>
      </c>
      <c r="AH43" s="1" t="n">
        <f aca="false">MEDIAN($B43)</f>
        <v>1466</v>
      </c>
      <c r="AI43" s="1" t="n">
        <f aca="false">MEDIAN($C43)</f>
        <v>0</v>
      </c>
      <c r="AJ43" s="1" t="n">
        <f aca="false">MEDIAN($D43)</f>
        <v>460414</v>
      </c>
      <c r="AK43" s="1" t="n">
        <f aca="false">MEDIAN($E43)</f>
        <v>0</v>
      </c>
      <c r="AL43" s="1" t="n">
        <f aca="false">MEDIAN($F43)</f>
        <v>372</v>
      </c>
      <c r="AM43" s="1" t="n">
        <f aca="false">MEDIAN($G43)</f>
        <v>0</v>
      </c>
      <c r="AN43" s="1" t="n">
        <f aca="false">MEDIAN($H43)</f>
        <v>1</v>
      </c>
      <c r="AO43" s="1" t="n">
        <f aca="false">MEDIAN($I43)</f>
        <v>4.685</v>
      </c>
      <c r="AP43" s="1" t="n">
        <f aca="false">MEDIAN($J43)</f>
        <v>4.81</v>
      </c>
      <c r="AQ43" s="1" t="n">
        <f aca="false">MEDIAN($K43)</f>
        <v>0</v>
      </c>
      <c r="AR43" s="1" t="n">
        <f aca="false">MEDIAN($M43)</f>
        <v>1020426</v>
      </c>
      <c r="AS43" s="1" t="n">
        <f aca="false">MEDIAN($N43)</f>
        <v>0.04</v>
      </c>
      <c r="AT43" s="1" t="n">
        <f aca="false">MEDIAN($P43)</f>
        <v>4.81</v>
      </c>
      <c r="AU43" s="1" t="n">
        <f aca="false">MEDIAN($Q43)</f>
        <v>0</v>
      </c>
      <c r="AV43" s="1" t="n">
        <f aca="false">MEDIAN($R43)</f>
        <v>367238</v>
      </c>
      <c r="AW43" s="1" t="n">
        <f aca="false">MAX($B43)</f>
        <v>1466</v>
      </c>
      <c r="AX43" s="1" t="n">
        <f aca="false">MAX($C43)</f>
        <v>0</v>
      </c>
      <c r="AY43" s="1" t="n">
        <f aca="false">MAX($D43)</f>
        <v>460414</v>
      </c>
      <c r="AZ43" s="1" t="n">
        <f aca="false">MAX($E43)</f>
        <v>0</v>
      </c>
      <c r="BA43" s="1" t="n">
        <f aca="false">MAX($F43)</f>
        <v>372</v>
      </c>
      <c r="BB43" s="1" t="n">
        <f aca="false">MAX($G43)</f>
        <v>0</v>
      </c>
      <c r="BC43" s="1" t="n">
        <f aca="false">MAX($H43)</f>
        <v>1</v>
      </c>
      <c r="BD43" s="1" t="n">
        <f aca="false">MAX($I43)</f>
        <v>4.685</v>
      </c>
      <c r="BE43" s="1" t="n">
        <f aca="false">MAX($J43)</f>
        <v>4.81</v>
      </c>
      <c r="BF43" s="1" t="n">
        <f aca="false">MAX($K43)</f>
        <v>0</v>
      </c>
      <c r="BG43" s="1" t="n">
        <f aca="false">MAX($M43)</f>
        <v>1020426</v>
      </c>
      <c r="BH43" s="1" t="n">
        <f aca="false">MAX($N43)</f>
        <v>0.04</v>
      </c>
      <c r="BI43" s="1" t="n">
        <f aca="false">MAX($P43)</f>
        <v>4.81</v>
      </c>
      <c r="BJ43" s="1" t="n">
        <f aca="false">MAX($Q43)</f>
        <v>0</v>
      </c>
      <c r="BK43" s="1" t="n">
        <f aca="false">MAX($R43)</f>
        <v>367238</v>
      </c>
    </row>
    <row r="44" customFormat="false" ht="15" hidden="false" customHeight="false" outlineLevel="0" collapsed="false">
      <c r="A44" s="1" t="s">
        <v>61</v>
      </c>
      <c r="B44" s="1" t="n">
        <f aca="false" t="array" ref="B44:B44">_xlfn.SWITCH($A$2,"average", AVERAGE(Instances!B44:B44),"median", MEDIAN(Instances!B44:B44),"min", MIN(Instances!B44:B44),"max", MAX(Instances!B44:B44),"diff", MAX(Instances!B44:B44)-MIN(Instances!B44:B44))</f>
        <v>482</v>
      </c>
      <c r="C44" s="1" t="n">
        <f aca="false" t="array" ref="C44:C44">_xlfn.SWITCH($A$2,"average", AVERAGE(Instances!C44:C44),"median", MEDIAN(Instances!C44:C44),"min", MIN(Instances!C44:C44),"max", MAX(Instances!C44:C44),"diff", MAX(Instances!C44:C44)-MIN(Instances!C44:C44))</f>
        <v>0</v>
      </c>
      <c r="D44" s="1" t="n">
        <f aca="false" t="array" ref="D44:D44">_xlfn.SWITCH($A$2,"average", AVERAGE(Instances!D44:D44),"median", MEDIAN(Instances!D44:D44),"min", MIN(Instances!D44:D44),"max", MAX(Instances!D44:D44),"diff", MAX(Instances!D44:D44)-MIN(Instances!D44:D44))</f>
        <v>338592</v>
      </c>
      <c r="E44" s="1" t="n">
        <f aca="false" t="array" ref="E44:E44">_xlfn.SWITCH($A$2,"average", AVERAGE(Instances!E44:E44),"median", MEDIAN(Instances!E44:E44),"min", MIN(Instances!E44:E44),"max", MAX(Instances!E44:E44),"diff", MAX(Instances!E44:E44)-MIN(Instances!E44:E44))</f>
        <v>0</v>
      </c>
      <c r="F44" s="1" t="n">
        <f aca="false" t="array" ref="F44:F44">_xlfn.SWITCH($A$2,"average", AVERAGE(Instances!F44:F44),"median", MEDIAN(Instances!F44:F44),"min", MIN(Instances!F44:F44),"max", MAX(Instances!F44:F44),"diff", MAX(Instances!F44:F44)-MIN(Instances!F44:F44))</f>
        <v>271</v>
      </c>
      <c r="G44" s="1" t="n">
        <f aca="false" t="array" ref="G44:G44">_xlfn.SWITCH($A$2,"average", AVERAGE(Instances!G44:G44),"median", MEDIAN(Instances!G44:G44),"min", MIN(Instances!G44:G44),"max", MAX(Instances!G44:G44),"diff", MAX(Instances!G44:G44)-MIN(Instances!G44:G44))</f>
        <v>0</v>
      </c>
      <c r="H44" s="1" t="n">
        <f aca="false" t="array" ref="H44:H44">_xlfn.SWITCH($A$2,"average", AVERAGE(Instances!H44:H44),"median", MEDIAN(Instances!H44:H44),"min", MIN(Instances!H44:H44),"max", MAX(Instances!H44:H44),"diff", MAX(Instances!H44:H44)-MIN(Instances!H44:H44))</f>
        <v>1</v>
      </c>
      <c r="I44" s="1" t="n">
        <f aca="false" t="array" ref="I44:I44">_xlfn.SWITCH($A$2,"average", AVERAGE(Instances!I44:I44),"median", MEDIAN(Instances!I44:I44),"min", MIN(Instances!I44:I44),"max", MAX(Instances!I44:I44),"diff", MAX(Instances!I44:I44)-MIN(Instances!I44:I44))</f>
        <v>3.433</v>
      </c>
      <c r="J44" s="1" t="n">
        <f aca="false" t="array" ref="J44:J44">_xlfn.SWITCH($A$2,"average", AVERAGE(Instances!J44:J44),"median", MEDIAN(Instances!J44:J44),"min", MIN(Instances!J44:J44),"max", MAX(Instances!J44:J44),"diff", MAX(Instances!J44:J44)-MIN(Instances!J44:J44))</f>
        <v>3.53</v>
      </c>
      <c r="K44" s="1" t="n">
        <f aca="false" t="array" ref="K44:K44">_xlfn.SWITCH($A$2,"average", AVERAGE(Instances!K44:K44),"median", MEDIAN(Instances!K44:K44),"min", MIN(Instances!K44:K44),"max", MAX(Instances!K44:K44),"diff", MAX(Instances!K44:K44)-MIN(Instances!K44:K44))</f>
        <v>0</v>
      </c>
      <c r="L44" s="1"/>
      <c r="M44" s="1" t="n">
        <f aca="false" t="array" ref="M44:M44">_xlfn.SWITCH($A$2,"average", AVERAGE(Instances!M44:M44),"median", MEDIAN(Instances!M44:M44),"min", MIN(Instances!M44:M44),"max", MAX(Instances!M44:M44),"diff", MAX(Instances!M44:M44)-MIN(Instances!M44:M44))</f>
        <v>750285</v>
      </c>
      <c r="N44" s="1" t="n">
        <f aca="false" t="array" ref="N44:N44">_xlfn.SWITCH($A$2,"average", AVERAGE(Instances!N44:N44),"median", MEDIAN(Instances!N44:N44),"min", MIN(Instances!N44:N44),"max", MAX(Instances!N44:N44),"diff", MAX(Instances!N44:N44)-MIN(Instances!N44:N44))</f>
        <v>0.02</v>
      </c>
      <c r="O44" s="1"/>
      <c r="P44" s="1" t="n">
        <f aca="false" t="array" ref="P44:P44">_xlfn.SWITCH($A$2,"average", AVERAGE(Instances!P44:P44),"median", MEDIAN(Instances!P44:P44),"min", MIN(Instances!P44:P44),"max", MAX(Instances!P44:P44),"diff", MAX(Instances!P44:P44)-MIN(Instances!P44:P44))</f>
        <v>3.53</v>
      </c>
      <c r="Q44" s="1" t="n">
        <f aca="false" t="array" ref="Q44:Q44">_xlfn.SWITCH($A$2,"average", AVERAGE(Instances!Q44:Q44),"median", MEDIAN(Instances!Q44:Q44),"min", MIN(Instances!Q44:Q44),"max", MAX(Instances!Q44:Q44),"diff", MAX(Instances!Q44:Q44)-MIN(Instances!Q44:Q44))</f>
        <v>0</v>
      </c>
      <c r="R44" s="1" t="n">
        <f aca="false" t="array" ref="R44:R44">_xlfn.SWITCH($A$2,"average", AVERAGE(Instances!R44:R44),"median", MEDIAN(Instances!R44:R44),"min", MIN(Instances!R44:R44),"max", MAX(Instances!R44:R44),"diff", MAX(Instances!R44:R44)-MIN(Instances!R44:R44))</f>
        <v>272193</v>
      </c>
      <c r="S44" s="1" t="n">
        <f aca="false">MIN($B44)</f>
        <v>482</v>
      </c>
      <c r="T44" s="1" t="n">
        <f aca="false">MIN($C44)</f>
        <v>0</v>
      </c>
      <c r="U44" s="1" t="n">
        <f aca="false">MIN($D44)</f>
        <v>338592</v>
      </c>
      <c r="V44" s="1" t="n">
        <f aca="false">MIN($E44)</f>
        <v>0</v>
      </c>
      <c r="W44" s="1" t="n">
        <f aca="false">MIN($F44)</f>
        <v>271</v>
      </c>
      <c r="X44" s="1" t="n">
        <f aca="false">MIN($G44)</f>
        <v>0</v>
      </c>
      <c r="Y44" s="1" t="n">
        <f aca="false">MIN($H44)</f>
        <v>1</v>
      </c>
      <c r="Z44" s="1" t="n">
        <f aca="false">MIN($I44)</f>
        <v>3.433</v>
      </c>
      <c r="AA44" s="1" t="n">
        <f aca="false">MIN($J44)</f>
        <v>3.53</v>
      </c>
      <c r="AB44" s="1" t="n">
        <f aca="false">MIN($K44)</f>
        <v>0</v>
      </c>
      <c r="AC44" s="1" t="n">
        <f aca="false">MIN($M44)</f>
        <v>750285</v>
      </c>
      <c r="AD44" s="1" t="n">
        <f aca="false">MIN($N44)</f>
        <v>0.02</v>
      </c>
      <c r="AE44" s="1" t="n">
        <f aca="false">MIN($P44)</f>
        <v>3.53</v>
      </c>
      <c r="AF44" s="1" t="n">
        <f aca="false">MIN($Q44)</f>
        <v>0</v>
      </c>
      <c r="AG44" s="1" t="n">
        <f aca="false">MIN($R44)</f>
        <v>272193</v>
      </c>
      <c r="AH44" s="1" t="n">
        <f aca="false">MEDIAN($B44)</f>
        <v>482</v>
      </c>
      <c r="AI44" s="1" t="n">
        <f aca="false">MEDIAN($C44)</f>
        <v>0</v>
      </c>
      <c r="AJ44" s="1" t="n">
        <f aca="false">MEDIAN($D44)</f>
        <v>338592</v>
      </c>
      <c r="AK44" s="1" t="n">
        <f aca="false">MEDIAN($E44)</f>
        <v>0</v>
      </c>
      <c r="AL44" s="1" t="n">
        <f aca="false">MEDIAN($F44)</f>
        <v>271</v>
      </c>
      <c r="AM44" s="1" t="n">
        <f aca="false">MEDIAN($G44)</f>
        <v>0</v>
      </c>
      <c r="AN44" s="1" t="n">
        <f aca="false">MEDIAN($H44)</f>
        <v>1</v>
      </c>
      <c r="AO44" s="1" t="n">
        <f aca="false">MEDIAN($I44)</f>
        <v>3.433</v>
      </c>
      <c r="AP44" s="1" t="n">
        <f aca="false">MEDIAN($J44)</f>
        <v>3.53</v>
      </c>
      <c r="AQ44" s="1" t="n">
        <f aca="false">MEDIAN($K44)</f>
        <v>0</v>
      </c>
      <c r="AR44" s="1" t="n">
        <f aca="false">MEDIAN($M44)</f>
        <v>750285</v>
      </c>
      <c r="AS44" s="1" t="n">
        <f aca="false">MEDIAN($N44)</f>
        <v>0.02</v>
      </c>
      <c r="AT44" s="1" t="n">
        <f aca="false">MEDIAN($P44)</f>
        <v>3.53</v>
      </c>
      <c r="AU44" s="1" t="n">
        <f aca="false">MEDIAN($Q44)</f>
        <v>0</v>
      </c>
      <c r="AV44" s="1" t="n">
        <f aca="false">MEDIAN($R44)</f>
        <v>272193</v>
      </c>
      <c r="AW44" s="1" t="n">
        <f aca="false">MAX($B44)</f>
        <v>482</v>
      </c>
      <c r="AX44" s="1" t="n">
        <f aca="false">MAX($C44)</f>
        <v>0</v>
      </c>
      <c r="AY44" s="1" t="n">
        <f aca="false">MAX($D44)</f>
        <v>338592</v>
      </c>
      <c r="AZ44" s="1" t="n">
        <f aca="false">MAX($E44)</f>
        <v>0</v>
      </c>
      <c r="BA44" s="1" t="n">
        <f aca="false">MAX($F44)</f>
        <v>271</v>
      </c>
      <c r="BB44" s="1" t="n">
        <f aca="false">MAX($G44)</f>
        <v>0</v>
      </c>
      <c r="BC44" s="1" t="n">
        <f aca="false">MAX($H44)</f>
        <v>1</v>
      </c>
      <c r="BD44" s="1" t="n">
        <f aca="false">MAX($I44)</f>
        <v>3.433</v>
      </c>
      <c r="BE44" s="1" t="n">
        <f aca="false">MAX($J44)</f>
        <v>3.53</v>
      </c>
      <c r="BF44" s="1" t="n">
        <f aca="false">MAX($K44)</f>
        <v>0</v>
      </c>
      <c r="BG44" s="1" t="n">
        <f aca="false">MAX($M44)</f>
        <v>750285</v>
      </c>
      <c r="BH44" s="1" t="n">
        <f aca="false">MAX($N44)</f>
        <v>0.02</v>
      </c>
      <c r="BI44" s="1" t="n">
        <f aca="false">MAX($P44)</f>
        <v>3.53</v>
      </c>
      <c r="BJ44" s="1" t="n">
        <f aca="false">MAX($Q44)</f>
        <v>0</v>
      </c>
      <c r="BK44" s="1" t="n">
        <f aca="false">MAX($R44)</f>
        <v>272193</v>
      </c>
    </row>
    <row r="45" customFormat="false" ht="15" hidden="false" customHeight="false" outlineLevel="0" collapsed="false">
      <c r="A45" s="1" t="s">
        <v>62</v>
      </c>
      <c r="B45" s="1" t="n">
        <f aca="false" t="array" ref="B45:B45">_xlfn.SWITCH($A$2,"average", AVERAGE(Instances!B45:B45),"median", MEDIAN(Instances!B45:B45),"min", MIN(Instances!B45:B45),"max", MAX(Instances!B45:B45),"diff", MAX(Instances!B45:B45)-MIN(Instances!B45:B45))</f>
        <v>1950</v>
      </c>
      <c r="C45" s="1" t="n">
        <f aca="false" t="array" ref="C45:C45">_xlfn.SWITCH($A$2,"average", AVERAGE(Instances!C45:C45),"median", MEDIAN(Instances!C45:C45),"min", MIN(Instances!C45:C45),"max", MAX(Instances!C45:C45),"diff", MAX(Instances!C45:C45)-MIN(Instances!C45:C45))</f>
        <v>0</v>
      </c>
      <c r="D45" s="1" t="n">
        <f aca="false" t="array" ref="D45:D45">_xlfn.SWITCH($A$2,"average", AVERAGE(Instances!D45:D45),"median", MEDIAN(Instances!D45:D45),"min", MIN(Instances!D45:D45),"max", MAX(Instances!D45:D45),"diff", MAX(Instances!D45:D45)-MIN(Instances!D45:D45))</f>
        <v>450160</v>
      </c>
      <c r="E45" s="1" t="n">
        <f aca="false" t="array" ref="E45:E45">_xlfn.SWITCH($A$2,"average", AVERAGE(Instances!E45:E45),"median", MEDIAN(Instances!E45:E45),"min", MIN(Instances!E45:E45),"max", MAX(Instances!E45:E45),"diff", MAX(Instances!E45:E45)-MIN(Instances!E45:E45))</f>
        <v>0</v>
      </c>
      <c r="F45" s="1" t="n">
        <f aca="false" t="array" ref="F45:F45">_xlfn.SWITCH($A$2,"average", AVERAGE(Instances!F45:F45),"median", MEDIAN(Instances!F45:F45),"min", MIN(Instances!F45:F45),"max", MAX(Instances!F45:F45),"diff", MAX(Instances!F45:F45)-MIN(Instances!F45:F45))</f>
        <v>354</v>
      </c>
      <c r="G45" s="1" t="n">
        <f aca="false" t="array" ref="G45:G45">_xlfn.SWITCH($A$2,"average", AVERAGE(Instances!G45:G45),"median", MEDIAN(Instances!G45:G45),"min", MIN(Instances!G45:G45),"max", MAX(Instances!G45:G45),"diff", MAX(Instances!G45:G45)-MIN(Instances!G45:G45))</f>
        <v>0</v>
      </c>
      <c r="H45" s="1" t="n">
        <f aca="false" t="array" ref="H45:H45">_xlfn.SWITCH($A$2,"average", AVERAGE(Instances!H45:H45),"median", MEDIAN(Instances!H45:H45),"min", MIN(Instances!H45:H45),"max", MAX(Instances!H45:H45),"diff", MAX(Instances!H45:H45)-MIN(Instances!H45:H45))</f>
        <v>1</v>
      </c>
      <c r="I45" s="1" t="n">
        <f aca="false" t="array" ref="I45:I45">_xlfn.SWITCH($A$2,"average", AVERAGE(Instances!I45:I45),"median", MEDIAN(Instances!I45:I45),"min", MIN(Instances!I45:I45),"max", MAX(Instances!I45:I45),"diff", MAX(Instances!I45:I45)-MIN(Instances!I45:I45))</f>
        <v>4.38</v>
      </c>
      <c r="J45" s="1" t="n">
        <f aca="false" t="array" ref="J45:J45">_xlfn.SWITCH($A$2,"average", AVERAGE(Instances!J45:J45),"median", MEDIAN(Instances!J45:J45),"min", MIN(Instances!J45:J45),"max", MAX(Instances!J45:J45),"diff", MAX(Instances!J45:J45)-MIN(Instances!J45:J45))</f>
        <v>4.51</v>
      </c>
      <c r="K45" s="1" t="n">
        <f aca="false" t="array" ref="K45:K45">_xlfn.SWITCH($A$2,"average", AVERAGE(Instances!K45:K45),"median", MEDIAN(Instances!K45:K45),"min", MIN(Instances!K45:K45),"max", MAX(Instances!K45:K45),"diff", MAX(Instances!K45:K45)-MIN(Instances!K45:K45))</f>
        <v>0</v>
      </c>
      <c r="L45" s="1"/>
      <c r="M45" s="1" t="n">
        <f aca="false" t="array" ref="M45:M45">_xlfn.SWITCH($A$2,"average", AVERAGE(Instances!M45:M45),"median", MEDIAN(Instances!M45:M45),"min", MIN(Instances!M45:M45),"max", MAX(Instances!M45:M45),"diff", MAX(Instances!M45:M45)-MIN(Instances!M45:M45))</f>
        <v>928495</v>
      </c>
      <c r="N45" s="1" t="n">
        <f aca="false" t="array" ref="N45:N45">_xlfn.SWITCH($A$2,"average", AVERAGE(Instances!N45:N45),"median", MEDIAN(Instances!N45:N45),"min", MIN(Instances!N45:N45),"max", MAX(Instances!N45:N45),"diff", MAX(Instances!N45:N45)-MIN(Instances!N45:N45))</f>
        <v>0.04</v>
      </c>
      <c r="O45" s="1"/>
      <c r="P45" s="1" t="n">
        <f aca="false" t="array" ref="P45:P45">_xlfn.SWITCH($A$2,"average", AVERAGE(Instances!P45:P45),"median", MEDIAN(Instances!P45:P45),"min", MIN(Instances!P45:P45),"max", MAX(Instances!P45:P45),"diff", MAX(Instances!P45:P45)-MIN(Instances!P45:P45))</f>
        <v>4.51</v>
      </c>
      <c r="Q45" s="1" t="n">
        <f aca="false" t="array" ref="Q45:Q45">_xlfn.SWITCH($A$2,"average", AVERAGE(Instances!Q45:Q45),"median", MEDIAN(Instances!Q45:Q45),"min", MIN(Instances!Q45:Q45),"max", MAX(Instances!Q45:Q45),"diff", MAX(Instances!Q45:Q45)-MIN(Instances!Q45:Q45))</f>
        <v>0</v>
      </c>
      <c r="R45" s="1" t="n">
        <f aca="false" t="array" ref="R45:R45">_xlfn.SWITCH($A$2,"average", AVERAGE(Instances!R45:R45),"median", MEDIAN(Instances!R45:R45),"min", MIN(Instances!R45:R45),"max", MAX(Instances!R45:R45),"diff", MAX(Instances!R45:R45)-MIN(Instances!R45:R45))</f>
        <v>346382</v>
      </c>
      <c r="S45" s="1" t="n">
        <f aca="false">MIN($B45)</f>
        <v>1950</v>
      </c>
      <c r="T45" s="1" t="n">
        <f aca="false">MIN($C45)</f>
        <v>0</v>
      </c>
      <c r="U45" s="1" t="n">
        <f aca="false">MIN($D45)</f>
        <v>450160</v>
      </c>
      <c r="V45" s="1" t="n">
        <f aca="false">MIN($E45)</f>
        <v>0</v>
      </c>
      <c r="W45" s="1" t="n">
        <f aca="false">MIN($F45)</f>
        <v>354</v>
      </c>
      <c r="X45" s="1" t="n">
        <f aca="false">MIN($G45)</f>
        <v>0</v>
      </c>
      <c r="Y45" s="1" t="n">
        <f aca="false">MIN($H45)</f>
        <v>1</v>
      </c>
      <c r="Z45" s="1" t="n">
        <f aca="false">MIN($I45)</f>
        <v>4.38</v>
      </c>
      <c r="AA45" s="1" t="n">
        <f aca="false">MIN($J45)</f>
        <v>4.51</v>
      </c>
      <c r="AB45" s="1" t="n">
        <f aca="false">MIN($K45)</f>
        <v>0</v>
      </c>
      <c r="AC45" s="1" t="n">
        <f aca="false">MIN($M45)</f>
        <v>928495</v>
      </c>
      <c r="AD45" s="1" t="n">
        <f aca="false">MIN($N45)</f>
        <v>0.04</v>
      </c>
      <c r="AE45" s="1" t="n">
        <f aca="false">MIN($P45)</f>
        <v>4.51</v>
      </c>
      <c r="AF45" s="1" t="n">
        <f aca="false">MIN($Q45)</f>
        <v>0</v>
      </c>
      <c r="AG45" s="1" t="n">
        <f aca="false">MIN($R45)</f>
        <v>346382</v>
      </c>
      <c r="AH45" s="1" t="n">
        <f aca="false">MEDIAN($B45)</f>
        <v>1950</v>
      </c>
      <c r="AI45" s="1" t="n">
        <f aca="false">MEDIAN($C45)</f>
        <v>0</v>
      </c>
      <c r="AJ45" s="1" t="n">
        <f aca="false">MEDIAN($D45)</f>
        <v>450160</v>
      </c>
      <c r="AK45" s="1" t="n">
        <f aca="false">MEDIAN($E45)</f>
        <v>0</v>
      </c>
      <c r="AL45" s="1" t="n">
        <f aca="false">MEDIAN($F45)</f>
        <v>354</v>
      </c>
      <c r="AM45" s="1" t="n">
        <f aca="false">MEDIAN($G45)</f>
        <v>0</v>
      </c>
      <c r="AN45" s="1" t="n">
        <f aca="false">MEDIAN($H45)</f>
        <v>1</v>
      </c>
      <c r="AO45" s="1" t="n">
        <f aca="false">MEDIAN($I45)</f>
        <v>4.38</v>
      </c>
      <c r="AP45" s="1" t="n">
        <f aca="false">MEDIAN($J45)</f>
        <v>4.51</v>
      </c>
      <c r="AQ45" s="1" t="n">
        <f aca="false">MEDIAN($K45)</f>
        <v>0</v>
      </c>
      <c r="AR45" s="1" t="n">
        <f aca="false">MEDIAN($M45)</f>
        <v>928495</v>
      </c>
      <c r="AS45" s="1" t="n">
        <f aca="false">MEDIAN($N45)</f>
        <v>0.04</v>
      </c>
      <c r="AT45" s="1" t="n">
        <f aca="false">MEDIAN($P45)</f>
        <v>4.51</v>
      </c>
      <c r="AU45" s="1" t="n">
        <f aca="false">MEDIAN($Q45)</f>
        <v>0</v>
      </c>
      <c r="AV45" s="1" t="n">
        <f aca="false">MEDIAN($R45)</f>
        <v>346382</v>
      </c>
      <c r="AW45" s="1" t="n">
        <f aca="false">MAX($B45)</f>
        <v>1950</v>
      </c>
      <c r="AX45" s="1" t="n">
        <f aca="false">MAX($C45)</f>
        <v>0</v>
      </c>
      <c r="AY45" s="1" t="n">
        <f aca="false">MAX($D45)</f>
        <v>450160</v>
      </c>
      <c r="AZ45" s="1" t="n">
        <f aca="false">MAX($E45)</f>
        <v>0</v>
      </c>
      <c r="BA45" s="1" t="n">
        <f aca="false">MAX($F45)</f>
        <v>354</v>
      </c>
      <c r="BB45" s="1" t="n">
        <f aca="false">MAX($G45)</f>
        <v>0</v>
      </c>
      <c r="BC45" s="1" t="n">
        <f aca="false">MAX($H45)</f>
        <v>1</v>
      </c>
      <c r="BD45" s="1" t="n">
        <f aca="false">MAX($I45)</f>
        <v>4.38</v>
      </c>
      <c r="BE45" s="1" t="n">
        <f aca="false">MAX($J45)</f>
        <v>4.51</v>
      </c>
      <c r="BF45" s="1" t="n">
        <f aca="false">MAX($K45)</f>
        <v>0</v>
      </c>
      <c r="BG45" s="1" t="n">
        <f aca="false">MAX($M45)</f>
        <v>928495</v>
      </c>
      <c r="BH45" s="1" t="n">
        <f aca="false">MAX($N45)</f>
        <v>0.04</v>
      </c>
      <c r="BI45" s="1" t="n">
        <f aca="false">MAX($P45)</f>
        <v>4.51</v>
      </c>
      <c r="BJ45" s="1" t="n">
        <f aca="false">MAX($Q45)</f>
        <v>0</v>
      </c>
      <c r="BK45" s="1" t="n">
        <f aca="false">MAX($R45)</f>
        <v>346382</v>
      </c>
    </row>
    <row r="46" customFormat="false" ht="15" hidden="false" customHeight="false" outlineLevel="0" collapsed="false">
      <c r="A46" s="1" t="s">
        <v>63</v>
      </c>
      <c r="B46" s="1" t="n">
        <f aca="false" t="array" ref="B46:B46">_xlfn.SWITCH($A$2,"average", AVERAGE(Instances!B46:B46),"median", MEDIAN(Instances!B46:B46),"min", MIN(Instances!B46:B46),"max", MAX(Instances!B46:B46),"diff", MAX(Instances!B46:B46)-MIN(Instances!B46:B46))</f>
        <v>2078</v>
      </c>
      <c r="C46" s="1" t="n">
        <f aca="false" t="array" ref="C46:C46">_xlfn.SWITCH($A$2,"average", AVERAGE(Instances!C46:C46),"median", MEDIAN(Instances!C46:C46),"min", MIN(Instances!C46:C46),"max", MAX(Instances!C46:C46),"diff", MAX(Instances!C46:C46)-MIN(Instances!C46:C46))</f>
        <v>3</v>
      </c>
      <c r="D46" s="1" t="n">
        <f aca="false" t="array" ref="D46:D46">_xlfn.SWITCH($A$2,"average", AVERAGE(Instances!D46:D46),"median", MEDIAN(Instances!D46:D46),"min", MIN(Instances!D46:D46),"max", MAX(Instances!D46:D46),"diff", MAX(Instances!D46:D46)-MIN(Instances!D46:D46))</f>
        <v>874968</v>
      </c>
      <c r="E46" s="1" t="n">
        <f aca="false" t="array" ref="E46:E46">_xlfn.SWITCH($A$2,"average", AVERAGE(Instances!E46:E46),"median", MEDIAN(Instances!E46:E46),"min", MIN(Instances!E46:E46),"max", MAX(Instances!E46:E46),"diff", MAX(Instances!E46:E46)-MIN(Instances!E46:E46))</f>
        <v>0</v>
      </c>
      <c r="F46" s="1" t="n">
        <f aca="false" t="array" ref="F46:F46">_xlfn.SWITCH($A$2,"average", AVERAGE(Instances!F46:F46),"median", MEDIAN(Instances!F46:F46),"min", MIN(Instances!F46:F46),"max", MAX(Instances!F46:F46),"diff", MAX(Instances!F46:F46)-MIN(Instances!F46:F46))</f>
        <v>537</v>
      </c>
      <c r="G46" s="1" t="n">
        <f aca="false" t="array" ref="G46:G46">_xlfn.SWITCH($A$2,"average", AVERAGE(Instances!G46:G46),"median", MEDIAN(Instances!G46:G46),"min", MIN(Instances!G46:G46),"max", MAX(Instances!G46:G46),"diff", MAX(Instances!G46:G46)-MIN(Instances!G46:G46))</f>
        <v>0</v>
      </c>
      <c r="H46" s="1" t="n">
        <f aca="false" t="array" ref="H46:H46">_xlfn.SWITCH($A$2,"average", AVERAGE(Instances!H46:H46),"median", MEDIAN(Instances!H46:H46),"min", MIN(Instances!H46:H46),"max", MAX(Instances!H46:H46),"diff", MAX(Instances!H46:H46)-MIN(Instances!H46:H46))</f>
        <v>1</v>
      </c>
      <c r="I46" s="1" t="n">
        <f aca="false" t="array" ref="I46:I46">_xlfn.SWITCH($A$2,"average", AVERAGE(Instances!I46:I46),"median", MEDIAN(Instances!I46:I46),"min", MIN(Instances!I46:I46),"max", MAX(Instances!I46:I46),"diff", MAX(Instances!I46:I46)-MIN(Instances!I46:I46))</f>
        <v>7.19</v>
      </c>
      <c r="J46" s="1" t="n">
        <f aca="false" t="array" ref="J46:J46">_xlfn.SWITCH($A$2,"average", AVERAGE(Instances!J46:J46),"median", MEDIAN(Instances!J46:J46),"min", MIN(Instances!J46:J46),"max", MAX(Instances!J46:J46),"diff", MAX(Instances!J46:J46)-MIN(Instances!J46:J46))</f>
        <v>7.39</v>
      </c>
      <c r="K46" s="1" t="n">
        <f aca="false" t="array" ref="K46:K46">_xlfn.SWITCH($A$2,"average", AVERAGE(Instances!K46:K46),"median", MEDIAN(Instances!K46:K46),"min", MIN(Instances!K46:K46),"max", MAX(Instances!K46:K46),"diff", MAX(Instances!K46:K46)-MIN(Instances!K46:K46))</f>
        <v>0</v>
      </c>
      <c r="L46" s="1"/>
      <c r="M46" s="1" t="n">
        <f aca="false" t="array" ref="M46:M46">_xlfn.SWITCH($A$2,"average", AVERAGE(Instances!M46:M46),"median", MEDIAN(Instances!M46:M46),"min", MIN(Instances!M46:M46),"max", MAX(Instances!M46:M46),"diff", MAX(Instances!M46:M46)-MIN(Instances!M46:M46))</f>
        <v>1626147</v>
      </c>
      <c r="N46" s="1" t="n">
        <f aca="false" t="array" ref="N46:N46">_xlfn.SWITCH($A$2,"average", AVERAGE(Instances!N46:N46),"median", MEDIAN(Instances!N46:N46),"min", MIN(Instances!N46:N46),"max", MAX(Instances!N46:N46),"diff", MAX(Instances!N46:N46)-MIN(Instances!N46:N46))</f>
        <v>0.07</v>
      </c>
      <c r="O46" s="1"/>
      <c r="P46" s="1" t="n">
        <f aca="false" t="array" ref="P46:P46">_xlfn.SWITCH($A$2,"average", AVERAGE(Instances!P46:P46),"median", MEDIAN(Instances!P46:P46),"min", MIN(Instances!P46:P46),"max", MAX(Instances!P46:P46),"diff", MAX(Instances!P46:P46)-MIN(Instances!P46:P46))</f>
        <v>7.39</v>
      </c>
      <c r="Q46" s="1" t="n">
        <f aca="false" t="array" ref="Q46:Q46">_xlfn.SWITCH($A$2,"average", AVERAGE(Instances!Q46:Q46),"median", MEDIAN(Instances!Q46:Q46),"min", MIN(Instances!Q46:Q46),"max", MAX(Instances!Q46:Q46),"diff", MAX(Instances!Q46:Q46)-MIN(Instances!Q46:Q46))</f>
        <v>0</v>
      </c>
      <c r="R46" s="1" t="n">
        <f aca="false" t="array" ref="R46:R46">_xlfn.SWITCH($A$2,"average", AVERAGE(Instances!R46:R46),"median", MEDIAN(Instances!R46:R46),"min", MIN(Instances!R46:R46),"max", MAX(Instances!R46:R46),"diff", MAX(Instances!R46:R46)-MIN(Instances!R46:R46))</f>
        <v>541653</v>
      </c>
      <c r="S46" s="1" t="n">
        <f aca="false">MIN($B46)</f>
        <v>2078</v>
      </c>
      <c r="T46" s="1" t="n">
        <f aca="false">MIN($C46)</f>
        <v>3</v>
      </c>
      <c r="U46" s="1" t="n">
        <f aca="false">MIN($D46)</f>
        <v>874968</v>
      </c>
      <c r="V46" s="1" t="n">
        <f aca="false">MIN($E46)</f>
        <v>0</v>
      </c>
      <c r="W46" s="1" t="n">
        <f aca="false">MIN($F46)</f>
        <v>537</v>
      </c>
      <c r="X46" s="1" t="n">
        <f aca="false">MIN($G46)</f>
        <v>0</v>
      </c>
      <c r="Y46" s="1" t="n">
        <f aca="false">MIN($H46)</f>
        <v>1</v>
      </c>
      <c r="Z46" s="1" t="n">
        <f aca="false">MIN($I46)</f>
        <v>7.19</v>
      </c>
      <c r="AA46" s="1" t="n">
        <f aca="false">MIN($J46)</f>
        <v>7.39</v>
      </c>
      <c r="AB46" s="1" t="n">
        <f aca="false">MIN($K46)</f>
        <v>0</v>
      </c>
      <c r="AC46" s="1" t="n">
        <f aca="false">MIN($M46)</f>
        <v>1626147</v>
      </c>
      <c r="AD46" s="1" t="n">
        <f aca="false">MIN($N46)</f>
        <v>0.07</v>
      </c>
      <c r="AE46" s="1" t="n">
        <f aca="false">MIN($P46)</f>
        <v>7.39</v>
      </c>
      <c r="AF46" s="1" t="n">
        <f aca="false">MIN($Q46)</f>
        <v>0</v>
      </c>
      <c r="AG46" s="1" t="n">
        <f aca="false">MIN($R46)</f>
        <v>541653</v>
      </c>
      <c r="AH46" s="1" t="n">
        <f aca="false">MEDIAN($B46)</f>
        <v>2078</v>
      </c>
      <c r="AI46" s="1" t="n">
        <f aca="false">MEDIAN($C46)</f>
        <v>3</v>
      </c>
      <c r="AJ46" s="1" t="n">
        <f aca="false">MEDIAN($D46)</f>
        <v>874968</v>
      </c>
      <c r="AK46" s="1" t="n">
        <f aca="false">MEDIAN($E46)</f>
        <v>0</v>
      </c>
      <c r="AL46" s="1" t="n">
        <f aca="false">MEDIAN($F46)</f>
        <v>537</v>
      </c>
      <c r="AM46" s="1" t="n">
        <f aca="false">MEDIAN($G46)</f>
        <v>0</v>
      </c>
      <c r="AN46" s="1" t="n">
        <f aca="false">MEDIAN($H46)</f>
        <v>1</v>
      </c>
      <c r="AO46" s="1" t="n">
        <f aca="false">MEDIAN($I46)</f>
        <v>7.19</v>
      </c>
      <c r="AP46" s="1" t="n">
        <f aca="false">MEDIAN($J46)</f>
        <v>7.39</v>
      </c>
      <c r="AQ46" s="1" t="n">
        <f aca="false">MEDIAN($K46)</f>
        <v>0</v>
      </c>
      <c r="AR46" s="1" t="n">
        <f aca="false">MEDIAN($M46)</f>
        <v>1626147</v>
      </c>
      <c r="AS46" s="1" t="n">
        <f aca="false">MEDIAN($N46)</f>
        <v>0.07</v>
      </c>
      <c r="AT46" s="1" t="n">
        <f aca="false">MEDIAN($P46)</f>
        <v>7.39</v>
      </c>
      <c r="AU46" s="1" t="n">
        <f aca="false">MEDIAN($Q46)</f>
        <v>0</v>
      </c>
      <c r="AV46" s="1" t="n">
        <f aca="false">MEDIAN($R46)</f>
        <v>541653</v>
      </c>
      <c r="AW46" s="1" t="n">
        <f aca="false">MAX($B46)</f>
        <v>2078</v>
      </c>
      <c r="AX46" s="1" t="n">
        <f aca="false">MAX($C46)</f>
        <v>3</v>
      </c>
      <c r="AY46" s="1" t="n">
        <f aca="false">MAX($D46)</f>
        <v>874968</v>
      </c>
      <c r="AZ46" s="1" t="n">
        <f aca="false">MAX($E46)</f>
        <v>0</v>
      </c>
      <c r="BA46" s="1" t="n">
        <f aca="false">MAX($F46)</f>
        <v>537</v>
      </c>
      <c r="BB46" s="1" t="n">
        <f aca="false">MAX($G46)</f>
        <v>0</v>
      </c>
      <c r="BC46" s="1" t="n">
        <f aca="false">MAX($H46)</f>
        <v>1</v>
      </c>
      <c r="BD46" s="1" t="n">
        <f aca="false">MAX($I46)</f>
        <v>7.19</v>
      </c>
      <c r="BE46" s="1" t="n">
        <f aca="false">MAX($J46)</f>
        <v>7.39</v>
      </c>
      <c r="BF46" s="1" t="n">
        <f aca="false">MAX($K46)</f>
        <v>0</v>
      </c>
      <c r="BG46" s="1" t="n">
        <f aca="false">MAX($M46)</f>
        <v>1626147</v>
      </c>
      <c r="BH46" s="1" t="n">
        <f aca="false">MAX($N46)</f>
        <v>0.07</v>
      </c>
      <c r="BI46" s="1" t="n">
        <f aca="false">MAX($P46)</f>
        <v>7.39</v>
      </c>
      <c r="BJ46" s="1" t="n">
        <f aca="false">MAX($Q46)</f>
        <v>0</v>
      </c>
      <c r="BK46" s="1" t="n">
        <f aca="false">MAX($R46)</f>
        <v>541653</v>
      </c>
    </row>
    <row r="47" customFormat="false" ht="15" hidden="false" customHeight="false" outlineLevel="0" collapsed="false">
      <c r="A47" s="1" t="s">
        <v>64</v>
      </c>
      <c r="B47" s="1" t="n">
        <f aca="false" t="array" ref="B47:B47">_xlfn.SWITCH($A$2,"average", AVERAGE(Instances!B47:B47),"median", MEDIAN(Instances!B47:B47),"min", MIN(Instances!B47:B47),"max", MAX(Instances!B47:B47),"diff", MAX(Instances!B47:B47)-MIN(Instances!B47:B47))</f>
        <v>1769</v>
      </c>
      <c r="C47" s="1" t="n">
        <f aca="false" t="array" ref="C47:C47">_xlfn.SWITCH($A$2,"average", AVERAGE(Instances!C47:C47),"median", MEDIAN(Instances!C47:C47),"min", MIN(Instances!C47:C47),"max", MAX(Instances!C47:C47),"diff", MAX(Instances!C47:C47)-MIN(Instances!C47:C47))</f>
        <v>0</v>
      </c>
      <c r="D47" s="1" t="n">
        <f aca="false" t="array" ref="D47:D47">_xlfn.SWITCH($A$2,"average", AVERAGE(Instances!D47:D47),"median", MEDIAN(Instances!D47:D47),"min", MIN(Instances!D47:D47),"max", MAX(Instances!D47:D47),"diff", MAX(Instances!D47:D47)-MIN(Instances!D47:D47))</f>
        <v>580257</v>
      </c>
      <c r="E47" s="1" t="n">
        <f aca="false" t="array" ref="E47:E47">_xlfn.SWITCH($A$2,"average", AVERAGE(Instances!E47:E47),"median", MEDIAN(Instances!E47:E47),"min", MIN(Instances!E47:E47),"max", MAX(Instances!E47:E47),"diff", MAX(Instances!E47:E47)-MIN(Instances!E47:E47))</f>
        <v>0</v>
      </c>
      <c r="F47" s="1" t="n">
        <f aca="false" t="array" ref="F47:F47">_xlfn.SWITCH($A$2,"average", AVERAGE(Instances!F47:F47),"median", MEDIAN(Instances!F47:F47),"min", MIN(Instances!F47:F47),"max", MAX(Instances!F47:F47),"diff", MAX(Instances!F47:F47)-MIN(Instances!F47:F47))</f>
        <v>453</v>
      </c>
      <c r="G47" s="1" t="n">
        <f aca="false" t="array" ref="G47:G47">_xlfn.SWITCH($A$2,"average", AVERAGE(Instances!G47:G47),"median", MEDIAN(Instances!G47:G47),"min", MIN(Instances!G47:G47),"max", MAX(Instances!G47:G47),"diff", MAX(Instances!G47:G47)-MIN(Instances!G47:G47))</f>
        <v>0</v>
      </c>
      <c r="H47" s="1" t="n">
        <f aca="false" t="array" ref="H47:H47">_xlfn.SWITCH($A$2,"average", AVERAGE(Instances!H47:H47),"median", MEDIAN(Instances!H47:H47),"min", MIN(Instances!H47:H47),"max", MAX(Instances!H47:H47),"diff", MAX(Instances!H47:H47)-MIN(Instances!H47:H47))</f>
        <v>1</v>
      </c>
      <c r="I47" s="1" t="n">
        <f aca="false" t="array" ref="I47:I47">_xlfn.SWITCH($A$2,"average", AVERAGE(Instances!I47:I47),"median", MEDIAN(Instances!I47:I47),"min", MIN(Instances!I47:I47),"max", MAX(Instances!I47:I47),"diff", MAX(Instances!I47:I47)-MIN(Instances!I47:I47))</f>
        <v>5.855</v>
      </c>
      <c r="J47" s="1" t="n">
        <f aca="false" t="array" ref="J47:J47">_xlfn.SWITCH($A$2,"average", AVERAGE(Instances!J47:J47),"median", MEDIAN(Instances!J47:J47),"min", MIN(Instances!J47:J47),"max", MAX(Instances!J47:J47),"diff", MAX(Instances!J47:J47)-MIN(Instances!J47:J47))</f>
        <v>6.03</v>
      </c>
      <c r="K47" s="1" t="n">
        <f aca="false" t="array" ref="K47:K47">_xlfn.SWITCH($A$2,"average", AVERAGE(Instances!K47:K47),"median", MEDIAN(Instances!K47:K47),"min", MIN(Instances!K47:K47),"max", MAX(Instances!K47:K47),"diff", MAX(Instances!K47:K47)-MIN(Instances!K47:K47))</f>
        <v>0</v>
      </c>
      <c r="L47" s="1"/>
      <c r="M47" s="1" t="n">
        <f aca="false" t="array" ref="M47:M47">_xlfn.SWITCH($A$2,"average", AVERAGE(Instances!M47:M47),"median", MEDIAN(Instances!M47:M47),"min", MIN(Instances!M47:M47),"max", MAX(Instances!M47:M47),"diff", MAX(Instances!M47:M47)-MIN(Instances!M47:M47))</f>
        <v>1286752</v>
      </c>
      <c r="N47" s="1" t="n">
        <f aca="false" t="array" ref="N47:N47">_xlfn.SWITCH($A$2,"average", AVERAGE(Instances!N47:N47),"median", MEDIAN(Instances!N47:N47),"min", MIN(Instances!N47:N47),"max", MAX(Instances!N47:N47),"diff", MAX(Instances!N47:N47)-MIN(Instances!N47:N47))</f>
        <v>0.05</v>
      </c>
      <c r="O47" s="1"/>
      <c r="P47" s="1" t="n">
        <f aca="false" t="array" ref="P47:P47">_xlfn.SWITCH($A$2,"average", AVERAGE(Instances!P47:P47),"median", MEDIAN(Instances!P47:P47),"min", MIN(Instances!P47:P47),"max", MAX(Instances!P47:P47),"diff", MAX(Instances!P47:P47)-MIN(Instances!P47:P47))</f>
        <v>6.03</v>
      </c>
      <c r="Q47" s="1" t="n">
        <f aca="false" t="array" ref="Q47:Q47">_xlfn.SWITCH($A$2,"average", AVERAGE(Instances!Q47:Q47),"median", MEDIAN(Instances!Q47:Q47),"min", MIN(Instances!Q47:Q47),"max", MAX(Instances!Q47:Q47),"diff", MAX(Instances!Q47:Q47)-MIN(Instances!Q47:Q47))</f>
        <v>0</v>
      </c>
      <c r="R47" s="1" t="n">
        <f aca="false" t="array" ref="R47:R47">_xlfn.SWITCH($A$2,"average", AVERAGE(Instances!R47:R47),"median", MEDIAN(Instances!R47:R47),"min", MIN(Instances!R47:R47),"max", MAX(Instances!R47:R47),"diff", MAX(Instances!R47:R47)-MIN(Instances!R47:R47))</f>
        <v>445144</v>
      </c>
      <c r="S47" s="1" t="n">
        <f aca="false">MIN($B47)</f>
        <v>1769</v>
      </c>
      <c r="T47" s="1" t="n">
        <f aca="false">MIN($C47)</f>
        <v>0</v>
      </c>
      <c r="U47" s="1" t="n">
        <f aca="false">MIN($D47)</f>
        <v>580257</v>
      </c>
      <c r="V47" s="1" t="n">
        <f aca="false">MIN($E47)</f>
        <v>0</v>
      </c>
      <c r="W47" s="1" t="n">
        <f aca="false">MIN($F47)</f>
        <v>453</v>
      </c>
      <c r="X47" s="1" t="n">
        <f aca="false">MIN($G47)</f>
        <v>0</v>
      </c>
      <c r="Y47" s="1" t="n">
        <f aca="false">MIN($H47)</f>
        <v>1</v>
      </c>
      <c r="Z47" s="1" t="n">
        <f aca="false">MIN($I47)</f>
        <v>5.855</v>
      </c>
      <c r="AA47" s="1" t="n">
        <f aca="false">MIN($J47)</f>
        <v>6.03</v>
      </c>
      <c r="AB47" s="1" t="n">
        <f aca="false">MIN($K47)</f>
        <v>0</v>
      </c>
      <c r="AC47" s="1" t="n">
        <f aca="false">MIN($M47)</f>
        <v>1286752</v>
      </c>
      <c r="AD47" s="1" t="n">
        <f aca="false">MIN($N47)</f>
        <v>0.05</v>
      </c>
      <c r="AE47" s="1" t="n">
        <f aca="false">MIN($P47)</f>
        <v>6.03</v>
      </c>
      <c r="AF47" s="1" t="n">
        <f aca="false">MIN($Q47)</f>
        <v>0</v>
      </c>
      <c r="AG47" s="1" t="n">
        <f aca="false">MIN($R47)</f>
        <v>445144</v>
      </c>
      <c r="AH47" s="1" t="n">
        <f aca="false">MEDIAN($B47)</f>
        <v>1769</v>
      </c>
      <c r="AI47" s="1" t="n">
        <f aca="false">MEDIAN($C47)</f>
        <v>0</v>
      </c>
      <c r="AJ47" s="1" t="n">
        <f aca="false">MEDIAN($D47)</f>
        <v>580257</v>
      </c>
      <c r="AK47" s="1" t="n">
        <f aca="false">MEDIAN($E47)</f>
        <v>0</v>
      </c>
      <c r="AL47" s="1" t="n">
        <f aca="false">MEDIAN($F47)</f>
        <v>453</v>
      </c>
      <c r="AM47" s="1" t="n">
        <f aca="false">MEDIAN($G47)</f>
        <v>0</v>
      </c>
      <c r="AN47" s="1" t="n">
        <f aca="false">MEDIAN($H47)</f>
        <v>1</v>
      </c>
      <c r="AO47" s="1" t="n">
        <f aca="false">MEDIAN($I47)</f>
        <v>5.855</v>
      </c>
      <c r="AP47" s="1" t="n">
        <f aca="false">MEDIAN($J47)</f>
        <v>6.03</v>
      </c>
      <c r="AQ47" s="1" t="n">
        <f aca="false">MEDIAN($K47)</f>
        <v>0</v>
      </c>
      <c r="AR47" s="1" t="n">
        <f aca="false">MEDIAN($M47)</f>
        <v>1286752</v>
      </c>
      <c r="AS47" s="1" t="n">
        <f aca="false">MEDIAN($N47)</f>
        <v>0.05</v>
      </c>
      <c r="AT47" s="1" t="n">
        <f aca="false">MEDIAN($P47)</f>
        <v>6.03</v>
      </c>
      <c r="AU47" s="1" t="n">
        <f aca="false">MEDIAN($Q47)</f>
        <v>0</v>
      </c>
      <c r="AV47" s="1" t="n">
        <f aca="false">MEDIAN($R47)</f>
        <v>445144</v>
      </c>
      <c r="AW47" s="1" t="n">
        <f aca="false">MAX($B47)</f>
        <v>1769</v>
      </c>
      <c r="AX47" s="1" t="n">
        <f aca="false">MAX($C47)</f>
        <v>0</v>
      </c>
      <c r="AY47" s="1" t="n">
        <f aca="false">MAX($D47)</f>
        <v>580257</v>
      </c>
      <c r="AZ47" s="1" t="n">
        <f aca="false">MAX($E47)</f>
        <v>0</v>
      </c>
      <c r="BA47" s="1" t="n">
        <f aca="false">MAX($F47)</f>
        <v>453</v>
      </c>
      <c r="BB47" s="1" t="n">
        <f aca="false">MAX($G47)</f>
        <v>0</v>
      </c>
      <c r="BC47" s="1" t="n">
        <f aca="false">MAX($H47)</f>
        <v>1</v>
      </c>
      <c r="BD47" s="1" t="n">
        <f aca="false">MAX($I47)</f>
        <v>5.855</v>
      </c>
      <c r="BE47" s="1" t="n">
        <f aca="false">MAX($J47)</f>
        <v>6.03</v>
      </c>
      <c r="BF47" s="1" t="n">
        <f aca="false">MAX($K47)</f>
        <v>0</v>
      </c>
      <c r="BG47" s="1" t="n">
        <f aca="false">MAX($M47)</f>
        <v>1286752</v>
      </c>
      <c r="BH47" s="1" t="n">
        <f aca="false">MAX($N47)</f>
        <v>0.05</v>
      </c>
      <c r="BI47" s="1" t="n">
        <f aca="false">MAX($P47)</f>
        <v>6.03</v>
      </c>
      <c r="BJ47" s="1" t="n">
        <f aca="false">MAX($Q47)</f>
        <v>0</v>
      </c>
      <c r="BK47" s="1" t="n">
        <f aca="false">MAX($R47)</f>
        <v>445144</v>
      </c>
    </row>
    <row r="48" customFormat="false" ht="15" hidden="false" customHeight="false" outlineLevel="0" collapsed="false">
      <c r="A48" s="1" t="s">
        <v>65</v>
      </c>
      <c r="B48" s="1" t="n">
        <f aca="false" t="array" ref="B48:B48">_xlfn.SWITCH($A$2,"average", AVERAGE(Instances!B48:B48),"median", MEDIAN(Instances!B48:B48),"min", MIN(Instances!B48:B48),"max", MAX(Instances!B48:B48),"diff", MAX(Instances!B48:B48)-MIN(Instances!B48:B48))</f>
        <v>1183</v>
      </c>
      <c r="C48" s="1" t="n">
        <f aca="false" t="array" ref="C48:C48">_xlfn.SWITCH($A$2,"average", AVERAGE(Instances!C48:C48),"median", MEDIAN(Instances!C48:C48),"min", MIN(Instances!C48:C48),"max", MAX(Instances!C48:C48),"diff", MAX(Instances!C48:C48)-MIN(Instances!C48:C48))</f>
        <v>0</v>
      </c>
      <c r="D48" s="1" t="n">
        <f aca="false" t="array" ref="D48:D48">_xlfn.SWITCH($A$2,"average", AVERAGE(Instances!D48:D48),"median", MEDIAN(Instances!D48:D48),"min", MIN(Instances!D48:D48),"max", MAX(Instances!D48:D48),"diff", MAX(Instances!D48:D48)-MIN(Instances!D48:D48))</f>
        <v>349849</v>
      </c>
      <c r="E48" s="1" t="n">
        <f aca="false" t="array" ref="E48:E48">_xlfn.SWITCH($A$2,"average", AVERAGE(Instances!E48:E48),"median", MEDIAN(Instances!E48:E48),"min", MIN(Instances!E48:E48),"max", MAX(Instances!E48:E48),"diff", MAX(Instances!E48:E48)-MIN(Instances!E48:E48))</f>
        <v>0</v>
      </c>
      <c r="F48" s="1" t="n">
        <f aca="false" t="array" ref="F48:F48">_xlfn.SWITCH($A$2,"average", AVERAGE(Instances!F48:F48),"median", MEDIAN(Instances!F48:F48),"min", MIN(Instances!F48:F48),"max", MAX(Instances!F48:F48),"diff", MAX(Instances!F48:F48)-MIN(Instances!F48:F48))</f>
        <v>337</v>
      </c>
      <c r="G48" s="1" t="n">
        <f aca="false" t="array" ref="G48:G48">_xlfn.SWITCH($A$2,"average", AVERAGE(Instances!G48:G48),"median", MEDIAN(Instances!G48:G48),"min", MIN(Instances!G48:G48),"max", MAX(Instances!G48:G48),"diff", MAX(Instances!G48:G48)-MIN(Instances!G48:G48))</f>
        <v>0</v>
      </c>
      <c r="H48" s="1" t="n">
        <f aca="false" t="array" ref="H48:H48">_xlfn.SWITCH($A$2,"average", AVERAGE(Instances!H48:H48),"median", MEDIAN(Instances!H48:H48),"min", MIN(Instances!H48:H48),"max", MAX(Instances!H48:H48),"diff", MAX(Instances!H48:H48)-MIN(Instances!H48:H48))</f>
        <v>1</v>
      </c>
      <c r="I48" s="1" t="n">
        <f aca="false" t="array" ref="I48:I48">_xlfn.SWITCH($A$2,"average", AVERAGE(Instances!I48:I48),"median", MEDIAN(Instances!I48:I48),"min", MIN(Instances!I48:I48),"max", MAX(Instances!I48:I48),"diff", MAX(Instances!I48:I48)-MIN(Instances!I48:I48))</f>
        <v>4.386</v>
      </c>
      <c r="J48" s="1" t="n">
        <f aca="false" t="array" ref="J48:J48">_xlfn.SWITCH($A$2,"average", AVERAGE(Instances!J48:J48),"median", MEDIAN(Instances!J48:J48),"min", MIN(Instances!J48:J48),"max", MAX(Instances!J48:J48),"diff", MAX(Instances!J48:J48)-MIN(Instances!J48:J48))</f>
        <v>4.51</v>
      </c>
      <c r="K48" s="1" t="n">
        <f aca="false" t="array" ref="K48:K48">_xlfn.SWITCH($A$2,"average", AVERAGE(Instances!K48:K48),"median", MEDIAN(Instances!K48:K48),"min", MIN(Instances!K48:K48),"max", MAX(Instances!K48:K48),"diff", MAX(Instances!K48:K48)-MIN(Instances!K48:K48))</f>
        <v>0</v>
      </c>
      <c r="L48" s="1"/>
      <c r="M48" s="1" t="n">
        <f aca="false" t="array" ref="M48:M48">_xlfn.SWITCH($A$2,"average", AVERAGE(Instances!M48:M48),"median", MEDIAN(Instances!M48:M48),"min", MIN(Instances!M48:M48),"max", MAX(Instances!M48:M48),"diff", MAX(Instances!M48:M48)-MIN(Instances!M48:M48))</f>
        <v>953731</v>
      </c>
      <c r="N48" s="1" t="n">
        <f aca="false" t="array" ref="N48:N48">_xlfn.SWITCH($A$2,"average", AVERAGE(Instances!N48:N48),"median", MEDIAN(Instances!N48:N48),"min", MIN(Instances!N48:N48),"max", MAX(Instances!N48:N48),"diff", MAX(Instances!N48:N48)-MIN(Instances!N48:N48))</f>
        <v>0.03</v>
      </c>
      <c r="O48" s="1"/>
      <c r="P48" s="1" t="n">
        <f aca="false" t="array" ref="P48:P48">_xlfn.SWITCH($A$2,"average", AVERAGE(Instances!P48:P48),"median", MEDIAN(Instances!P48:P48),"min", MIN(Instances!P48:P48),"max", MAX(Instances!P48:P48),"diff", MAX(Instances!P48:P48)-MIN(Instances!P48:P48))</f>
        <v>4.51</v>
      </c>
      <c r="Q48" s="1" t="n">
        <f aca="false" t="array" ref="Q48:Q48">_xlfn.SWITCH($A$2,"average", AVERAGE(Instances!Q48:Q48),"median", MEDIAN(Instances!Q48:Q48),"min", MIN(Instances!Q48:Q48),"max", MAX(Instances!Q48:Q48),"diff", MAX(Instances!Q48:Q48)-MIN(Instances!Q48:Q48))</f>
        <v>0</v>
      </c>
      <c r="R48" s="1" t="n">
        <f aca="false" t="array" ref="R48:R48">_xlfn.SWITCH($A$2,"average", AVERAGE(Instances!R48:R48),"median", MEDIAN(Instances!R48:R48),"min", MIN(Instances!R48:R48),"max", MAX(Instances!R48:R48),"diff", MAX(Instances!R48:R48)-MIN(Instances!R48:R48))</f>
        <v>333959</v>
      </c>
      <c r="S48" s="1" t="n">
        <f aca="false">MIN($B48)</f>
        <v>1183</v>
      </c>
      <c r="T48" s="1" t="n">
        <f aca="false">MIN($C48)</f>
        <v>0</v>
      </c>
      <c r="U48" s="1" t="n">
        <f aca="false">MIN($D48)</f>
        <v>349849</v>
      </c>
      <c r="V48" s="1" t="n">
        <f aca="false">MIN($E48)</f>
        <v>0</v>
      </c>
      <c r="W48" s="1" t="n">
        <f aca="false">MIN($F48)</f>
        <v>337</v>
      </c>
      <c r="X48" s="1" t="n">
        <f aca="false">MIN($G48)</f>
        <v>0</v>
      </c>
      <c r="Y48" s="1" t="n">
        <f aca="false">MIN($H48)</f>
        <v>1</v>
      </c>
      <c r="Z48" s="1" t="n">
        <f aca="false">MIN($I48)</f>
        <v>4.386</v>
      </c>
      <c r="AA48" s="1" t="n">
        <f aca="false">MIN($J48)</f>
        <v>4.51</v>
      </c>
      <c r="AB48" s="1" t="n">
        <f aca="false">MIN($K48)</f>
        <v>0</v>
      </c>
      <c r="AC48" s="1" t="n">
        <f aca="false">MIN($M48)</f>
        <v>953731</v>
      </c>
      <c r="AD48" s="1" t="n">
        <f aca="false">MIN($N48)</f>
        <v>0.03</v>
      </c>
      <c r="AE48" s="1" t="n">
        <f aca="false">MIN($P48)</f>
        <v>4.51</v>
      </c>
      <c r="AF48" s="1" t="n">
        <f aca="false">MIN($Q48)</f>
        <v>0</v>
      </c>
      <c r="AG48" s="1" t="n">
        <f aca="false">MIN($R48)</f>
        <v>333959</v>
      </c>
      <c r="AH48" s="1" t="n">
        <f aca="false">MEDIAN($B48)</f>
        <v>1183</v>
      </c>
      <c r="AI48" s="1" t="n">
        <f aca="false">MEDIAN($C48)</f>
        <v>0</v>
      </c>
      <c r="AJ48" s="1" t="n">
        <f aca="false">MEDIAN($D48)</f>
        <v>349849</v>
      </c>
      <c r="AK48" s="1" t="n">
        <f aca="false">MEDIAN($E48)</f>
        <v>0</v>
      </c>
      <c r="AL48" s="1" t="n">
        <f aca="false">MEDIAN($F48)</f>
        <v>337</v>
      </c>
      <c r="AM48" s="1" t="n">
        <f aca="false">MEDIAN($G48)</f>
        <v>0</v>
      </c>
      <c r="AN48" s="1" t="n">
        <f aca="false">MEDIAN($H48)</f>
        <v>1</v>
      </c>
      <c r="AO48" s="1" t="n">
        <f aca="false">MEDIAN($I48)</f>
        <v>4.386</v>
      </c>
      <c r="AP48" s="1" t="n">
        <f aca="false">MEDIAN($J48)</f>
        <v>4.51</v>
      </c>
      <c r="AQ48" s="1" t="n">
        <f aca="false">MEDIAN($K48)</f>
        <v>0</v>
      </c>
      <c r="AR48" s="1" t="n">
        <f aca="false">MEDIAN($M48)</f>
        <v>953731</v>
      </c>
      <c r="AS48" s="1" t="n">
        <f aca="false">MEDIAN($N48)</f>
        <v>0.03</v>
      </c>
      <c r="AT48" s="1" t="n">
        <f aca="false">MEDIAN($P48)</f>
        <v>4.51</v>
      </c>
      <c r="AU48" s="1" t="n">
        <f aca="false">MEDIAN($Q48)</f>
        <v>0</v>
      </c>
      <c r="AV48" s="1" t="n">
        <f aca="false">MEDIAN($R48)</f>
        <v>333959</v>
      </c>
      <c r="AW48" s="1" t="n">
        <f aca="false">MAX($B48)</f>
        <v>1183</v>
      </c>
      <c r="AX48" s="1" t="n">
        <f aca="false">MAX($C48)</f>
        <v>0</v>
      </c>
      <c r="AY48" s="1" t="n">
        <f aca="false">MAX($D48)</f>
        <v>349849</v>
      </c>
      <c r="AZ48" s="1" t="n">
        <f aca="false">MAX($E48)</f>
        <v>0</v>
      </c>
      <c r="BA48" s="1" t="n">
        <f aca="false">MAX($F48)</f>
        <v>337</v>
      </c>
      <c r="BB48" s="1" t="n">
        <f aca="false">MAX($G48)</f>
        <v>0</v>
      </c>
      <c r="BC48" s="1" t="n">
        <f aca="false">MAX($H48)</f>
        <v>1</v>
      </c>
      <c r="BD48" s="1" t="n">
        <f aca="false">MAX($I48)</f>
        <v>4.386</v>
      </c>
      <c r="BE48" s="1" t="n">
        <f aca="false">MAX($J48)</f>
        <v>4.51</v>
      </c>
      <c r="BF48" s="1" t="n">
        <f aca="false">MAX($K48)</f>
        <v>0</v>
      </c>
      <c r="BG48" s="1" t="n">
        <f aca="false">MAX($M48)</f>
        <v>953731</v>
      </c>
      <c r="BH48" s="1" t="n">
        <f aca="false">MAX($N48)</f>
        <v>0.03</v>
      </c>
      <c r="BI48" s="1" t="n">
        <f aca="false">MAX($P48)</f>
        <v>4.51</v>
      </c>
      <c r="BJ48" s="1" t="n">
        <f aca="false">MAX($Q48)</f>
        <v>0</v>
      </c>
      <c r="BK48" s="1" t="n">
        <f aca="false">MAX($R48)</f>
        <v>333959</v>
      </c>
    </row>
    <row r="49" customFormat="false" ht="15" hidden="false" customHeight="false" outlineLevel="0" collapsed="false">
      <c r="A49" s="1" t="s">
        <v>66</v>
      </c>
      <c r="B49" s="1" t="n">
        <f aca="false" t="array" ref="B49:B49">_xlfn.SWITCH($A$2,"average", AVERAGE(Instances!B49:B49),"median", MEDIAN(Instances!B49:B49),"min", MIN(Instances!B49:B49),"max", MAX(Instances!B49:B49),"diff", MAX(Instances!B49:B49)-MIN(Instances!B49:B49))</f>
        <v>1308</v>
      </c>
      <c r="C49" s="1" t="n">
        <f aca="false" t="array" ref="C49:C49">_xlfn.SWITCH($A$2,"average", AVERAGE(Instances!C49:C49),"median", MEDIAN(Instances!C49:C49),"min", MIN(Instances!C49:C49),"max", MAX(Instances!C49:C49),"diff", MAX(Instances!C49:C49)-MIN(Instances!C49:C49))</f>
        <v>3</v>
      </c>
      <c r="D49" s="1" t="n">
        <f aca="false" t="array" ref="D49:D49">_xlfn.SWITCH($A$2,"average", AVERAGE(Instances!D49:D49),"median", MEDIAN(Instances!D49:D49),"min", MIN(Instances!D49:D49),"max", MAX(Instances!D49:D49),"diff", MAX(Instances!D49:D49)-MIN(Instances!D49:D49))</f>
        <v>716719</v>
      </c>
      <c r="E49" s="1" t="n">
        <f aca="false" t="array" ref="E49:E49">_xlfn.SWITCH($A$2,"average", AVERAGE(Instances!E49:E49),"median", MEDIAN(Instances!E49:E49),"min", MIN(Instances!E49:E49),"max", MAX(Instances!E49:E49),"diff", MAX(Instances!E49:E49)-MIN(Instances!E49:E49))</f>
        <v>0</v>
      </c>
      <c r="F49" s="1" t="n">
        <f aca="false" t="array" ref="F49:F49">_xlfn.SWITCH($A$2,"average", AVERAGE(Instances!F49:F49),"median", MEDIAN(Instances!F49:F49),"min", MIN(Instances!F49:F49),"max", MAX(Instances!F49:F49),"diff", MAX(Instances!F49:F49)-MIN(Instances!F49:F49))</f>
        <v>495</v>
      </c>
      <c r="G49" s="1" t="n">
        <f aca="false" t="array" ref="G49:G49">_xlfn.SWITCH($A$2,"average", AVERAGE(Instances!G49:G49),"median", MEDIAN(Instances!G49:G49),"min", MIN(Instances!G49:G49),"max", MAX(Instances!G49:G49),"diff", MAX(Instances!G49:G49)-MIN(Instances!G49:G49))</f>
        <v>0</v>
      </c>
      <c r="H49" s="1" t="n">
        <f aca="false" t="array" ref="H49:H49">_xlfn.SWITCH($A$2,"average", AVERAGE(Instances!H49:H49),"median", MEDIAN(Instances!H49:H49),"min", MIN(Instances!H49:H49),"max", MAX(Instances!H49:H49),"diff", MAX(Instances!H49:H49)-MIN(Instances!H49:H49))</f>
        <v>1</v>
      </c>
      <c r="I49" s="1" t="n">
        <f aca="false" t="array" ref="I49:I49">_xlfn.SWITCH($A$2,"average", AVERAGE(Instances!I49:I49),"median", MEDIAN(Instances!I49:I49),"min", MIN(Instances!I49:I49),"max", MAX(Instances!I49:I49),"diff", MAX(Instances!I49:I49)-MIN(Instances!I49:I49))</f>
        <v>6.722</v>
      </c>
      <c r="J49" s="1" t="n">
        <f aca="false" t="array" ref="J49:J49">_xlfn.SWITCH($A$2,"average", AVERAGE(Instances!J49:J49),"median", MEDIAN(Instances!J49:J49),"min", MIN(Instances!J49:J49),"max", MAX(Instances!J49:J49),"diff", MAX(Instances!J49:J49)-MIN(Instances!J49:J49))</f>
        <v>6.91</v>
      </c>
      <c r="K49" s="1" t="n">
        <f aca="false" t="array" ref="K49:K49">_xlfn.SWITCH($A$2,"average", AVERAGE(Instances!K49:K49),"median", MEDIAN(Instances!K49:K49),"min", MIN(Instances!K49:K49),"max", MAX(Instances!K49:K49),"diff", MAX(Instances!K49:K49)-MIN(Instances!K49:K49))</f>
        <v>0</v>
      </c>
      <c r="L49" s="1"/>
      <c r="M49" s="1" t="n">
        <f aca="false" t="array" ref="M49:M49">_xlfn.SWITCH($A$2,"average", AVERAGE(Instances!M49:M49),"median", MEDIAN(Instances!M49:M49),"min", MIN(Instances!M49:M49),"max", MAX(Instances!M49:M49),"diff", MAX(Instances!M49:M49)-MIN(Instances!M49:M49))</f>
        <v>1507550</v>
      </c>
      <c r="N49" s="1" t="n">
        <f aca="false" t="array" ref="N49:N49">_xlfn.SWITCH($A$2,"average", AVERAGE(Instances!N49:N49),"median", MEDIAN(Instances!N49:N49),"min", MIN(Instances!N49:N49),"max", MAX(Instances!N49:N49),"diff", MAX(Instances!N49:N49)-MIN(Instances!N49:N49))</f>
        <v>0.06</v>
      </c>
      <c r="O49" s="1"/>
      <c r="P49" s="1" t="n">
        <f aca="false" t="array" ref="P49:P49">_xlfn.SWITCH($A$2,"average", AVERAGE(Instances!P49:P49),"median", MEDIAN(Instances!P49:P49),"min", MIN(Instances!P49:P49),"max", MAX(Instances!P49:P49),"diff", MAX(Instances!P49:P49)-MIN(Instances!P49:P49))</f>
        <v>6.91</v>
      </c>
      <c r="Q49" s="1" t="n">
        <f aca="false" t="array" ref="Q49:Q49">_xlfn.SWITCH($A$2,"average", AVERAGE(Instances!Q49:Q49),"median", MEDIAN(Instances!Q49:Q49),"min", MIN(Instances!Q49:Q49),"max", MAX(Instances!Q49:Q49),"diff", MAX(Instances!Q49:Q49)-MIN(Instances!Q49:Q49))</f>
        <v>0</v>
      </c>
      <c r="R49" s="1" t="n">
        <f aca="false" t="array" ref="R49:R49">_xlfn.SWITCH($A$2,"average", AVERAGE(Instances!R49:R49),"median", MEDIAN(Instances!R49:R49),"min", MIN(Instances!R49:R49),"max", MAX(Instances!R49:R49),"diff", MAX(Instances!R49:R49)-MIN(Instances!R49:R49))</f>
        <v>500750</v>
      </c>
      <c r="S49" s="1" t="n">
        <f aca="false">MIN($B49)</f>
        <v>1308</v>
      </c>
      <c r="T49" s="1" t="n">
        <f aca="false">MIN($C49)</f>
        <v>3</v>
      </c>
      <c r="U49" s="1" t="n">
        <f aca="false">MIN($D49)</f>
        <v>716719</v>
      </c>
      <c r="V49" s="1" t="n">
        <f aca="false">MIN($E49)</f>
        <v>0</v>
      </c>
      <c r="W49" s="1" t="n">
        <f aca="false">MIN($F49)</f>
        <v>495</v>
      </c>
      <c r="X49" s="1" t="n">
        <f aca="false">MIN($G49)</f>
        <v>0</v>
      </c>
      <c r="Y49" s="1" t="n">
        <f aca="false">MIN($H49)</f>
        <v>1</v>
      </c>
      <c r="Z49" s="1" t="n">
        <f aca="false">MIN($I49)</f>
        <v>6.722</v>
      </c>
      <c r="AA49" s="1" t="n">
        <f aca="false">MIN($J49)</f>
        <v>6.91</v>
      </c>
      <c r="AB49" s="1" t="n">
        <f aca="false">MIN($K49)</f>
        <v>0</v>
      </c>
      <c r="AC49" s="1" t="n">
        <f aca="false">MIN($M49)</f>
        <v>1507550</v>
      </c>
      <c r="AD49" s="1" t="n">
        <f aca="false">MIN($N49)</f>
        <v>0.06</v>
      </c>
      <c r="AE49" s="1" t="n">
        <f aca="false">MIN($P49)</f>
        <v>6.91</v>
      </c>
      <c r="AF49" s="1" t="n">
        <f aca="false">MIN($Q49)</f>
        <v>0</v>
      </c>
      <c r="AG49" s="1" t="n">
        <f aca="false">MIN($R49)</f>
        <v>500750</v>
      </c>
      <c r="AH49" s="1" t="n">
        <f aca="false">MEDIAN($B49)</f>
        <v>1308</v>
      </c>
      <c r="AI49" s="1" t="n">
        <f aca="false">MEDIAN($C49)</f>
        <v>3</v>
      </c>
      <c r="AJ49" s="1" t="n">
        <f aca="false">MEDIAN($D49)</f>
        <v>716719</v>
      </c>
      <c r="AK49" s="1" t="n">
        <f aca="false">MEDIAN($E49)</f>
        <v>0</v>
      </c>
      <c r="AL49" s="1" t="n">
        <f aca="false">MEDIAN($F49)</f>
        <v>495</v>
      </c>
      <c r="AM49" s="1" t="n">
        <f aca="false">MEDIAN($G49)</f>
        <v>0</v>
      </c>
      <c r="AN49" s="1" t="n">
        <f aca="false">MEDIAN($H49)</f>
        <v>1</v>
      </c>
      <c r="AO49" s="1" t="n">
        <f aca="false">MEDIAN($I49)</f>
        <v>6.722</v>
      </c>
      <c r="AP49" s="1" t="n">
        <f aca="false">MEDIAN($J49)</f>
        <v>6.91</v>
      </c>
      <c r="AQ49" s="1" t="n">
        <f aca="false">MEDIAN($K49)</f>
        <v>0</v>
      </c>
      <c r="AR49" s="1" t="n">
        <f aca="false">MEDIAN($M49)</f>
        <v>1507550</v>
      </c>
      <c r="AS49" s="1" t="n">
        <f aca="false">MEDIAN($N49)</f>
        <v>0.06</v>
      </c>
      <c r="AT49" s="1" t="n">
        <f aca="false">MEDIAN($P49)</f>
        <v>6.91</v>
      </c>
      <c r="AU49" s="1" t="n">
        <f aca="false">MEDIAN($Q49)</f>
        <v>0</v>
      </c>
      <c r="AV49" s="1" t="n">
        <f aca="false">MEDIAN($R49)</f>
        <v>500750</v>
      </c>
      <c r="AW49" s="1" t="n">
        <f aca="false">MAX($B49)</f>
        <v>1308</v>
      </c>
      <c r="AX49" s="1" t="n">
        <f aca="false">MAX($C49)</f>
        <v>3</v>
      </c>
      <c r="AY49" s="1" t="n">
        <f aca="false">MAX($D49)</f>
        <v>716719</v>
      </c>
      <c r="AZ49" s="1" t="n">
        <f aca="false">MAX($E49)</f>
        <v>0</v>
      </c>
      <c r="BA49" s="1" t="n">
        <f aca="false">MAX($F49)</f>
        <v>495</v>
      </c>
      <c r="BB49" s="1" t="n">
        <f aca="false">MAX($G49)</f>
        <v>0</v>
      </c>
      <c r="BC49" s="1" t="n">
        <f aca="false">MAX($H49)</f>
        <v>1</v>
      </c>
      <c r="BD49" s="1" t="n">
        <f aca="false">MAX($I49)</f>
        <v>6.722</v>
      </c>
      <c r="BE49" s="1" t="n">
        <f aca="false">MAX($J49)</f>
        <v>6.91</v>
      </c>
      <c r="BF49" s="1" t="n">
        <f aca="false">MAX($K49)</f>
        <v>0</v>
      </c>
      <c r="BG49" s="1" t="n">
        <f aca="false">MAX($M49)</f>
        <v>1507550</v>
      </c>
      <c r="BH49" s="1" t="n">
        <f aca="false">MAX($N49)</f>
        <v>0.06</v>
      </c>
      <c r="BI49" s="1" t="n">
        <f aca="false">MAX($P49)</f>
        <v>6.91</v>
      </c>
      <c r="BJ49" s="1" t="n">
        <f aca="false">MAX($Q49)</f>
        <v>0</v>
      </c>
      <c r="BK49" s="1" t="n">
        <f aca="false">MAX($R49)</f>
        <v>500750</v>
      </c>
    </row>
    <row r="50" customFormat="false" ht="15" hidden="false" customHeight="false" outlineLevel="0" collapsed="false">
      <c r="A50" s="1" t="s">
        <v>67</v>
      </c>
      <c r="B50" s="1" t="n">
        <f aca="false" t="array" ref="B50:B50">_xlfn.SWITCH($A$2,"average", AVERAGE(Instances!B50:B50),"median", MEDIAN(Instances!B50:B50),"min", MIN(Instances!B50:B50),"max", MAX(Instances!B50:B50),"diff", MAX(Instances!B50:B50)-MIN(Instances!B50:B50))</f>
        <v>3380</v>
      </c>
      <c r="C50" s="1" t="n">
        <f aca="false" t="array" ref="C50:C50">_xlfn.SWITCH($A$2,"average", AVERAGE(Instances!C50:C50),"median", MEDIAN(Instances!C50:C50),"min", MIN(Instances!C50:C50),"max", MAX(Instances!C50:C50),"diff", MAX(Instances!C50:C50)-MIN(Instances!C50:C50))</f>
        <v>61</v>
      </c>
      <c r="D50" s="1" t="n">
        <f aca="false" t="array" ref="D50:D50">_xlfn.SWITCH($A$2,"average", AVERAGE(Instances!D50:D50),"median", MEDIAN(Instances!D50:D50),"min", MIN(Instances!D50:D50),"max", MAX(Instances!D50:D50),"diff", MAX(Instances!D50:D50)-MIN(Instances!D50:D50))</f>
        <v>845474</v>
      </c>
      <c r="E50" s="1" t="n">
        <f aca="false" t="array" ref="E50:E50">_xlfn.SWITCH($A$2,"average", AVERAGE(Instances!E50:E50),"median", MEDIAN(Instances!E50:E50),"min", MIN(Instances!E50:E50),"max", MAX(Instances!E50:E50),"diff", MAX(Instances!E50:E50)-MIN(Instances!E50:E50))</f>
        <v>0</v>
      </c>
      <c r="F50" s="1" t="n">
        <f aca="false" t="array" ref="F50:F50">_xlfn.SWITCH($A$2,"average", AVERAGE(Instances!F50:F50),"median", MEDIAN(Instances!F50:F50),"min", MIN(Instances!F50:F50),"max", MAX(Instances!F50:F50),"diff", MAX(Instances!F50:F50)-MIN(Instances!F50:F50))</f>
        <v>562</v>
      </c>
      <c r="G50" s="1" t="n">
        <f aca="false" t="array" ref="G50:G50">_xlfn.SWITCH($A$2,"average", AVERAGE(Instances!G50:G50),"median", MEDIAN(Instances!G50:G50),"min", MIN(Instances!G50:G50),"max", MAX(Instances!G50:G50),"diff", MAX(Instances!G50:G50)-MIN(Instances!G50:G50))</f>
        <v>0</v>
      </c>
      <c r="H50" s="1" t="n">
        <f aca="false" t="array" ref="H50:H50">_xlfn.SWITCH($A$2,"average", AVERAGE(Instances!H50:H50),"median", MEDIAN(Instances!H50:H50),"min", MIN(Instances!H50:H50),"max", MAX(Instances!H50:H50),"diff", MAX(Instances!H50:H50)-MIN(Instances!H50:H50))</f>
        <v>1</v>
      </c>
      <c r="I50" s="1" t="n">
        <f aca="false" t="array" ref="I50:I50">_xlfn.SWITCH($A$2,"average", AVERAGE(Instances!I50:I50),"median", MEDIAN(Instances!I50:I50),"min", MIN(Instances!I50:I50),"max", MAX(Instances!I50:I50),"diff", MAX(Instances!I50:I50)-MIN(Instances!I50:I50))</f>
        <v>7.776</v>
      </c>
      <c r="J50" s="1" t="n">
        <f aca="false" t="array" ref="J50:J50">_xlfn.SWITCH($A$2,"average", AVERAGE(Instances!J50:J50),"median", MEDIAN(Instances!J50:J50),"min", MIN(Instances!J50:J50),"max", MAX(Instances!J50:J50),"diff", MAX(Instances!J50:J50)-MIN(Instances!J50:J50))</f>
        <v>7.99</v>
      </c>
      <c r="K50" s="1" t="n">
        <f aca="false" t="array" ref="K50:K50">_xlfn.SWITCH($A$2,"average", AVERAGE(Instances!K50:K50),"median", MEDIAN(Instances!K50:K50),"min", MIN(Instances!K50:K50),"max", MAX(Instances!K50:K50),"diff", MAX(Instances!K50:K50)-MIN(Instances!K50:K50))</f>
        <v>1</v>
      </c>
      <c r="L50" s="1"/>
      <c r="M50" s="1" t="n">
        <f aca="false" t="array" ref="M50:M50">_xlfn.SWITCH($A$2,"average", AVERAGE(Instances!M50:M50),"median", MEDIAN(Instances!M50:M50),"min", MIN(Instances!M50:M50),"max", MAX(Instances!M50:M50),"diff", MAX(Instances!M50:M50)-MIN(Instances!M50:M50))</f>
        <v>1746035</v>
      </c>
      <c r="N50" s="1" t="n">
        <f aca="false" t="array" ref="N50:N50">_xlfn.SWITCH($A$2,"average", AVERAGE(Instances!N50:N50),"median", MEDIAN(Instances!N50:N50),"min", MIN(Instances!N50:N50),"max", MAX(Instances!N50:N50),"diff", MAX(Instances!N50:N50)-MIN(Instances!N50:N50))</f>
        <v>0.17</v>
      </c>
      <c r="O50" s="1"/>
      <c r="P50" s="1" t="n">
        <f aca="false" t="array" ref="P50:P50">_xlfn.SWITCH($A$2,"average", AVERAGE(Instances!P50:P50),"median", MEDIAN(Instances!P50:P50),"min", MIN(Instances!P50:P50),"max", MAX(Instances!P50:P50),"diff", MAX(Instances!P50:P50)-MIN(Instances!P50:P50))</f>
        <v>7.99</v>
      </c>
      <c r="Q50" s="1" t="n">
        <f aca="false" t="array" ref="Q50:Q50">_xlfn.SWITCH($A$2,"average", AVERAGE(Instances!Q50:Q50),"median", MEDIAN(Instances!Q50:Q50),"min", MIN(Instances!Q50:Q50),"max", MAX(Instances!Q50:Q50),"diff", MAX(Instances!Q50:Q50)-MIN(Instances!Q50:Q50))</f>
        <v>0</v>
      </c>
      <c r="R50" s="1" t="n">
        <f aca="false" t="array" ref="R50:R50">_xlfn.SWITCH($A$2,"average", AVERAGE(Instances!R50:R50),"median", MEDIAN(Instances!R50:R50),"min", MIN(Instances!R50:R50),"max", MAX(Instances!R50:R50),"diff", MAX(Instances!R50:R50)-MIN(Instances!R50:R50))</f>
        <v>576288</v>
      </c>
      <c r="S50" s="1" t="n">
        <f aca="false">MIN($B50)</f>
        <v>3380</v>
      </c>
      <c r="T50" s="1" t="n">
        <f aca="false">MIN($C50)</f>
        <v>61</v>
      </c>
      <c r="U50" s="1" t="n">
        <f aca="false">MIN($D50)</f>
        <v>845474</v>
      </c>
      <c r="V50" s="1" t="n">
        <f aca="false">MIN($E50)</f>
        <v>0</v>
      </c>
      <c r="W50" s="1" t="n">
        <f aca="false">MIN($F50)</f>
        <v>562</v>
      </c>
      <c r="X50" s="1" t="n">
        <f aca="false">MIN($G50)</f>
        <v>0</v>
      </c>
      <c r="Y50" s="1" t="n">
        <f aca="false">MIN($H50)</f>
        <v>1</v>
      </c>
      <c r="Z50" s="1" t="n">
        <f aca="false">MIN($I50)</f>
        <v>7.776</v>
      </c>
      <c r="AA50" s="1" t="n">
        <f aca="false">MIN($J50)</f>
        <v>7.99</v>
      </c>
      <c r="AB50" s="1" t="n">
        <f aca="false">MIN($K50)</f>
        <v>1</v>
      </c>
      <c r="AC50" s="1" t="n">
        <f aca="false">MIN($M50)</f>
        <v>1746035</v>
      </c>
      <c r="AD50" s="1" t="n">
        <f aca="false">MIN($N50)</f>
        <v>0.17</v>
      </c>
      <c r="AE50" s="1" t="n">
        <f aca="false">MIN($P50)</f>
        <v>7.99</v>
      </c>
      <c r="AF50" s="1" t="n">
        <f aca="false">MIN($Q50)</f>
        <v>0</v>
      </c>
      <c r="AG50" s="1" t="n">
        <f aca="false">MIN($R50)</f>
        <v>576288</v>
      </c>
      <c r="AH50" s="1" t="n">
        <f aca="false">MEDIAN($B50)</f>
        <v>3380</v>
      </c>
      <c r="AI50" s="1" t="n">
        <f aca="false">MEDIAN($C50)</f>
        <v>61</v>
      </c>
      <c r="AJ50" s="1" t="n">
        <f aca="false">MEDIAN($D50)</f>
        <v>845474</v>
      </c>
      <c r="AK50" s="1" t="n">
        <f aca="false">MEDIAN($E50)</f>
        <v>0</v>
      </c>
      <c r="AL50" s="1" t="n">
        <f aca="false">MEDIAN($F50)</f>
        <v>562</v>
      </c>
      <c r="AM50" s="1" t="n">
        <f aca="false">MEDIAN($G50)</f>
        <v>0</v>
      </c>
      <c r="AN50" s="1" t="n">
        <f aca="false">MEDIAN($H50)</f>
        <v>1</v>
      </c>
      <c r="AO50" s="1" t="n">
        <f aca="false">MEDIAN($I50)</f>
        <v>7.776</v>
      </c>
      <c r="AP50" s="1" t="n">
        <f aca="false">MEDIAN($J50)</f>
        <v>7.99</v>
      </c>
      <c r="AQ50" s="1" t="n">
        <f aca="false">MEDIAN($K50)</f>
        <v>1</v>
      </c>
      <c r="AR50" s="1" t="n">
        <f aca="false">MEDIAN($M50)</f>
        <v>1746035</v>
      </c>
      <c r="AS50" s="1" t="n">
        <f aca="false">MEDIAN($N50)</f>
        <v>0.17</v>
      </c>
      <c r="AT50" s="1" t="n">
        <f aca="false">MEDIAN($P50)</f>
        <v>7.99</v>
      </c>
      <c r="AU50" s="1" t="n">
        <f aca="false">MEDIAN($Q50)</f>
        <v>0</v>
      </c>
      <c r="AV50" s="1" t="n">
        <f aca="false">MEDIAN($R50)</f>
        <v>576288</v>
      </c>
      <c r="AW50" s="1" t="n">
        <f aca="false">MAX($B50)</f>
        <v>3380</v>
      </c>
      <c r="AX50" s="1" t="n">
        <f aca="false">MAX($C50)</f>
        <v>61</v>
      </c>
      <c r="AY50" s="1" t="n">
        <f aca="false">MAX($D50)</f>
        <v>845474</v>
      </c>
      <c r="AZ50" s="1" t="n">
        <f aca="false">MAX($E50)</f>
        <v>0</v>
      </c>
      <c r="BA50" s="1" t="n">
        <f aca="false">MAX($F50)</f>
        <v>562</v>
      </c>
      <c r="BB50" s="1" t="n">
        <f aca="false">MAX($G50)</f>
        <v>0</v>
      </c>
      <c r="BC50" s="1" t="n">
        <f aca="false">MAX($H50)</f>
        <v>1</v>
      </c>
      <c r="BD50" s="1" t="n">
        <f aca="false">MAX($I50)</f>
        <v>7.776</v>
      </c>
      <c r="BE50" s="1" t="n">
        <f aca="false">MAX($J50)</f>
        <v>7.99</v>
      </c>
      <c r="BF50" s="1" t="n">
        <f aca="false">MAX($K50)</f>
        <v>1</v>
      </c>
      <c r="BG50" s="1" t="n">
        <f aca="false">MAX($M50)</f>
        <v>1746035</v>
      </c>
      <c r="BH50" s="1" t="n">
        <f aca="false">MAX($N50)</f>
        <v>0.17</v>
      </c>
      <c r="BI50" s="1" t="n">
        <f aca="false">MAX($P50)</f>
        <v>7.99</v>
      </c>
      <c r="BJ50" s="1" t="n">
        <f aca="false">MAX($Q50)</f>
        <v>0</v>
      </c>
      <c r="BK50" s="1" t="n">
        <f aca="false">MAX($R50)</f>
        <v>576288</v>
      </c>
    </row>
    <row r="51" customFormat="false" ht="15" hidden="false" customHeight="false" outlineLevel="0" collapsed="false">
      <c r="A51" s="1" t="s">
        <v>68</v>
      </c>
      <c r="B51" s="1" t="n">
        <f aca="false" t="array" ref="B51:B51">_xlfn.SWITCH($A$2,"average", AVERAGE(Instances!B51:B51),"median", MEDIAN(Instances!B51:B51),"min", MIN(Instances!B51:B51),"max", MAX(Instances!B51:B51),"diff", MAX(Instances!B51:B51)-MIN(Instances!B51:B51))</f>
        <v>860</v>
      </c>
      <c r="C51" s="1" t="n">
        <f aca="false" t="array" ref="C51:C51">_xlfn.SWITCH($A$2,"average", AVERAGE(Instances!C51:C51),"median", MEDIAN(Instances!C51:C51),"min", MIN(Instances!C51:C51),"max", MAX(Instances!C51:C51),"diff", MAX(Instances!C51:C51)-MIN(Instances!C51:C51))</f>
        <v>0</v>
      </c>
      <c r="D51" s="1" t="n">
        <f aca="false" t="array" ref="D51:D51">_xlfn.SWITCH($A$2,"average", AVERAGE(Instances!D51:D51),"median", MEDIAN(Instances!D51:D51),"min", MIN(Instances!D51:D51),"max", MAX(Instances!D51:D51),"diff", MAX(Instances!D51:D51)-MIN(Instances!D51:D51))</f>
        <v>509595</v>
      </c>
      <c r="E51" s="1" t="n">
        <f aca="false" t="array" ref="E51:E51">_xlfn.SWITCH($A$2,"average", AVERAGE(Instances!E51:E51),"median", MEDIAN(Instances!E51:E51),"min", MIN(Instances!E51:E51),"max", MAX(Instances!E51:E51),"diff", MAX(Instances!E51:E51)-MIN(Instances!E51:E51))</f>
        <v>0</v>
      </c>
      <c r="F51" s="1" t="n">
        <f aca="false" t="array" ref="F51:F51">_xlfn.SWITCH($A$2,"average", AVERAGE(Instances!F51:F51),"median", MEDIAN(Instances!F51:F51),"min", MIN(Instances!F51:F51),"max", MAX(Instances!F51:F51),"diff", MAX(Instances!F51:F51)-MIN(Instances!F51:F51))</f>
        <v>420</v>
      </c>
      <c r="G51" s="1" t="n">
        <f aca="false" t="array" ref="G51:G51">_xlfn.SWITCH($A$2,"average", AVERAGE(Instances!G51:G51),"median", MEDIAN(Instances!G51:G51),"min", MIN(Instances!G51:G51),"max", MAX(Instances!G51:G51),"diff", MAX(Instances!G51:G51)-MIN(Instances!G51:G51))</f>
        <v>0</v>
      </c>
      <c r="H51" s="1" t="n">
        <f aca="false" t="array" ref="H51:H51">_xlfn.SWITCH($A$2,"average", AVERAGE(Instances!H51:H51),"median", MEDIAN(Instances!H51:H51),"min", MIN(Instances!H51:H51),"max", MAX(Instances!H51:H51),"diff", MAX(Instances!H51:H51)-MIN(Instances!H51:H51))</f>
        <v>1</v>
      </c>
      <c r="I51" s="1" t="n">
        <f aca="false" t="array" ref="I51:I51">_xlfn.SWITCH($A$2,"average", AVERAGE(Instances!I51:I51),"median", MEDIAN(Instances!I51:I51),"min", MIN(Instances!I51:I51),"max", MAX(Instances!I51:I51),"diff", MAX(Instances!I51:I51)-MIN(Instances!I51:I51))</f>
        <v>5.481</v>
      </c>
      <c r="J51" s="1" t="n">
        <f aca="false" t="array" ref="J51:J51">_xlfn.SWITCH($A$2,"average", AVERAGE(Instances!J51:J51),"median", MEDIAN(Instances!J51:J51),"min", MIN(Instances!J51:J51),"max", MAX(Instances!J51:J51),"diff", MAX(Instances!J51:J51)-MIN(Instances!J51:J51))</f>
        <v>5.63</v>
      </c>
      <c r="K51" s="1" t="n">
        <f aca="false" t="array" ref="K51:K51">_xlfn.SWITCH($A$2,"average", AVERAGE(Instances!K51:K51),"median", MEDIAN(Instances!K51:K51),"min", MIN(Instances!K51:K51),"max", MAX(Instances!K51:K51),"diff", MAX(Instances!K51:K51)-MIN(Instances!K51:K51))</f>
        <v>0</v>
      </c>
      <c r="L51" s="1"/>
      <c r="M51" s="1" t="n">
        <f aca="false" t="array" ref="M51:M51">_xlfn.SWITCH($A$2,"average", AVERAGE(Instances!M51:M51),"median", MEDIAN(Instances!M51:M51),"min", MIN(Instances!M51:M51),"max", MAX(Instances!M51:M51),"diff", MAX(Instances!M51:M51)-MIN(Instances!M51:M51))</f>
        <v>1191947</v>
      </c>
      <c r="N51" s="1" t="n">
        <f aca="false" t="array" ref="N51:N51">_xlfn.SWITCH($A$2,"average", AVERAGE(Instances!N51:N51),"median", MEDIAN(Instances!N51:N51),"min", MIN(Instances!N51:N51),"max", MAX(Instances!N51:N51),"diff", MAX(Instances!N51:N51)-MIN(Instances!N51:N51))</f>
        <v>0.04</v>
      </c>
      <c r="O51" s="1"/>
      <c r="P51" s="1" t="n">
        <f aca="false" t="array" ref="P51:P51">_xlfn.SWITCH($A$2,"average", AVERAGE(Instances!P51:P51),"median", MEDIAN(Instances!P51:P51),"min", MIN(Instances!P51:P51),"max", MAX(Instances!P51:P51),"diff", MAX(Instances!P51:P51)-MIN(Instances!P51:P51))</f>
        <v>5.63</v>
      </c>
      <c r="Q51" s="1" t="n">
        <f aca="false" t="array" ref="Q51:Q51">_xlfn.SWITCH($A$2,"average", AVERAGE(Instances!Q51:Q51),"median", MEDIAN(Instances!Q51:Q51),"min", MIN(Instances!Q51:Q51),"max", MAX(Instances!Q51:Q51),"diff", MAX(Instances!Q51:Q51)-MIN(Instances!Q51:Q51))</f>
        <v>0</v>
      </c>
      <c r="R51" s="1" t="n">
        <f aca="false" t="array" ref="R51:R51">_xlfn.SWITCH($A$2,"average", AVERAGE(Instances!R51:R51),"median", MEDIAN(Instances!R51:R51),"min", MIN(Instances!R51:R51),"max", MAX(Instances!R51:R51),"diff", MAX(Instances!R51:R51)-MIN(Instances!R51:R51))</f>
        <v>414476</v>
      </c>
      <c r="S51" s="1" t="n">
        <f aca="false">MIN($B51)</f>
        <v>860</v>
      </c>
      <c r="T51" s="1" t="n">
        <f aca="false">MIN($C51)</f>
        <v>0</v>
      </c>
      <c r="U51" s="1" t="n">
        <f aca="false">MIN($D51)</f>
        <v>509595</v>
      </c>
      <c r="V51" s="1" t="n">
        <f aca="false">MIN($E51)</f>
        <v>0</v>
      </c>
      <c r="W51" s="1" t="n">
        <f aca="false">MIN($F51)</f>
        <v>420</v>
      </c>
      <c r="X51" s="1" t="n">
        <f aca="false">MIN($G51)</f>
        <v>0</v>
      </c>
      <c r="Y51" s="1" t="n">
        <f aca="false">MIN($H51)</f>
        <v>1</v>
      </c>
      <c r="Z51" s="1" t="n">
        <f aca="false">MIN($I51)</f>
        <v>5.481</v>
      </c>
      <c r="AA51" s="1" t="n">
        <f aca="false">MIN($J51)</f>
        <v>5.63</v>
      </c>
      <c r="AB51" s="1" t="n">
        <f aca="false">MIN($K51)</f>
        <v>0</v>
      </c>
      <c r="AC51" s="1" t="n">
        <f aca="false">MIN($M51)</f>
        <v>1191947</v>
      </c>
      <c r="AD51" s="1" t="n">
        <f aca="false">MIN($N51)</f>
        <v>0.04</v>
      </c>
      <c r="AE51" s="1" t="n">
        <f aca="false">MIN($P51)</f>
        <v>5.63</v>
      </c>
      <c r="AF51" s="1" t="n">
        <f aca="false">MIN($Q51)</f>
        <v>0</v>
      </c>
      <c r="AG51" s="1" t="n">
        <f aca="false">MIN($R51)</f>
        <v>414476</v>
      </c>
      <c r="AH51" s="1" t="n">
        <f aca="false">MEDIAN($B51)</f>
        <v>860</v>
      </c>
      <c r="AI51" s="1" t="n">
        <f aca="false">MEDIAN($C51)</f>
        <v>0</v>
      </c>
      <c r="AJ51" s="1" t="n">
        <f aca="false">MEDIAN($D51)</f>
        <v>509595</v>
      </c>
      <c r="AK51" s="1" t="n">
        <f aca="false">MEDIAN($E51)</f>
        <v>0</v>
      </c>
      <c r="AL51" s="1" t="n">
        <f aca="false">MEDIAN($F51)</f>
        <v>420</v>
      </c>
      <c r="AM51" s="1" t="n">
        <f aca="false">MEDIAN($G51)</f>
        <v>0</v>
      </c>
      <c r="AN51" s="1" t="n">
        <f aca="false">MEDIAN($H51)</f>
        <v>1</v>
      </c>
      <c r="AO51" s="1" t="n">
        <f aca="false">MEDIAN($I51)</f>
        <v>5.481</v>
      </c>
      <c r="AP51" s="1" t="n">
        <f aca="false">MEDIAN($J51)</f>
        <v>5.63</v>
      </c>
      <c r="AQ51" s="1" t="n">
        <f aca="false">MEDIAN($K51)</f>
        <v>0</v>
      </c>
      <c r="AR51" s="1" t="n">
        <f aca="false">MEDIAN($M51)</f>
        <v>1191947</v>
      </c>
      <c r="AS51" s="1" t="n">
        <f aca="false">MEDIAN($N51)</f>
        <v>0.04</v>
      </c>
      <c r="AT51" s="1" t="n">
        <f aca="false">MEDIAN($P51)</f>
        <v>5.63</v>
      </c>
      <c r="AU51" s="1" t="n">
        <f aca="false">MEDIAN($Q51)</f>
        <v>0</v>
      </c>
      <c r="AV51" s="1" t="n">
        <f aca="false">MEDIAN($R51)</f>
        <v>414476</v>
      </c>
      <c r="AW51" s="1" t="n">
        <f aca="false">MAX($B51)</f>
        <v>860</v>
      </c>
      <c r="AX51" s="1" t="n">
        <f aca="false">MAX($C51)</f>
        <v>0</v>
      </c>
      <c r="AY51" s="1" t="n">
        <f aca="false">MAX($D51)</f>
        <v>509595</v>
      </c>
      <c r="AZ51" s="1" t="n">
        <f aca="false">MAX($E51)</f>
        <v>0</v>
      </c>
      <c r="BA51" s="1" t="n">
        <f aca="false">MAX($F51)</f>
        <v>420</v>
      </c>
      <c r="BB51" s="1" t="n">
        <f aca="false">MAX($G51)</f>
        <v>0</v>
      </c>
      <c r="BC51" s="1" t="n">
        <f aca="false">MAX($H51)</f>
        <v>1</v>
      </c>
      <c r="BD51" s="1" t="n">
        <f aca="false">MAX($I51)</f>
        <v>5.481</v>
      </c>
      <c r="BE51" s="1" t="n">
        <f aca="false">MAX($J51)</f>
        <v>5.63</v>
      </c>
      <c r="BF51" s="1" t="n">
        <f aca="false">MAX($K51)</f>
        <v>0</v>
      </c>
      <c r="BG51" s="1" t="n">
        <f aca="false">MAX($M51)</f>
        <v>1191947</v>
      </c>
      <c r="BH51" s="1" t="n">
        <f aca="false">MAX($N51)</f>
        <v>0.04</v>
      </c>
      <c r="BI51" s="1" t="n">
        <f aca="false">MAX($P51)</f>
        <v>5.63</v>
      </c>
      <c r="BJ51" s="1" t="n">
        <f aca="false">MAX($Q51)</f>
        <v>0</v>
      </c>
      <c r="BK51" s="1" t="n">
        <f aca="false">MAX($R51)</f>
        <v>414476</v>
      </c>
    </row>
    <row r="52" customFormat="false" ht="15" hidden="false" customHeight="false" outlineLevel="0" collapsed="false">
      <c r="A52" s="1" t="s">
        <v>69</v>
      </c>
      <c r="B52" s="1" t="n">
        <f aca="false" t="array" ref="B52:B52">_xlfn.SWITCH($A$2,"average", AVERAGE(Instances!B52:B52),"median", MEDIAN(Instances!B52:B52),"min", MIN(Instances!B52:B52),"max", MAX(Instances!B52:B52),"diff", MAX(Instances!B52:B52)-MIN(Instances!B52:B52))</f>
        <v>1065</v>
      </c>
      <c r="C52" s="1" t="n">
        <f aca="false" t="array" ref="C52:C52">_xlfn.SWITCH($A$2,"average", AVERAGE(Instances!C52:C52),"median", MEDIAN(Instances!C52:C52),"min", MIN(Instances!C52:C52),"max", MAX(Instances!C52:C52),"diff", MAX(Instances!C52:C52)-MIN(Instances!C52:C52))</f>
        <v>0</v>
      </c>
      <c r="D52" s="1" t="n">
        <f aca="false" t="array" ref="D52:D52">_xlfn.SWITCH($A$2,"average", AVERAGE(Instances!D52:D52),"median", MEDIAN(Instances!D52:D52),"min", MIN(Instances!D52:D52),"max", MAX(Instances!D52:D52),"diff", MAX(Instances!D52:D52)-MIN(Instances!D52:D52))</f>
        <v>454973</v>
      </c>
      <c r="E52" s="1" t="n">
        <f aca="false" t="array" ref="E52:E52">_xlfn.SWITCH($A$2,"average", AVERAGE(Instances!E52:E52),"median", MEDIAN(Instances!E52:E52),"min", MIN(Instances!E52:E52),"max", MAX(Instances!E52:E52),"diff", MAX(Instances!E52:E52)-MIN(Instances!E52:E52))</f>
        <v>0</v>
      </c>
      <c r="F52" s="1" t="n">
        <f aca="false" t="array" ref="F52:F52">_xlfn.SWITCH($A$2,"average", AVERAGE(Instances!F52:F52),"median", MEDIAN(Instances!F52:F52),"min", MIN(Instances!F52:F52),"max", MAX(Instances!F52:F52),"diff", MAX(Instances!F52:F52)-MIN(Instances!F52:F52))</f>
        <v>415</v>
      </c>
      <c r="G52" s="1" t="n">
        <f aca="false" t="array" ref="G52:G52">_xlfn.SWITCH($A$2,"average", AVERAGE(Instances!G52:G52),"median", MEDIAN(Instances!G52:G52),"min", MIN(Instances!G52:G52),"max", MAX(Instances!G52:G52),"diff", MAX(Instances!G52:G52)-MIN(Instances!G52:G52))</f>
        <v>0</v>
      </c>
      <c r="H52" s="1" t="n">
        <f aca="false" t="array" ref="H52:H52">_xlfn.SWITCH($A$2,"average", AVERAGE(Instances!H52:H52),"median", MEDIAN(Instances!H52:H52),"min", MIN(Instances!H52:H52),"max", MAX(Instances!H52:H52),"diff", MAX(Instances!H52:H52)-MIN(Instances!H52:H52))</f>
        <v>1</v>
      </c>
      <c r="I52" s="1" t="n">
        <f aca="false" t="array" ref="I52:I52">_xlfn.SWITCH($A$2,"average", AVERAGE(Instances!I52:I52),"median", MEDIAN(Instances!I52:I52),"min", MIN(Instances!I52:I52),"max", MAX(Instances!I52:I52),"diff", MAX(Instances!I52:I52)-MIN(Instances!I52:I52))</f>
        <v>5.361</v>
      </c>
      <c r="J52" s="1" t="n">
        <f aca="false" t="array" ref="J52:J52">_xlfn.SWITCH($A$2,"average", AVERAGE(Instances!J52:J52),"median", MEDIAN(Instances!J52:J52),"min", MIN(Instances!J52:J52),"max", MAX(Instances!J52:J52),"diff", MAX(Instances!J52:J52)-MIN(Instances!J52:J52))</f>
        <v>5.52</v>
      </c>
      <c r="K52" s="1" t="n">
        <f aca="false" t="array" ref="K52:K52">_xlfn.SWITCH($A$2,"average", AVERAGE(Instances!K52:K52),"median", MEDIAN(Instances!K52:K52),"min", MIN(Instances!K52:K52),"max", MAX(Instances!K52:K52),"diff", MAX(Instances!K52:K52)-MIN(Instances!K52:K52))</f>
        <v>0</v>
      </c>
      <c r="L52" s="1"/>
      <c r="M52" s="1" t="n">
        <f aca="false" t="array" ref="M52:M52">_xlfn.SWITCH($A$2,"average", AVERAGE(Instances!M52:M52),"median", MEDIAN(Instances!M52:M52),"min", MIN(Instances!M52:M52),"max", MAX(Instances!M52:M52),"diff", MAX(Instances!M52:M52)-MIN(Instances!M52:M52))</f>
        <v>1179347</v>
      </c>
      <c r="N52" s="1" t="n">
        <f aca="false" t="array" ref="N52:N52">_xlfn.SWITCH($A$2,"average", AVERAGE(Instances!N52:N52),"median", MEDIAN(Instances!N52:N52),"min", MIN(Instances!N52:N52),"max", MAX(Instances!N52:N52),"diff", MAX(Instances!N52:N52)-MIN(Instances!N52:N52))</f>
        <v>0.04</v>
      </c>
      <c r="O52" s="1"/>
      <c r="P52" s="1" t="n">
        <f aca="false" t="array" ref="P52:P52">_xlfn.SWITCH($A$2,"average", AVERAGE(Instances!P52:P52),"median", MEDIAN(Instances!P52:P52),"min", MIN(Instances!P52:P52),"max", MAX(Instances!P52:P52),"diff", MAX(Instances!P52:P52)-MIN(Instances!P52:P52))</f>
        <v>5.52</v>
      </c>
      <c r="Q52" s="1" t="n">
        <f aca="false" t="array" ref="Q52:Q52">_xlfn.SWITCH($A$2,"average", AVERAGE(Instances!Q52:Q52),"median", MEDIAN(Instances!Q52:Q52),"min", MIN(Instances!Q52:Q52),"max", MAX(Instances!Q52:Q52),"diff", MAX(Instances!Q52:Q52)-MIN(Instances!Q52:Q52))</f>
        <v>0</v>
      </c>
      <c r="R52" s="1" t="n">
        <f aca="false" t="array" ref="R52:R52">_xlfn.SWITCH($A$2,"average", AVERAGE(Instances!R52:R52),"median", MEDIAN(Instances!R52:R52),"min", MIN(Instances!R52:R52),"max", MAX(Instances!R52:R52),"diff", MAX(Instances!R52:R52)-MIN(Instances!R52:R52))</f>
        <v>409222</v>
      </c>
      <c r="S52" s="1" t="n">
        <f aca="false">MIN($B52)</f>
        <v>1065</v>
      </c>
      <c r="T52" s="1" t="n">
        <f aca="false">MIN($C52)</f>
        <v>0</v>
      </c>
      <c r="U52" s="1" t="n">
        <f aca="false">MIN($D52)</f>
        <v>454973</v>
      </c>
      <c r="V52" s="1" t="n">
        <f aca="false">MIN($E52)</f>
        <v>0</v>
      </c>
      <c r="W52" s="1" t="n">
        <f aca="false">MIN($F52)</f>
        <v>415</v>
      </c>
      <c r="X52" s="1" t="n">
        <f aca="false">MIN($G52)</f>
        <v>0</v>
      </c>
      <c r="Y52" s="1" t="n">
        <f aca="false">MIN($H52)</f>
        <v>1</v>
      </c>
      <c r="Z52" s="1" t="n">
        <f aca="false">MIN($I52)</f>
        <v>5.361</v>
      </c>
      <c r="AA52" s="1" t="n">
        <f aca="false">MIN($J52)</f>
        <v>5.52</v>
      </c>
      <c r="AB52" s="1" t="n">
        <f aca="false">MIN($K52)</f>
        <v>0</v>
      </c>
      <c r="AC52" s="1" t="n">
        <f aca="false">MIN($M52)</f>
        <v>1179347</v>
      </c>
      <c r="AD52" s="1" t="n">
        <f aca="false">MIN($N52)</f>
        <v>0.04</v>
      </c>
      <c r="AE52" s="1" t="n">
        <f aca="false">MIN($P52)</f>
        <v>5.52</v>
      </c>
      <c r="AF52" s="1" t="n">
        <f aca="false">MIN($Q52)</f>
        <v>0</v>
      </c>
      <c r="AG52" s="1" t="n">
        <f aca="false">MIN($R52)</f>
        <v>409222</v>
      </c>
      <c r="AH52" s="1" t="n">
        <f aca="false">MEDIAN($B52)</f>
        <v>1065</v>
      </c>
      <c r="AI52" s="1" t="n">
        <f aca="false">MEDIAN($C52)</f>
        <v>0</v>
      </c>
      <c r="AJ52" s="1" t="n">
        <f aca="false">MEDIAN($D52)</f>
        <v>454973</v>
      </c>
      <c r="AK52" s="1" t="n">
        <f aca="false">MEDIAN($E52)</f>
        <v>0</v>
      </c>
      <c r="AL52" s="1" t="n">
        <f aca="false">MEDIAN($F52)</f>
        <v>415</v>
      </c>
      <c r="AM52" s="1" t="n">
        <f aca="false">MEDIAN($G52)</f>
        <v>0</v>
      </c>
      <c r="AN52" s="1" t="n">
        <f aca="false">MEDIAN($H52)</f>
        <v>1</v>
      </c>
      <c r="AO52" s="1" t="n">
        <f aca="false">MEDIAN($I52)</f>
        <v>5.361</v>
      </c>
      <c r="AP52" s="1" t="n">
        <f aca="false">MEDIAN($J52)</f>
        <v>5.52</v>
      </c>
      <c r="AQ52" s="1" t="n">
        <f aca="false">MEDIAN($K52)</f>
        <v>0</v>
      </c>
      <c r="AR52" s="1" t="n">
        <f aca="false">MEDIAN($M52)</f>
        <v>1179347</v>
      </c>
      <c r="AS52" s="1" t="n">
        <f aca="false">MEDIAN($N52)</f>
        <v>0.04</v>
      </c>
      <c r="AT52" s="1" t="n">
        <f aca="false">MEDIAN($P52)</f>
        <v>5.52</v>
      </c>
      <c r="AU52" s="1" t="n">
        <f aca="false">MEDIAN($Q52)</f>
        <v>0</v>
      </c>
      <c r="AV52" s="1" t="n">
        <f aca="false">MEDIAN($R52)</f>
        <v>409222</v>
      </c>
      <c r="AW52" s="1" t="n">
        <f aca="false">MAX($B52)</f>
        <v>1065</v>
      </c>
      <c r="AX52" s="1" t="n">
        <f aca="false">MAX($C52)</f>
        <v>0</v>
      </c>
      <c r="AY52" s="1" t="n">
        <f aca="false">MAX($D52)</f>
        <v>454973</v>
      </c>
      <c r="AZ52" s="1" t="n">
        <f aca="false">MAX($E52)</f>
        <v>0</v>
      </c>
      <c r="BA52" s="1" t="n">
        <f aca="false">MAX($F52)</f>
        <v>415</v>
      </c>
      <c r="BB52" s="1" t="n">
        <f aca="false">MAX($G52)</f>
        <v>0</v>
      </c>
      <c r="BC52" s="1" t="n">
        <f aca="false">MAX($H52)</f>
        <v>1</v>
      </c>
      <c r="BD52" s="1" t="n">
        <f aca="false">MAX($I52)</f>
        <v>5.361</v>
      </c>
      <c r="BE52" s="1" t="n">
        <f aca="false">MAX($J52)</f>
        <v>5.52</v>
      </c>
      <c r="BF52" s="1" t="n">
        <f aca="false">MAX($K52)</f>
        <v>0</v>
      </c>
      <c r="BG52" s="1" t="n">
        <f aca="false">MAX($M52)</f>
        <v>1179347</v>
      </c>
      <c r="BH52" s="1" t="n">
        <f aca="false">MAX($N52)</f>
        <v>0.04</v>
      </c>
      <c r="BI52" s="1" t="n">
        <f aca="false">MAX($P52)</f>
        <v>5.52</v>
      </c>
      <c r="BJ52" s="1" t="n">
        <f aca="false">MAX($Q52)</f>
        <v>0</v>
      </c>
      <c r="BK52" s="1" t="n">
        <f aca="false">MAX($R52)</f>
        <v>409222</v>
      </c>
    </row>
    <row r="53" customFormat="false" ht="15" hidden="false" customHeight="false" outlineLevel="0" collapsed="false">
      <c r="A53" s="1" t="s">
        <v>70</v>
      </c>
      <c r="B53" s="1" t="n">
        <f aca="false" t="array" ref="B53:B53">_xlfn.SWITCH($A$2,"average", AVERAGE(Instances!B53:B53),"median", MEDIAN(Instances!B53:B53),"min", MIN(Instances!B53:B53),"max", MAX(Instances!B53:B53),"diff", MAX(Instances!B53:B53)-MIN(Instances!B53:B53))</f>
        <v>2227</v>
      </c>
      <c r="C53" s="1" t="n">
        <f aca="false" t="array" ref="C53:C53">_xlfn.SWITCH($A$2,"average", AVERAGE(Instances!C53:C53),"median", MEDIAN(Instances!C53:C53),"min", MIN(Instances!C53:C53),"max", MAX(Instances!C53:C53),"diff", MAX(Instances!C53:C53)-MIN(Instances!C53:C53))</f>
        <v>1</v>
      </c>
      <c r="D53" s="1" t="n">
        <f aca="false" t="array" ref="D53:D53">_xlfn.SWITCH($A$2,"average", AVERAGE(Instances!D53:D53),"median", MEDIAN(Instances!D53:D53),"min", MIN(Instances!D53:D53),"max", MAX(Instances!D53:D53),"diff", MAX(Instances!D53:D53)-MIN(Instances!D53:D53))</f>
        <v>926511</v>
      </c>
      <c r="E53" s="1" t="n">
        <f aca="false" t="array" ref="E53:E53">_xlfn.SWITCH($A$2,"average", AVERAGE(Instances!E53:E53),"median", MEDIAN(Instances!E53:E53),"min", MIN(Instances!E53:E53),"max", MAX(Instances!E53:E53),"diff", MAX(Instances!E53:E53)-MIN(Instances!E53:E53))</f>
        <v>0</v>
      </c>
      <c r="F53" s="1" t="n">
        <f aca="false" t="array" ref="F53:F53">_xlfn.SWITCH($A$2,"average", AVERAGE(Instances!F53:F53),"median", MEDIAN(Instances!F53:F53),"min", MIN(Instances!F53:F53),"max", MAX(Instances!F53:F53),"diff", MAX(Instances!F53:F53)-MIN(Instances!F53:F53))</f>
        <v>603</v>
      </c>
      <c r="G53" s="1" t="n">
        <f aca="false" t="array" ref="G53:G53">_xlfn.SWITCH($A$2,"average", AVERAGE(Instances!G53:G53),"median", MEDIAN(Instances!G53:G53),"min", MIN(Instances!G53:G53),"max", MAX(Instances!G53:G53),"diff", MAX(Instances!G53:G53)-MIN(Instances!G53:G53))</f>
        <v>0</v>
      </c>
      <c r="H53" s="1" t="n">
        <f aca="false" t="array" ref="H53:H53">_xlfn.SWITCH($A$2,"average", AVERAGE(Instances!H53:H53),"median", MEDIAN(Instances!H53:H53),"min", MIN(Instances!H53:H53),"max", MAX(Instances!H53:H53),"diff", MAX(Instances!H53:H53)-MIN(Instances!H53:H53))</f>
        <v>1</v>
      </c>
      <c r="I53" s="1" t="n">
        <f aca="false" t="array" ref="I53:I53">_xlfn.SWITCH($A$2,"average", AVERAGE(Instances!I53:I53),"median", MEDIAN(Instances!I53:I53),"min", MIN(Instances!I53:I53),"max", MAX(Instances!I53:I53),"diff", MAX(Instances!I53:I53)-MIN(Instances!I53:I53))</f>
        <v>8.527</v>
      </c>
      <c r="J53" s="1" t="n">
        <f aca="false" t="array" ref="J53:J53">_xlfn.SWITCH($A$2,"average", AVERAGE(Instances!J53:J53),"median", MEDIAN(Instances!J53:J53),"min", MIN(Instances!J53:J53),"max", MAX(Instances!J53:J53),"diff", MAX(Instances!J53:J53)-MIN(Instances!J53:J53))</f>
        <v>8.75</v>
      </c>
      <c r="K53" s="1" t="n">
        <f aca="false" t="array" ref="K53:K53">_xlfn.SWITCH($A$2,"average", AVERAGE(Instances!K53:K53),"median", MEDIAN(Instances!K53:K53),"min", MIN(Instances!K53:K53),"max", MAX(Instances!K53:K53),"diff", MAX(Instances!K53:K53)-MIN(Instances!K53:K53))</f>
        <v>0</v>
      </c>
      <c r="L53" s="1"/>
      <c r="M53" s="1" t="n">
        <f aca="false" t="array" ref="M53:M53">_xlfn.SWITCH($A$2,"average", AVERAGE(Instances!M53:M53),"median", MEDIAN(Instances!M53:M53),"min", MIN(Instances!M53:M53),"max", MAX(Instances!M53:M53),"diff", MAX(Instances!M53:M53)-MIN(Instances!M53:M53))</f>
        <v>1954079</v>
      </c>
      <c r="N53" s="1" t="n">
        <f aca="false" t="array" ref="N53:N53">_xlfn.SWITCH($A$2,"average", AVERAGE(Instances!N53:N53),"median", MEDIAN(Instances!N53:N53),"min", MIN(Instances!N53:N53),"max", MAX(Instances!N53:N53),"diff", MAX(Instances!N53:N53)-MIN(Instances!N53:N53))</f>
        <v>0.08</v>
      </c>
      <c r="O53" s="1"/>
      <c r="P53" s="1" t="n">
        <f aca="false" t="array" ref="P53:P53">_xlfn.SWITCH($A$2,"average", AVERAGE(Instances!P53:P53),"median", MEDIAN(Instances!P53:P53),"min", MIN(Instances!P53:P53),"max", MAX(Instances!P53:P53),"diff", MAX(Instances!P53:P53)-MIN(Instances!P53:P53))</f>
        <v>8.75</v>
      </c>
      <c r="Q53" s="1" t="n">
        <f aca="false" t="array" ref="Q53:Q53">_xlfn.SWITCH($A$2,"average", AVERAGE(Instances!Q53:Q53),"median", MEDIAN(Instances!Q53:Q53),"min", MIN(Instances!Q53:Q53),"max", MAX(Instances!Q53:Q53),"diff", MAX(Instances!Q53:Q53)-MIN(Instances!Q53:Q53))</f>
        <v>0</v>
      </c>
      <c r="R53" s="1" t="n">
        <f aca="false" t="array" ref="R53:R53">_xlfn.SWITCH($A$2,"average", AVERAGE(Instances!R53:R53),"median", MEDIAN(Instances!R53:R53),"min", MIN(Instances!R53:R53),"max", MAX(Instances!R53:R53),"diff", MAX(Instances!R53:R53)-MIN(Instances!R53:R53))</f>
        <v>618646</v>
      </c>
      <c r="S53" s="1" t="n">
        <f aca="false">MIN($B53)</f>
        <v>2227</v>
      </c>
      <c r="T53" s="1" t="n">
        <f aca="false">MIN($C53)</f>
        <v>1</v>
      </c>
      <c r="U53" s="1" t="n">
        <f aca="false">MIN($D53)</f>
        <v>926511</v>
      </c>
      <c r="V53" s="1" t="n">
        <f aca="false">MIN($E53)</f>
        <v>0</v>
      </c>
      <c r="W53" s="1" t="n">
        <f aca="false">MIN($F53)</f>
        <v>603</v>
      </c>
      <c r="X53" s="1" t="n">
        <f aca="false">MIN($G53)</f>
        <v>0</v>
      </c>
      <c r="Y53" s="1" t="n">
        <f aca="false">MIN($H53)</f>
        <v>1</v>
      </c>
      <c r="Z53" s="1" t="n">
        <f aca="false">MIN($I53)</f>
        <v>8.527</v>
      </c>
      <c r="AA53" s="1" t="n">
        <f aca="false">MIN($J53)</f>
        <v>8.75</v>
      </c>
      <c r="AB53" s="1" t="n">
        <f aca="false">MIN($K53)</f>
        <v>0</v>
      </c>
      <c r="AC53" s="1" t="n">
        <f aca="false">MIN($M53)</f>
        <v>1954079</v>
      </c>
      <c r="AD53" s="1" t="n">
        <f aca="false">MIN($N53)</f>
        <v>0.08</v>
      </c>
      <c r="AE53" s="1" t="n">
        <f aca="false">MIN($P53)</f>
        <v>8.75</v>
      </c>
      <c r="AF53" s="1" t="n">
        <f aca="false">MIN($Q53)</f>
        <v>0</v>
      </c>
      <c r="AG53" s="1" t="n">
        <f aca="false">MIN($R53)</f>
        <v>618646</v>
      </c>
      <c r="AH53" s="1" t="n">
        <f aca="false">MEDIAN($B53)</f>
        <v>2227</v>
      </c>
      <c r="AI53" s="1" t="n">
        <f aca="false">MEDIAN($C53)</f>
        <v>1</v>
      </c>
      <c r="AJ53" s="1" t="n">
        <f aca="false">MEDIAN($D53)</f>
        <v>926511</v>
      </c>
      <c r="AK53" s="1" t="n">
        <f aca="false">MEDIAN($E53)</f>
        <v>0</v>
      </c>
      <c r="AL53" s="1" t="n">
        <f aca="false">MEDIAN($F53)</f>
        <v>603</v>
      </c>
      <c r="AM53" s="1" t="n">
        <f aca="false">MEDIAN($G53)</f>
        <v>0</v>
      </c>
      <c r="AN53" s="1" t="n">
        <f aca="false">MEDIAN($H53)</f>
        <v>1</v>
      </c>
      <c r="AO53" s="1" t="n">
        <f aca="false">MEDIAN($I53)</f>
        <v>8.527</v>
      </c>
      <c r="AP53" s="1" t="n">
        <f aca="false">MEDIAN($J53)</f>
        <v>8.75</v>
      </c>
      <c r="AQ53" s="1" t="n">
        <f aca="false">MEDIAN($K53)</f>
        <v>0</v>
      </c>
      <c r="AR53" s="1" t="n">
        <f aca="false">MEDIAN($M53)</f>
        <v>1954079</v>
      </c>
      <c r="AS53" s="1" t="n">
        <f aca="false">MEDIAN($N53)</f>
        <v>0.08</v>
      </c>
      <c r="AT53" s="1" t="n">
        <f aca="false">MEDIAN($P53)</f>
        <v>8.75</v>
      </c>
      <c r="AU53" s="1" t="n">
        <f aca="false">MEDIAN($Q53)</f>
        <v>0</v>
      </c>
      <c r="AV53" s="1" t="n">
        <f aca="false">MEDIAN($R53)</f>
        <v>618646</v>
      </c>
      <c r="AW53" s="1" t="n">
        <f aca="false">MAX($B53)</f>
        <v>2227</v>
      </c>
      <c r="AX53" s="1" t="n">
        <f aca="false">MAX($C53)</f>
        <v>1</v>
      </c>
      <c r="AY53" s="1" t="n">
        <f aca="false">MAX($D53)</f>
        <v>926511</v>
      </c>
      <c r="AZ53" s="1" t="n">
        <f aca="false">MAX($E53)</f>
        <v>0</v>
      </c>
      <c r="BA53" s="1" t="n">
        <f aca="false">MAX($F53)</f>
        <v>603</v>
      </c>
      <c r="BB53" s="1" t="n">
        <f aca="false">MAX($G53)</f>
        <v>0</v>
      </c>
      <c r="BC53" s="1" t="n">
        <f aca="false">MAX($H53)</f>
        <v>1</v>
      </c>
      <c r="BD53" s="1" t="n">
        <f aca="false">MAX($I53)</f>
        <v>8.527</v>
      </c>
      <c r="BE53" s="1" t="n">
        <f aca="false">MAX($J53)</f>
        <v>8.75</v>
      </c>
      <c r="BF53" s="1" t="n">
        <f aca="false">MAX($K53)</f>
        <v>0</v>
      </c>
      <c r="BG53" s="1" t="n">
        <f aca="false">MAX($M53)</f>
        <v>1954079</v>
      </c>
      <c r="BH53" s="1" t="n">
        <f aca="false">MAX($N53)</f>
        <v>0.08</v>
      </c>
      <c r="BI53" s="1" t="n">
        <f aca="false">MAX($P53)</f>
        <v>8.75</v>
      </c>
      <c r="BJ53" s="1" t="n">
        <f aca="false">MAX($Q53)</f>
        <v>0</v>
      </c>
      <c r="BK53" s="1" t="n">
        <f aca="false">MAX($R53)</f>
        <v>618646</v>
      </c>
    </row>
    <row r="54" customFormat="false" ht="15" hidden="false" customHeight="false" outlineLevel="0" collapsed="false">
      <c r="A54" s="1" t="s">
        <v>71</v>
      </c>
      <c r="B54" s="1" t="n">
        <f aca="false" t="array" ref="B54:B54">_xlfn.SWITCH($A$2,"average", AVERAGE(Instances!B54:B54),"median", MEDIAN(Instances!B54:B54),"min", MIN(Instances!B54:B54),"max", MAX(Instances!B54:B54),"diff", MAX(Instances!B54:B54)-MIN(Instances!B54:B54))</f>
        <v>1838</v>
      </c>
      <c r="C54" s="1" t="n">
        <f aca="false" t="array" ref="C54:C54">_xlfn.SWITCH($A$2,"average", AVERAGE(Instances!C54:C54),"median", MEDIAN(Instances!C54:C54),"min", MIN(Instances!C54:C54),"max", MAX(Instances!C54:C54),"diff", MAX(Instances!C54:C54)-MIN(Instances!C54:C54))</f>
        <v>1</v>
      </c>
      <c r="D54" s="1" t="n">
        <f aca="false" t="array" ref="D54:D54">_xlfn.SWITCH($A$2,"average", AVERAGE(Instances!D54:D54),"median", MEDIAN(Instances!D54:D54),"min", MIN(Instances!D54:D54),"max", MAX(Instances!D54:D54),"diff", MAX(Instances!D54:D54)-MIN(Instances!D54:D54))</f>
        <v>1287958</v>
      </c>
      <c r="E54" s="1" t="n">
        <f aca="false" t="array" ref="E54:E54">_xlfn.SWITCH($A$2,"average", AVERAGE(Instances!E54:E54),"median", MEDIAN(Instances!E54:E54),"min", MIN(Instances!E54:E54),"max", MAX(Instances!E54:E54),"diff", MAX(Instances!E54:E54)-MIN(Instances!E54:E54))</f>
        <v>0</v>
      </c>
      <c r="F54" s="1" t="n">
        <f aca="false" t="array" ref="F54:F54">_xlfn.SWITCH($A$2,"average", AVERAGE(Instances!F54:F54),"median", MEDIAN(Instances!F54:F54),"min", MIN(Instances!F54:F54),"max", MAX(Instances!F54:F54),"diff", MAX(Instances!F54:F54)-MIN(Instances!F54:F54))</f>
        <v>774</v>
      </c>
      <c r="G54" s="1" t="n">
        <f aca="false" t="array" ref="G54:G54">_xlfn.SWITCH($A$2,"average", AVERAGE(Instances!G54:G54),"median", MEDIAN(Instances!G54:G54),"min", MIN(Instances!G54:G54),"max", MAX(Instances!G54:G54),"diff", MAX(Instances!G54:G54)-MIN(Instances!G54:G54))</f>
        <v>0</v>
      </c>
      <c r="H54" s="1" t="n">
        <f aca="false" t="array" ref="H54:H54">_xlfn.SWITCH($A$2,"average", AVERAGE(Instances!H54:H54),"median", MEDIAN(Instances!H54:H54),"min", MIN(Instances!H54:H54),"max", MAX(Instances!H54:H54),"diff", MAX(Instances!H54:H54)-MIN(Instances!H54:H54))</f>
        <v>1</v>
      </c>
      <c r="I54" s="1" t="n">
        <f aca="false" t="array" ref="I54:I54">_xlfn.SWITCH($A$2,"average", AVERAGE(Instances!I54:I54),"median", MEDIAN(Instances!I54:I54),"min", MIN(Instances!I54:I54),"max", MAX(Instances!I54:I54),"diff", MAX(Instances!I54:I54)-MIN(Instances!I54:I54))</f>
        <v>10.927</v>
      </c>
      <c r="J54" s="1" t="n">
        <f aca="false" t="array" ref="J54:J54">_xlfn.SWITCH($A$2,"average", AVERAGE(Instances!J54:J54),"median", MEDIAN(Instances!J54:J54),"min", MIN(Instances!J54:J54),"max", MAX(Instances!J54:J54),"diff", MAX(Instances!J54:J54)-MIN(Instances!J54:J54))</f>
        <v>11.21</v>
      </c>
      <c r="K54" s="1" t="n">
        <f aca="false" t="array" ref="K54:K54">_xlfn.SWITCH($A$2,"average", AVERAGE(Instances!K54:K54),"median", MEDIAN(Instances!K54:K54),"min", MIN(Instances!K54:K54),"max", MAX(Instances!K54:K54),"diff", MAX(Instances!K54:K54)-MIN(Instances!K54:K54))</f>
        <v>0</v>
      </c>
      <c r="L54" s="1"/>
      <c r="M54" s="1" t="n">
        <f aca="false" t="array" ref="M54:M54">_xlfn.SWITCH($A$2,"average", AVERAGE(Instances!M54:M54),"median", MEDIAN(Instances!M54:M54),"min", MIN(Instances!M54:M54),"max", MAX(Instances!M54:M54),"diff", MAX(Instances!M54:M54)-MIN(Instances!M54:M54))</f>
        <v>2497489</v>
      </c>
      <c r="N54" s="1" t="n">
        <f aca="false" t="array" ref="N54:N54">_xlfn.SWITCH($A$2,"average", AVERAGE(Instances!N54:N54),"median", MEDIAN(Instances!N54:N54),"min", MIN(Instances!N54:N54),"max", MAX(Instances!N54:N54),"diff", MAX(Instances!N54:N54)-MIN(Instances!N54:N54))</f>
        <v>0.09</v>
      </c>
      <c r="O54" s="1"/>
      <c r="P54" s="1" t="n">
        <f aca="false" t="array" ref="P54:P54">_xlfn.SWITCH($A$2,"average", AVERAGE(Instances!P54:P54),"median", MEDIAN(Instances!P54:P54),"min", MIN(Instances!P54:P54),"max", MAX(Instances!P54:P54),"diff", MAX(Instances!P54:P54)-MIN(Instances!P54:P54))</f>
        <v>11.21</v>
      </c>
      <c r="Q54" s="1" t="n">
        <f aca="false" t="array" ref="Q54:Q54">_xlfn.SWITCH($A$2,"average", AVERAGE(Instances!Q54:Q54),"median", MEDIAN(Instances!Q54:Q54),"min", MIN(Instances!Q54:Q54),"max", MAX(Instances!Q54:Q54),"diff", MAX(Instances!Q54:Q54)-MIN(Instances!Q54:Q54))</f>
        <v>0</v>
      </c>
      <c r="R54" s="1" t="n">
        <f aca="false" t="array" ref="R54:R54">_xlfn.SWITCH($A$2,"average", AVERAGE(Instances!R54:R54),"median", MEDIAN(Instances!R54:R54),"min", MIN(Instances!R54:R54),"max", MAX(Instances!R54:R54),"diff", MAX(Instances!R54:R54)-MIN(Instances!R54:R54))</f>
        <v>764480</v>
      </c>
      <c r="S54" s="1" t="n">
        <f aca="false">MIN($B54)</f>
        <v>1838</v>
      </c>
      <c r="T54" s="1" t="n">
        <f aca="false">MIN($C54)</f>
        <v>1</v>
      </c>
      <c r="U54" s="1" t="n">
        <f aca="false">MIN($D54)</f>
        <v>1287958</v>
      </c>
      <c r="V54" s="1" t="n">
        <f aca="false">MIN($E54)</f>
        <v>0</v>
      </c>
      <c r="W54" s="1" t="n">
        <f aca="false">MIN($F54)</f>
        <v>774</v>
      </c>
      <c r="X54" s="1" t="n">
        <f aca="false">MIN($G54)</f>
        <v>0</v>
      </c>
      <c r="Y54" s="1" t="n">
        <f aca="false">MIN($H54)</f>
        <v>1</v>
      </c>
      <c r="Z54" s="1" t="n">
        <f aca="false">MIN($I54)</f>
        <v>10.927</v>
      </c>
      <c r="AA54" s="1" t="n">
        <f aca="false">MIN($J54)</f>
        <v>11.21</v>
      </c>
      <c r="AB54" s="1" t="n">
        <f aca="false">MIN($K54)</f>
        <v>0</v>
      </c>
      <c r="AC54" s="1" t="n">
        <f aca="false">MIN($M54)</f>
        <v>2497489</v>
      </c>
      <c r="AD54" s="1" t="n">
        <f aca="false">MIN($N54)</f>
        <v>0.09</v>
      </c>
      <c r="AE54" s="1" t="n">
        <f aca="false">MIN($P54)</f>
        <v>11.21</v>
      </c>
      <c r="AF54" s="1" t="n">
        <f aca="false">MIN($Q54)</f>
        <v>0</v>
      </c>
      <c r="AG54" s="1" t="n">
        <f aca="false">MIN($R54)</f>
        <v>764480</v>
      </c>
      <c r="AH54" s="1" t="n">
        <f aca="false">MEDIAN($B54)</f>
        <v>1838</v>
      </c>
      <c r="AI54" s="1" t="n">
        <f aca="false">MEDIAN($C54)</f>
        <v>1</v>
      </c>
      <c r="AJ54" s="1" t="n">
        <f aca="false">MEDIAN($D54)</f>
        <v>1287958</v>
      </c>
      <c r="AK54" s="1" t="n">
        <f aca="false">MEDIAN($E54)</f>
        <v>0</v>
      </c>
      <c r="AL54" s="1" t="n">
        <f aca="false">MEDIAN($F54)</f>
        <v>774</v>
      </c>
      <c r="AM54" s="1" t="n">
        <f aca="false">MEDIAN($G54)</f>
        <v>0</v>
      </c>
      <c r="AN54" s="1" t="n">
        <f aca="false">MEDIAN($H54)</f>
        <v>1</v>
      </c>
      <c r="AO54" s="1" t="n">
        <f aca="false">MEDIAN($I54)</f>
        <v>10.927</v>
      </c>
      <c r="AP54" s="1" t="n">
        <f aca="false">MEDIAN($J54)</f>
        <v>11.21</v>
      </c>
      <c r="AQ54" s="1" t="n">
        <f aca="false">MEDIAN($K54)</f>
        <v>0</v>
      </c>
      <c r="AR54" s="1" t="n">
        <f aca="false">MEDIAN($M54)</f>
        <v>2497489</v>
      </c>
      <c r="AS54" s="1" t="n">
        <f aca="false">MEDIAN($N54)</f>
        <v>0.09</v>
      </c>
      <c r="AT54" s="1" t="n">
        <f aca="false">MEDIAN($P54)</f>
        <v>11.21</v>
      </c>
      <c r="AU54" s="1" t="n">
        <f aca="false">MEDIAN($Q54)</f>
        <v>0</v>
      </c>
      <c r="AV54" s="1" t="n">
        <f aca="false">MEDIAN($R54)</f>
        <v>764480</v>
      </c>
      <c r="AW54" s="1" t="n">
        <f aca="false">MAX($B54)</f>
        <v>1838</v>
      </c>
      <c r="AX54" s="1" t="n">
        <f aca="false">MAX($C54)</f>
        <v>1</v>
      </c>
      <c r="AY54" s="1" t="n">
        <f aca="false">MAX($D54)</f>
        <v>1287958</v>
      </c>
      <c r="AZ54" s="1" t="n">
        <f aca="false">MAX($E54)</f>
        <v>0</v>
      </c>
      <c r="BA54" s="1" t="n">
        <f aca="false">MAX($F54)</f>
        <v>774</v>
      </c>
      <c r="BB54" s="1" t="n">
        <f aca="false">MAX($G54)</f>
        <v>0</v>
      </c>
      <c r="BC54" s="1" t="n">
        <f aca="false">MAX($H54)</f>
        <v>1</v>
      </c>
      <c r="BD54" s="1" t="n">
        <f aca="false">MAX($I54)</f>
        <v>10.927</v>
      </c>
      <c r="BE54" s="1" t="n">
        <f aca="false">MAX($J54)</f>
        <v>11.21</v>
      </c>
      <c r="BF54" s="1" t="n">
        <f aca="false">MAX($K54)</f>
        <v>0</v>
      </c>
      <c r="BG54" s="1" t="n">
        <f aca="false">MAX($M54)</f>
        <v>2497489</v>
      </c>
      <c r="BH54" s="1" t="n">
        <f aca="false">MAX($N54)</f>
        <v>0.09</v>
      </c>
      <c r="BI54" s="1" t="n">
        <f aca="false">MAX($P54)</f>
        <v>11.21</v>
      </c>
      <c r="BJ54" s="1" t="n">
        <f aca="false">MAX($Q54)</f>
        <v>0</v>
      </c>
      <c r="BK54" s="1" t="n">
        <f aca="false">MAX($R54)</f>
        <v>764480</v>
      </c>
    </row>
    <row r="55" customFormat="false" ht="15" hidden="false" customHeight="false" outlineLevel="0" collapsed="false">
      <c r="A55" s="1" t="s">
        <v>72</v>
      </c>
      <c r="B55" s="1" t="n">
        <f aca="false" t="array" ref="B55:B55">_xlfn.SWITCH($A$2,"average", AVERAGE(Instances!B55:B55),"median", MEDIAN(Instances!B55:B55),"min", MIN(Instances!B55:B55),"max", MAX(Instances!B55:B55),"diff", MAX(Instances!B55:B55)-MIN(Instances!B55:B55))</f>
        <v>2757</v>
      </c>
      <c r="C55" s="1" t="n">
        <f aca="false" t="array" ref="C55:C55">_xlfn.SWITCH($A$2,"average", AVERAGE(Instances!C55:C55),"median", MEDIAN(Instances!C55:C55),"min", MIN(Instances!C55:C55),"max", MAX(Instances!C55:C55),"diff", MAX(Instances!C55:C55)-MIN(Instances!C55:C55))</f>
        <v>2</v>
      </c>
      <c r="D55" s="1" t="n">
        <f aca="false" t="array" ref="D55:D55">_xlfn.SWITCH($A$2,"average", AVERAGE(Instances!D55:D55),"median", MEDIAN(Instances!D55:D55),"min", MIN(Instances!D55:D55),"max", MAX(Instances!D55:D55),"diff", MAX(Instances!D55:D55)-MIN(Instances!D55:D55))</f>
        <v>1090244</v>
      </c>
      <c r="E55" s="1" t="n">
        <f aca="false" t="array" ref="E55:E55">_xlfn.SWITCH($A$2,"average", AVERAGE(Instances!E55:E55),"median", MEDIAN(Instances!E55:E55),"min", MIN(Instances!E55:E55),"max", MAX(Instances!E55:E55),"diff", MAX(Instances!E55:E55)-MIN(Instances!E55:E55))</f>
        <v>0</v>
      </c>
      <c r="F55" s="1" t="n">
        <f aca="false" t="array" ref="F55:F55">_xlfn.SWITCH($A$2,"average", AVERAGE(Instances!F55:F55),"median", MEDIAN(Instances!F55:F55),"min", MIN(Instances!F55:F55),"max", MAX(Instances!F55:F55),"diff", MAX(Instances!F55:F55)-MIN(Instances!F55:F55))</f>
        <v>725</v>
      </c>
      <c r="G55" s="1" t="n">
        <f aca="false" t="array" ref="G55:G55">_xlfn.SWITCH($A$2,"average", AVERAGE(Instances!G55:G55),"median", MEDIAN(Instances!G55:G55),"min", MIN(Instances!G55:G55),"max", MAX(Instances!G55:G55),"diff", MAX(Instances!G55:G55)-MIN(Instances!G55:G55))</f>
        <v>0</v>
      </c>
      <c r="H55" s="1" t="n">
        <f aca="false" t="array" ref="H55:H55">_xlfn.SWITCH($A$2,"average", AVERAGE(Instances!H55:H55),"median", MEDIAN(Instances!H55:H55),"min", MIN(Instances!H55:H55),"max", MAX(Instances!H55:H55),"diff", MAX(Instances!H55:H55)-MIN(Instances!H55:H55))</f>
        <v>1</v>
      </c>
      <c r="I55" s="1" t="n">
        <f aca="false" t="array" ref="I55:I55">_xlfn.SWITCH($A$2,"average", AVERAGE(Instances!I55:I55),"median", MEDIAN(Instances!I55:I55),"min", MIN(Instances!I55:I55),"max", MAX(Instances!I55:I55),"diff", MAX(Instances!I55:I55)-MIN(Instances!I55:I55))</f>
        <v>10.253</v>
      </c>
      <c r="J55" s="1" t="n">
        <f aca="false" t="array" ref="J55:J55">_xlfn.SWITCH($A$2,"average", AVERAGE(Instances!J55:J55),"median", MEDIAN(Instances!J55:J55),"min", MIN(Instances!J55:J55),"max", MAX(Instances!J55:J55),"diff", MAX(Instances!J55:J55)-MIN(Instances!J55:J55))</f>
        <v>10.5</v>
      </c>
      <c r="K55" s="1" t="n">
        <f aca="false" t="array" ref="K55:K55">_xlfn.SWITCH($A$2,"average", AVERAGE(Instances!K55:K55),"median", MEDIAN(Instances!K55:K55),"min", MIN(Instances!K55:K55),"max", MAX(Instances!K55:K55),"diff", MAX(Instances!K55:K55)-MIN(Instances!K55:K55))</f>
        <v>0</v>
      </c>
      <c r="L55" s="1"/>
      <c r="M55" s="1" t="n">
        <f aca="false" t="array" ref="M55:M55">_xlfn.SWITCH($A$2,"average", AVERAGE(Instances!M55:M55),"median", MEDIAN(Instances!M55:M55),"min", MIN(Instances!M55:M55),"max", MAX(Instances!M55:M55),"diff", MAX(Instances!M55:M55)-MIN(Instances!M55:M55))</f>
        <v>2304631</v>
      </c>
      <c r="N55" s="1" t="n">
        <f aca="false" t="array" ref="N55:N55">_xlfn.SWITCH($A$2,"average", AVERAGE(Instances!N55:N55),"median", MEDIAN(Instances!N55:N55),"min", MIN(Instances!N55:N55),"max", MAX(Instances!N55:N55),"diff", MAX(Instances!N55:N55)-MIN(Instances!N55:N55))</f>
        <v>0.09</v>
      </c>
      <c r="O55" s="1"/>
      <c r="P55" s="1" t="n">
        <f aca="false" t="array" ref="P55:P55">_xlfn.SWITCH($A$2,"average", AVERAGE(Instances!P55:P55),"median", MEDIAN(Instances!P55:P55),"min", MIN(Instances!P55:P55),"max", MAX(Instances!P55:P55),"diff", MAX(Instances!P55:P55)-MIN(Instances!P55:P55))</f>
        <v>10.5</v>
      </c>
      <c r="Q55" s="1" t="n">
        <f aca="false" t="array" ref="Q55:Q55">_xlfn.SWITCH($A$2,"average", AVERAGE(Instances!Q55:Q55),"median", MEDIAN(Instances!Q55:Q55),"min", MIN(Instances!Q55:Q55),"max", MAX(Instances!Q55:Q55),"diff", MAX(Instances!Q55:Q55)-MIN(Instances!Q55:Q55))</f>
        <v>0</v>
      </c>
      <c r="R55" s="1" t="n">
        <f aca="false" t="array" ref="R55:R55">_xlfn.SWITCH($A$2,"average", AVERAGE(Instances!R55:R55),"median", MEDIAN(Instances!R55:R55),"min", MIN(Instances!R55:R55),"max", MAX(Instances!R55:R55),"diff", MAX(Instances!R55:R55)-MIN(Instances!R55:R55))</f>
        <v>721828</v>
      </c>
      <c r="S55" s="1" t="n">
        <f aca="false">MIN($B55)</f>
        <v>2757</v>
      </c>
      <c r="T55" s="1" t="n">
        <f aca="false">MIN($C55)</f>
        <v>2</v>
      </c>
      <c r="U55" s="1" t="n">
        <f aca="false">MIN($D55)</f>
        <v>1090244</v>
      </c>
      <c r="V55" s="1" t="n">
        <f aca="false">MIN($E55)</f>
        <v>0</v>
      </c>
      <c r="W55" s="1" t="n">
        <f aca="false">MIN($F55)</f>
        <v>725</v>
      </c>
      <c r="X55" s="1" t="n">
        <f aca="false">MIN($G55)</f>
        <v>0</v>
      </c>
      <c r="Y55" s="1" t="n">
        <f aca="false">MIN($H55)</f>
        <v>1</v>
      </c>
      <c r="Z55" s="1" t="n">
        <f aca="false">MIN($I55)</f>
        <v>10.253</v>
      </c>
      <c r="AA55" s="1" t="n">
        <f aca="false">MIN($J55)</f>
        <v>10.5</v>
      </c>
      <c r="AB55" s="1" t="n">
        <f aca="false">MIN($K55)</f>
        <v>0</v>
      </c>
      <c r="AC55" s="1" t="n">
        <f aca="false">MIN($M55)</f>
        <v>2304631</v>
      </c>
      <c r="AD55" s="1" t="n">
        <f aca="false">MIN($N55)</f>
        <v>0.09</v>
      </c>
      <c r="AE55" s="1" t="n">
        <f aca="false">MIN($P55)</f>
        <v>10.5</v>
      </c>
      <c r="AF55" s="1" t="n">
        <f aca="false">MIN($Q55)</f>
        <v>0</v>
      </c>
      <c r="AG55" s="1" t="n">
        <f aca="false">MIN($R55)</f>
        <v>721828</v>
      </c>
      <c r="AH55" s="1" t="n">
        <f aca="false">MEDIAN($B55)</f>
        <v>2757</v>
      </c>
      <c r="AI55" s="1" t="n">
        <f aca="false">MEDIAN($C55)</f>
        <v>2</v>
      </c>
      <c r="AJ55" s="1" t="n">
        <f aca="false">MEDIAN($D55)</f>
        <v>1090244</v>
      </c>
      <c r="AK55" s="1" t="n">
        <f aca="false">MEDIAN($E55)</f>
        <v>0</v>
      </c>
      <c r="AL55" s="1" t="n">
        <f aca="false">MEDIAN($F55)</f>
        <v>725</v>
      </c>
      <c r="AM55" s="1" t="n">
        <f aca="false">MEDIAN($G55)</f>
        <v>0</v>
      </c>
      <c r="AN55" s="1" t="n">
        <f aca="false">MEDIAN($H55)</f>
        <v>1</v>
      </c>
      <c r="AO55" s="1" t="n">
        <f aca="false">MEDIAN($I55)</f>
        <v>10.253</v>
      </c>
      <c r="AP55" s="1" t="n">
        <f aca="false">MEDIAN($J55)</f>
        <v>10.5</v>
      </c>
      <c r="AQ55" s="1" t="n">
        <f aca="false">MEDIAN($K55)</f>
        <v>0</v>
      </c>
      <c r="AR55" s="1" t="n">
        <f aca="false">MEDIAN($M55)</f>
        <v>2304631</v>
      </c>
      <c r="AS55" s="1" t="n">
        <f aca="false">MEDIAN($N55)</f>
        <v>0.09</v>
      </c>
      <c r="AT55" s="1" t="n">
        <f aca="false">MEDIAN($P55)</f>
        <v>10.5</v>
      </c>
      <c r="AU55" s="1" t="n">
        <f aca="false">MEDIAN($Q55)</f>
        <v>0</v>
      </c>
      <c r="AV55" s="1" t="n">
        <f aca="false">MEDIAN($R55)</f>
        <v>721828</v>
      </c>
      <c r="AW55" s="1" t="n">
        <f aca="false">MAX($B55)</f>
        <v>2757</v>
      </c>
      <c r="AX55" s="1" t="n">
        <f aca="false">MAX($C55)</f>
        <v>2</v>
      </c>
      <c r="AY55" s="1" t="n">
        <f aca="false">MAX($D55)</f>
        <v>1090244</v>
      </c>
      <c r="AZ55" s="1" t="n">
        <f aca="false">MAX($E55)</f>
        <v>0</v>
      </c>
      <c r="BA55" s="1" t="n">
        <f aca="false">MAX($F55)</f>
        <v>725</v>
      </c>
      <c r="BB55" s="1" t="n">
        <f aca="false">MAX($G55)</f>
        <v>0</v>
      </c>
      <c r="BC55" s="1" t="n">
        <f aca="false">MAX($H55)</f>
        <v>1</v>
      </c>
      <c r="BD55" s="1" t="n">
        <f aca="false">MAX($I55)</f>
        <v>10.253</v>
      </c>
      <c r="BE55" s="1" t="n">
        <f aca="false">MAX($J55)</f>
        <v>10.5</v>
      </c>
      <c r="BF55" s="1" t="n">
        <f aca="false">MAX($K55)</f>
        <v>0</v>
      </c>
      <c r="BG55" s="1" t="n">
        <f aca="false">MAX($M55)</f>
        <v>2304631</v>
      </c>
      <c r="BH55" s="1" t="n">
        <f aca="false">MAX($N55)</f>
        <v>0.09</v>
      </c>
      <c r="BI55" s="1" t="n">
        <f aca="false">MAX($P55)</f>
        <v>10.5</v>
      </c>
      <c r="BJ55" s="1" t="n">
        <f aca="false">MAX($Q55)</f>
        <v>0</v>
      </c>
      <c r="BK55" s="1" t="n">
        <f aca="false">MAX($R55)</f>
        <v>721828</v>
      </c>
    </row>
    <row r="56" customFormat="false" ht="15" hidden="false" customHeight="false" outlineLevel="0" collapsed="false">
      <c r="A56" s="1" t="s">
        <v>73</v>
      </c>
      <c r="B56" s="1" t="n">
        <f aca="false" t="array" ref="B56:B56">_xlfn.SWITCH($A$2,"average", AVERAGE(Instances!B56:B56),"median", MEDIAN(Instances!B56:B56),"min", MIN(Instances!B56:B56),"max", MAX(Instances!B56:B56),"diff", MAX(Instances!B56:B56)-MIN(Instances!B56:B56))</f>
        <v>2140</v>
      </c>
      <c r="C56" s="1" t="n">
        <f aca="false" t="array" ref="C56:C56">_xlfn.SWITCH($A$2,"average", AVERAGE(Instances!C56:C56),"median", MEDIAN(Instances!C56:C56),"min", MIN(Instances!C56:C56),"max", MAX(Instances!C56:C56),"diff", MAX(Instances!C56:C56)-MIN(Instances!C56:C56))</f>
        <v>1</v>
      </c>
      <c r="D56" s="1" t="n">
        <f aca="false" t="array" ref="D56:D56">_xlfn.SWITCH($A$2,"average", AVERAGE(Instances!D56:D56),"median", MEDIAN(Instances!D56:D56),"min", MIN(Instances!D56:D56),"max", MAX(Instances!D56:D56),"diff", MAX(Instances!D56:D56)-MIN(Instances!D56:D56))</f>
        <v>879018</v>
      </c>
      <c r="E56" s="1" t="n">
        <f aca="false" t="array" ref="E56:E56">_xlfn.SWITCH($A$2,"average", AVERAGE(Instances!E56:E56),"median", MEDIAN(Instances!E56:E56),"min", MIN(Instances!E56:E56),"max", MAX(Instances!E56:E56),"diff", MAX(Instances!E56:E56)-MIN(Instances!E56:E56))</f>
        <v>0</v>
      </c>
      <c r="F56" s="1" t="n">
        <f aca="false" t="array" ref="F56:F56">_xlfn.SWITCH($A$2,"average", AVERAGE(Instances!F56:F56),"median", MEDIAN(Instances!F56:F56),"min", MIN(Instances!F56:F56),"max", MAX(Instances!F56:F56),"diff", MAX(Instances!F56:F56)-MIN(Instances!F56:F56))</f>
        <v>638</v>
      </c>
      <c r="G56" s="1" t="n">
        <f aca="false" t="array" ref="G56:G56">_xlfn.SWITCH($A$2,"average", AVERAGE(Instances!G56:G56),"median", MEDIAN(Instances!G56:G56),"min", MIN(Instances!G56:G56),"max", MAX(Instances!G56:G56),"diff", MAX(Instances!G56:G56)-MIN(Instances!G56:G56))</f>
        <v>0</v>
      </c>
      <c r="H56" s="1" t="n">
        <f aca="false" t="array" ref="H56:H56">_xlfn.SWITCH($A$2,"average", AVERAGE(Instances!H56:H56),"median", MEDIAN(Instances!H56:H56),"min", MIN(Instances!H56:H56),"max", MAX(Instances!H56:H56),"diff", MAX(Instances!H56:H56)-MIN(Instances!H56:H56))</f>
        <v>1</v>
      </c>
      <c r="I56" s="1" t="n">
        <f aca="false" t="array" ref="I56:I56">_xlfn.SWITCH($A$2,"average", AVERAGE(Instances!I56:I56),"median", MEDIAN(Instances!I56:I56),"min", MIN(Instances!I56:I56),"max", MAX(Instances!I56:I56),"diff", MAX(Instances!I56:I56)-MIN(Instances!I56:I56))</f>
        <v>8.867</v>
      </c>
      <c r="J56" s="1" t="n">
        <f aca="false" t="array" ref="J56:J56">_xlfn.SWITCH($A$2,"average", AVERAGE(Instances!J56:J56),"median", MEDIAN(Instances!J56:J56),"min", MIN(Instances!J56:J56),"max", MAX(Instances!J56:J56),"diff", MAX(Instances!J56:J56)-MIN(Instances!J56:J56))</f>
        <v>9.09</v>
      </c>
      <c r="K56" s="1" t="n">
        <f aca="false" t="array" ref="K56:K56">_xlfn.SWITCH($A$2,"average", AVERAGE(Instances!K56:K56),"median", MEDIAN(Instances!K56:K56),"min", MIN(Instances!K56:K56),"max", MAX(Instances!K56:K56),"diff", MAX(Instances!K56:K56)-MIN(Instances!K56:K56))</f>
        <v>0</v>
      </c>
      <c r="L56" s="1"/>
      <c r="M56" s="1" t="n">
        <f aca="false" t="array" ref="M56:M56">_xlfn.SWITCH($A$2,"average", AVERAGE(Instances!M56:M56),"median", MEDIAN(Instances!M56:M56),"min", MIN(Instances!M56:M56),"max", MAX(Instances!M56:M56),"diff", MAX(Instances!M56:M56)-MIN(Instances!M56:M56))</f>
        <v>2024961</v>
      </c>
      <c r="N56" s="1" t="n">
        <f aca="false" t="array" ref="N56:N56">_xlfn.SWITCH($A$2,"average", AVERAGE(Instances!N56:N56),"median", MEDIAN(Instances!N56:N56),"min", MIN(Instances!N56:N56),"max", MAX(Instances!N56:N56),"diff", MAX(Instances!N56:N56)-MIN(Instances!N56:N56))</f>
        <v>0.08</v>
      </c>
      <c r="O56" s="1"/>
      <c r="P56" s="1" t="n">
        <f aca="false" t="array" ref="P56:P56">_xlfn.SWITCH($A$2,"average", AVERAGE(Instances!P56:P56),"median", MEDIAN(Instances!P56:P56),"min", MIN(Instances!P56:P56),"max", MAX(Instances!P56:P56),"diff", MAX(Instances!P56:P56)-MIN(Instances!P56:P56))</f>
        <v>9.09</v>
      </c>
      <c r="Q56" s="1" t="n">
        <f aca="false" t="array" ref="Q56:Q56">_xlfn.SWITCH($A$2,"average", AVERAGE(Instances!Q56:Q56),"median", MEDIAN(Instances!Q56:Q56),"min", MIN(Instances!Q56:Q56),"max", MAX(Instances!Q56:Q56),"diff", MAX(Instances!Q56:Q56)-MIN(Instances!Q56:Q56))</f>
        <v>0</v>
      </c>
      <c r="R56" s="1" t="n">
        <f aca="false" t="array" ref="R56:R56">_xlfn.SWITCH($A$2,"average", AVERAGE(Instances!R56:R56),"median", MEDIAN(Instances!R56:R56),"min", MIN(Instances!R56:R56),"max", MAX(Instances!R56:R56),"diff", MAX(Instances!R56:R56)-MIN(Instances!R56:R56))</f>
        <v>640624</v>
      </c>
      <c r="S56" s="1" t="n">
        <f aca="false">MIN($B56)</f>
        <v>2140</v>
      </c>
      <c r="T56" s="1" t="n">
        <f aca="false">MIN($C56)</f>
        <v>1</v>
      </c>
      <c r="U56" s="1" t="n">
        <f aca="false">MIN($D56)</f>
        <v>879018</v>
      </c>
      <c r="V56" s="1" t="n">
        <f aca="false">MIN($E56)</f>
        <v>0</v>
      </c>
      <c r="W56" s="1" t="n">
        <f aca="false">MIN($F56)</f>
        <v>638</v>
      </c>
      <c r="X56" s="1" t="n">
        <f aca="false">MIN($G56)</f>
        <v>0</v>
      </c>
      <c r="Y56" s="1" t="n">
        <f aca="false">MIN($H56)</f>
        <v>1</v>
      </c>
      <c r="Z56" s="1" t="n">
        <f aca="false">MIN($I56)</f>
        <v>8.867</v>
      </c>
      <c r="AA56" s="1" t="n">
        <f aca="false">MIN($J56)</f>
        <v>9.09</v>
      </c>
      <c r="AB56" s="1" t="n">
        <f aca="false">MIN($K56)</f>
        <v>0</v>
      </c>
      <c r="AC56" s="1" t="n">
        <f aca="false">MIN($M56)</f>
        <v>2024961</v>
      </c>
      <c r="AD56" s="1" t="n">
        <f aca="false">MIN($N56)</f>
        <v>0.08</v>
      </c>
      <c r="AE56" s="1" t="n">
        <f aca="false">MIN($P56)</f>
        <v>9.09</v>
      </c>
      <c r="AF56" s="1" t="n">
        <f aca="false">MIN($Q56)</f>
        <v>0</v>
      </c>
      <c r="AG56" s="1" t="n">
        <f aca="false">MIN($R56)</f>
        <v>640624</v>
      </c>
      <c r="AH56" s="1" t="n">
        <f aca="false">MEDIAN($B56)</f>
        <v>2140</v>
      </c>
      <c r="AI56" s="1" t="n">
        <f aca="false">MEDIAN($C56)</f>
        <v>1</v>
      </c>
      <c r="AJ56" s="1" t="n">
        <f aca="false">MEDIAN($D56)</f>
        <v>879018</v>
      </c>
      <c r="AK56" s="1" t="n">
        <f aca="false">MEDIAN($E56)</f>
        <v>0</v>
      </c>
      <c r="AL56" s="1" t="n">
        <f aca="false">MEDIAN($F56)</f>
        <v>638</v>
      </c>
      <c r="AM56" s="1" t="n">
        <f aca="false">MEDIAN($G56)</f>
        <v>0</v>
      </c>
      <c r="AN56" s="1" t="n">
        <f aca="false">MEDIAN($H56)</f>
        <v>1</v>
      </c>
      <c r="AO56" s="1" t="n">
        <f aca="false">MEDIAN($I56)</f>
        <v>8.867</v>
      </c>
      <c r="AP56" s="1" t="n">
        <f aca="false">MEDIAN($J56)</f>
        <v>9.09</v>
      </c>
      <c r="AQ56" s="1" t="n">
        <f aca="false">MEDIAN($K56)</f>
        <v>0</v>
      </c>
      <c r="AR56" s="1" t="n">
        <f aca="false">MEDIAN($M56)</f>
        <v>2024961</v>
      </c>
      <c r="AS56" s="1" t="n">
        <f aca="false">MEDIAN($N56)</f>
        <v>0.08</v>
      </c>
      <c r="AT56" s="1" t="n">
        <f aca="false">MEDIAN($P56)</f>
        <v>9.09</v>
      </c>
      <c r="AU56" s="1" t="n">
        <f aca="false">MEDIAN($Q56)</f>
        <v>0</v>
      </c>
      <c r="AV56" s="1" t="n">
        <f aca="false">MEDIAN($R56)</f>
        <v>640624</v>
      </c>
      <c r="AW56" s="1" t="n">
        <f aca="false">MAX($B56)</f>
        <v>2140</v>
      </c>
      <c r="AX56" s="1" t="n">
        <f aca="false">MAX($C56)</f>
        <v>1</v>
      </c>
      <c r="AY56" s="1" t="n">
        <f aca="false">MAX($D56)</f>
        <v>879018</v>
      </c>
      <c r="AZ56" s="1" t="n">
        <f aca="false">MAX($E56)</f>
        <v>0</v>
      </c>
      <c r="BA56" s="1" t="n">
        <f aca="false">MAX($F56)</f>
        <v>638</v>
      </c>
      <c r="BB56" s="1" t="n">
        <f aca="false">MAX($G56)</f>
        <v>0</v>
      </c>
      <c r="BC56" s="1" t="n">
        <f aca="false">MAX($H56)</f>
        <v>1</v>
      </c>
      <c r="BD56" s="1" t="n">
        <f aca="false">MAX($I56)</f>
        <v>8.867</v>
      </c>
      <c r="BE56" s="1" t="n">
        <f aca="false">MAX($J56)</f>
        <v>9.09</v>
      </c>
      <c r="BF56" s="1" t="n">
        <f aca="false">MAX($K56)</f>
        <v>0</v>
      </c>
      <c r="BG56" s="1" t="n">
        <f aca="false">MAX($M56)</f>
        <v>2024961</v>
      </c>
      <c r="BH56" s="1" t="n">
        <f aca="false">MAX($N56)</f>
        <v>0.08</v>
      </c>
      <c r="BI56" s="1" t="n">
        <f aca="false">MAX($P56)</f>
        <v>9.09</v>
      </c>
      <c r="BJ56" s="1" t="n">
        <f aca="false">MAX($Q56)</f>
        <v>0</v>
      </c>
      <c r="BK56" s="1" t="n">
        <f aca="false">MAX($R56)</f>
        <v>640624</v>
      </c>
    </row>
    <row r="57" customFormat="false" ht="15" hidden="false" customHeight="false" outlineLevel="0" collapsed="false">
      <c r="A57" s="1" t="s">
        <v>74</v>
      </c>
      <c r="B57" s="1" t="n">
        <f aca="false" t="array" ref="B57:B57">_xlfn.SWITCH($A$2,"average", AVERAGE(Instances!B57:B57),"median", MEDIAN(Instances!B57:B57),"min", MIN(Instances!B57:B57),"max", MAX(Instances!B57:B57),"diff", MAX(Instances!B57:B57)-MIN(Instances!B57:B57))</f>
        <v>2626</v>
      </c>
      <c r="C57" s="1" t="n">
        <f aca="false" t="array" ref="C57:C57">_xlfn.SWITCH($A$2,"average", AVERAGE(Instances!C57:C57),"median", MEDIAN(Instances!C57:C57),"min", MIN(Instances!C57:C57),"max", MAX(Instances!C57:C57),"diff", MAX(Instances!C57:C57)-MIN(Instances!C57:C57))</f>
        <v>1</v>
      </c>
      <c r="D57" s="1" t="n">
        <f aca="false" t="array" ref="D57:D57">_xlfn.SWITCH($A$2,"average", AVERAGE(Instances!D57:D57),"median", MEDIAN(Instances!D57:D57),"min", MIN(Instances!D57:D57),"max", MAX(Instances!D57:D57),"diff", MAX(Instances!D57:D57)-MIN(Instances!D57:D57))</f>
        <v>1105216</v>
      </c>
      <c r="E57" s="1" t="n">
        <f aca="false" t="array" ref="E57:E57">_xlfn.SWITCH($A$2,"average", AVERAGE(Instances!E57:E57),"median", MEDIAN(Instances!E57:E57),"min", MIN(Instances!E57:E57),"max", MAX(Instances!E57:E57),"diff", MAX(Instances!E57:E57)-MIN(Instances!E57:E57))</f>
        <v>0</v>
      </c>
      <c r="F57" s="1" t="n">
        <f aca="false" t="array" ref="F57:F57">_xlfn.SWITCH($A$2,"average", AVERAGE(Instances!F57:F57),"median", MEDIAN(Instances!F57:F57),"min", MIN(Instances!F57:F57),"max", MAX(Instances!F57:F57),"diff", MAX(Instances!F57:F57)-MIN(Instances!F57:F57))</f>
        <v>707</v>
      </c>
      <c r="G57" s="1" t="n">
        <f aca="false" t="array" ref="G57:G57">_xlfn.SWITCH($A$2,"average", AVERAGE(Instances!G57:G57),"median", MEDIAN(Instances!G57:G57),"min", MIN(Instances!G57:G57),"max", MAX(Instances!G57:G57),"diff", MAX(Instances!G57:G57)-MIN(Instances!G57:G57))</f>
        <v>0</v>
      </c>
      <c r="H57" s="1" t="n">
        <f aca="false" t="array" ref="H57:H57">_xlfn.SWITCH($A$2,"average", AVERAGE(Instances!H57:H57),"median", MEDIAN(Instances!H57:H57),"min", MIN(Instances!H57:H57),"max", MAX(Instances!H57:H57),"diff", MAX(Instances!H57:H57)-MIN(Instances!H57:H57))</f>
        <v>1</v>
      </c>
      <c r="I57" s="1" t="n">
        <f aca="false" t="array" ref="I57:I57">_xlfn.SWITCH($A$2,"average", AVERAGE(Instances!I57:I57),"median", MEDIAN(Instances!I57:I57),"min", MIN(Instances!I57:I57),"max", MAX(Instances!I57:I57),"diff", MAX(Instances!I57:I57)-MIN(Instances!I57:I57))</f>
        <v>9.832</v>
      </c>
      <c r="J57" s="1" t="n">
        <f aca="false" t="array" ref="J57:J57">_xlfn.SWITCH($A$2,"average", AVERAGE(Instances!J57:J57),"median", MEDIAN(Instances!J57:J57),"min", MIN(Instances!J57:J57),"max", MAX(Instances!J57:J57),"diff", MAX(Instances!J57:J57)-MIN(Instances!J57:J57))</f>
        <v>10.09</v>
      </c>
      <c r="K57" s="1" t="n">
        <f aca="false" t="array" ref="K57:K57">_xlfn.SWITCH($A$2,"average", AVERAGE(Instances!K57:K57),"median", MEDIAN(Instances!K57:K57),"min", MIN(Instances!K57:K57),"max", MAX(Instances!K57:K57),"diff", MAX(Instances!K57:K57)-MIN(Instances!K57:K57))</f>
        <v>0</v>
      </c>
      <c r="L57" s="1"/>
      <c r="M57" s="1" t="n">
        <f aca="false" t="array" ref="M57:M57">_xlfn.SWITCH($A$2,"average", AVERAGE(Instances!M57:M57),"median", MEDIAN(Instances!M57:M57),"min", MIN(Instances!M57:M57),"max", MAX(Instances!M57:M57),"diff", MAX(Instances!M57:M57)-MIN(Instances!M57:M57))</f>
        <v>2275686</v>
      </c>
      <c r="N57" s="1" t="n">
        <f aca="false" t="array" ref="N57:N57">_xlfn.SWITCH($A$2,"average", AVERAGE(Instances!N57:N57),"median", MEDIAN(Instances!N57:N57),"min", MIN(Instances!N57:N57),"max", MAX(Instances!N57:N57),"diff", MAX(Instances!N57:N57)-MIN(Instances!N57:N57))</f>
        <v>0.09</v>
      </c>
      <c r="O57" s="1"/>
      <c r="P57" s="1" t="n">
        <f aca="false" t="array" ref="P57:P57">_xlfn.SWITCH($A$2,"average", AVERAGE(Instances!P57:P57),"median", MEDIAN(Instances!P57:P57),"min", MIN(Instances!P57:P57),"max", MAX(Instances!P57:P57),"diff", MAX(Instances!P57:P57)-MIN(Instances!P57:P57))</f>
        <v>10.09</v>
      </c>
      <c r="Q57" s="1" t="n">
        <f aca="false" t="array" ref="Q57:Q57">_xlfn.SWITCH($A$2,"average", AVERAGE(Instances!Q57:Q57),"median", MEDIAN(Instances!Q57:Q57),"min", MIN(Instances!Q57:Q57),"max", MAX(Instances!Q57:Q57),"diff", MAX(Instances!Q57:Q57)-MIN(Instances!Q57:Q57))</f>
        <v>0</v>
      </c>
      <c r="R57" s="1" t="n">
        <f aca="false" t="array" ref="R57:R57">_xlfn.SWITCH($A$2,"average", AVERAGE(Instances!R57:R57),"median", MEDIAN(Instances!R57:R57),"min", MIN(Instances!R57:R57),"max", MAX(Instances!R57:R57),"diff", MAX(Instances!R57:R57)-MIN(Instances!R57:R57))</f>
        <v>709516</v>
      </c>
      <c r="S57" s="1" t="n">
        <f aca="false">MIN($B57)</f>
        <v>2626</v>
      </c>
      <c r="T57" s="1" t="n">
        <f aca="false">MIN($C57)</f>
        <v>1</v>
      </c>
      <c r="U57" s="1" t="n">
        <f aca="false">MIN($D57)</f>
        <v>1105216</v>
      </c>
      <c r="V57" s="1" t="n">
        <f aca="false">MIN($E57)</f>
        <v>0</v>
      </c>
      <c r="W57" s="1" t="n">
        <f aca="false">MIN($F57)</f>
        <v>707</v>
      </c>
      <c r="X57" s="1" t="n">
        <f aca="false">MIN($G57)</f>
        <v>0</v>
      </c>
      <c r="Y57" s="1" t="n">
        <f aca="false">MIN($H57)</f>
        <v>1</v>
      </c>
      <c r="Z57" s="1" t="n">
        <f aca="false">MIN($I57)</f>
        <v>9.832</v>
      </c>
      <c r="AA57" s="1" t="n">
        <f aca="false">MIN($J57)</f>
        <v>10.09</v>
      </c>
      <c r="AB57" s="1" t="n">
        <f aca="false">MIN($K57)</f>
        <v>0</v>
      </c>
      <c r="AC57" s="1" t="n">
        <f aca="false">MIN($M57)</f>
        <v>2275686</v>
      </c>
      <c r="AD57" s="1" t="n">
        <f aca="false">MIN($N57)</f>
        <v>0.09</v>
      </c>
      <c r="AE57" s="1" t="n">
        <f aca="false">MIN($P57)</f>
        <v>10.09</v>
      </c>
      <c r="AF57" s="1" t="n">
        <f aca="false">MIN($Q57)</f>
        <v>0</v>
      </c>
      <c r="AG57" s="1" t="n">
        <f aca="false">MIN($R57)</f>
        <v>709516</v>
      </c>
      <c r="AH57" s="1" t="n">
        <f aca="false">MEDIAN($B57)</f>
        <v>2626</v>
      </c>
      <c r="AI57" s="1" t="n">
        <f aca="false">MEDIAN($C57)</f>
        <v>1</v>
      </c>
      <c r="AJ57" s="1" t="n">
        <f aca="false">MEDIAN($D57)</f>
        <v>1105216</v>
      </c>
      <c r="AK57" s="1" t="n">
        <f aca="false">MEDIAN($E57)</f>
        <v>0</v>
      </c>
      <c r="AL57" s="1" t="n">
        <f aca="false">MEDIAN($F57)</f>
        <v>707</v>
      </c>
      <c r="AM57" s="1" t="n">
        <f aca="false">MEDIAN($G57)</f>
        <v>0</v>
      </c>
      <c r="AN57" s="1" t="n">
        <f aca="false">MEDIAN($H57)</f>
        <v>1</v>
      </c>
      <c r="AO57" s="1" t="n">
        <f aca="false">MEDIAN($I57)</f>
        <v>9.832</v>
      </c>
      <c r="AP57" s="1" t="n">
        <f aca="false">MEDIAN($J57)</f>
        <v>10.09</v>
      </c>
      <c r="AQ57" s="1" t="n">
        <f aca="false">MEDIAN($K57)</f>
        <v>0</v>
      </c>
      <c r="AR57" s="1" t="n">
        <f aca="false">MEDIAN($M57)</f>
        <v>2275686</v>
      </c>
      <c r="AS57" s="1" t="n">
        <f aca="false">MEDIAN($N57)</f>
        <v>0.09</v>
      </c>
      <c r="AT57" s="1" t="n">
        <f aca="false">MEDIAN($P57)</f>
        <v>10.09</v>
      </c>
      <c r="AU57" s="1" t="n">
        <f aca="false">MEDIAN($Q57)</f>
        <v>0</v>
      </c>
      <c r="AV57" s="1" t="n">
        <f aca="false">MEDIAN($R57)</f>
        <v>709516</v>
      </c>
      <c r="AW57" s="1" t="n">
        <f aca="false">MAX($B57)</f>
        <v>2626</v>
      </c>
      <c r="AX57" s="1" t="n">
        <f aca="false">MAX($C57)</f>
        <v>1</v>
      </c>
      <c r="AY57" s="1" t="n">
        <f aca="false">MAX($D57)</f>
        <v>1105216</v>
      </c>
      <c r="AZ57" s="1" t="n">
        <f aca="false">MAX($E57)</f>
        <v>0</v>
      </c>
      <c r="BA57" s="1" t="n">
        <f aca="false">MAX($F57)</f>
        <v>707</v>
      </c>
      <c r="BB57" s="1" t="n">
        <f aca="false">MAX($G57)</f>
        <v>0</v>
      </c>
      <c r="BC57" s="1" t="n">
        <f aca="false">MAX($H57)</f>
        <v>1</v>
      </c>
      <c r="BD57" s="1" t="n">
        <f aca="false">MAX($I57)</f>
        <v>9.832</v>
      </c>
      <c r="BE57" s="1" t="n">
        <f aca="false">MAX($J57)</f>
        <v>10.09</v>
      </c>
      <c r="BF57" s="1" t="n">
        <f aca="false">MAX($K57)</f>
        <v>0</v>
      </c>
      <c r="BG57" s="1" t="n">
        <f aca="false">MAX($M57)</f>
        <v>2275686</v>
      </c>
      <c r="BH57" s="1" t="n">
        <f aca="false">MAX($N57)</f>
        <v>0.09</v>
      </c>
      <c r="BI57" s="1" t="n">
        <f aca="false">MAX($P57)</f>
        <v>10.09</v>
      </c>
      <c r="BJ57" s="1" t="n">
        <f aca="false">MAX($Q57)</f>
        <v>0</v>
      </c>
      <c r="BK57" s="1" t="n">
        <f aca="false">MAX($R57)</f>
        <v>709516</v>
      </c>
    </row>
    <row r="58" customFormat="false" ht="15" hidden="false" customHeight="false" outlineLevel="0" collapsed="false">
      <c r="A58" s="1" t="s">
        <v>75</v>
      </c>
      <c r="B58" s="1" t="n">
        <f aca="false" t="array" ref="B58:B58">_xlfn.SWITCH($A$2,"average", AVERAGE(Instances!B58:B58),"median", MEDIAN(Instances!B58:B58),"min", MIN(Instances!B58:B58),"max", MAX(Instances!B58:B58),"diff", MAX(Instances!B58:B58)-MIN(Instances!B58:B58))</f>
        <v>1817</v>
      </c>
      <c r="C58" s="1" t="n">
        <f aca="false" t="array" ref="C58:C58">_xlfn.SWITCH($A$2,"average", AVERAGE(Instances!C58:C58),"median", MEDIAN(Instances!C58:C58),"min", MIN(Instances!C58:C58),"max", MAX(Instances!C58:C58),"diff", MAX(Instances!C58:C58)-MIN(Instances!C58:C58))</f>
        <v>0</v>
      </c>
      <c r="D58" s="1" t="n">
        <f aca="false" t="array" ref="D58:D58">_xlfn.SWITCH($A$2,"average", AVERAGE(Instances!D58:D58),"median", MEDIAN(Instances!D58:D58),"min", MIN(Instances!D58:D58),"max", MAX(Instances!D58:D58),"diff", MAX(Instances!D58:D58)-MIN(Instances!D58:D58))</f>
        <v>805644</v>
      </c>
      <c r="E58" s="1" t="n">
        <f aca="false" t="array" ref="E58:E58">_xlfn.SWITCH($A$2,"average", AVERAGE(Instances!E58:E58),"median", MEDIAN(Instances!E58:E58),"min", MIN(Instances!E58:E58),"max", MAX(Instances!E58:E58),"diff", MAX(Instances!E58:E58)-MIN(Instances!E58:E58))</f>
        <v>0</v>
      </c>
      <c r="F58" s="1" t="n">
        <f aca="false" t="array" ref="F58:F58">_xlfn.SWITCH($A$2,"average", AVERAGE(Instances!F58:F58),"median", MEDIAN(Instances!F58:F58),"min", MIN(Instances!F58:F58),"max", MAX(Instances!F58:F58),"diff", MAX(Instances!F58:F58)-MIN(Instances!F58:F58))</f>
        <v>582</v>
      </c>
      <c r="G58" s="1" t="n">
        <f aca="false" t="array" ref="G58:G58">_xlfn.SWITCH($A$2,"average", AVERAGE(Instances!G58:G58),"median", MEDIAN(Instances!G58:G58),"min", MIN(Instances!G58:G58),"max", MAX(Instances!G58:G58),"diff", MAX(Instances!G58:G58)-MIN(Instances!G58:G58))</f>
        <v>0</v>
      </c>
      <c r="H58" s="1" t="n">
        <f aca="false" t="array" ref="H58:H58">_xlfn.SWITCH($A$2,"average", AVERAGE(Instances!H58:H58),"median", MEDIAN(Instances!H58:H58),"min", MIN(Instances!H58:H58),"max", MAX(Instances!H58:H58),"diff", MAX(Instances!H58:H58)-MIN(Instances!H58:H58))</f>
        <v>1</v>
      </c>
      <c r="I58" s="1" t="n">
        <f aca="false" t="array" ref="I58:I58">_xlfn.SWITCH($A$2,"average", AVERAGE(Instances!I58:I58),"median", MEDIAN(Instances!I58:I58),"min", MIN(Instances!I58:I58),"max", MAX(Instances!I58:I58),"diff", MAX(Instances!I58:I58)-MIN(Instances!I58:I58))</f>
        <v>8.135</v>
      </c>
      <c r="J58" s="1" t="n">
        <f aca="false" t="array" ref="J58:J58">_xlfn.SWITCH($A$2,"average", AVERAGE(Instances!J58:J58),"median", MEDIAN(Instances!J58:J58),"min", MIN(Instances!J58:J58),"max", MAX(Instances!J58:J58),"diff", MAX(Instances!J58:J58)-MIN(Instances!J58:J58))</f>
        <v>8.36</v>
      </c>
      <c r="K58" s="1" t="n">
        <f aca="false" t="array" ref="K58:K58">_xlfn.SWITCH($A$2,"average", AVERAGE(Instances!K58:K58),"median", MEDIAN(Instances!K58:K58),"min", MIN(Instances!K58:K58),"max", MAX(Instances!K58:K58),"diff", MAX(Instances!K58:K58)-MIN(Instances!K58:K58))</f>
        <v>0</v>
      </c>
      <c r="L58" s="1"/>
      <c r="M58" s="1" t="n">
        <f aca="false" t="array" ref="M58:M58">_xlfn.SWITCH($A$2,"average", AVERAGE(Instances!M58:M58),"median", MEDIAN(Instances!M58:M58),"min", MIN(Instances!M58:M58),"max", MAX(Instances!M58:M58),"diff", MAX(Instances!M58:M58)-MIN(Instances!M58:M58))</f>
        <v>1863573</v>
      </c>
      <c r="N58" s="1" t="n">
        <f aca="false" t="array" ref="N58:N58">_xlfn.SWITCH($A$2,"average", AVERAGE(Instances!N58:N58),"median", MEDIAN(Instances!N58:N58),"min", MIN(Instances!N58:N58),"max", MAX(Instances!N58:N58),"diff", MAX(Instances!N58:N58)-MIN(Instances!N58:N58))</f>
        <v>0.06</v>
      </c>
      <c r="O58" s="1"/>
      <c r="P58" s="1" t="n">
        <f aca="false" t="array" ref="P58:P58">_xlfn.SWITCH($A$2,"average", AVERAGE(Instances!P58:P58),"median", MEDIAN(Instances!P58:P58),"min", MIN(Instances!P58:P58),"max", MAX(Instances!P58:P58),"diff", MAX(Instances!P58:P58)-MIN(Instances!P58:P58))</f>
        <v>8.36</v>
      </c>
      <c r="Q58" s="1" t="n">
        <f aca="false" t="array" ref="Q58:Q58">_xlfn.SWITCH($A$2,"average", AVERAGE(Instances!Q58:Q58),"median", MEDIAN(Instances!Q58:Q58),"min", MIN(Instances!Q58:Q58),"max", MAX(Instances!Q58:Q58),"diff", MAX(Instances!Q58:Q58)-MIN(Instances!Q58:Q58))</f>
        <v>0</v>
      </c>
      <c r="R58" s="1" t="n">
        <f aca="false" t="array" ref="R58:R58">_xlfn.SWITCH($A$2,"average", AVERAGE(Instances!R58:R58),"median", MEDIAN(Instances!R58:R58),"min", MIN(Instances!R58:R58),"max", MAX(Instances!R58:R58),"diff", MAX(Instances!R58:R58)-MIN(Instances!R58:R58))</f>
        <v>593189</v>
      </c>
      <c r="S58" s="1" t="n">
        <f aca="false">MIN($B58)</f>
        <v>1817</v>
      </c>
      <c r="T58" s="1" t="n">
        <f aca="false">MIN($C58)</f>
        <v>0</v>
      </c>
      <c r="U58" s="1" t="n">
        <f aca="false">MIN($D58)</f>
        <v>805644</v>
      </c>
      <c r="V58" s="1" t="n">
        <f aca="false">MIN($E58)</f>
        <v>0</v>
      </c>
      <c r="W58" s="1" t="n">
        <f aca="false">MIN($F58)</f>
        <v>582</v>
      </c>
      <c r="X58" s="1" t="n">
        <f aca="false">MIN($G58)</f>
        <v>0</v>
      </c>
      <c r="Y58" s="1" t="n">
        <f aca="false">MIN($H58)</f>
        <v>1</v>
      </c>
      <c r="Z58" s="1" t="n">
        <f aca="false">MIN($I58)</f>
        <v>8.135</v>
      </c>
      <c r="AA58" s="1" t="n">
        <f aca="false">MIN($J58)</f>
        <v>8.36</v>
      </c>
      <c r="AB58" s="1" t="n">
        <f aca="false">MIN($K58)</f>
        <v>0</v>
      </c>
      <c r="AC58" s="1" t="n">
        <f aca="false">MIN($M58)</f>
        <v>1863573</v>
      </c>
      <c r="AD58" s="1" t="n">
        <f aca="false">MIN($N58)</f>
        <v>0.06</v>
      </c>
      <c r="AE58" s="1" t="n">
        <f aca="false">MIN($P58)</f>
        <v>8.36</v>
      </c>
      <c r="AF58" s="1" t="n">
        <f aca="false">MIN($Q58)</f>
        <v>0</v>
      </c>
      <c r="AG58" s="1" t="n">
        <f aca="false">MIN($R58)</f>
        <v>593189</v>
      </c>
      <c r="AH58" s="1" t="n">
        <f aca="false">MEDIAN($B58)</f>
        <v>1817</v>
      </c>
      <c r="AI58" s="1" t="n">
        <f aca="false">MEDIAN($C58)</f>
        <v>0</v>
      </c>
      <c r="AJ58" s="1" t="n">
        <f aca="false">MEDIAN($D58)</f>
        <v>805644</v>
      </c>
      <c r="AK58" s="1" t="n">
        <f aca="false">MEDIAN($E58)</f>
        <v>0</v>
      </c>
      <c r="AL58" s="1" t="n">
        <f aca="false">MEDIAN($F58)</f>
        <v>582</v>
      </c>
      <c r="AM58" s="1" t="n">
        <f aca="false">MEDIAN($G58)</f>
        <v>0</v>
      </c>
      <c r="AN58" s="1" t="n">
        <f aca="false">MEDIAN($H58)</f>
        <v>1</v>
      </c>
      <c r="AO58" s="1" t="n">
        <f aca="false">MEDIAN($I58)</f>
        <v>8.135</v>
      </c>
      <c r="AP58" s="1" t="n">
        <f aca="false">MEDIAN($J58)</f>
        <v>8.36</v>
      </c>
      <c r="AQ58" s="1" t="n">
        <f aca="false">MEDIAN($K58)</f>
        <v>0</v>
      </c>
      <c r="AR58" s="1" t="n">
        <f aca="false">MEDIAN($M58)</f>
        <v>1863573</v>
      </c>
      <c r="AS58" s="1" t="n">
        <f aca="false">MEDIAN($N58)</f>
        <v>0.06</v>
      </c>
      <c r="AT58" s="1" t="n">
        <f aca="false">MEDIAN($P58)</f>
        <v>8.36</v>
      </c>
      <c r="AU58" s="1" t="n">
        <f aca="false">MEDIAN($Q58)</f>
        <v>0</v>
      </c>
      <c r="AV58" s="1" t="n">
        <f aca="false">MEDIAN($R58)</f>
        <v>593189</v>
      </c>
      <c r="AW58" s="1" t="n">
        <f aca="false">MAX($B58)</f>
        <v>1817</v>
      </c>
      <c r="AX58" s="1" t="n">
        <f aca="false">MAX($C58)</f>
        <v>0</v>
      </c>
      <c r="AY58" s="1" t="n">
        <f aca="false">MAX($D58)</f>
        <v>805644</v>
      </c>
      <c r="AZ58" s="1" t="n">
        <f aca="false">MAX($E58)</f>
        <v>0</v>
      </c>
      <c r="BA58" s="1" t="n">
        <f aca="false">MAX($F58)</f>
        <v>582</v>
      </c>
      <c r="BB58" s="1" t="n">
        <f aca="false">MAX($G58)</f>
        <v>0</v>
      </c>
      <c r="BC58" s="1" t="n">
        <f aca="false">MAX($H58)</f>
        <v>1</v>
      </c>
      <c r="BD58" s="1" t="n">
        <f aca="false">MAX($I58)</f>
        <v>8.135</v>
      </c>
      <c r="BE58" s="1" t="n">
        <f aca="false">MAX($J58)</f>
        <v>8.36</v>
      </c>
      <c r="BF58" s="1" t="n">
        <f aca="false">MAX($K58)</f>
        <v>0</v>
      </c>
      <c r="BG58" s="1" t="n">
        <f aca="false">MAX($M58)</f>
        <v>1863573</v>
      </c>
      <c r="BH58" s="1" t="n">
        <f aca="false">MAX($N58)</f>
        <v>0.06</v>
      </c>
      <c r="BI58" s="1" t="n">
        <f aca="false">MAX($P58)</f>
        <v>8.36</v>
      </c>
      <c r="BJ58" s="1" t="n">
        <f aca="false">MAX($Q58)</f>
        <v>0</v>
      </c>
      <c r="BK58" s="1" t="n">
        <f aca="false">MAX($R58)</f>
        <v>593189</v>
      </c>
    </row>
    <row r="59" customFormat="false" ht="15" hidden="false" customHeight="false" outlineLevel="0" collapsed="false">
      <c r="A59" s="1" t="s">
        <v>76</v>
      </c>
      <c r="B59" s="1" t="n">
        <f aca="false" t="array" ref="B59:B59">_xlfn.SWITCH($A$2,"average", AVERAGE(Instances!B59:B59),"median", MEDIAN(Instances!B59:B59),"min", MIN(Instances!B59:B59),"max", MAX(Instances!B59:B59),"diff", MAX(Instances!B59:B59)-MIN(Instances!B59:B59))</f>
        <v>2551</v>
      </c>
      <c r="C59" s="1" t="n">
        <f aca="false" t="array" ref="C59:C59">_xlfn.SWITCH($A$2,"average", AVERAGE(Instances!C59:C59),"median", MEDIAN(Instances!C59:C59),"min", MIN(Instances!C59:C59),"max", MAX(Instances!C59:C59),"diff", MAX(Instances!C59:C59)-MIN(Instances!C59:C59))</f>
        <v>0</v>
      </c>
      <c r="D59" s="1" t="n">
        <f aca="false" t="array" ref="D59:D59">_xlfn.SWITCH($A$2,"average", AVERAGE(Instances!D59:D59),"median", MEDIAN(Instances!D59:D59),"min", MIN(Instances!D59:D59),"max", MAX(Instances!D59:D59),"diff", MAX(Instances!D59:D59)-MIN(Instances!D59:D59))</f>
        <v>1154134</v>
      </c>
      <c r="E59" s="1" t="n">
        <f aca="false" t="array" ref="E59:E59">_xlfn.SWITCH($A$2,"average", AVERAGE(Instances!E59:E59),"median", MEDIAN(Instances!E59:E59),"min", MIN(Instances!E59:E59),"max", MAX(Instances!E59:E59),"diff", MAX(Instances!E59:E59)-MIN(Instances!E59:E59))</f>
        <v>0</v>
      </c>
      <c r="F59" s="1" t="n">
        <f aca="false" t="array" ref="F59:F59">_xlfn.SWITCH($A$2,"average", AVERAGE(Instances!F59:F59),"median", MEDIAN(Instances!F59:F59),"min", MIN(Instances!F59:F59),"max", MAX(Instances!F59:F59),"diff", MAX(Instances!F59:F59)-MIN(Instances!F59:F59))</f>
        <v>740</v>
      </c>
      <c r="G59" s="1" t="n">
        <f aca="false" t="array" ref="G59:G59">_xlfn.SWITCH($A$2,"average", AVERAGE(Instances!G59:G59),"median", MEDIAN(Instances!G59:G59),"min", MIN(Instances!G59:G59),"max", MAX(Instances!G59:G59),"diff", MAX(Instances!G59:G59)-MIN(Instances!G59:G59))</f>
        <v>0</v>
      </c>
      <c r="H59" s="1" t="n">
        <f aca="false" t="array" ref="H59:H59">_xlfn.SWITCH($A$2,"average", AVERAGE(Instances!H59:H59),"median", MEDIAN(Instances!H59:H59),"min", MIN(Instances!H59:H59),"max", MAX(Instances!H59:H59),"diff", MAX(Instances!H59:H59)-MIN(Instances!H59:H59))</f>
        <v>1</v>
      </c>
      <c r="I59" s="1" t="n">
        <f aca="false" t="array" ref="I59:I59">_xlfn.SWITCH($A$2,"average", AVERAGE(Instances!I59:I59),"median", MEDIAN(Instances!I59:I59),"min", MIN(Instances!I59:I59),"max", MAX(Instances!I59:I59),"diff", MAX(Instances!I59:I59)-MIN(Instances!I59:I59))</f>
        <v>10.477</v>
      </c>
      <c r="J59" s="1" t="n">
        <f aca="false" t="array" ref="J59:J59">_xlfn.SWITCH($A$2,"average", AVERAGE(Instances!J59:J59),"median", MEDIAN(Instances!J59:J59),"min", MIN(Instances!J59:J59),"max", MAX(Instances!J59:J59),"diff", MAX(Instances!J59:J59)-MIN(Instances!J59:J59))</f>
        <v>10.75</v>
      </c>
      <c r="K59" s="1" t="n">
        <f aca="false" t="array" ref="K59:K59">_xlfn.SWITCH($A$2,"average", AVERAGE(Instances!K59:K59),"median", MEDIAN(Instances!K59:K59),"min", MIN(Instances!K59:K59),"max", MAX(Instances!K59:K59),"diff", MAX(Instances!K59:K59)-MIN(Instances!K59:K59))</f>
        <v>0</v>
      </c>
      <c r="L59" s="1"/>
      <c r="M59" s="1" t="n">
        <f aca="false" t="array" ref="M59:M59">_xlfn.SWITCH($A$2,"average", AVERAGE(Instances!M59:M59),"median", MEDIAN(Instances!M59:M59),"min", MIN(Instances!M59:M59),"max", MAX(Instances!M59:M59),"diff", MAX(Instances!M59:M59)-MIN(Instances!M59:M59))</f>
        <v>2386786</v>
      </c>
      <c r="N59" s="1" t="n">
        <f aca="false" t="array" ref="N59:N59">_xlfn.SWITCH($A$2,"average", AVERAGE(Instances!N59:N59),"median", MEDIAN(Instances!N59:N59),"min", MIN(Instances!N59:N59),"max", MAX(Instances!N59:N59),"diff", MAX(Instances!N59:N59)-MIN(Instances!N59:N59))</f>
        <v>0.09</v>
      </c>
      <c r="O59" s="1"/>
      <c r="P59" s="1" t="n">
        <f aca="false" t="array" ref="P59:P59">_xlfn.SWITCH($A$2,"average", AVERAGE(Instances!P59:P59),"median", MEDIAN(Instances!P59:P59),"min", MIN(Instances!P59:P59),"max", MAX(Instances!P59:P59),"diff", MAX(Instances!P59:P59)-MIN(Instances!P59:P59))</f>
        <v>10.75</v>
      </c>
      <c r="Q59" s="1" t="n">
        <f aca="false" t="array" ref="Q59:Q59">_xlfn.SWITCH($A$2,"average", AVERAGE(Instances!Q59:Q59),"median", MEDIAN(Instances!Q59:Q59),"min", MIN(Instances!Q59:Q59),"max", MAX(Instances!Q59:Q59),"diff", MAX(Instances!Q59:Q59)-MIN(Instances!Q59:Q59))</f>
        <v>0</v>
      </c>
      <c r="R59" s="1" t="n">
        <f aca="false" t="array" ref="R59:R59">_xlfn.SWITCH($A$2,"average", AVERAGE(Instances!R59:R59),"median", MEDIAN(Instances!R59:R59),"min", MIN(Instances!R59:R59),"max", MAX(Instances!R59:R59),"diff", MAX(Instances!R59:R59)-MIN(Instances!R59:R59))</f>
        <v>738737</v>
      </c>
      <c r="S59" s="1" t="n">
        <f aca="false">MIN($B59)</f>
        <v>2551</v>
      </c>
      <c r="T59" s="1" t="n">
        <f aca="false">MIN($C59)</f>
        <v>0</v>
      </c>
      <c r="U59" s="1" t="n">
        <f aca="false">MIN($D59)</f>
        <v>1154134</v>
      </c>
      <c r="V59" s="1" t="n">
        <f aca="false">MIN($E59)</f>
        <v>0</v>
      </c>
      <c r="W59" s="1" t="n">
        <f aca="false">MIN($F59)</f>
        <v>740</v>
      </c>
      <c r="X59" s="1" t="n">
        <f aca="false">MIN($G59)</f>
        <v>0</v>
      </c>
      <c r="Y59" s="1" t="n">
        <f aca="false">MIN($H59)</f>
        <v>1</v>
      </c>
      <c r="Z59" s="1" t="n">
        <f aca="false">MIN($I59)</f>
        <v>10.477</v>
      </c>
      <c r="AA59" s="1" t="n">
        <f aca="false">MIN($J59)</f>
        <v>10.75</v>
      </c>
      <c r="AB59" s="1" t="n">
        <f aca="false">MIN($K59)</f>
        <v>0</v>
      </c>
      <c r="AC59" s="1" t="n">
        <f aca="false">MIN($M59)</f>
        <v>2386786</v>
      </c>
      <c r="AD59" s="1" t="n">
        <f aca="false">MIN($N59)</f>
        <v>0.09</v>
      </c>
      <c r="AE59" s="1" t="n">
        <f aca="false">MIN($P59)</f>
        <v>10.75</v>
      </c>
      <c r="AF59" s="1" t="n">
        <f aca="false">MIN($Q59)</f>
        <v>0</v>
      </c>
      <c r="AG59" s="1" t="n">
        <f aca="false">MIN($R59)</f>
        <v>738737</v>
      </c>
      <c r="AH59" s="1" t="n">
        <f aca="false">MEDIAN($B59)</f>
        <v>2551</v>
      </c>
      <c r="AI59" s="1" t="n">
        <f aca="false">MEDIAN($C59)</f>
        <v>0</v>
      </c>
      <c r="AJ59" s="1" t="n">
        <f aca="false">MEDIAN($D59)</f>
        <v>1154134</v>
      </c>
      <c r="AK59" s="1" t="n">
        <f aca="false">MEDIAN($E59)</f>
        <v>0</v>
      </c>
      <c r="AL59" s="1" t="n">
        <f aca="false">MEDIAN($F59)</f>
        <v>740</v>
      </c>
      <c r="AM59" s="1" t="n">
        <f aca="false">MEDIAN($G59)</f>
        <v>0</v>
      </c>
      <c r="AN59" s="1" t="n">
        <f aca="false">MEDIAN($H59)</f>
        <v>1</v>
      </c>
      <c r="AO59" s="1" t="n">
        <f aca="false">MEDIAN($I59)</f>
        <v>10.477</v>
      </c>
      <c r="AP59" s="1" t="n">
        <f aca="false">MEDIAN($J59)</f>
        <v>10.75</v>
      </c>
      <c r="AQ59" s="1" t="n">
        <f aca="false">MEDIAN($K59)</f>
        <v>0</v>
      </c>
      <c r="AR59" s="1" t="n">
        <f aca="false">MEDIAN($M59)</f>
        <v>2386786</v>
      </c>
      <c r="AS59" s="1" t="n">
        <f aca="false">MEDIAN($N59)</f>
        <v>0.09</v>
      </c>
      <c r="AT59" s="1" t="n">
        <f aca="false">MEDIAN($P59)</f>
        <v>10.75</v>
      </c>
      <c r="AU59" s="1" t="n">
        <f aca="false">MEDIAN($Q59)</f>
        <v>0</v>
      </c>
      <c r="AV59" s="1" t="n">
        <f aca="false">MEDIAN($R59)</f>
        <v>738737</v>
      </c>
      <c r="AW59" s="1" t="n">
        <f aca="false">MAX($B59)</f>
        <v>2551</v>
      </c>
      <c r="AX59" s="1" t="n">
        <f aca="false">MAX($C59)</f>
        <v>0</v>
      </c>
      <c r="AY59" s="1" t="n">
        <f aca="false">MAX($D59)</f>
        <v>1154134</v>
      </c>
      <c r="AZ59" s="1" t="n">
        <f aca="false">MAX($E59)</f>
        <v>0</v>
      </c>
      <c r="BA59" s="1" t="n">
        <f aca="false">MAX($F59)</f>
        <v>740</v>
      </c>
      <c r="BB59" s="1" t="n">
        <f aca="false">MAX($G59)</f>
        <v>0</v>
      </c>
      <c r="BC59" s="1" t="n">
        <f aca="false">MAX($H59)</f>
        <v>1</v>
      </c>
      <c r="BD59" s="1" t="n">
        <f aca="false">MAX($I59)</f>
        <v>10.477</v>
      </c>
      <c r="BE59" s="1" t="n">
        <f aca="false">MAX($J59)</f>
        <v>10.75</v>
      </c>
      <c r="BF59" s="1" t="n">
        <f aca="false">MAX($K59)</f>
        <v>0</v>
      </c>
      <c r="BG59" s="1" t="n">
        <f aca="false">MAX($M59)</f>
        <v>2386786</v>
      </c>
      <c r="BH59" s="1" t="n">
        <f aca="false">MAX($N59)</f>
        <v>0.09</v>
      </c>
      <c r="BI59" s="1" t="n">
        <f aca="false">MAX($P59)</f>
        <v>10.75</v>
      </c>
      <c r="BJ59" s="1" t="n">
        <f aca="false">MAX($Q59)</f>
        <v>0</v>
      </c>
      <c r="BK59" s="1" t="n">
        <f aca="false">MAX($R59)</f>
        <v>738737</v>
      </c>
    </row>
    <row r="60" customFormat="false" ht="15" hidden="false" customHeight="false" outlineLevel="0" collapsed="false">
      <c r="A60" s="1" t="s">
        <v>77</v>
      </c>
      <c r="B60" s="1" t="n">
        <f aca="false" t="array" ref="B60:B60">_xlfn.SWITCH($A$2,"average", AVERAGE(Instances!B60:B60),"median", MEDIAN(Instances!B60:B60),"min", MIN(Instances!B60:B60),"max", MAX(Instances!B60:B60),"diff", MAX(Instances!B60:B60)-MIN(Instances!B60:B60))</f>
        <v>2750</v>
      </c>
      <c r="C60" s="1" t="n">
        <f aca="false" t="array" ref="C60:C60">_xlfn.SWITCH($A$2,"average", AVERAGE(Instances!C60:C60),"median", MEDIAN(Instances!C60:C60),"min", MIN(Instances!C60:C60),"max", MAX(Instances!C60:C60),"diff", MAX(Instances!C60:C60)-MIN(Instances!C60:C60))</f>
        <v>1</v>
      </c>
      <c r="D60" s="1" t="n">
        <f aca="false" t="array" ref="D60:D60">_xlfn.SWITCH($A$2,"average", AVERAGE(Instances!D60:D60),"median", MEDIAN(Instances!D60:D60),"min", MIN(Instances!D60:D60),"max", MAX(Instances!D60:D60),"diff", MAX(Instances!D60:D60)-MIN(Instances!D60:D60))</f>
        <v>1165329</v>
      </c>
      <c r="E60" s="1" t="n">
        <f aca="false" t="array" ref="E60:E60">_xlfn.SWITCH($A$2,"average", AVERAGE(Instances!E60:E60),"median", MEDIAN(Instances!E60:E60),"min", MIN(Instances!E60:E60),"max", MAX(Instances!E60:E60),"diff", MAX(Instances!E60:E60)-MIN(Instances!E60:E60))</f>
        <v>0</v>
      </c>
      <c r="F60" s="1" t="n">
        <f aca="false" t="array" ref="F60:F60">_xlfn.SWITCH($A$2,"average", AVERAGE(Instances!F60:F60),"median", MEDIAN(Instances!F60:F60),"min", MIN(Instances!F60:F60),"max", MAX(Instances!F60:F60),"diff", MAX(Instances!F60:F60)-MIN(Instances!F60:F60))</f>
        <v>809</v>
      </c>
      <c r="G60" s="1" t="n">
        <f aca="false" t="array" ref="G60:G60">_xlfn.SWITCH($A$2,"average", AVERAGE(Instances!G60:G60),"median", MEDIAN(Instances!G60:G60),"min", MIN(Instances!G60:G60),"max", MAX(Instances!G60:G60),"diff", MAX(Instances!G60:G60)-MIN(Instances!G60:G60))</f>
        <v>0</v>
      </c>
      <c r="H60" s="1" t="n">
        <f aca="false" t="array" ref="H60:H60">_xlfn.SWITCH($A$2,"average", AVERAGE(Instances!H60:H60),"median", MEDIAN(Instances!H60:H60),"min", MIN(Instances!H60:H60),"max", MAX(Instances!H60:H60),"diff", MAX(Instances!H60:H60)-MIN(Instances!H60:H60))</f>
        <v>1</v>
      </c>
      <c r="I60" s="1" t="n">
        <f aca="false" t="array" ref="I60:I60">_xlfn.SWITCH($A$2,"average", AVERAGE(Instances!I60:I60),"median", MEDIAN(Instances!I60:I60),"min", MIN(Instances!I60:I60),"max", MAX(Instances!I60:I60),"diff", MAX(Instances!I60:I60)-MIN(Instances!I60:I60))</f>
        <v>11.566</v>
      </c>
      <c r="J60" s="1" t="n">
        <f aca="false" t="array" ref="J60:J60">_xlfn.SWITCH($A$2,"average", AVERAGE(Instances!J60:J60),"median", MEDIAN(Instances!J60:J60),"min", MIN(Instances!J60:J60),"max", MAX(Instances!J60:J60),"diff", MAX(Instances!J60:J60)-MIN(Instances!J60:J60))</f>
        <v>11.85</v>
      </c>
      <c r="K60" s="1" t="n">
        <f aca="false" t="array" ref="K60:K60">_xlfn.SWITCH($A$2,"average", AVERAGE(Instances!K60:K60),"median", MEDIAN(Instances!K60:K60),"min", MIN(Instances!K60:K60),"max", MAX(Instances!K60:K60),"diff", MAX(Instances!K60:K60)-MIN(Instances!K60:K60))</f>
        <v>0</v>
      </c>
      <c r="L60" s="1"/>
      <c r="M60" s="1" t="n">
        <f aca="false" t="array" ref="M60:M60">_xlfn.SWITCH($A$2,"average", AVERAGE(Instances!M60:M60),"median", MEDIAN(Instances!M60:M60),"min", MIN(Instances!M60:M60),"max", MAX(Instances!M60:M60),"diff", MAX(Instances!M60:M60)-MIN(Instances!M60:M60))</f>
        <v>2663066</v>
      </c>
      <c r="N60" s="1" t="n">
        <f aca="false" t="array" ref="N60:N60">_xlfn.SWITCH($A$2,"average", AVERAGE(Instances!N60:N60),"median", MEDIAN(Instances!N60:N60),"min", MIN(Instances!N60:N60),"max", MAX(Instances!N60:N60),"diff", MAX(Instances!N60:N60)-MIN(Instances!N60:N60))</f>
        <v>0.1</v>
      </c>
      <c r="O60" s="1"/>
      <c r="P60" s="1" t="n">
        <f aca="false" t="array" ref="P60:P60">_xlfn.SWITCH($A$2,"average", AVERAGE(Instances!P60:P60),"median", MEDIAN(Instances!P60:P60),"min", MIN(Instances!P60:P60),"max", MAX(Instances!P60:P60),"diff", MAX(Instances!P60:P60)-MIN(Instances!P60:P60))</f>
        <v>11.85</v>
      </c>
      <c r="Q60" s="1" t="n">
        <f aca="false" t="array" ref="Q60:Q60">_xlfn.SWITCH($A$2,"average", AVERAGE(Instances!Q60:Q60),"median", MEDIAN(Instances!Q60:Q60),"min", MIN(Instances!Q60:Q60),"max", MAX(Instances!Q60:Q60),"diff", MAX(Instances!Q60:Q60)-MIN(Instances!Q60:Q60))</f>
        <v>0</v>
      </c>
      <c r="R60" s="1" t="n">
        <f aca="false" t="array" ref="R60:R60">_xlfn.SWITCH($A$2,"average", AVERAGE(Instances!R60:R60),"median", MEDIAN(Instances!R60:R60),"min", MIN(Instances!R60:R60),"max", MAX(Instances!R60:R60),"diff", MAX(Instances!R60:R60)-MIN(Instances!R60:R60))</f>
        <v>788507</v>
      </c>
      <c r="S60" s="1" t="n">
        <f aca="false">MIN($B60)</f>
        <v>2750</v>
      </c>
      <c r="T60" s="1" t="n">
        <f aca="false">MIN($C60)</f>
        <v>1</v>
      </c>
      <c r="U60" s="1" t="n">
        <f aca="false">MIN($D60)</f>
        <v>1165329</v>
      </c>
      <c r="V60" s="1" t="n">
        <f aca="false">MIN($E60)</f>
        <v>0</v>
      </c>
      <c r="W60" s="1" t="n">
        <f aca="false">MIN($F60)</f>
        <v>809</v>
      </c>
      <c r="X60" s="1" t="n">
        <f aca="false">MIN($G60)</f>
        <v>0</v>
      </c>
      <c r="Y60" s="1" t="n">
        <f aca="false">MIN($H60)</f>
        <v>1</v>
      </c>
      <c r="Z60" s="1" t="n">
        <f aca="false">MIN($I60)</f>
        <v>11.566</v>
      </c>
      <c r="AA60" s="1" t="n">
        <f aca="false">MIN($J60)</f>
        <v>11.85</v>
      </c>
      <c r="AB60" s="1" t="n">
        <f aca="false">MIN($K60)</f>
        <v>0</v>
      </c>
      <c r="AC60" s="1" t="n">
        <f aca="false">MIN($M60)</f>
        <v>2663066</v>
      </c>
      <c r="AD60" s="1" t="n">
        <f aca="false">MIN($N60)</f>
        <v>0.1</v>
      </c>
      <c r="AE60" s="1" t="n">
        <f aca="false">MIN($P60)</f>
        <v>11.85</v>
      </c>
      <c r="AF60" s="1" t="n">
        <f aca="false">MIN($Q60)</f>
        <v>0</v>
      </c>
      <c r="AG60" s="1" t="n">
        <f aca="false">MIN($R60)</f>
        <v>788507</v>
      </c>
      <c r="AH60" s="1" t="n">
        <f aca="false">MEDIAN($B60)</f>
        <v>2750</v>
      </c>
      <c r="AI60" s="1" t="n">
        <f aca="false">MEDIAN($C60)</f>
        <v>1</v>
      </c>
      <c r="AJ60" s="1" t="n">
        <f aca="false">MEDIAN($D60)</f>
        <v>1165329</v>
      </c>
      <c r="AK60" s="1" t="n">
        <f aca="false">MEDIAN($E60)</f>
        <v>0</v>
      </c>
      <c r="AL60" s="1" t="n">
        <f aca="false">MEDIAN($F60)</f>
        <v>809</v>
      </c>
      <c r="AM60" s="1" t="n">
        <f aca="false">MEDIAN($G60)</f>
        <v>0</v>
      </c>
      <c r="AN60" s="1" t="n">
        <f aca="false">MEDIAN($H60)</f>
        <v>1</v>
      </c>
      <c r="AO60" s="1" t="n">
        <f aca="false">MEDIAN($I60)</f>
        <v>11.566</v>
      </c>
      <c r="AP60" s="1" t="n">
        <f aca="false">MEDIAN($J60)</f>
        <v>11.85</v>
      </c>
      <c r="AQ60" s="1" t="n">
        <f aca="false">MEDIAN($K60)</f>
        <v>0</v>
      </c>
      <c r="AR60" s="1" t="n">
        <f aca="false">MEDIAN($M60)</f>
        <v>2663066</v>
      </c>
      <c r="AS60" s="1" t="n">
        <f aca="false">MEDIAN($N60)</f>
        <v>0.1</v>
      </c>
      <c r="AT60" s="1" t="n">
        <f aca="false">MEDIAN($P60)</f>
        <v>11.85</v>
      </c>
      <c r="AU60" s="1" t="n">
        <f aca="false">MEDIAN($Q60)</f>
        <v>0</v>
      </c>
      <c r="AV60" s="1" t="n">
        <f aca="false">MEDIAN($R60)</f>
        <v>788507</v>
      </c>
      <c r="AW60" s="1" t="n">
        <f aca="false">MAX($B60)</f>
        <v>2750</v>
      </c>
      <c r="AX60" s="1" t="n">
        <f aca="false">MAX($C60)</f>
        <v>1</v>
      </c>
      <c r="AY60" s="1" t="n">
        <f aca="false">MAX($D60)</f>
        <v>1165329</v>
      </c>
      <c r="AZ60" s="1" t="n">
        <f aca="false">MAX($E60)</f>
        <v>0</v>
      </c>
      <c r="BA60" s="1" t="n">
        <f aca="false">MAX($F60)</f>
        <v>809</v>
      </c>
      <c r="BB60" s="1" t="n">
        <f aca="false">MAX($G60)</f>
        <v>0</v>
      </c>
      <c r="BC60" s="1" t="n">
        <f aca="false">MAX($H60)</f>
        <v>1</v>
      </c>
      <c r="BD60" s="1" t="n">
        <f aca="false">MAX($I60)</f>
        <v>11.566</v>
      </c>
      <c r="BE60" s="1" t="n">
        <f aca="false">MAX($J60)</f>
        <v>11.85</v>
      </c>
      <c r="BF60" s="1" t="n">
        <f aca="false">MAX($K60)</f>
        <v>0</v>
      </c>
      <c r="BG60" s="1" t="n">
        <f aca="false">MAX($M60)</f>
        <v>2663066</v>
      </c>
      <c r="BH60" s="1" t="n">
        <f aca="false">MAX($N60)</f>
        <v>0.1</v>
      </c>
      <c r="BI60" s="1" t="n">
        <f aca="false">MAX($P60)</f>
        <v>11.85</v>
      </c>
      <c r="BJ60" s="1" t="n">
        <f aca="false">MAX($Q60)</f>
        <v>0</v>
      </c>
      <c r="BK60" s="1" t="n">
        <f aca="false">MAX($R60)</f>
        <v>788507</v>
      </c>
    </row>
    <row r="61" customFormat="false" ht="15" hidden="false" customHeight="false" outlineLevel="0" collapsed="false">
      <c r="A61" s="1" t="s">
        <v>78</v>
      </c>
      <c r="B61" s="1" t="n">
        <f aca="false" t="array" ref="B61:B61">_xlfn.SWITCH($A$2,"average", AVERAGE(Instances!B61:B61),"median", MEDIAN(Instances!B61:B61),"min", MIN(Instances!B61:B61),"max", MAX(Instances!B61:B61),"diff", MAX(Instances!B61:B61)-MIN(Instances!B61:B61))</f>
        <v>2538</v>
      </c>
      <c r="C61" s="1" t="n">
        <f aca="false" t="array" ref="C61:C61">_xlfn.SWITCH($A$2,"average", AVERAGE(Instances!C61:C61),"median", MEDIAN(Instances!C61:C61),"min", MIN(Instances!C61:C61),"max", MAX(Instances!C61:C61),"diff", MAX(Instances!C61:C61)-MIN(Instances!C61:C61))</f>
        <v>4</v>
      </c>
      <c r="D61" s="1" t="n">
        <f aca="false" t="array" ref="D61:D61">_xlfn.SWITCH($A$2,"average", AVERAGE(Instances!D61:D61),"median", MEDIAN(Instances!D61:D61),"min", MIN(Instances!D61:D61),"max", MAX(Instances!D61:D61),"diff", MAX(Instances!D61:D61)-MIN(Instances!D61:D61))</f>
        <v>1075673</v>
      </c>
      <c r="E61" s="1" t="n">
        <f aca="false" t="array" ref="E61:E61">_xlfn.SWITCH($A$2,"average", AVERAGE(Instances!E61:E61),"median", MEDIAN(Instances!E61:E61),"min", MIN(Instances!E61:E61),"max", MAX(Instances!E61:E61),"diff", MAX(Instances!E61:E61)-MIN(Instances!E61:E61))</f>
        <v>0</v>
      </c>
      <c r="F61" s="1" t="n">
        <f aca="false" t="array" ref="F61:F61">_xlfn.SWITCH($A$2,"average", AVERAGE(Instances!F61:F61),"median", MEDIAN(Instances!F61:F61),"min", MIN(Instances!F61:F61),"max", MAX(Instances!F61:F61),"diff", MAX(Instances!F61:F61)-MIN(Instances!F61:F61))</f>
        <v>772</v>
      </c>
      <c r="G61" s="1" t="n">
        <f aca="false" t="array" ref="G61:G61">_xlfn.SWITCH($A$2,"average", AVERAGE(Instances!G61:G61),"median", MEDIAN(Instances!G61:G61),"min", MIN(Instances!G61:G61),"max", MAX(Instances!G61:G61),"diff", MAX(Instances!G61:G61)-MIN(Instances!G61:G61))</f>
        <v>0</v>
      </c>
      <c r="H61" s="1" t="n">
        <f aca="false" t="array" ref="H61:H61">_xlfn.SWITCH($A$2,"average", AVERAGE(Instances!H61:H61),"median", MEDIAN(Instances!H61:H61),"min", MIN(Instances!H61:H61),"max", MAX(Instances!H61:H61),"diff", MAX(Instances!H61:H61)-MIN(Instances!H61:H61))</f>
        <v>1</v>
      </c>
      <c r="I61" s="1" t="n">
        <f aca="false" t="array" ref="I61:I61">_xlfn.SWITCH($A$2,"average", AVERAGE(Instances!I61:I61),"median", MEDIAN(Instances!I61:I61),"min", MIN(Instances!I61:I61),"max", MAX(Instances!I61:I61),"diff", MAX(Instances!I61:I61)-MIN(Instances!I61:I61))</f>
        <v>11.166</v>
      </c>
      <c r="J61" s="1" t="n">
        <f aca="false" t="array" ref="J61:J61">_xlfn.SWITCH($A$2,"average", AVERAGE(Instances!J61:J61),"median", MEDIAN(Instances!J61:J61),"min", MIN(Instances!J61:J61),"max", MAX(Instances!J61:J61),"diff", MAX(Instances!J61:J61)-MIN(Instances!J61:J61))</f>
        <v>11.44</v>
      </c>
      <c r="K61" s="1" t="n">
        <f aca="false" t="array" ref="K61:K61">_xlfn.SWITCH($A$2,"average", AVERAGE(Instances!K61:K61),"median", MEDIAN(Instances!K61:K61),"min", MIN(Instances!K61:K61),"max", MAX(Instances!K61:K61),"diff", MAX(Instances!K61:K61)-MIN(Instances!K61:K61))</f>
        <v>0</v>
      </c>
      <c r="L61" s="1"/>
      <c r="M61" s="1" t="n">
        <f aca="false" t="array" ref="M61:M61">_xlfn.SWITCH($A$2,"average", AVERAGE(Instances!M61:M61),"median", MEDIAN(Instances!M61:M61),"min", MIN(Instances!M61:M61),"max", MAX(Instances!M61:M61),"diff", MAX(Instances!M61:M61)-MIN(Instances!M61:M61))</f>
        <v>2553565</v>
      </c>
      <c r="N61" s="1" t="n">
        <f aca="false" t="array" ref="N61:N61">_xlfn.SWITCH($A$2,"average", AVERAGE(Instances!N61:N61),"median", MEDIAN(Instances!N61:N61),"min", MIN(Instances!N61:N61),"max", MAX(Instances!N61:N61),"diff", MAX(Instances!N61:N61)-MIN(Instances!N61:N61))</f>
        <v>0.09</v>
      </c>
      <c r="O61" s="1"/>
      <c r="P61" s="1" t="n">
        <f aca="false" t="array" ref="P61:P61">_xlfn.SWITCH($A$2,"average", AVERAGE(Instances!P61:P61),"median", MEDIAN(Instances!P61:P61),"min", MIN(Instances!P61:P61),"max", MAX(Instances!P61:P61),"diff", MAX(Instances!P61:P61)-MIN(Instances!P61:P61))</f>
        <v>11.44</v>
      </c>
      <c r="Q61" s="1" t="n">
        <f aca="false" t="array" ref="Q61:Q61">_xlfn.SWITCH($A$2,"average", AVERAGE(Instances!Q61:Q61),"median", MEDIAN(Instances!Q61:Q61),"min", MIN(Instances!Q61:Q61),"max", MAX(Instances!Q61:Q61),"diff", MAX(Instances!Q61:Q61)-MIN(Instances!Q61:Q61))</f>
        <v>0</v>
      </c>
      <c r="R61" s="1" t="n">
        <f aca="false" t="array" ref="R61:R61">_xlfn.SWITCH($A$2,"average", AVERAGE(Instances!R61:R61),"median", MEDIAN(Instances!R61:R61),"min", MIN(Instances!R61:R61),"max", MAX(Instances!R61:R61),"diff", MAX(Instances!R61:R61)-MIN(Instances!R61:R61))</f>
        <v>752072</v>
      </c>
      <c r="S61" s="1" t="n">
        <f aca="false">MIN($B61)</f>
        <v>2538</v>
      </c>
      <c r="T61" s="1" t="n">
        <f aca="false">MIN($C61)</f>
        <v>4</v>
      </c>
      <c r="U61" s="1" t="n">
        <f aca="false">MIN($D61)</f>
        <v>1075673</v>
      </c>
      <c r="V61" s="1" t="n">
        <f aca="false">MIN($E61)</f>
        <v>0</v>
      </c>
      <c r="W61" s="1" t="n">
        <f aca="false">MIN($F61)</f>
        <v>772</v>
      </c>
      <c r="X61" s="1" t="n">
        <f aca="false">MIN($G61)</f>
        <v>0</v>
      </c>
      <c r="Y61" s="1" t="n">
        <f aca="false">MIN($H61)</f>
        <v>1</v>
      </c>
      <c r="Z61" s="1" t="n">
        <f aca="false">MIN($I61)</f>
        <v>11.166</v>
      </c>
      <c r="AA61" s="1" t="n">
        <f aca="false">MIN($J61)</f>
        <v>11.44</v>
      </c>
      <c r="AB61" s="1" t="n">
        <f aca="false">MIN($K61)</f>
        <v>0</v>
      </c>
      <c r="AC61" s="1" t="n">
        <f aca="false">MIN($M61)</f>
        <v>2553565</v>
      </c>
      <c r="AD61" s="1" t="n">
        <f aca="false">MIN($N61)</f>
        <v>0.09</v>
      </c>
      <c r="AE61" s="1" t="n">
        <f aca="false">MIN($P61)</f>
        <v>11.44</v>
      </c>
      <c r="AF61" s="1" t="n">
        <f aca="false">MIN($Q61)</f>
        <v>0</v>
      </c>
      <c r="AG61" s="1" t="n">
        <f aca="false">MIN($R61)</f>
        <v>752072</v>
      </c>
      <c r="AH61" s="1" t="n">
        <f aca="false">MEDIAN($B61)</f>
        <v>2538</v>
      </c>
      <c r="AI61" s="1" t="n">
        <f aca="false">MEDIAN($C61)</f>
        <v>4</v>
      </c>
      <c r="AJ61" s="1" t="n">
        <f aca="false">MEDIAN($D61)</f>
        <v>1075673</v>
      </c>
      <c r="AK61" s="1" t="n">
        <f aca="false">MEDIAN($E61)</f>
        <v>0</v>
      </c>
      <c r="AL61" s="1" t="n">
        <f aca="false">MEDIAN($F61)</f>
        <v>772</v>
      </c>
      <c r="AM61" s="1" t="n">
        <f aca="false">MEDIAN($G61)</f>
        <v>0</v>
      </c>
      <c r="AN61" s="1" t="n">
        <f aca="false">MEDIAN($H61)</f>
        <v>1</v>
      </c>
      <c r="AO61" s="1" t="n">
        <f aca="false">MEDIAN($I61)</f>
        <v>11.166</v>
      </c>
      <c r="AP61" s="1" t="n">
        <f aca="false">MEDIAN($J61)</f>
        <v>11.44</v>
      </c>
      <c r="AQ61" s="1" t="n">
        <f aca="false">MEDIAN($K61)</f>
        <v>0</v>
      </c>
      <c r="AR61" s="1" t="n">
        <f aca="false">MEDIAN($M61)</f>
        <v>2553565</v>
      </c>
      <c r="AS61" s="1" t="n">
        <f aca="false">MEDIAN($N61)</f>
        <v>0.09</v>
      </c>
      <c r="AT61" s="1" t="n">
        <f aca="false">MEDIAN($P61)</f>
        <v>11.44</v>
      </c>
      <c r="AU61" s="1" t="n">
        <f aca="false">MEDIAN($Q61)</f>
        <v>0</v>
      </c>
      <c r="AV61" s="1" t="n">
        <f aca="false">MEDIAN($R61)</f>
        <v>752072</v>
      </c>
      <c r="AW61" s="1" t="n">
        <f aca="false">MAX($B61)</f>
        <v>2538</v>
      </c>
      <c r="AX61" s="1" t="n">
        <f aca="false">MAX($C61)</f>
        <v>4</v>
      </c>
      <c r="AY61" s="1" t="n">
        <f aca="false">MAX($D61)</f>
        <v>1075673</v>
      </c>
      <c r="AZ61" s="1" t="n">
        <f aca="false">MAX($E61)</f>
        <v>0</v>
      </c>
      <c r="BA61" s="1" t="n">
        <f aca="false">MAX($F61)</f>
        <v>772</v>
      </c>
      <c r="BB61" s="1" t="n">
        <f aca="false">MAX($G61)</f>
        <v>0</v>
      </c>
      <c r="BC61" s="1" t="n">
        <f aca="false">MAX($H61)</f>
        <v>1</v>
      </c>
      <c r="BD61" s="1" t="n">
        <f aca="false">MAX($I61)</f>
        <v>11.166</v>
      </c>
      <c r="BE61" s="1" t="n">
        <f aca="false">MAX($J61)</f>
        <v>11.44</v>
      </c>
      <c r="BF61" s="1" t="n">
        <f aca="false">MAX($K61)</f>
        <v>0</v>
      </c>
      <c r="BG61" s="1" t="n">
        <f aca="false">MAX($M61)</f>
        <v>2553565</v>
      </c>
      <c r="BH61" s="1" t="n">
        <f aca="false">MAX($N61)</f>
        <v>0.09</v>
      </c>
      <c r="BI61" s="1" t="n">
        <f aca="false">MAX($P61)</f>
        <v>11.44</v>
      </c>
      <c r="BJ61" s="1" t="n">
        <f aca="false">MAX($Q61)</f>
        <v>0</v>
      </c>
      <c r="BK61" s="1" t="n">
        <f aca="false">MAX($R61)</f>
        <v>752072</v>
      </c>
    </row>
    <row r="62" customFormat="false" ht="15" hidden="false" customHeight="false" outlineLevel="0" collapsed="false">
      <c r="A62" s="1" t="s">
        <v>79</v>
      </c>
      <c r="B62" s="1" t="n">
        <f aca="false" t="array" ref="B62:B62">_xlfn.SWITCH($A$2,"average", AVERAGE(Instances!B62:B62),"median", MEDIAN(Instances!B62:B62),"min", MIN(Instances!B62:B62),"max", MAX(Instances!B62:B62),"diff", MAX(Instances!B62:B62)-MIN(Instances!B62:B62))</f>
        <v>2444</v>
      </c>
      <c r="C62" s="1" t="n">
        <f aca="false" t="array" ref="C62:C62">_xlfn.SWITCH($A$2,"average", AVERAGE(Instances!C62:C62),"median", MEDIAN(Instances!C62:C62),"min", MIN(Instances!C62:C62),"max", MAX(Instances!C62:C62),"diff", MAX(Instances!C62:C62)-MIN(Instances!C62:C62))</f>
        <v>2</v>
      </c>
      <c r="D62" s="1" t="n">
        <f aca="false" t="array" ref="D62:D62">_xlfn.SWITCH($A$2,"average", AVERAGE(Instances!D62:D62),"median", MEDIAN(Instances!D62:D62),"min", MIN(Instances!D62:D62),"max", MAX(Instances!D62:D62),"diff", MAX(Instances!D62:D62)-MIN(Instances!D62:D62))</f>
        <v>1456559</v>
      </c>
      <c r="E62" s="1" t="n">
        <f aca="false" t="array" ref="E62:E62">_xlfn.SWITCH($A$2,"average", AVERAGE(Instances!E62:E62),"median", MEDIAN(Instances!E62:E62),"min", MIN(Instances!E62:E62),"max", MAX(Instances!E62:E62),"diff", MAX(Instances!E62:E62)-MIN(Instances!E62:E62))</f>
        <v>0</v>
      </c>
      <c r="F62" s="1" t="n">
        <f aca="false" t="array" ref="F62:F62">_xlfn.SWITCH($A$2,"average", AVERAGE(Instances!F62:F62),"median", MEDIAN(Instances!F62:F62),"min", MIN(Instances!F62:F62),"max", MAX(Instances!F62:F62),"diff", MAX(Instances!F62:F62)-MIN(Instances!F62:F62))</f>
        <v>895</v>
      </c>
      <c r="G62" s="1" t="n">
        <f aca="false" t="array" ref="G62:G62">_xlfn.SWITCH($A$2,"average", AVERAGE(Instances!G62:G62),"median", MEDIAN(Instances!G62:G62),"min", MIN(Instances!G62:G62),"max", MAX(Instances!G62:G62),"diff", MAX(Instances!G62:G62)-MIN(Instances!G62:G62))</f>
        <v>0</v>
      </c>
      <c r="H62" s="1" t="n">
        <f aca="false" t="array" ref="H62:H62">_xlfn.SWITCH($A$2,"average", AVERAGE(Instances!H62:H62),"median", MEDIAN(Instances!H62:H62),"min", MIN(Instances!H62:H62),"max", MAX(Instances!H62:H62),"diff", MAX(Instances!H62:H62)-MIN(Instances!H62:H62))</f>
        <v>1</v>
      </c>
      <c r="I62" s="1" t="n">
        <f aca="false" t="array" ref="I62:I62">_xlfn.SWITCH($A$2,"average", AVERAGE(Instances!I62:I62),"median", MEDIAN(Instances!I62:I62),"min", MIN(Instances!I62:I62),"max", MAX(Instances!I62:I62),"diff", MAX(Instances!I62:I62)-MIN(Instances!I62:I62))</f>
        <v>13.303</v>
      </c>
      <c r="J62" s="1" t="n">
        <f aca="false" t="array" ref="J62:J62">_xlfn.SWITCH($A$2,"average", AVERAGE(Instances!J62:J62),"median", MEDIAN(Instances!J62:J62),"min", MIN(Instances!J62:J62),"max", MAX(Instances!J62:J62),"diff", MAX(Instances!J62:J62)-MIN(Instances!J62:J62))</f>
        <v>13.64</v>
      </c>
      <c r="K62" s="1" t="n">
        <f aca="false" t="array" ref="K62:K62">_xlfn.SWITCH($A$2,"average", AVERAGE(Instances!K62:K62),"median", MEDIAN(Instances!K62:K62),"min", MIN(Instances!K62:K62),"max", MAX(Instances!K62:K62),"diff", MAX(Instances!K62:K62)-MIN(Instances!K62:K62))</f>
        <v>0</v>
      </c>
      <c r="L62" s="1"/>
      <c r="M62" s="1" t="n">
        <f aca="false" t="array" ref="M62:M62">_xlfn.SWITCH($A$2,"average", AVERAGE(Instances!M62:M62),"median", MEDIAN(Instances!M62:M62),"min", MIN(Instances!M62:M62),"max", MAX(Instances!M62:M62),"diff", MAX(Instances!M62:M62)-MIN(Instances!M62:M62))</f>
        <v>3098951</v>
      </c>
      <c r="N62" s="1" t="n">
        <f aca="false" t="array" ref="N62:N62">_xlfn.SWITCH($A$2,"average", AVERAGE(Instances!N62:N62),"median", MEDIAN(Instances!N62:N62),"min", MIN(Instances!N62:N62),"max", MAX(Instances!N62:N62),"diff", MAX(Instances!N62:N62)-MIN(Instances!N62:N62))</f>
        <v>0.11</v>
      </c>
      <c r="O62" s="1"/>
      <c r="P62" s="1" t="n">
        <f aca="false" t="array" ref="P62:P62">_xlfn.SWITCH($A$2,"average", AVERAGE(Instances!P62:P62),"median", MEDIAN(Instances!P62:P62),"min", MIN(Instances!P62:P62),"max", MAX(Instances!P62:P62),"diff", MAX(Instances!P62:P62)-MIN(Instances!P62:P62))</f>
        <v>13.64</v>
      </c>
      <c r="Q62" s="1" t="n">
        <f aca="false" t="array" ref="Q62:Q62">_xlfn.SWITCH($A$2,"average", AVERAGE(Instances!Q62:Q62),"median", MEDIAN(Instances!Q62:Q62),"min", MIN(Instances!Q62:Q62),"max", MAX(Instances!Q62:Q62),"diff", MAX(Instances!Q62:Q62)-MIN(Instances!Q62:Q62))</f>
        <v>0</v>
      </c>
      <c r="R62" s="1" t="n">
        <f aca="false" t="array" ref="R62:R62">_xlfn.SWITCH($A$2,"average", AVERAGE(Instances!R62:R62),"median", MEDIAN(Instances!R62:R62),"min", MIN(Instances!R62:R62),"max", MAX(Instances!R62:R62),"diff", MAX(Instances!R62:R62)-MIN(Instances!R62:R62))</f>
        <v>890363</v>
      </c>
      <c r="S62" s="1" t="n">
        <f aca="false">MIN($B62)</f>
        <v>2444</v>
      </c>
      <c r="T62" s="1" t="n">
        <f aca="false">MIN($C62)</f>
        <v>2</v>
      </c>
      <c r="U62" s="1" t="n">
        <f aca="false">MIN($D62)</f>
        <v>1456559</v>
      </c>
      <c r="V62" s="1" t="n">
        <f aca="false">MIN($E62)</f>
        <v>0</v>
      </c>
      <c r="W62" s="1" t="n">
        <f aca="false">MIN($F62)</f>
        <v>895</v>
      </c>
      <c r="X62" s="1" t="n">
        <f aca="false">MIN($G62)</f>
        <v>0</v>
      </c>
      <c r="Y62" s="1" t="n">
        <f aca="false">MIN($H62)</f>
        <v>1</v>
      </c>
      <c r="Z62" s="1" t="n">
        <f aca="false">MIN($I62)</f>
        <v>13.303</v>
      </c>
      <c r="AA62" s="1" t="n">
        <f aca="false">MIN($J62)</f>
        <v>13.64</v>
      </c>
      <c r="AB62" s="1" t="n">
        <f aca="false">MIN($K62)</f>
        <v>0</v>
      </c>
      <c r="AC62" s="1" t="n">
        <f aca="false">MIN($M62)</f>
        <v>3098951</v>
      </c>
      <c r="AD62" s="1" t="n">
        <f aca="false">MIN($N62)</f>
        <v>0.11</v>
      </c>
      <c r="AE62" s="1" t="n">
        <f aca="false">MIN($P62)</f>
        <v>13.64</v>
      </c>
      <c r="AF62" s="1" t="n">
        <f aca="false">MIN($Q62)</f>
        <v>0</v>
      </c>
      <c r="AG62" s="1" t="n">
        <f aca="false">MIN($R62)</f>
        <v>890363</v>
      </c>
      <c r="AH62" s="1" t="n">
        <f aca="false">MEDIAN($B62)</f>
        <v>2444</v>
      </c>
      <c r="AI62" s="1" t="n">
        <f aca="false">MEDIAN($C62)</f>
        <v>2</v>
      </c>
      <c r="AJ62" s="1" t="n">
        <f aca="false">MEDIAN($D62)</f>
        <v>1456559</v>
      </c>
      <c r="AK62" s="1" t="n">
        <f aca="false">MEDIAN($E62)</f>
        <v>0</v>
      </c>
      <c r="AL62" s="1" t="n">
        <f aca="false">MEDIAN($F62)</f>
        <v>895</v>
      </c>
      <c r="AM62" s="1" t="n">
        <f aca="false">MEDIAN($G62)</f>
        <v>0</v>
      </c>
      <c r="AN62" s="1" t="n">
        <f aca="false">MEDIAN($H62)</f>
        <v>1</v>
      </c>
      <c r="AO62" s="1" t="n">
        <f aca="false">MEDIAN($I62)</f>
        <v>13.303</v>
      </c>
      <c r="AP62" s="1" t="n">
        <f aca="false">MEDIAN($J62)</f>
        <v>13.64</v>
      </c>
      <c r="AQ62" s="1" t="n">
        <f aca="false">MEDIAN($K62)</f>
        <v>0</v>
      </c>
      <c r="AR62" s="1" t="n">
        <f aca="false">MEDIAN($M62)</f>
        <v>3098951</v>
      </c>
      <c r="AS62" s="1" t="n">
        <f aca="false">MEDIAN($N62)</f>
        <v>0.11</v>
      </c>
      <c r="AT62" s="1" t="n">
        <f aca="false">MEDIAN($P62)</f>
        <v>13.64</v>
      </c>
      <c r="AU62" s="1" t="n">
        <f aca="false">MEDIAN($Q62)</f>
        <v>0</v>
      </c>
      <c r="AV62" s="1" t="n">
        <f aca="false">MEDIAN($R62)</f>
        <v>890363</v>
      </c>
      <c r="AW62" s="1" t="n">
        <f aca="false">MAX($B62)</f>
        <v>2444</v>
      </c>
      <c r="AX62" s="1" t="n">
        <f aca="false">MAX($C62)</f>
        <v>2</v>
      </c>
      <c r="AY62" s="1" t="n">
        <f aca="false">MAX($D62)</f>
        <v>1456559</v>
      </c>
      <c r="AZ62" s="1" t="n">
        <f aca="false">MAX($E62)</f>
        <v>0</v>
      </c>
      <c r="BA62" s="1" t="n">
        <f aca="false">MAX($F62)</f>
        <v>895</v>
      </c>
      <c r="BB62" s="1" t="n">
        <f aca="false">MAX($G62)</f>
        <v>0</v>
      </c>
      <c r="BC62" s="1" t="n">
        <f aca="false">MAX($H62)</f>
        <v>1</v>
      </c>
      <c r="BD62" s="1" t="n">
        <f aca="false">MAX($I62)</f>
        <v>13.303</v>
      </c>
      <c r="BE62" s="1" t="n">
        <f aca="false">MAX($J62)</f>
        <v>13.64</v>
      </c>
      <c r="BF62" s="1" t="n">
        <f aca="false">MAX($K62)</f>
        <v>0</v>
      </c>
      <c r="BG62" s="1" t="n">
        <f aca="false">MAX($M62)</f>
        <v>3098951</v>
      </c>
      <c r="BH62" s="1" t="n">
        <f aca="false">MAX($N62)</f>
        <v>0.11</v>
      </c>
      <c r="BI62" s="1" t="n">
        <f aca="false">MAX($P62)</f>
        <v>13.64</v>
      </c>
      <c r="BJ62" s="1" t="n">
        <f aca="false">MAX($Q62)</f>
        <v>0</v>
      </c>
      <c r="BK62" s="1" t="n">
        <f aca="false">MAX($R62)</f>
        <v>890363</v>
      </c>
    </row>
    <row r="63" customFormat="false" ht="15" hidden="false" customHeight="false" outlineLevel="0" collapsed="false">
      <c r="A63" s="1" t="s">
        <v>80</v>
      </c>
      <c r="B63" s="1" t="n">
        <f aca="false" t="array" ref="B63:B63">_xlfn.SWITCH($A$2,"average", AVERAGE(Instances!B63:B63),"median", MEDIAN(Instances!B63:B63),"min", MIN(Instances!B63:B63),"max", MAX(Instances!B63:B63),"diff", MAX(Instances!B63:B63)-MIN(Instances!B63:B63))</f>
        <v>2819</v>
      </c>
      <c r="C63" s="1" t="n">
        <f aca="false" t="array" ref="C63:C63">_xlfn.SWITCH($A$2,"average", AVERAGE(Instances!C63:C63),"median", MEDIAN(Instances!C63:C63),"min", MIN(Instances!C63:C63),"max", MAX(Instances!C63:C63),"diff", MAX(Instances!C63:C63)-MIN(Instances!C63:C63))</f>
        <v>1</v>
      </c>
      <c r="D63" s="1" t="n">
        <f aca="false" t="array" ref="D63:D63">_xlfn.SWITCH($A$2,"average", AVERAGE(Instances!D63:D63),"median", MEDIAN(Instances!D63:D63),"min", MIN(Instances!D63:D63),"max", MAX(Instances!D63:D63),"diff", MAX(Instances!D63:D63)-MIN(Instances!D63:D63))</f>
        <v>1107580</v>
      </c>
      <c r="E63" s="1" t="n">
        <f aca="false" t="array" ref="E63:E63">_xlfn.SWITCH($A$2,"average", AVERAGE(Instances!E63:E63),"median", MEDIAN(Instances!E63:E63),"min", MIN(Instances!E63:E63),"max", MAX(Instances!E63:E63),"diff", MAX(Instances!E63:E63)-MIN(Instances!E63:E63))</f>
        <v>0</v>
      </c>
      <c r="F63" s="1" t="n">
        <f aca="false" t="array" ref="F63:F63">_xlfn.SWITCH($A$2,"average", AVERAGE(Instances!F63:F63),"median", MEDIAN(Instances!F63:F63),"min", MIN(Instances!F63:F63),"max", MAX(Instances!F63:F63),"diff", MAX(Instances!F63:F63)-MIN(Instances!F63:F63))</f>
        <v>803</v>
      </c>
      <c r="G63" s="1" t="n">
        <f aca="false" t="array" ref="G63:G63">_xlfn.SWITCH($A$2,"average", AVERAGE(Instances!G63:G63),"median", MEDIAN(Instances!G63:G63),"min", MIN(Instances!G63:G63),"max", MAX(Instances!G63:G63),"diff", MAX(Instances!G63:G63)-MIN(Instances!G63:G63))</f>
        <v>0</v>
      </c>
      <c r="H63" s="1" t="n">
        <f aca="false" t="array" ref="H63:H63">_xlfn.SWITCH($A$2,"average", AVERAGE(Instances!H63:H63),"median", MEDIAN(Instances!H63:H63),"min", MIN(Instances!H63:H63),"max", MAX(Instances!H63:H63),"diff", MAX(Instances!H63:H63)-MIN(Instances!H63:H63))</f>
        <v>1</v>
      </c>
      <c r="I63" s="1" t="n">
        <f aca="false" t="array" ref="I63:I63">_xlfn.SWITCH($A$2,"average", AVERAGE(Instances!I63:I63),"median", MEDIAN(Instances!I63:I63),"min", MIN(Instances!I63:I63),"max", MAX(Instances!I63:I63),"diff", MAX(Instances!I63:I63)-MIN(Instances!I63:I63))</f>
        <v>11.479</v>
      </c>
      <c r="J63" s="1" t="n">
        <f aca="false" t="array" ref="J63:J63">_xlfn.SWITCH($A$2,"average", AVERAGE(Instances!J63:J63),"median", MEDIAN(Instances!J63:J63),"min", MIN(Instances!J63:J63),"max", MAX(Instances!J63:J63),"diff", MAX(Instances!J63:J63)-MIN(Instances!J63:J63))</f>
        <v>11.76</v>
      </c>
      <c r="K63" s="1" t="n">
        <f aca="false" t="array" ref="K63:K63">_xlfn.SWITCH($A$2,"average", AVERAGE(Instances!K63:K63),"median", MEDIAN(Instances!K63:K63),"min", MIN(Instances!K63:K63),"max", MAX(Instances!K63:K63),"diff", MAX(Instances!K63:K63)-MIN(Instances!K63:K63))</f>
        <v>0</v>
      </c>
      <c r="L63" s="1"/>
      <c r="M63" s="1" t="n">
        <f aca="false" t="array" ref="M63:M63">_xlfn.SWITCH($A$2,"average", AVERAGE(Instances!M63:M63),"median", MEDIAN(Instances!M63:M63),"min", MIN(Instances!M63:M63),"max", MAX(Instances!M63:M63),"diff", MAX(Instances!M63:M63)-MIN(Instances!M63:M63))</f>
        <v>2646488</v>
      </c>
      <c r="N63" s="1" t="n">
        <f aca="false" t="array" ref="N63:N63">_xlfn.SWITCH($A$2,"average", AVERAGE(Instances!N63:N63),"median", MEDIAN(Instances!N63:N63),"min", MIN(Instances!N63:N63),"max", MAX(Instances!N63:N63),"diff", MAX(Instances!N63:N63)-MIN(Instances!N63:N63))</f>
        <v>0.09</v>
      </c>
      <c r="O63" s="1"/>
      <c r="P63" s="1" t="n">
        <f aca="false" t="array" ref="P63:P63">_xlfn.SWITCH($A$2,"average", AVERAGE(Instances!P63:P63),"median", MEDIAN(Instances!P63:P63),"min", MIN(Instances!P63:P63),"max", MAX(Instances!P63:P63),"diff", MAX(Instances!P63:P63)-MIN(Instances!P63:P63))</f>
        <v>11.76</v>
      </c>
      <c r="Q63" s="1" t="n">
        <f aca="false" t="array" ref="Q63:Q63">_xlfn.SWITCH($A$2,"average", AVERAGE(Instances!Q63:Q63),"median", MEDIAN(Instances!Q63:Q63),"min", MIN(Instances!Q63:Q63),"max", MAX(Instances!Q63:Q63),"diff", MAX(Instances!Q63:Q63)-MIN(Instances!Q63:Q63))</f>
        <v>0</v>
      </c>
      <c r="R63" s="1" t="n">
        <f aca="false" t="array" ref="R63:R63">_xlfn.SWITCH($A$2,"average", AVERAGE(Instances!R63:R63),"median", MEDIAN(Instances!R63:R63),"min", MIN(Instances!R63:R63),"max", MAX(Instances!R63:R63),"diff", MAX(Instances!R63:R63)-MIN(Instances!R63:R63))</f>
        <v>781686</v>
      </c>
      <c r="S63" s="1" t="n">
        <f aca="false">MIN($B63)</f>
        <v>2819</v>
      </c>
      <c r="T63" s="1" t="n">
        <f aca="false">MIN($C63)</f>
        <v>1</v>
      </c>
      <c r="U63" s="1" t="n">
        <f aca="false">MIN($D63)</f>
        <v>1107580</v>
      </c>
      <c r="V63" s="1" t="n">
        <f aca="false">MIN($E63)</f>
        <v>0</v>
      </c>
      <c r="W63" s="1" t="n">
        <f aca="false">MIN($F63)</f>
        <v>803</v>
      </c>
      <c r="X63" s="1" t="n">
        <f aca="false">MIN($G63)</f>
        <v>0</v>
      </c>
      <c r="Y63" s="1" t="n">
        <f aca="false">MIN($H63)</f>
        <v>1</v>
      </c>
      <c r="Z63" s="1" t="n">
        <f aca="false">MIN($I63)</f>
        <v>11.479</v>
      </c>
      <c r="AA63" s="1" t="n">
        <f aca="false">MIN($J63)</f>
        <v>11.76</v>
      </c>
      <c r="AB63" s="1" t="n">
        <f aca="false">MIN($K63)</f>
        <v>0</v>
      </c>
      <c r="AC63" s="1" t="n">
        <f aca="false">MIN($M63)</f>
        <v>2646488</v>
      </c>
      <c r="AD63" s="1" t="n">
        <f aca="false">MIN($N63)</f>
        <v>0.09</v>
      </c>
      <c r="AE63" s="1" t="n">
        <f aca="false">MIN($P63)</f>
        <v>11.76</v>
      </c>
      <c r="AF63" s="1" t="n">
        <f aca="false">MIN($Q63)</f>
        <v>0</v>
      </c>
      <c r="AG63" s="1" t="n">
        <f aca="false">MIN($R63)</f>
        <v>781686</v>
      </c>
      <c r="AH63" s="1" t="n">
        <f aca="false">MEDIAN($B63)</f>
        <v>2819</v>
      </c>
      <c r="AI63" s="1" t="n">
        <f aca="false">MEDIAN($C63)</f>
        <v>1</v>
      </c>
      <c r="AJ63" s="1" t="n">
        <f aca="false">MEDIAN($D63)</f>
        <v>1107580</v>
      </c>
      <c r="AK63" s="1" t="n">
        <f aca="false">MEDIAN($E63)</f>
        <v>0</v>
      </c>
      <c r="AL63" s="1" t="n">
        <f aca="false">MEDIAN($F63)</f>
        <v>803</v>
      </c>
      <c r="AM63" s="1" t="n">
        <f aca="false">MEDIAN($G63)</f>
        <v>0</v>
      </c>
      <c r="AN63" s="1" t="n">
        <f aca="false">MEDIAN($H63)</f>
        <v>1</v>
      </c>
      <c r="AO63" s="1" t="n">
        <f aca="false">MEDIAN($I63)</f>
        <v>11.479</v>
      </c>
      <c r="AP63" s="1" t="n">
        <f aca="false">MEDIAN($J63)</f>
        <v>11.76</v>
      </c>
      <c r="AQ63" s="1" t="n">
        <f aca="false">MEDIAN($K63)</f>
        <v>0</v>
      </c>
      <c r="AR63" s="1" t="n">
        <f aca="false">MEDIAN($M63)</f>
        <v>2646488</v>
      </c>
      <c r="AS63" s="1" t="n">
        <f aca="false">MEDIAN($N63)</f>
        <v>0.09</v>
      </c>
      <c r="AT63" s="1" t="n">
        <f aca="false">MEDIAN($P63)</f>
        <v>11.76</v>
      </c>
      <c r="AU63" s="1" t="n">
        <f aca="false">MEDIAN($Q63)</f>
        <v>0</v>
      </c>
      <c r="AV63" s="1" t="n">
        <f aca="false">MEDIAN($R63)</f>
        <v>781686</v>
      </c>
      <c r="AW63" s="1" t="n">
        <f aca="false">MAX($B63)</f>
        <v>2819</v>
      </c>
      <c r="AX63" s="1" t="n">
        <f aca="false">MAX($C63)</f>
        <v>1</v>
      </c>
      <c r="AY63" s="1" t="n">
        <f aca="false">MAX($D63)</f>
        <v>1107580</v>
      </c>
      <c r="AZ63" s="1" t="n">
        <f aca="false">MAX($E63)</f>
        <v>0</v>
      </c>
      <c r="BA63" s="1" t="n">
        <f aca="false">MAX($F63)</f>
        <v>803</v>
      </c>
      <c r="BB63" s="1" t="n">
        <f aca="false">MAX($G63)</f>
        <v>0</v>
      </c>
      <c r="BC63" s="1" t="n">
        <f aca="false">MAX($H63)</f>
        <v>1</v>
      </c>
      <c r="BD63" s="1" t="n">
        <f aca="false">MAX($I63)</f>
        <v>11.479</v>
      </c>
      <c r="BE63" s="1" t="n">
        <f aca="false">MAX($J63)</f>
        <v>11.76</v>
      </c>
      <c r="BF63" s="1" t="n">
        <f aca="false">MAX($K63)</f>
        <v>0</v>
      </c>
      <c r="BG63" s="1" t="n">
        <f aca="false">MAX($M63)</f>
        <v>2646488</v>
      </c>
      <c r="BH63" s="1" t="n">
        <f aca="false">MAX($N63)</f>
        <v>0.09</v>
      </c>
      <c r="BI63" s="1" t="n">
        <f aca="false">MAX($P63)</f>
        <v>11.76</v>
      </c>
      <c r="BJ63" s="1" t="n">
        <f aca="false">MAX($Q63)</f>
        <v>0</v>
      </c>
      <c r="BK63" s="1" t="n">
        <f aca="false">MAX($R63)</f>
        <v>781686</v>
      </c>
    </row>
    <row r="64" customFormat="false" ht="15" hidden="false" customHeight="false" outlineLevel="0" collapsed="false">
      <c r="A64" s="1" t="s">
        <v>81</v>
      </c>
      <c r="B64" s="1" t="n">
        <f aca="false" t="array" ref="B64:B64">_xlfn.SWITCH($A$2,"average", AVERAGE(Instances!B64:B64),"median", MEDIAN(Instances!B64:B64),"min", MIN(Instances!B64:B64),"max", MAX(Instances!B64:B64),"diff", MAX(Instances!B64:B64)-MIN(Instances!B64:B64))</f>
        <v>2421</v>
      </c>
      <c r="C64" s="1" t="n">
        <f aca="false" t="array" ref="C64:C64">_xlfn.SWITCH($A$2,"average", AVERAGE(Instances!C64:C64),"median", MEDIAN(Instances!C64:C64),"min", MIN(Instances!C64:C64),"max", MAX(Instances!C64:C64),"diff", MAX(Instances!C64:C64)-MIN(Instances!C64:C64))</f>
        <v>1</v>
      </c>
      <c r="D64" s="1" t="n">
        <f aca="false" t="array" ref="D64:D64">_xlfn.SWITCH($A$2,"average", AVERAGE(Instances!D64:D64),"median", MEDIAN(Instances!D64:D64),"min", MIN(Instances!D64:D64),"max", MAX(Instances!D64:D64),"diff", MAX(Instances!D64:D64)-MIN(Instances!D64:D64))</f>
        <v>1491704</v>
      </c>
      <c r="E64" s="1" t="n">
        <f aca="false" t="array" ref="E64:E64">_xlfn.SWITCH($A$2,"average", AVERAGE(Instances!E64:E64),"median", MEDIAN(Instances!E64:E64),"min", MIN(Instances!E64:E64),"max", MAX(Instances!E64:E64),"diff", MAX(Instances!E64:E64)-MIN(Instances!E64:E64))</f>
        <v>0</v>
      </c>
      <c r="F64" s="1" t="n">
        <f aca="false" t="array" ref="F64:F64">_xlfn.SWITCH($A$2,"average", AVERAGE(Instances!F64:F64),"median", MEDIAN(Instances!F64:F64),"min", MIN(Instances!F64:F64),"max", MAX(Instances!F64:F64),"diff", MAX(Instances!F64:F64)-MIN(Instances!F64:F64))</f>
        <v>922</v>
      </c>
      <c r="G64" s="1" t="n">
        <f aca="false" t="array" ref="G64:G64">_xlfn.SWITCH($A$2,"average", AVERAGE(Instances!G64:G64),"median", MEDIAN(Instances!G64:G64),"min", MIN(Instances!G64:G64),"max", MAX(Instances!G64:G64),"diff", MAX(Instances!G64:G64)-MIN(Instances!G64:G64))</f>
        <v>0</v>
      </c>
      <c r="H64" s="1" t="n">
        <f aca="false" t="array" ref="H64:H64">_xlfn.SWITCH($A$2,"average", AVERAGE(Instances!H64:H64),"median", MEDIAN(Instances!H64:H64),"min", MIN(Instances!H64:H64),"max", MAX(Instances!H64:H64),"diff", MAX(Instances!H64:H64)-MIN(Instances!H64:H64))</f>
        <v>1</v>
      </c>
      <c r="I64" s="1" t="n">
        <f aca="false" t="array" ref="I64:I64">_xlfn.SWITCH($A$2,"average", AVERAGE(Instances!I64:I64),"median", MEDIAN(Instances!I64:I64),"min", MIN(Instances!I64:I64),"max", MAX(Instances!I64:I64),"diff", MAX(Instances!I64:I64)-MIN(Instances!I64:I64))</f>
        <v>13.551</v>
      </c>
      <c r="J64" s="1" t="n">
        <f aca="false" t="array" ref="J64:J64">_xlfn.SWITCH($A$2,"average", AVERAGE(Instances!J64:J64),"median", MEDIAN(Instances!J64:J64),"min", MIN(Instances!J64:J64),"max", MAX(Instances!J64:J64),"diff", MAX(Instances!J64:J64)-MIN(Instances!J64:J64))</f>
        <v>13.88</v>
      </c>
      <c r="K64" s="1" t="n">
        <f aca="false" t="array" ref="K64:K64">_xlfn.SWITCH($A$2,"average", AVERAGE(Instances!K64:K64),"median", MEDIAN(Instances!K64:K64),"min", MIN(Instances!K64:K64),"max", MAX(Instances!K64:K64),"diff", MAX(Instances!K64:K64)-MIN(Instances!K64:K64))</f>
        <v>0</v>
      </c>
      <c r="L64" s="1"/>
      <c r="M64" s="1" t="n">
        <f aca="false" t="array" ref="M64:M64">_xlfn.SWITCH($A$2,"average", AVERAGE(Instances!M64:M64),"median", MEDIAN(Instances!M64:M64),"min", MIN(Instances!M64:M64),"max", MAX(Instances!M64:M64),"diff", MAX(Instances!M64:M64)-MIN(Instances!M64:M64))</f>
        <v>3206782</v>
      </c>
      <c r="N64" s="1" t="n">
        <f aca="false" t="array" ref="N64:N64">_xlfn.SWITCH($A$2,"average", AVERAGE(Instances!N64:N64),"median", MEDIAN(Instances!N64:N64),"min", MIN(Instances!N64:N64),"max", MAX(Instances!N64:N64),"diff", MAX(Instances!N64:N64)-MIN(Instances!N64:N64))</f>
        <v>0.11</v>
      </c>
      <c r="O64" s="1"/>
      <c r="P64" s="1" t="n">
        <f aca="false" t="array" ref="P64:P64">_xlfn.SWITCH($A$2,"average", AVERAGE(Instances!P64:P64),"median", MEDIAN(Instances!P64:P64),"min", MIN(Instances!P64:P64),"max", MAX(Instances!P64:P64),"diff", MAX(Instances!P64:P64)-MIN(Instances!P64:P64))</f>
        <v>13.88</v>
      </c>
      <c r="Q64" s="1" t="n">
        <f aca="false" t="array" ref="Q64:Q64">_xlfn.SWITCH($A$2,"average", AVERAGE(Instances!Q64:Q64),"median", MEDIAN(Instances!Q64:Q64),"min", MIN(Instances!Q64:Q64),"max", MAX(Instances!Q64:Q64),"diff", MAX(Instances!Q64:Q64)-MIN(Instances!Q64:Q64))</f>
        <v>0</v>
      </c>
      <c r="R64" s="1" t="n">
        <f aca="false" t="array" ref="R64:R64">_xlfn.SWITCH($A$2,"average", AVERAGE(Instances!R64:R64),"median", MEDIAN(Instances!R64:R64),"min", MIN(Instances!R64:R64),"max", MAX(Instances!R64:R64),"diff", MAX(Instances!R64:R64)-MIN(Instances!R64:R64))</f>
        <v>920040</v>
      </c>
      <c r="S64" s="1" t="n">
        <f aca="false">MIN($B64)</f>
        <v>2421</v>
      </c>
      <c r="T64" s="1" t="n">
        <f aca="false">MIN($C64)</f>
        <v>1</v>
      </c>
      <c r="U64" s="1" t="n">
        <f aca="false">MIN($D64)</f>
        <v>1491704</v>
      </c>
      <c r="V64" s="1" t="n">
        <f aca="false">MIN($E64)</f>
        <v>0</v>
      </c>
      <c r="W64" s="1" t="n">
        <f aca="false">MIN($F64)</f>
        <v>922</v>
      </c>
      <c r="X64" s="1" t="n">
        <f aca="false">MIN($G64)</f>
        <v>0</v>
      </c>
      <c r="Y64" s="1" t="n">
        <f aca="false">MIN($H64)</f>
        <v>1</v>
      </c>
      <c r="Z64" s="1" t="n">
        <f aca="false">MIN($I64)</f>
        <v>13.551</v>
      </c>
      <c r="AA64" s="1" t="n">
        <f aca="false">MIN($J64)</f>
        <v>13.88</v>
      </c>
      <c r="AB64" s="1" t="n">
        <f aca="false">MIN($K64)</f>
        <v>0</v>
      </c>
      <c r="AC64" s="1" t="n">
        <f aca="false">MIN($M64)</f>
        <v>3206782</v>
      </c>
      <c r="AD64" s="1" t="n">
        <f aca="false">MIN($N64)</f>
        <v>0.11</v>
      </c>
      <c r="AE64" s="1" t="n">
        <f aca="false">MIN($P64)</f>
        <v>13.88</v>
      </c>
      <c r="AF64" s="1" t="n">
        <f aca="false">MIN($Q64)</f>
        <v>0</v>
      </c>
      <c r="AG64" s="1" t="n">
        <f aca="false">MIN($R64)</f>
        <v>920040</v>
      </c>
      <c r="AH64" s="1" t="n">
        <f aca="false">MEDIAN($B64)</f>
        <v>2421</v>
      </c>
      <c r="AI64" s="1" t="n">
        <f aca="false">MEDIAN($C64)</f>
        <v>1</v>
      </c>
      <c r="AJ64" s="1" t="n">
        <f aca="false">MEDIAN($D64)</f>
        <v>1491704</v>
      </c>
      <c r="AK64" s="1" t="n">
        <f aca="false">MEDIAN($E64)</f>
        <v>0</v>
      </c>
      <c r="AL64" s="1" t="n">
        <f aca="false">MEDIAN($F64)</f>
        <v>922</v>
      </c>
      <c r="AM64" s="1" t="n">
        <f aca="false">MEDIAN($G64)</f>
        <v>0</v>
      </c>
      <c r="AN64" s="1" t="n">
        <f aca="false">MEDIAN($H64)</f>
        <v>1</v>
      </c>
      <c r="AO64" s="1" t="n">
        <f aca="false">MEDIAN($I64)</f>
        <v>13.551</v>
      </c>
      <c r="AP64" s="1" t="n">
        <f aca="false">MEDIAN($J64)</f>
        <v>13.88</v>
      </c>
      <c r="AQ64" s="1" t="n">
        <f aca="false">MEDIAN($K64)</f>
        <v>0</v>
      </c>
      <c r="AR64" s="1" t="n">
        <f aca="false">MEDIAN($M64)</f>
        <v>3206782</v>
      </c>
      <c r="AS64" s="1" t="n">
        <f aca="false">MEDIAN($N64)</f>
        <v>0.11</v>
      </c>
      <c r="AT64" s="1" t="n">
        <f aca="false">MEDIAN($P64)</f>
        <v>13.88</v>
      </c>
      <c r="AU64" s="1" t="n">
        <f aca="false">MEDIAN($Q64)</f>
        <v>0</v>
      </c>
      <c r="AV64" s="1" t="n">
        <f aca="false">MEDIAN($R64)</f>
        <v>920040</v>
      </c>
      <c r="AW64" s="1" t="n">
        <f aca="false">MAX($B64)</f>
        <v>2421</v>
      </c>
      <c r="AX64" s="1" t="n">
        <f aca="false">MAX($C64)</f>
        <v>1</v>
      </c>
      <c r="AY64" s="1" t="n">
        <f aca="false">MAX($D64)</f>
        <v>1491704</v>
      </c>
      <c r="AZ64" s="1" t="n">
        <f aca="false">MAX($E64)</f>
        <v>0</v>
      </c>
      <c r="BA64" s="1" t="n">
        <f aca="false">MAX($F64)</f>
        <v>922</v>
      </c>
      <c r="BB64" s="1" t="n">
        <f aca="false">MAX($G64)</f>
        <v>0</v>
      </c>
      <c r="BC64" s="1" t="n">
        <f aca="false">MAX($H64)</f>
        <v>1</v>
      </c>
      <c r="BD64" s="1" t="n">
        <f aca="false">MAX($I64)</f>
        <v>13.551</v>
      </c>
      <c r="BE64" s="1" t="n">
        <f aca="false">MAX($J64)</f>
        <v>13.88</v>
      </c>
      <c r="BF64" s="1" t="n">
        <f aca="false">MAX($K64)</f>
        <v>0</v>
      </c>
      <c r="BG64" s="1" t="n">
        <f aca="false">MAX($M64)</f>
        <v>3206782</v>
      </c>
      <c r="BH64" s="1" t="n">
        <f aca="false">MAX($N64)</f>
        <v>0.11</v>
      </c>
      <c r="BI64" s="1" t="n">
        <f aca="false">MAX($P64)</f>
        <v>13.88</v>
      </c>
      <c r="BJ64" s="1" t="n">
        <f aca="false">MAX($Q64)</f>
        <v>0</v>
      </c>
      <c r="BK64" s="1" t="n">
        <f aca="false">MAX($R64)</f>
        <v>920040</v>
      </c>
    </row>
    <row r="65" customFormat="false" ht="15" hidden="false" customHeight="false" outlineLevel="0" collapsed="false">
      <c r="A65" s="1" t="s">
        <v>82</v>
      </c>
      <c r="B65" s="1" t="n">
        <f aca="false" t="array" ref="B65:B65">_xlfn.SWITCH($A$2,"average", AVERAGE(Instances!B65:B65),"median", MEDIAN(Instances!B65:B65),"min", MIN(Instances!B65:B65),"max", MAX(Instances!B65:B65),"diff", MAX(Instances!B65:B65)-MIN(Instances!B65:B65))</f>
        <v>2641</v>
      </c>
      <c r="C65" s="1" t="n">
        <f aca="false" t="array" ref="C65:C65">_xlfn.SWITCH($A$2,"average", AVERAGE(Instances!C65:C65),"median", MEDIAN(Instances!C65:C65),"min", MIN(Instances!C65:C65),"max", MAX(Instances!C65:C65),"diff", MAX(Instances!C65:C65)-MIN(Instances!C65:C65))</f>
        <v>0</v>
      </c>
      <c r="D65" s="1" t="n">
        <f aca="false" t="array" ref="D65:D65">_xlfn.SWITCH($A$2,"average", AVERAGE(Instances!D65:D65),"median", MEDIAN(Instances!D65:D65),"min", MIN(Instances!D65:D65),"max", MAX(Instances!D65:D65),"diff", MAX(Instances!D65:D65)-MIN(Instances!D65:D65))</f>
        <v>1164562</v>
      </c>
      <c r="E65" s="1" t="n">
        <f aca="false" t="array" ref="E65:E65">_xlfn.SWITCH($A$2,"average", AVERAGE(Instances!E65:E65),"median", MEDIAN(Instances!E65:E65),"min", MIN(Instances!E65:E65),"max", MAX(Instances!E65:E65),"diff", MAX(Instances!E65:E65)-MIN(Instances!E65:E65))</f>
        <v>0</v>
      </c>
      <c r="F65" s="1" t="n">
        <f aca="false" t="array" ref="F65:F65">_xlfn.SWITCH($A$2,"average", AVERAGE(Instances!F65:F65),"median", MEDIAN(Instances!F65:F65),"min", MIN(Instances!F65:F65),"max", MAX(Instances!F65:F65),"diff", MAX(Instances!F65:F65)-MIN(Instances!F65:F65))</f>
        <v>817</v>
      </c>
      <c r="G65" s="1" t="n">
        <f aca="false" t="array" ref="G65:G65">_xlfn.SWITCH($A$2,"average", AVERAGE(Instances!G65:G65),"median", MEDIAN(Instances!G65:G65),"min", MIN(Instances!G65:G65),"max", MAX(Instances!G65:G65),"diff", MAX(Instances!G65:G65)-MIN(Instances!G65:G65))</f>
        <v>0</v>
      </c>
      <c r="H65" s="1" t="n">
        <f aca="false" t="array" ref="H65:H65">_xlfn.SWITCH($A$2,"average", AVERAGE(Instances!H65:H65),"median", MEDIAN(Instances!H65:H65),"min", MIN(Instances!H65:H65),"max", MAX(Instances!H65:H65),"diff", MAX(Instances!H65:H65)-MIN(Instances!H65:H65))</f>
        <v>1</v>
      </c>
      <c r="I65" s="1" t="n">
        <f aca="false" t="array" ref="I65:I65">_xlfn.SWITCH($A$2,"average", AVERAGE(Instances!I65:I65),"median", MEDIAN(Instances!I65:I65),"min", MIN(Instances!I65:I65),"max", MAX(Instances!I65:I65),"diff", MAX(Instances!I65:I65)-MIN(Instances!I65:I65))</f>
        <v>11.846</v>
      </c>
      <c r="J65" s="1" t="n">
        <f aca="false" t="array" ref="J65:J65">_xlfn.SWITCH($A$2,"average", AVERAGE(Instances!J65:J65),"median", MEDIAN(Instances!J65:J65),"min", MIN(Instances!J65:J65),"max", MAX(Instances!J65:J65),"diff", MAX(Instances!J65:J65)-MIN(Instances!J65:J65))</f>
        <v>12.11</v>
      </c>
      <c r="K65" s="1" t="n">
        <f aca="false" t="array" ref="K65:K65">_xlfn.SWITCH($A$2,"average", AVERAGE(Instances!K65:K65),"median", MEDIAN(Instances!K65:K65),"min", MIN(Instances!K65:K65),"max", MAX(Instances!K65:K65),"diff", MAX(Instances!K65:K65)-MIN(Instances!K65:K65))</f>
        <v>0</v>
      </c>
      <c r="L65" s="1"/>
      <c r="M65" s="1" t="n">
        <f aca="false" t="array" ref="M65:M65">_xlfn.SWITCH($A$2,"average", AVERAGE(Instances!M65:M65),"median", MEDIAN(Instances!M65:M65),"min", MIN(Instances!M65:M65),"max", MAX(Instances!M65:M65),"diff", MAX(Instances!M65:M65)-MIN(Instances!M65:M65))</f>
        <v>2735074</v>
      </c>
      <c r="N65" s="1" t="n">
        <f aca="false" t="array" ref="N65:N65">_xlfn.SWITCH($A$2,"average", AVERAGE(Instances!N65:N65),"median", MEDIAN(Instances!N65:N65),"min", MIN(Instances!N65:N65),"max", MAX(Instances!N65:N65),"diff", MAX(Instances!N65:N65)-MIN(Instances!N65:N65))</f>
        <v>0.09</v>
      </c>
      <c r="O65" s="1"/>
      <c r="P65" s="1" t="n">
        <f aca="false" t="array" ref="P65:P65">_xlfn.SWITCH($A$2,"average", AVERAGE(Instances!P65:P65),"median", MEDIAN(Instances!P65:P65),"min", MIN(Instances!P65:P65),"max", MAX(Instances!P65:P65),"diff", MAX(Instances!P65:P65)-MIN(Instances!P65:P65))</f>
        <v>12.11</v>
      </c>
      <c r="Q65" s="1" t="n">
        <f aca="false" t="array" ref="Q65:Q65">_xlfn.SWITCH($A$2,"average", AVERAGE(Instances!Q65:Q65),"median", MEDIAN(Instances!Q65:Q65),"min", MIN(Instances!Q65:Q65),"max", MAX(Instances!Q65:Q65),"diff", MAX(Instances!Q65:Q65)-MIN(Instances!Q65:Q65))</f>
        <v>0</v>
      </c>
      <c r="R65" s="1" t="n">
        <f aca="false" t="array" ref="R65:R65">_xlfn.SWITCH($A$2,"average", AVERAGE(Instances!R65:R65),"median", MEDIAN(Instances!R65:R65),"min", MIN(Instances!R65:R65),"max", MAX(Instances!R65:R65),"diff", MAX(Instances!R65:R65)-MIN(Instances!R65:R65))</f>
        <v>804421</v>
      </c>
      <c r="S65" s="1" t="n">
        <f aca="false">MIN($B65)</f>
        <v>2641</v>
      </c>
      <c r="T65" s="1" t="n">
        <f aca="false">MIN($C65)</f>
        <v>0</v>
      </c>
      <c r="U65" s="1" t="n">
        <f aca="false">MIN($D65)</f>
        <v>1164562</v>
      </c>
      <c r="V65" s="1" t="n">
        <f aca="false">MIN($E65)</f>
        <v>0</v>
      </c>
      <c r="W65" s="1" t="n">
        <f aca="false">MIN($F65)</f>
        <v>817</v>
      </c>
      <c r="X65" s="1" t="n">
        <f aca="false">MIN($G65)</f>
        <v>0</v>
      </c>
      <c r="Y65" s="1" t="n">
        <f aca="false">MIN($H65)</f>
        <v>1</v>
      </c>
      <c r="Z65" s="1" t="n">
        <f aca="false">MIN($I65)</f>
        <v>11.846</v>
      </c>
      <c r="AA65" s="1" t="n">
        <f aca="false">MIN($J65)</f>
        <v>12.11</v>
      </c>
      <c r="AB65" s="1" t="n">
        <f aca="false">MIN($K65)</f>
        <v>0</v>
      </c>
      <c r="AC65" s="1" t="n">
        <f aca="false">MIN($M65)</f>
        <v>2735074</v>
      </c>
      <c r="AD65" s="1" t="n">
        <f aca="false">MIN($N65)</f>
        <v>0.09</v>
      </c>
      <c r="AE65" s="1" t="n">
        <f aca="false">MIN($P65)</f>
        <v>12.11</v>
      </c>
      <c r="AF65" s="1" t="n">
        <f aca="false">MIN($Q65)</f>
        <v>0</v>
      </c>
      <c r="AG65" s="1" t="n">
        <f aca="false">MIN($R65)</f>
        <v>804421</v>
      </c>
      <c r="AH65" s="1" t="n">
        <f aca="false">MEDIAN($B65)</f>
        <v>2641</v>
      </c>
      <c r="AI65" s="1" t="n">
        <f aca="false">MEDIAN($C65)</f>
        <v>0</v>
      </c>
      <c r="AJ65" s="1" t="n">
        <f aca="false">MEDIAN($D65)</f>
        <v>1164562</v>
      </c>
      <c r="AK65" s="1" t="n">
        <f aca="false">MEDIAN($E65)</f>
        <v>0</v>
      </c>
      <c r="AL65" s="1" t="n">
        <f aca="false">MEDIAN($F65)</f>
        <v>817</v>
      </c>
      <c r="AM65" s="1" t="n">
        <f aca="false">MEDIAN($G65)</f>
        <v>0</v>
      </c>
      <c r="AN65" s="1" t="n">
        <f aca="false">MEDIAN($H65)</f>
        <v>1</v>
      </c>
      <c r="AO65" s="1" t="n">
        <f aca="false">MEDIAN($I65)</f>
        <v>11.846</v>
      </c>
      <c r="AP65" s="1" t="n">
        <f aca="false">MEDIAN($J65)</f>
        <v>12.11</v>
      </c>
      <c r="AQ65" s="1" t="n">
        <f aca="false">MEDIAN($K65)</f>
        <v>0</v>
      </c>
      <c r="AR65" s="1" t="n">
        <f aca="false">MEDIAN($M65)</f>
        <v>2735074</v>
      </c>
      <c r="AS65" s="1" t="n">
        <f aca="false">MEDIAN($N65)</f>
        <v>0.09</v>
      </c>
      <c r="AT65" s="1" t="n">
        <f aca="false">MEDIAN($P65)</f>
        <v>12.11</v>
      </c>
      <c r="AU65" s="1" t="n">
        <f aca="false">MEDIAN($Q65)</f>
        <v>0</v>
      </c>
      <c r="AV65" s="1" t="n">
        <f aca="false">MEDIAN($R65)</f>
        <v>804421</v>
      </c>
      <c r="AW65" s="1" t="n">
        <f aca="false">MAX($B65)</f>
        <v>2641</v>
      </c>
      <c r="AX65" s="1" t="n">
        <f aca="false">MAX($C65)</f>
        <v>0</v>
      </c>
      <c r="AY65" s="1" t="n">
        <f aca="false">MAX($D65)</f>
        <v>1164562</v>
      </c>
      <c r="AZ65" s="1" t="n">
        <f aca="false">MAX($E65)</f>
        <v>0</v>
      </c>
      <c r="BA65" s="1" t="n">
        <f aca="false">MAX($F65)</f>
        <v>817</v>
      </c>
      <c r="BB65" s="1" t="n">
        <f aca="false">MAX($G65)</f>
        <v>0</v>
      </c>
      <c r="BC65" s="1" t="n">
        <f aca="false">MAX($H65)</f>
        <v>1</v>
      </c>
      <c r="BD65" s="1" t="n">
        <f aca="false">MAX($I65)</f>
        <v>11.846</v>
      </c>
      <c r="BE65" s="1" t="n">
        <f aca="false">MAX($J65)</f>
        <v>12.11</v>
      </c>
      <c r="BF65" s="1" t="n">
        <f aca="false">MAX($K65)</f>
        <v>0</v>
      </c>
      <c r="BG65" s="1" t="n">
        <f aca="false">MAX($M65)</f>
        <v>2735074</v>
      </c>
      <c r="BH65" s="1" t="n">
        <f aca="false">MAX($N65)</f>
        <v>0.09</v>
      </c>
      <c r="BI65" s="1" t="n">
        <f aca="false">MAX($P65)</f>
        <v>12.11</v>
      </c>
      <c r="BJ65" s="1" t="n">
        <f aca="false">MAX($Q65)</f>
        <v>0</v>
      </c>
      <c r="BK65" s="1" t="n">
        <f aca="false">MAX($R65)</f>
        <v>804421</v>
      </c>
    </row>
    <row r="66" customFormat="false" ht="15" hidden="false" customHeight="false" outlineLevel="0" collapsed="false">
      <c r="A66" s="1" t="s">
        <v>83</v>
      </c>
      <c r="B66" s="1" t="n">
        <f aca="false" t="array" ref="B66:B66">_xlfn.SWITCH($A$2,"average", AVERAGE(Instances!B66:B66),"median", MEDIAN(Instances!B66:B66),"min", MIN(Instances!B66:B66),"max", MAX(Instances!B66:B66),"diff", MAX(Instances!B66:B66)-MIN(Instances!B66:B66))</f>
        <v>2595</v>
      </c>
      <c r="C66" s="1" t="n">
        <f aca="false" t="array" ref="C66:C66">_xlfn.SWITCH($A$2,"average", AVERAGE(Instances!C66:C66),"median", MEDIAN(Instances!C66:C66),"min", MIN(Instances!C66:C66),"max", MAX(Instances!C66:C66),"diff", MAX(Instances!C66:C66)-MIN(Instances!C66:C66))</f>
        <v>2</v>
      </c>
      <c r="D66" s="1" t="n">
        <f aca="false" t="array" ref="D66:D66">_xlfn.SWITCH($A$2,"average", AVERAGE(Instances!D66:D66),"median", MEDIAN(Instances!D66:D66),"min", MIN(Instances!D66:D66),"max", MAX(Instances!D66:D66),"diff", MAX(Instances!D66:D66)-MIN(Instances!D66:D66))</f>
        <v>1402290</v>
      </c>
      <c r="E66" s="1" t="n">
        <f aca="false" t="array" ref="E66:E66">_xlfn.SWITCH($A$2,"average", AVERAGE(Instances!E66:E66),"median", MEDIAN(Instances!E66:E66),"min", MIN(Instances!E66:E66),"max", MAX(Instances!E66:E66),"diff", MAX(Instances!E66:E66)-MIN(Instances!E66:E66))</f>
        <v>0</v>
      </c>
      <c r="F66" s="1" t="n">
        <f aca="false" t="array" ref="F66:F66">_xlfn.SWITCH($A$2,"average", AVERAGE(Instances!F66:F66),"median", MEDIAN(Instances!F66:F66),"min", MIN(Instances!F66:F66),"max", MAX(Instances!F66:F66),"diff", MAX(Instances!F66:F66)-MIN(Instances!F66:F66))</f>
        <v>880</v>
      </c>
      <c r="G66" s="1" t="n">
        <f aca="false" t="array" ref="G66:G66">_xlfn.SWITCH($A$2,"average", AVERAGE(Instances!G66:G66),"median", MEDIAN(Instances!G66:G66),"min", MIN(Instances!G66:G66),"max", MAX(Instances!G66:G66),"diff", MAX(Instances!G66:G66)-MIN(Instances!G66:G66))</f>
        <v>0</v>
      </c>
      <c r="H66" s="1" t="n">
        <f aca="false" t="array" ref="H66:H66">_xlfn.SWITCH($A$2,"average", AVERAGE(Instances!H66:H66),"median", MEDIAN(Instances!H66:H66),"min", MIN(Instances!H66:H66),"max", MAX(Instances!H66:H66),"diff", MAX(Instances!H66:H66)-MIN(Instances!H66:H66))</f>
        <v>1</v>
      </c>
      <c r="I66" s="1" t="n">
        <f aca="false" t="array" ref="I66:I66">_xlfn.SWITCH($A$2,"average", AVERAGE(Instances!I66:I66),"median", MEDIAN(Instances!I66:I66),"min", MIN(Instances!I66:I66),"max", MAX(Instances!I66:I66),"diff", MAX(Instances!I66:I66)-MIN(Instances!I66:I66))</f>
        <v>12.877</v>
      </c>
      <c r="J66" s="1" t="n">
        <f aca="false" t="array" ref="J66:J66">_xlfn.SWITCH($A$2,"average", AVERAGE(Instances!J66:J66),"median", MEDIAN(Instances!J66:J66),"min", MIN(Instances!J66:J66),"max", MAX(Instances!J66:J66),"diff", MAX(Instances!J66:J66)-MIN(Instances!J66:J66))</f>
        <v>13.17</v>
      </c>
      <c r="K66" s="1" t="n">
        <f aca="false" t="array" ref="K66:K66">_xlfn.SWITCH($A$2,"average", AVERAGE(Instances!K66:K66),"median", MEDIAN(Instances!K66:K66),"min", MIN(Instances!K66:K66),"max", MAX(Instances!K66:K66),"diff", MAX(Instances!K66:K66)-MIN(Instances!K66:K66))</f>
        <v>0</v>
      </c>
      <c r="L66" s="1"/>
      <c r="M66" s="1" t="n">
        <f aca="false" t="array" ref="M66:M66">_xlfn.SWITCH($A$2,"average", AVERAGE(Instances!M66:M66),"median", MEDIAN(Instances!M66:M66),"min", MIN(Instances!M66:M66),"max", MAX(Instances!M66:M66),"diff", MAX(Instances!M66:M66)-MIN(Instances!M66:M66))</f>
        <v>3059509</v>
      </c>
      <c r="N66" s="1" t="n">
        <f aca="false" t="array" ref="N66:N66">_xlfn.SWITCH($A$2,"average", AVERAGE(Instances!N66:N66),"median", MEDIAN(Instances!N66:N66),"min", MIN(Instances!N66:N66),"max", MAX(Instances!N66:N66),"diff", MAX(Instances!N66:N66)-MIN(Instances!N66:N66))</f>
        <v>0.12</v>
      </c>
      <c r="O66" s="1"/>
      <c r="P66" s="1" t="n">
        <f aca="false" t="array" ref="P66:P66">_xlfn.SWITCH($A$2,"average", AVERAGE(Instances!P66:P66),"median", MEDIAN(Instances!P66:P66),"min", MIN(Instances!P66:P66),"max", MAX(Instances!P66:P66),"diff", MAX(Instances!P66:P66)-MIN(Instances!P66:P66))</f>
        <v>13.17</v>
      </c>
      <c r="Q66" s="1" t="n">
        <f aca="false" t="array" ref="Q66:Q66">_xlfn.SWITCH($A$2,"average", AVERAGE(Instances!Q66:Q66),"median", MEDIAN(Instances!Q66:Q66),"min", MIN(Instances!Q66:Q66),"max", MAX(Instances!Q66:Q66),"diff", MAX(Instances!Q66:Q66)-MIN(Instances!Q66:Q66))</f>
        <v>0</v>
      </c>
      <c r="R66" s="1" t="n">
        <f aca="false" t="array" ref="R66:R66">_xlfn.SWITCH($A$2,"average", AVERAGE(Instances!R66:R66),"median", MEDIAN(Instances!R66:R66),"min", MIN(Instances!R66:R66),"max", MAX(Instances!R66:R66),"diff", MAX(Instances!R66:R66)-MIN(Instances!R66:R66))</f>
        <v>873828</v>
      </c>
      <c r="S66" s="1" t="n">
        <f aca="false">MIN($B66)</f>
        <v>2595</v>
      </c>
      <c r="T66" s="1" t="n">
        <f aca="false">MIN($C66)</f>
        <v>2</v>
      </c>
      <c r="U66" s="1" t="n">
        <f aca="false">MIN($D66)</f>
        <v>1402290</v>
      </c>
      <c r="V66" s="1" t="n">
        <f aca="false">MIN($E66)</f>
        <v>0</v>
      </c>
      <c r="W66" s="1" t="n">
        <f aca="false">MIN($F66)</f>
        <v>880</v>
      </c>
      <c r="X66" s="1" t="n">
        <f aca="false">MIN($G66)</f>
        <v>0</v>
      </c>
      <c r="Y66" s="1" t="n">
        <f aca="false">MIN($H66)</f>
        <v>1</v>
      </c>
      <c r="Z66" s="1" t="n">
        <f aca="false">MIN($I66)</f>
        <v>12.877</v>
      </c>
      <c r="AA66" s="1" t="n">
        <f aca="false">MIN($J66)</f>
        <v>13.17</v>
      </c>
      <c r="AB66" s="1" t="n">
        <f aca="false">MIN($K66)</f>
        <v>0</v>
      </c>
      <c r="AC66" s="1" t="n">
        <f aca="false">MIN($M66)</f>
        <v>3059509</v>
      </c>
      <c r="AD66" s="1" t="n">
        <f aca="false">MIN($N66)</f>
        <v>0.12</v>
      </c>
      <c r="AE66" s="1" t="n">
        <f aca="false">MIN($P66)</f>
        <v>13.17</v>
      </c>
      <c r="AF66" s="1" t="n">
        <f aca="false">MIN($Q66)</f>
        <v>0</v>
      </c>
      <c r="AG66" s="1" t="n">
        <f aca="false">MIN($R66)</f>
        <v>873828</v>
      </c>
      <c r="AH66" s="1" t="n">
        <f aca="false">MEDIAN($B66)</f>
        <v>2595</v>
      </c>
      <c r="AI66" s="1" t="n">
        <f aca="false">MEDIAN($C66)</f>
        <v>2</v>
      </c>
      <c r="AJ66" s="1" t="n">
        <f aca="false">MEDIAN($D66)</f>
        <v>1402290</v>
      </c>
      <c r="AK66" s="1" t="n">
        <f aca="false">MEDIAN($E66)</f>
        <v>0</v>
      </c>
      <c r="AL66" s="1" t="n">
        <f aca="false">MEDIAN($F66)</f>
        <v>880</v>
      </c>
      <c r="AM66" s="1" t="n">
        <f aca="false">MEDIAN($G66)</f>
        <v>0</v>
      </c>
      <c r="AN66" s="1" t="n">
        <f aca="false">MEDIAN($H66)</f>
        <v>1</v>
      </c>
      <c r="AO66" s="1" t="n">
        <f aca="false">MEDIAN($I66)</f>
        <v>12.877</v>
      </c>
      <c r="AP66" s="1" t="n">
        <f aca="false">MEDIAN($J66)</f>
        <v>13.17</v>
      </c>
      <c r="AQ66" s="1" t="n">
        <f aca="false">MEDIAN($K66)</f>
        <v>0</v>
      </c>
      <c r="AR66" s="1" t="n">
        <f aca="false">MEDIAN($M66)</f>
        <v>3059509</v>
      </c>
      <c r="AS66" s="1" t="n">
        <f aca="false">MEDIAN($N66)</f>
        <v>0.12</v>
      </c>
      <c r="AT66" s="1" t="n">
        <f aca="false">MEDIAN($P66)</f>
        <v>13.17</v>
      </c>
      <c r="AU66" s="1" t="n">
        <f aca="false">MEDIAN($Q66)</f>
        <v>0</v>
      </c>
      <c r="AV66" s="1" t="n">
        <f aca="false">MEDIAN($R66)</f>
        <v>873828</v>
      </c>
      <c r="AW66" s="1" t="n">
        <f aca="false">MAX($B66)</f>
        <v>2595</v>
      </c>
      <c r="AX66" s="1" t="n">
        <f aca="false">MAX($C66)</f>
        <v>2</v>
      </c>
      <c r="AY66" s="1" t="n">
        <f aca="false">MAX($D66)</f>
        <v>1402290</v>
      </c>
      <c r="AZ66" s="1" t="n">
        <f aca="false">MAX($E66)</f>
        <v>0</v>
      </c>
      <c r="BA66" s="1" t="n">
        <f aca="false">MAX($F66)</f>
        <v>880</v>
      </c>
      <c r="BB66" s="1" t="n">
        <f aca="false">MAX($G66)</f>
        <v>0</v>
      </c>
      <c r="BC66" s="1" t="n">
        <f aca="false">MAX($H66)</f>
        <v>1</v>
      </c>
      <c r="BD66" s="1" t="n">
        <f aca="false">MAX($I66)</f>
        <v>12.877</v>
      </c>
      <c r="BE66" s="1" t="n">
        <f aca="false">MAX($J66)</f>
        <v>13.17</v>
      </c>
      <c r="BF66" s="1" t="n">
        <f aca="false">MAX($K66)</f>
        <v>0</v>
      </c>
      <c r="BG66" s="1" t="n">
        <f aca="false">MAX($M66)</f>
        <v>3059509</v>
      </c>
      <c r="BH66" s="1" t="n">
        <f aca="false">MAX($N66)</f>
        <v>0.12</v>
      </c>
      <c r="BI66" s="1" t="n">
        <f aca="false">MAX($P66)</f>
        <v>13.17</v>
      </c>
      <c r="BJ66" s="1" t="n">
        <f aca="false">MAX($Q66)</f>
        <v>0</v>
      </c>
      <c r="BK66" s="1" t="n">
        <f aca="false">MAX($R66)</f>
        <v>873828</v>
      </c>
    </row>
    <row r="67" customFormat="false" ht="15" hidden="false" customHeight="false" outlineLevel="0" collapsed="false">
      <c r="A67" s="1" t="s">
        <v>84</v>
      </c>
      <c r="B67" s="1" t="n">
        <f aca="false" t="array" ref="B67:B67">_xlfn.SWITCH($A$2,"average", AVERAGE(Instances!B67:B67),"median", MEDIAN(Instances!B67:B67),"min", MIN(Instances!B67:B67),"max", MAX(Instances!B67:B67),"diff", MAX(Instances!B67:B67)-MIN(Instances!B67:B67))</f>
        <v>6038</v>
      </c>
      <c r="C67" s="1" t="n">
        <f aca="false" t="array" ref="C67:C67">_xlfn.SWITCH($A$2,"average", AVERAGE(Instances!C67:C67),"median", MEDIAN(Instances!C67:C67),"min", MIN(Instances!C67:C67),"max", MAX(Instances!C67:C67),"diff", MAX(Instances!C67:C67)-MIN(Instances!C67:C67))</f>
        <v>112</v>
      </c>
      <c r="D67" s="1" t="n">
        <f aca="false" t="array" ref="D67:D67">_xlfn.SWITCH($A$2,"average", AVERAGE(Instances!D67:D67),"median", MEDIAN(Instances!D67:D67),"min", MIN(Instances!D67:D67),"max", MAX(Instances!D67:D67),"diff", MAX(Instances!D67:D67)-MIN(Instances!D67:D67))</f>
        <v>1742767</v>
      </c>
      <c r="E67" s="1" t="n">
        <f aca="false" t="array" ref="E67:E67">_xlfn.SWITCH($A$2,"average", AVERAGE(Instances!E67:E67),"median", MEDIAN(Instances!E67:E67),"min", MIN(Instances!E67:E67),"max", MAX(Instances!E67:E67),"diff", MAX(Instances!E67:E67)-MIN(Instances!E67:E67))</f>
        <v>0</v>
      </c>
      <c r="F67" s="1" t="n">
        <f aca="false" t="array" ref="F67:F67">_xlfn.SWITCH($A$2,"average", AVERAGE(Instances!F67:F67),"median", MEDIAN(Instances!F67:F67),"min", MIN(Instances!F67:F67),"max", MAX(Instances!F67:F67),"diff", MAX(Instances!F67:F67)-MIN(Instances!F67:F67))</f>
        <v>1041</v>
      </c>
      <c r="G67" s="1" t="n">
        <f aca="false" t="array" ref="G67:G67">_xlfn.SWITCH($A$2,"average", AVERAGE(Instances!G67:G67),"median", MEDIAN(Instances!G67:G67),"min", MIN(Instances!G67:G67),"max", MAX(Instances!G67:G67),"diff", MAX(Instances!G67:G67)-MIN(Instances!G67:G67))</f>
        <v>0</v>
      </c>
      <c r="H67" s="1" t="n">
        <f aca="false" t="array" ref="H67:H67">_xlfn.SWITCH($A$2,"average", AVERAGE(Instances!H67:H67),"median", MEDIAN(Instances!H67:H67),"min", MIN(Instances!H67:H67),"max", MAX(Instances!H67:H67),"diff", MAX(Instances!H67:H67)-MIN(Instances!H67:H67))</f>
        <v>1</v>
      </c>
      <c r="I67" s="1" t="n">
        <f aca="false" t="array" ref="I67:I67">_xlfn.SWITCH($A$2,"average", AVERAGE(Instances!I67:I67),"median", MEDIAN(Instances!I67:I67),"min", MIN(Instances!I67:I67),"max", MAX(Instances!I67:I67),"diff", MAX(Instances!I67:I67)-MIN(Instances!I67:I67))</f>
        <v>16.428</v>
      </c>
      <c r="J67" s="1" t="n">
        <f aca="false" t="array" ref="J67:J67">_xlfn.SWITCH($A$2,"average", AVERAGE(Instances!J67:J67),"median", MEDIAN(Instances!J67:J67),"min", MIN(Instances!J67:J67),"max", MAX(Instances!J67:J67),"diff", MAX(Instances!J67:J67)-MIN(Instances!J67:J67))</f>
        <v>16.77</v>
      </c>
      <c r="K67" s="1" t="n">
        <f aca="false" t="array" ref="K67:K67">_xlfn.SWITCH($A$2,"average", AVERAGE(Instances!K67:K67),"median", MEDIAN(Instances!K67:K67),"min", MIN(Instances!K67:K67),"max", MAX(Instances!K67:K67),"diff", MAX(Instances!K67:K67)-MIN(Instances!K67:K67))</f>
        <v>1</v>
      </c>
      <c r="L67" s="1"/>
      <c r="M67" s="1" t="n">
        <f aca="false" t="array" ref="M67:M67">_xlfn.SWITCH($A$2,"average", AVERAGE(Instances!M67:M67),"median", MEDIAN(Instances!M67:M67),"min", MIN(Instances!M67:M67),"max", MAX(Instances!M67:M67),"diff", MAX(Instances!M67:M67)-MIN(Instances!M67:M67))</f>
        <v>3883956</v>
      </c>
      <c r="N67" s="1" t="n">
        <f aca="false" t="array" ref="N67:N67">_xlfn.SWITCH($A$2,"average", AVERAGE(Instances!N67:N67),"median", MEDIAN(Instances!N67:N67),"min", MIN(Instances!N67:N67),"max", MAX(Instances!N67:N67),"diff", MAX(Instances!N67:N67)-MIN(Instances!N67:N67))</f>
        <v>0.35</v>
      </c>
      <c r="O67" s="1"/>
      <c r="P67" s="1" t="n">
        <f aca="false" t="array" ref="P67:P67">_xlfn.SWITCH($A$2,"average", AVERAGE(Instances!P67:P67),"median", MEDIAN(Instances!P67:P67),"min", MIN(Instances!P67:P67),"max", MAX(Instances!P67:P67),"diff", MAX(Instances!P67:P67)-MIN(Instances!P67:P67))</f>
        <v>16.77</v>
      </c>
      <c r="Q67" s="1" t="n">
        <f aca="false" t="array" ref="Q67:Q67">_xlfn.SWITCH($A$2,"average", AVERAGE(Instances!Q67:Q67),"median", MEDIAN(Instances!Q67:Q67),"min", MIN(Instances!Q67:Q67),"max", MAX(Instances!Q67:Q67),"diff", MAX(Instances!Q67:Q67)-MIN(Instances!Q67:Q67))</f>
        <v>0</v>
      </c>
      <c r="R67" s="1" t="n">
        <f aca="false" t="array" ref="R67:R67">_xlfn.SWITCH($A$2,"average", AVERAGE(Instances!R67:R67),"median", MEDIAN(Instances!R67:R67),"min", MIN(Instances!R67:R67),"max", MAX(Instances!R67:R67),"diff", MAX(Instances!R67:R67)-MIN(Instances!R67:R67))</f>
        <v>1050690</v>
      </c>
      <c r="S67" s="1" t="n">
        <f aca="false">MIN($B67)</f>
        <v>6038</v>
      </c>
      <c r="T67" s="1" t="n">
        <f aca="false">MIN($C67)</f>
        <v>112</v>
      </c>
      <c r="U67" s="1" t="n">
        <f aca="false">MIN($D67)</f>
        <v>1742767</v>
      </c>
      <c r="V67" s="1" t="n">
        <f aca="false">MIN($E67)</f>
        <v>0</v>
      </c>
      <c r="W67" s="1" t="n">
        <f aca="false">MIN($F67)</f>
        <v>1041</v>
      </c>
      <c r="X67" s="1" t="n">
        <f aca="false">MIN($G67)</f>
        <v>0</v>
      </c>
      <c r="Y67" s="1" t="n">
        <f aca="false">MIN($H67)</f>
        <v>1</v>
      </c>
      <c r="Z67" s="1" t="n">
        <f aca="false">MIN($I67)</f>
        <v>16.428</v>
      </c>
      <c r="AA67" s="1" t="n">
        <f aca="false">MIN($J67)</f>
        <v>16.77</v>
      </c>
      <c r="AB67" s="1" t="n">
        <f aca="false">MIN($K67)</f>
        <v>1</v>
      </c>
      <c r="AC67" s="1" t="n">
        <f aca="false">MIN($M67)</f>
        <v>3883956</v>
      </c>
      <c r="AD67" s="1" t="n">
        <f aca="false">MIN($N67)</f>
        <v>0.35</v>
      </c>
      <c r="AE67" s="1" t="n">
        <f aca="false">MIN($P67)</f>
        <v>16.77</v>
      </c>
      <c r="AF67" s="1" t="n">
        <f aca="false">MIN($Q67)</f>
        <v>0</v>
      </c>
      <c r="AG67" s="1" t="n">
        <f aca="false">MIN($R67)</f>
        <v>1050690</v>
      </c>
      <c r="AH67" s="1" t="n">
        <f aca="false">MEDIAN($B67)</f>
        <v>6038</v>
      </c>
      <c r="AI67" s="1" t="n">
        <f aca="false">MEDIAN($C67)</f>
        <v>112</v>
      </c>
      <c r="AJ67" s="1" t="n">
        <f aca="false">MEDIAN($D67)</f>
        <v>1742767</v>
      </c>
      <c r="AK67" s="1" t="n">
        <f aca="false">MEDIAN($E67)</f>
        <v>0</v>
      </c>
      <c r="AL67" s="1" t="n">
        <f aca="false">MEDIAN($F67)</f>
        <v>1041</v>
      </c>
      <c r="AM67" s="1" t="n">
        <f aca="false">MEDIAN($G67)</f>
        <v>0</v>
      </c>
      <c r="AN67" s="1" t="n">
        <f aca="false">MEDIAN($H67)</f>
        <v>1</v>
      </c>
      <c r="AO67" s="1" t="n">
        <f aca="false">MEDIAN($I67)</f>
        <v>16.428</v>
      </c>
      <c r="AP67" s="1" t="n">
        <f aca="false">MEDIAN($J67)</f>
        <v>16.77</v>
      </c>
      <c r="AQ67" s="1" t="n">
        <f aca="false">MEDIAN($K67)</f>
        <v>1</v>
      </c>
      <c r="AR67" s="1" t="n">
        <f aca="false">MEDIAN($M67)</f>
        <v>3883956</v>
      </c>
      <c r="AS67" s="1" t="n">
        <f aca="false">MEDIAN($N67)</f>
        <v>0.35</v>
      </c>
      <c r="AT67" s="1" t="n">
        <f aca="false">MEDIAN($P67)</f>
        <v>16.77</v>
      </c>
      <c r="AU67" s="1" t="n">
        <f aca="false">MEDIAN($Q67)</f>
        <v>0</v>
      </c>
      <c r="AV67" s="1" t="n">
        <f aca="false">MEDIAN($R67)</f>
        <v>1050690</v>
      </c>
      <c r="AW67" s="1" t="n">
        <f aca="false">MAX($B67)</f>
        <v>6038</v>
      </c>
      <c r="AX67" s="1" t="n">
        <f aca="false">MAX($C67)</f>
        <v>112</v>
      </c>
      <c r="AY67" s="1" t="n">
        <f aca="false">MAX($D67)</f>
        <v>1742767</v>
      </c>
      <c r="AZ67" s="1" t="n">
        <f aca="false">MAX($E67)</f>
        <v>0</v>
      </c>
      <c r="BA67" s="1" t="n">
        <f aca="false">MAX($F67)</f>
        <v>1041</v>
      </c>
      <c r="BB67" s="1" t="n">
        <f aca="false">MAX($G67)</f>
        <v>0</v>
      </c>
      <c r="BC67" s="1" t="n">
        <f aca="false">MAX($H67)</f>
        <v>1</v>
      </c>
      <c r="BD67" s="1" t="n">
        <f aca="false">MAX($I67)</f>
        <v>16.428</v>
      </c>
      <c r="BE67" s="1" t="n">
        <f aca="false">MAX($J67)</f>
        <v>16.77</v>
      </c>
      <c r="BF67" s="1" t="n">
        <f aca="false">MAX($K67)</f>
        <v>1</v>
      </c>
      <c r="BG67" s="1" t="n">
        <f aca="false">MAX($M67)</f>
        <v>3883956</v>
      </c>
      <c r="BH67" s="1" t="n">
        <f aca="false">MAX($N67)</f>
        <v>0.35</v>
      </c>
      <c r="BI67" s="1" t="n">
        <f aca="false">MAX($P67)</f>
        <v>16.77</v>
      </c>
      <c r="BJ67" s="1" t="n">
        <f aca="false">MAX($Q67)</f>
        <v>0</v>
      </c>
      <c r="BK67" s="1" t="n">
        <f aca="false">MAX($R67)</f>
        <v>1050690</v>
      </c>
    </row>
    <row r="68" customFormat="false" ht="15" hidden="false" customHeight="false" outlineLevel="0" collapsed="false">
      <c r="A68" s="1" t="s">
        <v>85</v>
      </c>
      <c r="B68" s="1" t="n">
        <f aca="false" t="array" ref="B68:B68">_xlfn.SWITCH($A$2,"average", AVERAGE(Instances!B68:B68),"median", MEDIAN(Instances!B68:B68),"min", MIN(Instances!B68:B68),"max", MAX(Instances!B68:B68),"diff", MAX(Instances!B68:B68)-MIN(Instances!B68:B68))</f>
        <v>3346</v>
      </c>
      <c r="C68" s="1" t="n">
        <f aca="false" t="array" ref="C68:C68">_xlfn.SWITCH($A$2,"average", AVERAGE(Instances!C68:C68),"median", MEDIAN(Instances!C68:C68),"min", MIN(Instances!C68:C68),"max", MAX(Instances!C68:C68),"diff", MAX(Instances!C68:C68)-MIN(Instances!C68:C68))</f>
        <v>3</v>
      </c>
      <c r="D68" s="1" t="n">
        <f aca="false" t="array" ref="D68:D68">_xlfn.SWITCH($A$2,"average", AVERAGE(Instances!D68:D68),"median", MEDIAN(Instances!D68:D68),"min", MIN(Instances!D68:D68),"max", MAX(Instances!D68:D68),"diff", MAX(Instances!D68:D68)-MIN(Instances!D68:D68))</f>
        <v>1522281</v>
      </c>
      <c r="E68" s="1" t="n">
        <f aca="false" t="array" ref="E68:E68">_xlfn.SWITCH($A$2,"average", AVERAGE(Instances!E68:E68),"median", MEDIAN(Instances!E68:E68),"min", MIN(Instances!E68:E68),"max", MAX(Instances!E68:E68),"diff", MAX(Instances!E68:E68)-MIN(Instances!E68:E68))</f>
        <v>0</v>
      </c>
      <c r="F68" s="1" t="n">
        <f aca="false" t="array" ref="F68:F68">_xlfn.SWITCH($A$2,"average", AVERAGE(Instances!F68:F68),"median", MEDIAN(Instances!F68:F68),"min", MIN(Instances!F68:F68),"max", MAX(Instances!F68:F68),"diff", MAX(Instances!F68:F68)-MIN(Instances!F68:F68))</f>
        <v>966</v>
      </c>
      <c r="G68" s="1" t="n">
        <f aca="false" t="array" ref="G68:G68">_xlfn.SWITCH($A$2,"average", AVERAGE(Instances!G68:G68),"median", MEDIAN(Instances!G68:G68),"min", MIN(Instances!G68:G68),"max", MAX(Instances!G68:G68),"diff", MAX(Instances!G68:G68)-MIN(Instances!G68:G68))</f>
        <v>0</v>
      </c>
      <c r="H68" s="1" t="n">
        <f aca="false" t="array" ref="H68:H68">_xlfn.SWITCH($A$2,"average", AVERAGE(Instances!H68:H68),"median", MEDIAN(Instances!H68:H68),"min", MIN(Instances!H68:H68),"max", MAX(Instances!H68:H68),"diff", MAX(Instances!H68:H68)-MIN(Instances!H68:H68))</f>
        <v>1</v>
      </c>
      <c r="I68" s="1" t="n">
        <f aca="false" t="array" ref="I68:I68">_xlfn.SWITCH($A$2,"average", AVERAGE(Instances!I68:I68),"median", MEDIAN(Instances!I68:I68),"min", MIN(Instances!I68:I68),"max", MAX(Instances!I68:I68),"diff", MAX(Instances!I68:I68)-MIN(Instances!I68:I68))</f>
        <v>15.027</v>
      </c>
      <c r="J68" s="1" t="n">
        <f aca="false" t="array" ref="J68:J68">_xlfn.SWITCH($A$2,"average", AVERAGE(Instances!J68:J68),"median", MEDIAN(Instances!J68:J68),"min", MIN(Instances!J68:J68),"max", MAX(Instances!J68:J68),"diff", MAX(Instances!J68:J68)-MIN(Instances!J68:J68))</f>
        <v>15.34</v>
      </c>
      <c r="K68" s="1" t="n">
        <f aca="false" t="array" ref="K68:K68">_xlfn.SWITCH($A$2,"average", AVERAGE(Instances!K68:K68),"median", MEDIAN(Instances!K68:K68),"min", MIN(Instances!K68:K68),"max", MAX(Instances!K68:K68),"diff", MAX(Instances!K68:K68)-MIN(Instances!K68:K68))</f>
        <v>0</v>
      </c>
      <c r="L68" s="1"/>
      <c r="M68" s="1" t="n">
        <f aca="false" t="array" ref="M68:M68">_xlfn.SWITCH($A$2,"average", AVERAGE(Instances!M68:M68),"median", MEDIAN(Instances!M68:M68),"min", MIN(Instances!M68:M68),"max", MAX(Instances!M68:M68),"diff", MAX(Instances!M68:M68)-MIN(Instances!M68:M68))</f>
        <v>3536943</v>
      </c>
      <c r="N68" s="1" t="n">
        <f aca="false" t="array" ref="N68:N68">_xlfn.SWITCH($A$2,"average", AVERAGE(Instances!N68:N68),"median", MEDIAN(Instances!N68:N68),"min", MIN(Instances!N68:N68),"max", MAX(Instances!N68:N68),"diff", MAX(Instances!N68:N68)-MIN(Instances!N68:N68))</f>
        <v>0.15</v>
      </c>
      <c r="O68" s="1"/>
      <c r="P68" s="1" t="n">
        <f aca="false" t="array" ref="P68:P68">_xlfn.SWITCH($A$2,"average", AVERAGE(Instances!P68:P68),"median", MEDIAN(Instances!P68:P68),"min", MIN(Instances!P68:P68),"max", MAX(Instances!P68:P68),"diff", MAX(Instances!P68:P68)-MIN(Instances!P68:P68))</f>
        <v>15.34</v>
      </c>
      <c r="Q68" s="1" t="n">
        <f aca="false" t="array" ref="Q68:Q68">_xlfn.SWITCH($A$2,"average", AVERAGE(Instances!Q68:Q68),"median", MEDIAN(Instances!Q68:Q68),"min", MIN(Instances!Q68:Q68),"max", MAX(Instances!Q68:Q68),"diff", MAX(Instances!Q68:Q68)-MIN(Instances!Q68:Q68))</f>
        <v>0</v>
      </c>
      <c r="R68" s="1" t="n">
        <f aca="false" t="array" ref="R68:R68">_xlfn.SWITCH($A$2,"average", AVERAGE(Instances!R68:R68),"median", MEDIAN(Instances!R68:R68),"min", MIN(Instances!R68:R68),"max", MAX(Instances!R68:R68),"diff", MAX(Instances!R68:R68)-MIN(Instances!R68:R68))</f>
        <v>970320</v>
      </c>
      <c r="S68" s="1" t="n">
        <f aca="false">MIN($B68)</f>
        <v>3346</v>
      </c>
      <c r="T68" s="1" t="n">
        <f aca="false">MIN($C68)</f>
        <v>3</v>
      </c>
      <c r="U68" s="1" t="n">
        <f aca="false">MIN($D68)</f>
        <v>1522281</v>
      </c>
      <c r="V68" s="1" t="n">
        <f aca="false">MIN($E68)</f>
        <v>0</v>
      </c>
      <c r="W68" s="1" t="n">
        <f aca="false">MIN($F68)</f>
        <v>966</v>
      </c>
      <c r="X68" s="1" t="n">
        <f aca="false">MIN($G68)</f>
        <v>0</v>
      </c>
      <c r="Y68" s="1" t="n">
        <f aca="false">MIN($H68)</f>
        <v>1</v>
      </c>
      <c r="Z68" s="1" t="n">
        <f aca="false">MIN($I68)</f>
        <v>15.027</v>
      </c>
      <c r="AA68" s="1" t="n">
        <f aca="false">MIN($J68)</f>
        <v>15.34</v>
      </c>
      <c r="AB68" s="1" t="n">
        <f aca="false">MIN($K68)</f>
        <v>0</v>
      </c>
      <c r="AC68" s="1" t="n">
        <f aca="false">MIN($M68)</f>
        <v>3536943</v>
      </c>
      <c r="AD68" s="1" t="n">
        <f aca="false">MIN($N68)</f>
        <v>0.15</v>
      </c>
      <c r="AE68" s="1" t="n">
        <f aca="false">MIN($P68)</f>
        <v>15.34</v>
      </c>
      <c r="AF68" s="1" t="n">
        <f aca="false">MIN($Q68)</f>
        <v>0</v>
      </c>
      <c r="AG68" s="1" t="n">
        <f aca="false">MIN($R68)</f>
        <v>970320</v>
      </c>
      <c r="AH68" s="1" t="n">
        <f aca="false">MEDIAN($B68)</f>
        <v>3346</v>
      </c>
      <c r="AI68" s="1" t="n">
        <f aca="false">MEDIAN($C68)</f>
        <v>3</v>
      </c>
      <c r="AJ68" s="1" t="n">
        <f aca="false">MEDIAN($D68)</f>
        <v>1522281</v>
      </c>
      <c r="AK68" s="1" t="n">
        <f aca="false">MEDIAN($E68)</f>
        <v>0</v>
      </c>
      <c r="AL68" s="1" t="n">
        <f aca="false">MEDIAN($F68)</f>
        <v>966</v>
      </c>
      <c r="AM68" s="1" t="n">
        <f aca="false">MEDIAN($G68)</f>
        <v>0</v>
      </c>
      <c r="AN68" s="1" t="n">
        <f aca="false">MEDIAN($H68)</f>
        <v>1</v>
      </c>
      <c r="AO68" s="1" t="n">
        <f aca="false">MEDIAN($I68)</f>
        <v>15.027</v>
      </c>
      <c r="AP68" s="1" t="n">
        <f aca="false">MEDIAN($J68)</f>
        <v>15.34</v>
      </c>
      <c r="AQ68" s="1" t="n">
        <f aca="false">MEDIAN($K68)</f>
        <v>0</v>
      </c>
      <c r="AR68" s="1" t="n">
        <f aca="false">MEDIAN($M68)</f>
        <v>3536943</v>
      </c>
      <c r="AS68" s="1" t="n">
        <f aca="false">MEDIAN($N68)</f>
        <v>0.15</v>
      </c>
      <c r="AT68" s="1" t="n">
        <f aca="false">MEDIAN($P68)</f>
        <v>15.34</v>
      </c>
      <c r="AU68" s="1" t="n">
        <f aca="false">MEDIAN($Q68)</f>
        <v>0</v>
      </c>
      <c r="AV68" s="1" t="n">
        <f aca="false">MEDIAN($R68)</f>
        <v>970320</v>
      </c>
      <c r="AW68" s="1" t="n">
        <f aca="false">MAX($B68)</f>
        <v>3346</v>
      </c>
      <c r="AX68" s="1" t="n">
        <f aca="false">MAX($C68)</f>
        <v>3</v>
      </c>
      <c r="AY68" s="1" t="n">
        <f aca="false">MAX($D68)</f>
        <v>1522281</v>
      </c>
      <c r="AZ68" s="1" t="n">
        <f aca="false">MAX($E68)</f>
        <v>0</v>
      </c>
      <c r="BA68" s="1" t="n">
        <f aca="false">MAX($F68)</f>
        <v>966</v>
      </c>
      <c r="BB68" s="1" t="n">
        <f aca="false">MAX($G68)</f>
        <v>0</v>
      </c>
      <c r="BC68" s="1" t="n">
        <f aca="false">MAX($H68)</f>
        <v>1</v>
      </c>
      <c r="BD68" s="1" t="n">
        <f aca="false">MAX($I68)</f>
        <v>15.027</v>
      </c>
      <c r="BE68" s="1" t="n">
        <f aca="false">MAX($J68)</f>
        <v>15.34</v>
      </c>
      <c r="BF68" s="1" t="n">
        <f aca="false">MAX($K68)</f>
        <v>0</v>
      </c>
      <c r="BG68" s="1" t="n">
        <f aca="false">MAX($M68)</f>
        <v>3536943</v>
      </c>
      <c r="BH68" s="1" t="n">
        <f aca="false">MAX($N68)</f>
        <v>0.15</v>
      </c>
      <c r="BI68" s="1" t="n">
        <f aca="false">MAX($P68)</f>
        <v>15.34</v>
      </c>
      <c r="BJ68" s="1" t="n">
        <f aca="false">MAX($Q68)</f>
        <v>0</v>
      </c>
      <c r="BK68" s="1" t="n">
        <f aca="false">MAX($R68)</f>
        <v>970320</v>
      </c>
    </row>
    <row r="69" customFormat="false" ht="15" hidden="false" customHeight="false" outlineLevel="0" collapsed="false">
      <c r="A69" s="1" t="s">
        <v>86</v>
      </c>
      <c r="B69" s="1" t="n">
        <f aca="false" t="array" ref="B69:B69">_xlfn.SWITCH($A$2,"average", AVERAGE(Instances!B69:B69),"median", MEDIAN(Instances!B69:B69),"min", MIN(Instances!B69:B69),"max", MAX(Instances!B69:B69),"diff", MAX(Instances!B69:B69)-MIN(Instances!B69:B69))</f>
        <v>3032</v>
      </c>
      <c r="C69" s="1" t="n">
        <f aca="false" t="array" ref="C69:C69">_xlfn.SWITCH($A$2,"average", AVERAGE(Instances!C69:C69),"median", MEDIAN(Instances!C69:C69),"min", MIN(Instances!C69:C69),"max", MAX(Instances!C69:C69),"diff", MAX(Instances!C69:C69)-MIN(Instances!C69:C69))</f>
        <v>1</v>
      </c>
      <c r="D69" s="1" t="n">
        <f aca="false" t="array" ref="D69:D69">_xlfn.SWITCH($A$2,"average", AVERAGE(Instances!D69:D69),"median", MEDIAN(Instances!D69:D69),"min", MIN(Instances!D69:D69),"max", MAX(Instances!D69:D69),"diff", MAX(Instances!D69:D69)-MIN(Instances!D69:D69))</f>
        <v>1555768</v>
      </c>
      <c r="E69" s="1" t="n">
        <f aca="false" t="array" ref="E69:E69">_xlfn.SWITCH($A$2,"average", AVERAGE(Instances!E69:E69),"median", MEDIAN(Instances!E69:E69),"min", MIN(Instances!E69:E69),"max", MAX(Instances!E69:E69),"diff", MAX(Instances!E69:E69)-MIN(Instances!E69:E69))</f>
        <v>0</v>
      </c>
      <c r="F69" s="1" t="n">
        <f aca="false" t="array" ref="F69:F69">_xlfn.SWITCH($A$2,"average", AVERAGE(Instances!F69:F69),"median", MEDIAN(Instances!F69:F69),"min", MIN(Instances!F69:F69),"max", MAX(Instances!F69:F69),"diff", MAX(Instances!F69:F69)-MIN(Instances!F69:F69))</f>
        <v>990</v>
      </c>
      <c r="G69" s="1" t="n">
        <f aca="false" t="array" ref="G69:G69">_xlfn.SWITCH($A$2,"average", AVERAGE(Instances!G69:G69),"median", MEDIAN(Instances!G69:G69),"min", MIN(Instances!G69:G69),"max", MAX(Instances!G69:G69),"diff", MAX(Instances!G69:G69)-MIN(Instances!G69:G69))</f>
        <v>0</v>
      </c>
      <c r="H69" s="1" t="n">
        <f aca="false" t="array" ref="H69:H69">_xlfn.SWITCH($A$2,"average", AVERAGE(Instances!H69:H69),"median", MEDIAN(Instances!H69:H69),"min", MIN(Instances!H69:H69),"max", MAX(Instances!H69:H69),"diff", MAX(Instances!H69:H69)-MIN(Instances!H69:H69))</f>
        <v>1</v>
      </c>
      <c r="I69" s="1" t="n">
        <f aca="false" t="array" ref="I69:I69">_xlfn.SWITCH($A$2,"average", AVERAGE(Instances!I69:I69),"median", MEDIAN(Instances!I69:I69),"min", MIN(Instances!I69:I69),"max", MAX(Instances!I69:I69),"diff", MAX(Instances!I69:I69)-MIN(Instances!I69:I69))</f>
        <v>15.445</v>
      </c>
      <c r="J69" s="1" t="n">
        <f aca="false" t="array" ref="J69:J69">_xlfn.SWITCH($A$2,"average", AVERAGE(Instances!J69:J69),"median", MEDIAN(Instances!J69:J69),"min", MIN(Instances!J69:J69),"max", MAX(Instances!J69:J69),"diff", MAX(Instances!J69:J69)-MIN(Instances!J69:J69))</f>
        <v>15.77</v>
      </c>
      <c r="K69" s="1" t="n">
        <f aca="false" t="array" ref="K69:K69">_xlfn.SWITCH($A$2,"average", AVERAGE(Instances!K69:K69),"median", MEDIAN(Instances!K69:K69),"min", MIN(Instances!K69:K69),"max", MAX(Instances!K69:K69),"diff", MAX(Instances!K69:K69)-MIN(Instances!K69:K69))</f>
        <v>0</v>
      </c>
      <c r="L69" s="1"/>
      <c r="M69" s="1" t="n">
        <f aca="false" t="array" ref="M69:M69">_xlfn.SWITCH($A$2,"average", AVERAGE(Instances!M69:M69),"median", MEDIAN(Instances!M69:M69),"min", MIN(Instances!M69:M69),"max", MAX(Instances!M69:M69),"diff", MAX(Instances!M69:M69)-MIN(Instances!M69:M69))</f>
        <v>3643975</v>
      </c>
      <c r="N69" s="1" t="n">
        <f aca="false" t="array" ref="N69:N69">_xlfn.SWITCH($A$2,"average", AVERAGE(Instances!N69:N69),"median", MEDIAN(Instances!N69:N69),"min", MIN(Instances!N69:N69),"max", MAX(Instances!N69:N69),"diff", MAX(Instances!N69:N69)-MIN(Instances!N69:N69))</f>
        <v>0.12</v>
      </c>
      <c r="O69" s="1"/>
      <c r="P69" s="1" t="n">
        <f aca="false" t="array" ref="P69:P69">_xlfn.SWITCH($A$2,"average", AVERAGE(Instances!P69:P69),"median", MEDIAN(Instances!P69:P69),"min", MIN(Instances!P69:P69),"max", MAX(Instances!P69:P69),"diff", MAX(Instances!P69:P69)-MIN(Instances!P69:P69))</f>
        <v>15.77</v>
      </c>
      <c r="Q69" s="1" t="n">
        <f aca="false" t="array" ref="Q69:Q69">_xlfn.SWITCH($A$2,"average", AVERAGE(Instances!Q69:Q69),"median", MEDIAN(Instances!Q69:Q69),"min", MIN(Instances!Q69:Q69),"max", MAX(Instances!Q69:Q69),"diff", MAX(Instances!Q69:Q69)-MIN(Instances!Q69:Q69))</f>
        <v>0</v>
      </c>
      <c r="R69" s="1" t="n">
        <f aca="false" t="array" ref="R69:R69">_xlfn.SWITCH($A$2,"average", AVERAGE(Instances!R69:R69),"median", MEDIAN(Instances!R69:R69),"min", MIN(Instances!R69:R69),"max", MAX(Instances!R69:R69),"diff", MAX(Instances!R69:R69)-MIN(Instances!R69:R69))</f>
        <v>999570</v>
      </c>
      <c r="S69" s="1" t="n">
        <f aca="false">MIN($B69)</f>
        <v>3032</v>
      </c>
      <c r="T69" s="1" t="n">
        <f aca="false">MIN($C69)</f>
        <v>1</v>
      </c>
      <c r="U69" s="1" t="n">
        <f aca="false">MIN($D69)</f>
        <v>1555768</v>
      </c>
      <c r="V69" s="1" t="n">
        <f aca="false">MIN($E69)</f>
        <v>0</v>
      </c>
      <c r="W69" s="1" t="n">
        <f aca="false">MIN($F69)</f>
        <v>990</v>
      </c>
      <c r="X69" s="1" t="n">
        <f aca="false">MIN($G69)</f>
        <v>0</v>
      </c>
      <c r="Y69" s="1" t="n">
        <f aca="false">MIN($H69)</f>
        <v>1</v>
      </c>
      <c r="Z69" s="1" t="n">
        <f aca="false">MIN($I69)</f>
        <v>15.445</v>
      </c>
      <c r="AA69" s="1" t="n">
        <f aca="false">MIN($J69)</f>
        <v>15.77</v>
      </c>
      <c r="AB69" s="1" t="n">
        <f aca="false">MIN($K69)</f>
        <v>0</v>
      </c>
      <c r="AC69" s="1" t="n">
        <f aca="false">MIN($M69)</f>
        <v>3643975</v>
      </c>
      <c r="AD69" s="1" t="n">
        <f aca="false">MIN($N69)</f>
        <v>0.12</v>
      </c>
      <c r="AE69" s="1" t="n">
        <f aca="false">MIN($P69)</f>
        <v>15.77</v>
      </c>
      <c r="AF69" s="1" t="n">
        <f aca="false">MIN($Q69)</f>
        <v>0</v>
      </c>
      <c r="AG69" s="1" t="n">
        <f aca="false">MIN($R69)</f>
        <v>999570</v>
      </c>
      <c r="AH69" s="1" t="n">
        <f aca="false">MEDIAN($B69)</f>
        <v>3032</v>
      </c>
      <c r="AI69" s="1" t="n">
        <f aca="false">MEDIAN($C69)</f>
        <v>1</v>
      </c>
      <c r="AJ69" s="1" t="n">
        <f aca="false">MEDIAN($D69)</f>
        <v>1555768</v>
      </c>
      <c r="AK69" s="1" t="n">
        <f aca="false">MEDIAN($E69)</f>
        <v>0</v>
      </c>
      <c r="AL69" s="1" t="n">
        <f aca="false">MEDIAN($F69)</f>
        <v>990</v>
      </c>
      <c r="AM69" s="1" t="n">
        <f aca="false">MEDIAN($G69)</f>
        <v>0</v>
      </c>
      <c r="AN69" s="1" t="n">
        <f aca="false">MEDIAN($H69)</f>
        <v>1</v>
      </c>
      <c r="AO69" s="1" t="n">
        <f aca="false">MEDIAN($I69)</f>
        <v>15.445</v>
      </c>
      <c r="AP69" s="1" t="n">
        <f aca="false">MEDIAN($J69)</f>
        <v>15.77</v>
      </c>
      <c r="AQ69" s="1" t="n">
        <f aca="false">MEDIAN($K69)</f>
        <v>0</v>
      </c>
      <c r="AR69" s="1" t="n">
        <f aca="false">MEDIAN($M69)</f>
        <v>3643975</v>
      </c>
      <c r="AS69" s="1" t="n">
        <f aca="false">MEDIAN($N69)</f>
        <v>0.12</v>
      </c>
      <c r="AT69" s="1" t="n">
        <f aca="false">MEDIAN($P69)</f>
        <v>15.77</v>
      </c>
      <c r="AU69" s="1" t="n">
        <f aca="false">MEDIAN($Q69)</f>
        <v>0</v>
      </c>
      <c r="AV69" s="1" t="n">
        <f aca="false">MEDIAN($R69)</f>
        <v>999570</v>
      </c>
      <c r="AW69" s="1" t="n">
        <f aca="false">MAX($B69)</f>
        <v>3032</v>
      </c>
      <c r="AX69" s="1" t="n">
        <f aca="false">MAX($C69)</f>
        <v>1</v>
      </c>
      <c r="AY69" s="1" t="n">
        <f aca="false">MAX($D69)</f>
        <v>1555768</v>
      </c>
      <c r="AZ69" s="1" t="n">
        <f aca="false">MAX($E69)</f>
        <v>0</v>
      </c>
      <c r="BA69" s="1" t="n">
        <f aca="false">MAX($F69)</f>
        <v>990</v>
      </c>
      <c r="BB69" s="1" t="n">
        <f aca="false">MAX($G69)</f>
        <v>0</v>
      </c>
      <c r="BC69" s="1" t="n">
        <f aca="false">MAX($H69)</f>
        <v>1</v>
      </c>
      <c r="BD69" s="1" t="n">
        <f aca="false">MAX($I69)</f>
        <v>15.445</v>
      </c>
      <c r="BE69" s="1" t="n">
        <f aca="false">MAX($J69)</f>
        <v>15.77</v>
      </c>
      <c r="BF69" s="1" t="n">
        <f aca="false">MAX($K69)</f>
        <v>0</v>
      </c>
      <c r="BG69" s="1" t="n">
        <f aca="false">MAX($M69)</f>
        <v>3643975</v>
      </c>
      <c r="BH69" s="1" t="n">
        <f aca="false">MAX($N69)</f>
        <v>0.12</v>
      </c>
      <c r="BI69" s="1" t="n">
        <f aca="false">MAX($P69)</f>
        <v>15.77</v>
      </c>
      <c r="BJ69" s="1" t="n">
        <f aca="false">MAX($Q69)</f>
        <v>0</v>
      </c>
      <c r="BK69" s="1" t="n">
        <f aca="false">MAX($R69)</f>
        <v>999570</v>
      </c>
    </row>
    <row r="70" customFormat="false" ht="15" hidden="false" customHeight="false" outlineLevel="0" collapsed="false">
      <c r="A70" s="1" t="s">
        <v>87</v>
      </c>
      <c r="B70" s="1" t="n">
        <f aca="false" t="array" ref="B70:B70">_xlfn.SWITCH($A$2,"average", AVERAGE(Instances!B70:B70),"median", MEDIAN(Instances!B70:B70),"min", MIN(Instances!B70:B70),"max", MAX(Instances!B70:B70),"diff", MAX(Instances!B70:B70)-MIN(Instances!B70:B70))</f>
        <v>3281</v>
      </c>
      <c r="C70" s="1" t="n">
        <f aca="false" t="array" ref="C70:C70">_xlfn.SWITCH($A$2,"average", AVERAGE(Instances!C70:C70),"median", MEDIAN(Instances!C70:C70),"min", MIN(Instances!C70:C70),"max", MAX(Instances!C70:C70),"diff", MAX(Instances!C70:C70)-MIN(Instances!C70:C70))</f>
        <v>3</v>
      </c>
      <c r="D70" s="1" t="n">
        <f aca="false" t="array" ref="D70:D70">_xlfn.SWITCH($A$2,"average", AVERAGE(Instances!D70:D70),"median", MEDIAN(Instances!D70:D70),"min", MIN(Instances!D70:D70),"max", MAX(Instances!D70:D70),"diff", MAX(Instances!D70:D70)-MIN(Instances!D70:D70))</f>
        <v>1469415</v>
      </c>
      <c r="E70" s="1" t="n">
        <f aca="false" t="array" ref="E70:E70">_xlfn.SWITCH($A$2,"average", AVERAGE(Instances!E70:E70),"median", MEDIAN(Instances!E70:E70),"min", MIN(Instances!E70:E70),"max", MAX(Instances!E70:E70),"diff", MAX(Instances!E70:E70)-MIN(Instances!E70:E70))</f>
        <v>0</v>
      </c>
      <c r="F70" s="1" t="n">
        <f aca="false" t="array" ref="F70:F70">_xlfn.SWITCH($A$2,"average", AVERAGE(Instances!F70:F70),"median", MEDIAN(Instances!F70:F70),"min", MIN(Instances!F70:F70),"max", MAX(Instances!F70:F70),"diff", MAX(Instances!F70:F70)-MIN(Instances!F70:F70))</f>
        <v>956</v>
      </c>
      <c r="G70" s="1" t="n">
        <f aca="false" t="array" ref="G70:G70">_xlfn.SWITCH($A$2,"average", AVERAGE(Instances!G70:G70),"median", MEDIAN(Instances!G70:G70),"min", MIN(Instances!G70:G70),"max", MAX(Instances!G70:G70),"diff", MAX(Instances!G70:G70)-MIN(Instances!G70:G70))</f>
        <v>0</v>
      </c>
      <c r="H70" s="1" t="n">
        <f aca="false" t="array" ref="H70:H70">_xlfn.SWITCH($A$2,"average", AVERAGE(Instances!H70:H70),"median", MEDIAN(Instances!H70:H70),"min", MIN(Instances!H70:H70),"max", MAX(Instances!H70:H70),"diff", MAX(Instances!H70:H70)-MIN(Instances!H70:H70))</f>
        <v>1</v>
      </c>
      <c r="I70" s="1" t="n">
        <f aca="false" t="array" ref="I70:I70">_xlfn.SWITCH($A$2,"average", AVERAGE(Instances!I70:I70),"median", MEDIAN(Instances!I70:I70),"min", MIN(Instances!I70:I70),"max", MAX(Instances!I70:I70),"diff", MAX(Instances!I70:I70)-MIN(Instances!I70:I70))</f>
        <v>14.751</v>
      </c>
      <c r="J70" s="1" t="n">
        <f aca="false" t="array" ref="J70:J70">_xlfn.SWITCH($A$2,"average", AVERAGE(Instances!J70:J70),"median", MEDIAN(Instances!J70:J70),"min", MIN(Instances!J70:J70),"max", MAX(Instances!J70:J70),"diff", MAX(Instances!J70:J70)-MIN(Instances!J70:J70))</f>
        <v>15.05</v>
      </c>
      <c r="K70" s="1" t="n">
        <f aca="false" t="array" ref="K70:K70">_xlfn.SWITCH($A$2,"average", AVERAGE(Instances!K70:K70),"median", MEDIAN(Instances!K70:K70),"min", MIN(Instances!K70:K70),"max", MAX(Instances!K70:K70),"diff", MAX(Instances!K70:K70)-MIN(Instances!K70:K70))</f>
        <v>0</v>
      </c>
      <c r="L70" s="1"/>
      <c r="M70" s="1" t="n">
        <f aca="false" t="array" ref="M70:M70">_xlfn.SWITCH($A$2,"average", AVERAGE(Instances!M70:M70),"median", MEDIAN(Instances!M70:M70),"min", MIN(Instances!M70:M70),"max", MAX(Instances!M70:M70),"diff", MAX(Instances!M70:M70)-MIN(Instances!M70:M70))</f>
        <v>3497393</v>
      </c>
      <c r="N70" s="1" t="n">
        <f aca="false" t="array" ref="N70:N70">_xlfn.SWITCH($A$2,"average", AVERAGE(Instances!N70:N70),"median", MEDIAN(Instances!N70:N70),"min", MIN(Instances!N70:N70),"max", MAX(Instances!N70:N70),"diff", MAX(Instances!N70:N70)-MIN(Instances!N70:N70))</f>
        <v>0.14</v>
      </c>
      <c r="O70" s="1"/>
      <c r="P70" s="1" t="n">
        <f aca="false" t="array" ref="P70:P70">_xlfn.SWITCH($A$2,"average", AVERAGE(Instances!P70:P70),"median", MEDIAN(Instances!P70:P70),"min", MIN(Instances!P70:P70),"max", MAX(Instances!P70:P70),"diff", MAX(Instances!P70:P70)-MIN(Instances!P70:P70))</f>
        <v>15.05</v>
      </c>
      <c r="Q70" s="1" t="n">
        <f aca="false" t="array" ref="Q70:Q70">_xlfn.SWITCH($A$2,"average", AVERAGE(Instances!Q70:Q70),"median", MEDIAN(Instances!Q70:Q70),"min", MIN(Instances!Q70:Q70),"max", MAX(Instances!Q70:Q70),"diff", MAX(Instances!Q70:Q70)-MIN(Instances!Q70:Q70))</f>
        <v>0</v>
      </c>
      <c r="R70" s="1" t="n">
        <f aca="false" t="array" ref="R70:R70">_xlfn.SWITCH($A$2,"average", AVERAGE(Instances!R70:R70),"median", MEDIAN(Instances!R70:R70),"min", MIN(Instances!R70:R70),"max", MAX(Instances!R70:R70),"diff", MAX(Instances!R70:R70)-MIN(Instances!R70:R70))</f>
        <v>955409</v>
      </c>
      <c r="S70" s="1" t="n">
        <f aca="false">MIN($B70)</f>
        <v>3281</v>
      </c>
      <c r="T70" s="1" t="n">
        <f aca="false">MIN($C70)</f>
        <v>3</v>
      </c>
      <c r="U70" s="1" t="n">
        <f aca="false">MIN($D70)</f>
        <v>1469415</v>
      </c>
      <c r="V70" s="1" t="n">
        <f aca="false">MIN($E70)</f>
        <v>0</v>
      </c>
      <c r="W70" s="1" t="n">
        <f aca="false">MIN($F70)</f>
        <v>956</v>
      </c>
      <c r="X70" s="1" t="n">
        <f aca="false">MIN($G70)</f>
        <v>0</v>
      </c>
      <c r="Y70" s="1" t="n">
        <f aca="false">MIN($H70)</f>
        <v>1</v>
      </c>
      <c r="Z70" s="1" t="n">
        <f aca="false">MIN($I70)</f>
        <v>14.751</v>
      </c>
      <c r="AA70" s="1" t="n">
        <f aca="false">MIN($J70)</f>
        <v>15.05</v>
      </c>
      <c r="AB70" s="1" t="n">
        <f aca="false">MIN($K70)</f>
        <v>0</v>
      </c>
      <c r="AC70" s="1" t="n">
        <f aca="false">MIN($M70)</f>
        <v>3497393</v>
      </c>
      <c r="AD70" s="1" t="n">
        <f aca="false">MIN($N70)</f>
        <v>0.14</v>
      </c>
      <c r="AE70" s="1" t="n">
        <f aca="false">MIN($P70)</f>
        <v>15.05</v>
      </c>
      <c r="AF70" s="1" t="n">
        <f aca="false">MIN($Q70)</f>
        <v>0</v>
      </c>
      <c r="AG70" s="1" t="n">
        <f aca="false">MIN($R70)</f>
        <v>955409</v>
      </c>
      <c r="AH70" s="1" t="n">
        <f aca="false">MEDIAN($B70)</f>
        <v>3281</v>
      </c>
      <c r="AI70" s="1" t="n">
        <f aca="false">MEDIAN($C70)</f>
        <v>3</v>
      </c>
      <c r="AJ70" s="1" t="n">
        <f aca="false">MEDIAN($D70)</f>
        <v>1469415</v>
      </c>
      <c r="AK70" s="1" t="n">
        <f aca="false">MEDIAN($E70)</f>
        <v>0</v>
      </c>
      <c r="AL70" s="1" t="n">
        <f aca="false">MEDIAN($F70)</f>
        <v>956</v>
      </c>
      <c r="AM70" s="1" t="n">
        <f aca="false">MEDIAN($G70)</f>
        <v>0</v>
      </c>
      <c r="AN70" s="1" t="n">
        <f aca="false">MEDIAN($H70)</f>
        <v>1</v>
      </c>
      <c r="AO70" s="1" t="n">
        <f aca="false">MEDIAN($I70)</f>
        <v>14.751</v>
      </c>
      <c r="AP70" s="1" t="n">
        <f aca="false">MEDIAN($J70)</f>
        <v>15.05</v>
      </c>
      <c r="AQ70" s="1" t="n">
        <f aca="false">MEDIAN($K70)</f>
        <v>0</v>
      </c>
      <c r="AR70" s="1" t="n">
        <f aca="false">MEDIAN($M70)</f>
        <v>3497393</v>
      </c>
      <c r="AS70" s="1" t="n">
        <f aca="false">MEDIAN($N70)</f>
        <v>0.14</v>
      </c>
      <c r="AT70" s="1" t="n">
        <f aca="false">MEDIAN($P70)</f>
        <v>15.05</v>
      </c>
      <c r="AU70" s="1" t="n">
        <f aca="false">MEDIAN($Q70)</f>
        <v>0</v>
      </c>
      <c r="AV70" s="1" t="n">
        <f aca="false">MEDIAN($R70)</f>
        <v>955409</v>
      </c>
      <c r="AW70" s="1" t="n">
        <f aca="false">MAX($B70)</f>
        <v>3281</v>
      </c>
      <c r="AX70" s="1" t="n">
        <f aca="false">MAX($C70)</f>
        <v>3</v>
      </c>
      <c r="AY70" s="1" t="n">
        <f aca="false">MAX($D70)</f>
        <v>1469415</v>
      </c>
      <c r="AZ70" s="1" t="n">
        <f aca="false">MAX($E70)</f>
        <v>0</v>
      </c>
      <c r="BA70" s="1" t="n">
        <f aca="false">MAX($F70)</f>
        <v>956</v>
      </c>
      <c r="BB70" s="1" t="n">
        <f aca="false">MAX($G70)</f>
        <v>0</v>
      </c>
      <c r="BC70" s="1" t="n">
        <f aca="false">MAX($H70)</f>
        <v>1</v>
      </c>
      <c r="BD70" s="1" t="n">
        <f aca="false">MAX($I70)</f>
        <v>14.751</v>
      </c>
      <c r="BE70" s="1" t="n">
        <f aca="false">MAX($J70)</f>
        <v>15.05</v>
      </c>
      <c r="BF70" s="1" t="n">
        <f aca="false">MAX($K70)</f>
        <v>0</v>
      </c>
      <c r="BG70" s="1" t="n">
        <f aca="false">MAX($M70)</f>
        <v>3497393</v>
      </c>
      <c r="BH70" s="1" t="n">
        <f aca="false">MAX($N70)</f>
        <v>0.14</v>
      </c>
      <c r="BI70" s="1" t="n">
        <f aca="false">MAX($P70)</f>
        <v>15.05</v>
      </c>
      <c r="BJ70" s="1" t="n">
        <f aca="false">MAX($Q70)</f>
        <v>0</v>
      </c>
      <c r="BK70" s="1" t="n">
        <f aca="false">MAX($R70)</f>
        <v>955409</v>
      </c>
    </row>
    <row r="71" customFormat="false" ht="15" hidden="false" customHeight="false" outlineLevel="0" collapsed="false">
      <c r="A71" s="1" t="s">
        <v>88</v>
      </c>
      <c r="B71" s="1" t="n">
        <f aca="false" t="array" ref="B71:B71">_xlfn.SWITCH($A$2,"average", AVERAGE(Instances!B71:B71),"median", MEDIAN(Instances!B71:B71),"min", MIN(Instances!B71:B71),"max", MAX(Instances!B71:B71),"diff", MAX(Instances!B71:B71)-MIN(Instances!B71:B71))</f>
        <v>3433</v>
      </c>
      <c r="C71" s="1" t="n">
        <f aca="false" t="array" ref="C71:C71">_xlfn.SWITCH($A$2,"average", AVERAGE(Instances!C71:C71),"median", MEDIAN(Instances!C71:C71),"min", MIN(Instances!C71:C71),"max", MAX(Instances!C71:C71),"diff", MAX(Instances!C71:C71)-MIN(Instances!C71:C71))</f>
        <v>1</v>
      </c>
      <c r="D71" s="1" t="n">
        <f aca="false" t="array" ref="D71:D71">_xlfn.SWITCH($A$2,"average", AVERAGE(Instances!D71:D71),"median", MEDIAN(Instances!D71:D71),"min", MIN(Instances!D71:D71),"max", MAX(Instances!D71:D71),"diff", MAX(Instances!D71:D71)-MIN(Instances!D71:D71))</f>
        <v>1610156</v>
      </c>
      <c r="E71" s="1" t="n">
        <f aca="false" t="array" ref="E71:E71">_xlfn.SWITCH($A$2,"average", AVERAGE(Instances!E71:E71),"median", MEDIAN(Instances!E71:E71),"min", MIN(Instances!E71:E71),"max", MAX(Instances!E71:E71),"diff", MAX(Instances!E71:E71)-MIN(Instances!E71:E71))</f>
        <v>0</v>
      </c>
      <c r="F71" s="1" t="n">
        <f aca="false" t="array" ref="F71:F71">_xlfn.SWITCH($A$2,"average", AVERAGE(Instances!F71:F71),"median", MEDIAN(Instances!F71:F71),"min", MIN(Instances!F71:F71),"max", MAX(Instances!F71:F71),"diff", MAX(Instances!F71:F71)-MIN(Instances!F71:F71))</f>
        <v>1022</v>
      </c>
      <c r="G71" s="1" t="n">
        <f aca="false" t="array" ref="G71:G71">_xlfn.SWITCH($A$2,"average", AVERAGE(Instances!G71:G71),"median", MEDIAN(Instances!G71:G71),"min", MIN(Instances!G71:G71),"max", MAX(Instances!G71:G71),"diff", MAX(Instances!G71:G71)-MIN(Instances!G71:G71))</f>
        <v>0</v>
      </c>
      <c r="H71" s="1" t="n">
        <f aca="false" t="array" ref="H71:H71">_xlfn.SWITCH($A$2,"average", AVERAGE(Instances!H71:H71),"median", MEDIAN(Instances!H71:H71),"min", MIN(Instances!H71:H71),"max", MAX(Instances!H71:H71),"diff", MAX(Instances!H71:H71)-MIN(Instances!H71:H71))</f>
        <v>1</v>
      </c>
      <c r="I71" s="1" t="n">
        <f aca="false" t="array" ref="I71:I71">_xlfn.SWITCH($A$2,"average", AVERAGE(Instances!I71:I71),"median", MEDIAN(Instances!I71:I71),"min", MIN(Instances!I71:I71),"max", MAX(Instances!I71:I71),"diff", MAX(Instances!I71:I71)-MIN(Instances!I71:I71))</f>
        <v>16.032</v>
      </c>
      <c r="J71" s="1" t="n">
        <f aca="false" t="array" ref="J71:J71">_xlfn.SWITCH($A$2,"average", AVERAGE(Instances!J71:J71),"median", MEDIAN(Instances!J71:J71),"min", MIN(Instances!J71:J71),"max", MAX(Instances!J71:J71),"diff", MAX(Instances!J71:J71)-MIN(Instances!J71:J71))</f>
        <v>16.41</v>
      </c>
      <c r="K71" s="1" t="n">
        <f aca="false" t="array" ref="K71:K71">_xlfn.SWITCH($A$2,"average", AVERAGE(Instances!K71:K71),"median", MEDIAN(Instances!K71:K71),"min", MIN(Instances!K71:K71),"max", MAX(Instances!K71:K71),"diff", MAX(Instances!K71:K71)-MIN(Instances!K71:K71))</f>
        <v>0</v>
      </c>
      <c r="L71" s="1"/>
      <c r="M71" s="1" t="n">
        <f aca="false" t="array" ref="M71:M71">_xlfn.SWITCH($A$2,"average", AVERAGE(Instances!M71:M71),"median", MEDIAN(Instances!M71:M71),"min", MIN(Instances!M71:M71),"max", MAX(Instances!M71:M71),"diff", MAX(Instances!M71:M71)-MIN(Instances!M71:M71))</f>
        <v>3774562</v>
      </c>
      <c r="N71" s="1" t="n">
        <f aca="false" t="array" ref="N71:N71">_xlfn.SWITCH($A$2,"average", AVERAGE(Instances!N71:N71),"median", MEDIAN(Instances!N71:N71),"min", MIN(Instances!N71:N71),"max", MAX(Instances!N71:N71),"diff", MAX(Instances!N71:N71)-MIN(Instances!N71:N71))</f>
        <v>0.15</v>
      </c>
      <c r="O71" s="1"/>
      <c r="P71" s="1" t="n">
        <f aca="false" t="array" ref="P71:P71">_xlfn.SWITCH($A$2,"average", AVERAGE(Instances!P71:P71),"median", MEDIAN(Instances!P71:P71),"min", MIN(Instances!P71:P71),"max", MAX(Instances!P71:P71),"diff", MAX(Instances!P71:P71)-MIN(Instances!P71:P71))</f>
        <v>16.41</v>
      </c>
      <c r="Q71" s="1" t="n">
        <f aca="false" t="array" ref="Q71:Q71">_xlfn.SWITCH($A$2,"average", AVERAGE(Instances!Q71:Q71),"median", MEDIAN(Instances!Q71:Q71),"min", MIN(Instances!Q71:Q71),"max", MAX(Instances!Q71:Q71),"diff", MAX(Instances!Q71:Q71)-MIN(Instances!Q71:Q71))</f>
        <v>0</v>
      </c>
      <c r="R71" s="1" t="n">
        <f aca="false" t="array" ref="R71:R71">_xlfn.SWITCH($A$2,"average", AVERAGE(Instances!R71:R71),"median", MEDIAN(Instances!R71:R71),"min", MIN(Instances!R71:R71),"max", MAX(Instances!R71:R71),"diff", MAX(Instances!R71:R71)-MIN(Instances!R71:R71))</f>
        <v>1030455</v>
      </c>
      <c r="S71" s="1" t="n">
        <f aca="false">MIN($B71)</f>
        <v>3433</v>
      </c>
      <c r="T71" s="1" t="n">
        <f aca="false">MIN($C71)</f>
        <v>1</v>
      </c>
      <c r="U71" s="1" t="n">
        <f aca="false">MIN($D71)</f>
        <v>1610156</v>
      </c>
      <c r="V71" s="1" t="n">
        <f aca="false">MIN($E71)</f>
        <v>0</v>
      </c>
      <c r="W71" s="1" t="n">
        <f aca="false">MIN($F71)</f>
        <v>1022</v>
      </c>
      <c r="X71" s="1" t="n">
        <f aca="false">MIN($G71)</f>
        <v>0</v>
      </c>
      <c r="Y71" s="1" t="n">
        <f aca="false">MIN($H71)</f>
        <v>1</v>
      </c>
      <c r="Z71" s="1" t="n">
        <f aca="false">MIN($I71)</f>
        <v>16.032</v>
      </c>
      <c r="AA71" s="1" t="n">
        <f aca="false">MIN($J71)</f>
        <v>16.41</v>
      </c>
      <c r="AB71" s="1" t="n">
        <f aca="false">MIN($K71)</f>
        <v>0</v>
      </c>
      <c r="AC71" s="1" t="n">
        <f aca="false">MIN($M71)</f>
        <v>3774562</v>
      </c>
      <c r="AD71" s="1" t="n">
        <f aca="false">MIN($N71)</f>
        <v>0.15</v>
      </c>
      <c r="AE71" s="1" t="n">
        <f aca="false">MIN($P71)</f>
        <v>16.41</v>
      </c>
      <c r="AF71" s="1" t="n">
        <f aca="false">MIN($Q71)</f>
        <v>0</v>
      </c>
      <c r="AG71" s="1" t="n">
        <f aca="false">MIN($R71)</f>
        <v>1030455</v>
      </c>
      <c r="AH71" s="1" t="n">
        <f aca="false">MEDIAN($B71)</f>
        <v>3433</v>
      </c>
      <c r="AI71" s="1" t="n">
        <f aca="false">MEDIAN($C71)</f>
        <v>1</v>
      </c>
      <c r="AJ71" s="1" t="n">
        <f aca="false">MEDIAN($D71)</f>
        <v>1610156</v>
      </c>
      <c r="AK71" s="1" t="n">
        <f aca="false">MEDIAN($E71)</f>
        <v>0</v>
      </c>
      <c r="AL71" s="1" t="n">
        <f aca="false">MEDIAN($F71)</f>
        <v>1022</v>
      </c>
      <c r="AM71" s="1" t="n">
        <f aca="false">MEDIAN($G71)</f>
        <v>0</v>
      </c>
      <c r="AN71" s="1" t="n">
        <f aca="false">MEDIAN($H71)</f>
        <v>1</v>
      </c>
      <c r="AO71" s="1" t="n">
        <f aca="false">MEDIAN($I71)</f>
        <v>16.032</v>
      </c>
      <c r="AP71" s="1" t="n">
        <f aca="false">MEDIAN($J71)</f>
        <v>16.41</v>
      </c>
      <c r="AQ71" s="1" t="n">
        <f aca="false">MEDIAN($K71)</f>
        <v>0</v>
      </c>
      <c r="AR71" s="1" t="n">
        <f aca="false">MEDIAN($M71)</f>
        <v>3774562</v>
      </c>
      <c r="AS71" s="1" t="n">
        <f aca="false">MEDIAN($N71)</f>
        <v>0.15</v>
      </c>
      <c r="AT71" s="1" t="n">
        <f aca="false">MEDIAN($P71)</f>
        <v>16.41</v>
      </c>
      <c r="AU71" s="1" t="n">
        <f aca="false">MEDIAN($Q71)</f>
        <v>0</v>
      </c>
      <c r="AV71" s="1" t="n">
        <f aca="false">MEDIAN($R71)</f>
        <v>1030455</v>
      </c>
      <c r="AW71" s="1" t="n">
        <f aca="false">MAX($B71)</f>
        <v>3433</v>
      </c>
      <c r="AX71" s="1" t="n">
        <f aca="false">MAX($C71)</f>
        <v>1</v>
      </c>
      <c r="AY71" s="1" t="n">
        <f aca="false">MAX($D71)</f>
        <v>1610156</v>
      </c>
      <c r="AZ71" s="1" t="n">
        <f aca="false">MAX($E71)</f>
        <v>0</v>
      </c>
      <c r="BA71" s="1" t="n">
        <f aca="false">MAX($F71)</f>
        <v>1022</v>
      </c>
      <c r="BB71" s="1" t="n">
        <f aca="false">MAX($G71)</f>
        <v>0</v>
      </c>
      <c r="BC71" s="1" t="n">
        <f aca="false">MAX($H71)</f>
        <v>1</v>
      </c>
      <c r="BD71" s="1" t="n">
        <f aca="false">MAX($I71)</f>
        <v>16.032</v>
      </c>
      <c r="BE71" s="1" t="n">
        <f aca="false">MAX($J71)</f>
        <v>16.41</v>
      </c>
      <c r="BF71" s="1" t="n">
        <f aca="false">MAX($K71)</f>
        <v>0</v>
      </c>
      <c r="BG71" s="1" t="n">
        <f aca="false">MAX($M71)</f>
        <v>3774562</v>
      </c>
      <c r="BH71" s="1" t="n">
        <f aca="false">MAX($N71)</f>
        <v>0.15</v>
      </c>
      <c r="BI71" s="1" t="n">
        <f aca="false">MAX($P71)</f>
        <v>16.41</v>
      </c>
      <c r="BJ71" s="1" t="n">
        <f aca="false">MAX($Q71)</f>
        <v>0</v>
      </c>
      <c r="BK71" s="1" t="n">
        <f aca="false">MAX($R71)</f>
        <v>1030455</v>
      </c>
    </row>
    <row r="72" customFormat="false" ht="15" hidden="false" customHeight="false" outlineLevel="0" collapsed="false">
      <c r="A72" s="1" t="s">
        <v>89</v>
      </c>
      <c r="B72" s="1" t="n">
        <f aca="false" t="array" ref="B72:B72">_xlfn.SWITCH($A$2,"average", AVERAGE(Instances!B72:B72),"median", MEDIAN(Instances!B72:B72),"min", MIN(Instances!B72:B72),"max", MAX(Instances!B72:B72),"diff", MAX(Instances!B72:B72)-MIN(Instances!B72:B72))</f>
        <v>3342</v>
      </c>
      <c r="C72" s="1" t="n">
        <f aca="false" t="array" ref="C72:C72">_xlfn.SWITCH($A$2,"average", AVERAGE(Instances!C72:C72),"median", MEDIAN(Instances!C72:C72),"min", MIN(Instances!C72:C72),"max", MAX(Instances!C72:C72),"diff", MAX(Instances!C72:C72)-MIN(Instances!C72:C72))</f>
        <v>5</v>
      </c>
      <c r="D72" s="1" t="n">
        <f aca="false" t="array" ref="D72:D72">_xlfn.SWITCH($A$2,"average", AVERAGE(Instances!D72:D72),"median", MEDIAN(Instances!D72:D72),"min", MIN(Instances!D72:D72),"max", MAX(Instances!D72:D72),"diff", MAX(Instances!D72:D72)-MIN(Instances!D72:D72))</f>
        <v>1462002</v>
      </c>
      <c r="E72" s="1" t="n">
        <f aca="false" t="array" ref="E72:E72">_xlfn.SWITCH($A$2,"average", AVERAGE(Instances!E72:E72),"median", MEDIAN(Instances!E72:E72),"min", MIN(Instances!E72:E72),"max", MAX(Instances!E72:E72),"diff", MAX(Instances!E72:E72)-MIN(Instances!E72:E72))</f>
        <v>0</v>
      </c>
      <c r="F72" s="1" t="n">
        <f aca="false" t="array" ref="F72:F72">_xlfn.SWITCH($A$2,"average", AVERAGE(Instances!F72:F72),"median", MEDIAN(Instances!F72:F72),"min", MIN(Instances!F72:F72),"max", MAX(Instances!F72:F72),"diff", MAX(Instances!F72:F72)-MIN(Instances!F72:F72))</f>
        <v>965</v>
      </c>
      <c r="G72" s="1" t="n">
        <f aca="false" t="array" ref="G72:G72">_xlfn.SWITCH($A$2,"average", AVERAGE(Instances!G72:G72),"median", MEDIAN(Instances!G72:G72),"min", MIN(Instances!G72:G72),"max", MAX(Instances!G72:G72),"diff", MAX(Instances!G72:G72)-MIN(Instances!G72:G72))</f>
        <v>0</v>
      </c>
      <c r="H72" s="1" t="n">
        <f aca="false" t="array" ref="H72:H72">_xlfn.SWITCH($A$2,"average", AVERAGE(Instances!H72:H72),"median", MEDIAN(Instances!H72:H72),"min", MIN(Instances!H72:H72),"max", MAX(Instances!H72:H72),"diff", MAX(Instances!H72:H72)-MIN(Instances!H72:H72))</f>
        <v>1</v>
      </c>
      <c r="I72" s="1" t="n">
        <f aca="false" t="array" ref="I72:I72">_xlfn.SWITCH($A$2,"average", AVERAGE(Instances!I72:I72),"median", MEDIAN(Instances!I72:I72),"min", MIN(Instances!I72:I72),"max", MAX(Instances!I72:I72),"diff", MAX(Instances!I72:I72)-MIN(Instances!I72:I72))</f>
        <v>15.128</v>
      </c>
      <c r="J72" s="1" t="n">
        <f aca="false" t="array" ref="J72:J72">_xlfn.SWITCH($A$2,"average", AVERAGE(Instances!J72:J72),"median", MEDIAN(Instances!J72:J72),"min", MIN(Instances!J72:J72),"max", MAX(Instances!J72:J72),"diff", MAX(Instances!J72:J72)-MIN(Instances!J72:J72))</f>
        <v>15.44</v>
      </c>
      <c r="K72" s="1" t="n">
        <f aca="false" t="array" ref="K72:K72">_xlfn.SWITCH($A$2,"average", AVERAGE(Instances!K72:K72),"median", MEDIAN(Instances!K72:K72),"min", MIN(Instances!K72:K72),"max", MAX(Instances!K72:K72),"diff", MAX(Instances!K72:K72)-MIN(Instances!K72:K72))</f>
        <v>0</v>
      </c>
      <c r="L72" s="1"/>
      <c r="M72" s="1" t="n">
        <f aca="false" t="array" ref="M72:M72">_xlfn.SWITCH($A$2,"average", AVERAGE(Instances!M72:M72),"median", MEDIAN(Instances!M72:M72),"min", MIN(Instances!M72:M72),"max", MAX(Instances!M72:M72),"diff", MAX(Instances!M72:M72)-MIN(Instances!M72:M72))</f>
        <v>3520315</v>
      </c>
      <c r="N72" s="1" t="n">
        <f aca="false" t="array" ref="N72:N72">_xlfn.SWITCH($A$2,"average", AVERAGE(Instances!N72:N72),"median", MEDIAN(Instances!N72:N72),"min", MIN(Instances!N72:N72),"max", MAX(Instances!N72:N72),"diff", MAX(Instances!N72:N72)-MIN(Instances!N72:N72))</f>
        <v>0.14</v>
      </c>
      <c r="O72" s="1"/>
      <c r="P72" s="1" t="n">
        <f aca="false" t="array" ref="P72:P72">_xlfn.SWITCH($A$2,"average", AVERAGE(Instances!P72:P72),"median", MEDIAN(Instances!P72:P72),"min", MIN(Instances!P72:P72),"max", MAX(Instances!P72:P72),"diff", MAX(Instances!P72:P72)-MIN(Instances!P72:P72))</f>
        <v>15.44</v>
      </c>
      <c r="Q72" s="1" t="n">
        <f aca="false" t="array" ref="Q72:Q72">_xlfn.SWITCH($A$2,"average", AVERAGE(Instances!Q72:Q72),"median", MEDIAN(Instances!Q72:Q72),"min", MIN(Instances!Q72:Q72),"max", MAX(Instances!Q72:Q72),"diff", MAX(Instances!Q72:Q72)-MIN(Instances!Q72:Q72))</f>
        <v>0</v>
      </c>
      <c r="R72" s="1" t="n">
        <f aca="false" t="array" ref="R72:R72">_xlfn.SWITCH($A$2,"average", AVERAGE(Instances!R72:R72),"median", MEDIAN(Instances!R72:R72),"min", MIN(Instances!R72:R72),"max", MAX(Instances!R72:R72),"diff", MAX(Instances!R72:R72)-MIN(Instances!R72:R72))</f>
        <v>963133</v>
      </c>
      <c r="S72" s="1" t="n">
        <f aca="false">MIN($B72)</f>
        <v>3342</v>
      </c>
      <c r="T72" s="1" t="n">
        <f aca="false">MIN($C72)</f>
        <v>5</v>
      </c>
      <c r="U72" s="1" t="n">
        <f aca="false">MIN($D72)</f>
        <v>1462002</v>
      </c>
      <c r="V72" s="1" t="n">
        <f aca="false">MIN($E72)</f>
        <v>0</v>
      </c>
      <c r="W72" s="1" t="n">
        <f aca="false">MIN($F72)</f>
        <v>965</v>
      </c>
      <c r="X72" s="1" t="n">
        <f aca="false">MIN($G72)</f>
        <v>0</v>
      </c>
      <c r="Y72" s="1" t="n">
        <f aca="false">MIN($H72)</f>
        <v>1</v>
      </c>
      <c r="Z72" s="1" t="n">
        <f aca="false">MIN($I72)</f>
        <v>15.128</v>
      </c>
      <c r="AA72" s="1" t="n">
        <f aca="false">MIN($J72)</f>
        <v>15.44</v>
      </c>
      <c r="AB72" s="1" t="n">
        <f aca="false">MIN($K72)</f>
        <v>0</v>
      </c>
      <c r="AC72" s="1" t="n">
        <f aca="false">MIN($M72)</f>
        <v>3520315</v>
      </c>
      <c r="AD72" s="1" t="n">
        <f aca="false">MIN($N72)</f>
        <v>0.14</v>
      </c>
      <c r="AE72" s="1" t="n">
        <f aca="false">MIN($P72)</f>
        <v>15.44</v>
      </c>
      <c r="AF72" s="1" t="n">
        <f aca="false">MIN($Q72)</f>
        <v>0</v>
      </c>
      <c r="AG72" s="1" t="n">
        <f aca="false">MIN($R72)</f>
        <v>963133</v>
      </c>
      <c r="AH72" s="1" t="n">
        <f aca="false">MEDIAN($B72)</f>
        <v>3342</v>
      </c>
      <c r="AI72" s="1" t="n">
        <f aca="false">MEDIAN($C72)</f>
        <v>5</v>
      </c>
      <c r="AJ72" s="1" t="n">
        <f aca="false">MEDIAN($D72)</f>
        <v>1462002</v>
      </c>
      <c r="AK72" s="1" t="n">
        <f aca="false">MEDIAN($E72)</f>
        <v>0</v>
      </c>
      <c r="AL72" s="1" t="n">
        <f aca="false">MEDIAN($F72)</f>
        <v>965</v>
      </c>
      <c r="AM72" s="1" t="n">
        <f aca="false">MEDIAN($G72)</f>
        <v>0</v>
      </c>
      <c r="AN72" s="1" t="n">
        <f aca="false">MEDIAN($H72)</f>
        <v>1</v>
      </c>
      <c r="AO72" s="1" t="n">
        <f aca="false">MEDIAN($I72)</f>
        <v>15.128</v>
      </c>
      <c r="AP72" s="1" t="n">
        <f aca="false">MEDIAN($J72)</f>
        <v>15.44</v>
      </c>
      <c r="AQ72" s="1" t="n">
        <f aca="false">MEDIAN($K72)</f>
        <v>0</v>
      </c>
      <c r="AR72" s="1" t="n">
        <f aca="false">MEDIAN($M72)</f>
        <v>3520315</v>
      </c>
      <c r="AS72" s="1" t="n">
        <f aca="false">MEDIAN($N72)</f>
        <v>0.14</v>
      </c>
      <c r="AT72" s="1" t="n">
        <f aca="false">MEDIAN($P72)</f>
        <v>15.44</v>
      </c>
      <c r="AU72" s="1" t="n">
        <f aca="false">MEDIAN($Q72)</f>
        <v>0</v>
      </c>
      <c r="AV72" s="1" t="n">
        <f aca="false">MEDIAN($R72)</f>
        <v>963133</v>
      </c>
      <c r="AW72" s="1" t="n">
        <f aca="false">MAX($B72)</f>
        <v>3342</v>
      </c>
      <c r="AX72" s="1" t="n">
        <f aca="false">MAX($C72)</f>
        <v>5</v>
      </c>
      <c r="AY72" s="1" t="n">
        <f aca="false">MAX($D72)</f>
        <v>1462002</v>
      </c>
      <c r="AZ72" s="1" t="n">
        <f aca="false">MAX($E72)</f>
        <v>0</v>
      </c>
      <c r="BA72" s="1" t="n">
        <f aca="false">MAX($F72)</f>
        <v>965</v>
      </c>
      <c r="BB72" s="1" t="n">
        <f aca="false">MAX($G72)</f>
        <v>0</v>
      </c>
      <c r="BC72" s="1" t="n">
        <f aca="false">MAX($H72)</f>
        <v>1</v>
      </c>
      <c r="BD72" s="1" t="n">
        <f aca="false">MAX($I72)</f>
        <v>15.128</v>
      </c>
      <c r="BE72" s="1" t="n">
        <f aca="false">MAX($J72)</f>
        <v>15.44</v>
      </c>
      <c r="BF72" s="1" t="n">
        <f aca="false">MAX($K72)</f>
        <v>0</v>
      </c>
      <c r="BG72" s="1" t="n">
        <f aca="false">MAX($M72)</f>
        <v>3520315</v>
      </c>
      <c r="BH72" s="1" t="n">
        <f aca="false">MAX($N72)</f>
        <v>0.14</v>
      </c>
      <c r="BI72" s="1" t="n">
        <f aca="false">MAX($P72)</f>
        <v>15.44</v>
      </c>
      <c r="BJ72" s="1" t="n">
        <f aca="false">MAX($Q72)</f>
        <v>0</v>
      </c>
      <c r="BK72" s="1" t="n">
        <f aca="false">MAX($R72)</f>
        <v>963133</v>
      </c>
    </row>
    <row r="73" customFormat="false" ht="15" hidden="false" customHeight="false" outlineLevel="0" collapsed="false">
      <c r="A73" s="1" t="s">
        <v>90</v>
      </c>
      <c r="B73" s="1" t="n">
        <f aca="false" t="array" ref="B73:B73">_xlfn.SWITCH($A$2,"average", AVERAGE(Instances!B73:B73),"median", MEDIAN(Instances!B73:B73),"min", MIN(Instances!B73:B73),"max", MAX(Instances!B73:B73),"diff", MAX(Instances!B73:B73)-MIN(Instances!B73:B73))</f>
        <v>3912</v>
      </c>
      <c r="C73" s="1" t="n">
        <f aca="false" t="array" ref="C73:C73">_xlfn.SWITCH($A$2,"average", AVERAGE(Instances!C73:C73),"median", MEDIAN(Instances!C73:C73),"min", MIN(Instances!C73:C73),"max", MAX(Instances!C73:C73),"diff", MAX(Instances!C73:C73)-MIN(Instances!C73:C73))</f>
        <v>3</v>
      </c>
      <c r="D73" s="1" t="n">
        <f aca="false" t="array" ref="D73:D73">_xlfn.SWITCH($A$2,"average", AVERAGE(Instances!D73:D73),"median", MEDIAN(Instances!D73:D73),"min", MIN(Instances!D73:D73),"max", MAX(Instances!D73:D73),"diff", MAX(Instances!D73:D73)-MIN(Instances!D73:D73))</f>
        <v>1873312</v>
      </c>
      <c r="E73" s="1" t="n">
        <f aca="false" t="array" ref="E73:E73">_xlfn.SWITCH($A$2,"average", AVERAGE(Instances!E73:E73),"median", MEDIAN(Instances!E73:E73),"min", MIN(Instances!E73:E73),"max", MAX(Instances!E73:E73),"diff", MAX(Instances!E73:E73)-MIN(Instances!E73:E73))</f>
        <v>0</v>
      </c>
      <c r="F73" s="1" t="n">
        <f aca="false" t="array" ref="F73:F73">_xlfn.SWITCH($A$2,"average", AVERAGE(Instances!F73:F73),"median", MEDIAN(Instances!F73:F73),"min", MIN(Instances!F73:F73),"max", MAX(Instances!F73:F73),"diff", MAX(Instances!F73:F73)-MIN(Instances!F73:F73))</f>
        <v>1088</v>
      </c>
      <c r="G73" s="1" t="n">
        <f aca="false" t="array" ref="G73:G73">_xlfn.SWITCH($A$2,"average", AVERAGE(Instances!G73:G73),"median", MEDIAN(Instances!G73:G73),"min", MIN(Instances!G73:G73),"max", MAX(Instances!G73:G73),"diff", MAX(Instances!G73:G73)-MIN(Instances!G73:G73))</f>
        <v>0</v>
      </c>
      <c r="H73" s="1" t="n">
        <f aca="false" t="array" ref="H73:H73">_xlfn.SWITCH($A$2,"average", AVERAGE(Instances!H73:H73),"median", MEDIAN(Instances!H73:H73),"min", MIN(Instances!H73:H73),"max", MAX(Instances!H73:H73),"diff", MAX(Instances!H73:H73)-MIN(Instances!H73:H73))</f>
        <v>1</v>
      </c>
      <c r="I73" s="1" t="n">
        <f aca="false" t="array" ref="I73:I73">_xlfn.SWITCH($A$2,"average", AVERAGE(Instances!I73:I73),"median", MEDIAN(Instances!I73:I73),"min", MIN(Instances!I73:I73),"max", MAX(Instances!I73:I73),"diff", MAX(Instances!I73:I73)-MIN(Instances!I73:I73))</f>
        <v>17.361</v>
      </c>
      <c r="J73" s="1" t="n">
        <f aca="false" t="array" ref="J73:J73">_xlfn.SWITCH($A$2,"average", AVERAGE(Instances!J73:J73),"median", MEDIAN(Instances!J73:J73),"min", MIN(Instances!J73:J73),"max", MAX(Instances!J73:J73),"diff", MAX(Instances!J73:J73)-MIN(Instances!J73:J73))</f>
        <v>17.79</v>
      </c>
      <c r="K73" s="1" t="n">
        <f aca="false" t="array" ref="K73:K73">_xlfn.SWITCH($A$2,"average", AVERAGE(Instances!K73:K73),"median", MEDIAN(Instances!K73:K73),"min", MIN(Instances!K73:K73),"max", MAX(Instances!K73:K73),"diff", MAX(Instances!K73:K73)-MIN(Instances!K73:K73))</f>
        <v>0</v>
      </c>
      <c r="L73" s="1"/>
      <c r="M73" s="1" t="n">
        <f aca="false" t="array" ref="M73:M73">_xlfn.SWITCH($A$2,"average", AVERAGE(Instances!M73:M73),"median", MEDIAN(Instances!M73:M73),"min", MIN(Instances!M73:M73),"max", MAX(Instances!M73:M73),"diff", MAX(Instances!M73:M73)-MIN(Instances!M73:M73))</f>
        <v>4143316</v>
      </c>
      <c r="N73" s="1" t="n">
        <f aca="false" t="array" ref="N73:N73">_xlfn.SWITCH($A$2,"average", AVERAGE(Instances!N73:N73),"median", MEDIAN(Instances!N73:N73),"min", MIN(Instances!N73:N73),"max", MAX(Instances!N73:N73),"diff", MAX(Instances!N73:N73)-MIN(Instances!N73:N73))</f>
        <v>0.16</v>
      </c>
      <c r="O73" s="1"/>
      <c r="P73" s="1" t="n">
        <f aca="false" t="array" ref="P73:P73">_xlfn.SWITCH($A$2,"average", AVERAGE(Instances!P73:P73),"median", MEDIAN(Instances!P73:P73),"min", MIN(Instances!P73:P73),"max", MAX(Instances!P73:P73),"diff", MAX(Instances!P73:P73)-MIN(Instances!P73:P73))</f>
        <v>17.79</v>
      </c>
      <c r="Q73" s="1" t="n">
        <f aca="false" t="array" ref="Q73:Q73">_xlfn.SWITCH($A$2,"average", AVERAGE(Instances!Q73:Q73),"median", MEDIAN(Instances!Q73:Q73),"min", MIN(Instances!Q73:Q73),"max", MAX(Instances!Q73:Q73),"diff", MAX(Instances!Q73:Q73)-MIN(Instances!Q73:Q73))</f>
        <v>0</v>
      </c>
      <c r="R73" s="1" t="n">
        <f aca="false" t="array" ref="R73:R73">_xlfn.SWITCH($A$2,"average", AVERAGE(Instances!R73:R73),"median", MEDIAN(Instances!R73:R73),"min", MIN(Instances!R73:R73),"max", MAX(Instances!R73:R73),"diff", MAX(Instances!R73:R73)-MIN(Instances!R73:R73))</f>
        <v>1101810</v>
      </c>
      <c r="S73" s="1" t="n">
        <f aca="false">MIN($B73)</f>
        <v>3912</v>
      </c>
      <c r="T73" s="1" t="n">
        <f aca="false">MIN($C73)</f>
        <v>3</v>
      </c>
      <c r="U73" s="1" t="n">
        <f aca="false">MIN($D73)</f>
        <v>1873312</v>
      </c>
      <c r="V73" s="1" t="n">
        <f aca="false">MIN($E73)</f>
        <v>0</v>
      </c>
      <c r="W73" s="1" t="n">
        <f aca="false">MIN($F73)</f>
        <v>1088</v>
      </c>
      <c r="X73" s="1" t="n">
        <f aca="false">MIN($G73)</f>
        <v>0</v>
      </c>
      <c r="Y73" s="1" t="n">
        <f aca="false">MIN($H73)</f>
        <v>1</v>
      </c>
      <c r="Z73" s="1" t="n">
        <f aca="false">MIN($I73)</f>
        <v>17.361</v>
      </c>
      <c r="AA73" s="1" t="n">
        <f aca="false">MIN($J73)</f>
        <v>17.79</v>
      </c>
      <c r="AB73" s="1" t="n">
        <f aca="false">MIN($K73)</f>
        <v>0</v>
      </c>
      <c r="AC73" s="1" t="n">
        <f aca="false">MIN($M73)</f>
        <v>4143316</v>
      </c>
      <c r="AD73" s="1" t="n">
        <f aca="false">MIN($N73)</f>
        <v>0.16</v>
      </c>
      <c r="AE73" s="1" t="n">
        <f aca="false">MIN($P73)</f>
        <v>17.79</v>
      </c>
      <c r="AF73" s="1" t="n">
        <f aca="false">MIN($Q73)</f>
        <v>0</v>
      </c>
      <c r="AG73" s="1" t="n">
        <f aca="false">MIN($R73)</f>
        <v>1101810</v>
      </c>
      <c r="AH73" s="1" t="n">
        <f aca="false">MEDIAN($B73)</f>
        <v>3912</v>
      </c>
      <c r="AI73" s="1" t="n">
        <f aca="false">MEDIAN($C73)</f>
        <v>3</v>
      </c>
      <c r="AJ73" s="1" t="n">
        <f aca="false">MEDIAN($D73)</f>
        <v>1873312</v>
      </c>
      <c r="AK73" s="1" t="n">
        <f aca="false">MEDIAN($E73)</f>
        <v>0</v>
      </c>
      <c r="AL73" s="1" t="n">
        <f aca="false">MEDIAN($F73)</f>
        <v>1088</v>
      </c>
      <c r="AM73" s="1" t="n">
        <f aca="false">MEDIAN($G73)</f>
        <v>0</v>
      </c>
      <c r="AN73" s="1" t="n">
        <f aca="false">MEDIAN($H73)</f>
        <v>1</v>
      </c>
      <c r="AO73" s="1" t="n">
        <f aca="false">MEDIAN($I73)</f>
        <v>17.361</v>
      </c>
      <c r="AP73" s="1" t="n">
        <f aca="false">MEDIAN($J73)</f>
        <v>17.79</v>
      </c>
      <c r="AQ73" s="1" t="n">
        <f aca="false">MEDIAN($K73)</f>
        <v>0</v>
      </c>
      <c r="AR73" s="1" t="n">
        <f aca="false">MEDIAN($M73)</f>
        <v>4143316</v>
      </c>
      <c r="AS73" s="1" t="n">
        <f aca="false">MEDIAN($N73)</f>
        <v>0.16</v>
      </c>
      <c r="AT73" s="1" t="n">
        <f aca="false">MEDIAN($P73)</f>
        <v>17.79</v>
      </c>
      <c r="AU73" s="1" t="n">
        <f aca="false">MEDIAN($Q73)</f>
        <v>0</v>
      </c>
      <c r="AV73" s="1" t="n">
        <f aca="false">MEDIAN($R73)</f>
        <v>1101810</v>
      </c>
      <c r="AW73" s="1" t="n">
        <f aca="false">MAX($B73)</f>
        <v>3912</v>
      </c>
      <c r="AX73" s="1" t="n">
        <f aca="false">MAX($C73)</f>
        <v>3</v>
      </c>
      <c r="AY73" s="1" t="n">
        <f aca="false">MAX($D73)</f>
        <v>1873312</v>
      </c>
      <c r="AZ73" s="1" t="n">
        <f aca="false">MAX($E73)</f>
        <v>0</v>
      </c>
      <c r="BA73" s="1" t="n">
        <f aca="false">MAX($F73)</f>
        <v>1088</v>
      </c>
      <c r="BB73" s="1" t="n">
        <f aca="false">MAX($G73)</f>
        <v>0</v>
      </c>
      <c r="BC73" s="1" t="n">
        <f aca="false">MAX($H73)</f>
        <v>1</v>
      </c>
      <c r="BD73" s="1" t="n">
        <f aca="false">MAX($I73)</f>
        <v>17.361</v>
      </c>
      <c r="BE73" s="1" t="n">
        <f aca="false">MAX($J73)</f>
        <v>17.79</v>
      </c>
      <c r="BF73" s="1" t="n">
        <f aca="false">MAX($K73)</f>
        <v>0</v>
      </c>
      <c r="BG73" s="1" t="n">
        <f aca="false">MAX($M73)</f>
        <v>4143316</v>
      </c>
      <c r="BH73" s="1" t="n">
        <f aca="false">MAX($N73)</f>
        <v>0.16</v>
      </c>
      <c r="BI73" s="1" t="n">
        <f aca="false">MAX($P73)</f>
        <v>17.79</v>
      </c>
      <c r="BJ73" s="1" t="n">
        <f aca="false">MAX($Q73)</f>
        <v>0</v>
      </c>
      <c r="BK73" s="1" t="n">
        <f aca="false">MAX($R73)</f>
        <v>1101810</v>
      </c>
    </row>
    <row r="74" customFormat="false" ht="15" hidden="false" customHeight="false" outlineLevel="0" collapsed="false">
      <c r="A74" s="1" t="s">
        <v>91</v>
      </c>
      <c r="B74" s="1" t="n">
        <f aca="false" t="array" ref="B74:B74">_xlfn.SWITCH($A$2,"average", AVERAGE(Instances!B74:B74),"median", MEDIAN(Instances!B74:B74),"min", MIN(Instances!B74:B74),"max", MAX(Instances!B74:B74),"diff", MAX(Instances!B74:B74)-MIN(Instances!B74:B74))</f>
        <v>52490</v>
      </c>
      <c r="C74" s="1" t="n">
        <f aca="false" t="array" ref="C74:C74">_xlfn.SWITCH($A$2,"average", AVERAGE(Instances!C74:C74),"median", MEDIAN(Instances!C74:C74),"min", MIN(Instances!C74:C74),"max", MAX(Instances!C74:C74),"diff", MAX(Instances!C74:C74)-MIN(Instances!C74:C74))</f>
        <v>437</v>
      </c>
      <c r="D74" s="1" t="n">
        <f aca="false" t="array" ref="D74:D74">_xlfn.SWITCH($A$2,"average", AVERAGE(Instances!D74:D74),"median", MEDIAN(Instances!D74:D74),"min", MIN(Instances!D74:D74),"max", MAX(Instances!D74:D74),"diff", MAX(Instances!D74:D74)-MIN(Instances!D74:D74))</f>
        <v>1849434</v>
      </c>
      <c r="E74" s="1" t="n">
        <f aca="false" t="array" ref="E74:E74">_xlfn.SWITCH($A$2,"average", AVERAGE(Instances!E74:E74),"median", MEDIAN(Instances!E74:E74),"min", MIN(Instances!E74:E74),"max", MAX(Instances!E74:E74),"diff", MAX(Instances!E74:E74)-MIN(Instances!E74:E74))</f>
        <v>0</v>
      </c>
      <c r="F74" s="1" t="n">
        <f aca="false" t="array" ref="F74:F74">_xlfn.SWITCH($A$2,"average", AVERAGE(Instances!F74:F74),"median", MEDIAN(Instances!F74:F74),"min", MIN(Instances!F74:F74),"max", MAX(Instances!F74:F74),"diff", MAX(Instances!F74:F74)-MIN(Instances!F74:F74))</f>
        <v>1162</v>
      </c>
      <c r="G74" s="1" t="n">
        <f aca="false" t="array" ref="G74:G74">_xlfn.SWITCH($A$2,"average", AVERAGE(Instances!G74:G74),"median", MEDIAN(Instances!G74:G74),"min", MIN(Instances!G74:G74),"max", MAX(Instances!G74:G74),"diff", MAX(Instances!G74:G74)-MIN(Instances!G74:G74))</f>
        <v>0</v>
      </c>
      <c r="H74" s="1" t="n">
        <f aca="false" t="array" ref="H74:H74">_xlfn.SWITCH($A$2,"average", AVERAGE(Instances!H74:H74),"median", MEDIAN(Instances!H74:H74),"min", MIN(Instances!H74:H74),"max", MAX(Instances!H74:H74),"diff", MAX(Instances!H74:H74)-MIN(Instances!H74:H74))</f>
        <v>1</v>
      </c>
      <c r="I74" s="1" t="n">
        <f aca="false" t="array" ref="I74:I74">_xlfn.SWITCH($A$2,"average", AVERAGE(Instances!I74:I74),"median", MEDIAN(Instances!I74:I74),"min", MIN(Instances!I74:I74),"max", MAX(Instances!I74:I74),"diff", MAX(Instances!I74:I74)-MIN(Instances!I74:I74))</f>
        <v>19.917</v>
      </c>
      <c r="J74" s="1" t="n">
        <f aca="false" t="array" ref="J74:J74">_xlfn.SWITCH($A$2,"average", AVERAGE(Instances!J74:J74),"median", MEDIAN(Instances!J74:J74),"min", MIN(Instances!J74:J74),"max", MAX(Instances!J74:J74),"diff", MAX(Instances!J74:J74)-MIN(Instances!J74:J74))</f>
        <v>20.36</v>
      </c>
      <c r="K74" s="1" t="n">
        <f aca="false" t="array" ref="K74:K74">_xlfn.SWITCH($A$2,"average", AVERAGE(Instances!K74:K74),"median", MEDIAN(Instances!K74:K74),"min", MIN(Instances!K74:K74),"max", MAX(Instances!K74:K74),"diff", MAX(Instances!K74:K74)-MIN(Instances!K74:K74))</f>
        <v>3</v>
      </c>
      <c r="L74" s="1"/>
      <c r="M74" s="1" t="n">
        <f aca="false" t="array" ref="M74:M74">_xlfn.SWITCH($A$2,"average", AVERAGE(Instances!M74:M74),"median", MEDIAN(Instances!M74:M74),"min", MIN(Instances!M74:M74),"max", MAX(Instances!M74:M74),"diff", MAX(Instances!M74:M74)-MIN(Instances!M74:M74))</f>
        <v>4456080</v>
      </c>
      <c r="N74" s="1" t="n">
        <f aca="false" t="array" ref="N74:N74">_xlfn.SWITCH($A$2,"average", AVERAGE(Instances!N74:N74),"median", MEDIAN(Instances!N74:N74),"min", MIN(Instances!N74:N74),"max", MAX(Instances!N74:N74),"diff", MAX(Instances!N74:N74)-MIN(Instances!N74:N74))</f>
        <v>1.07</v>
      </c>
      <c r="O74" s="1"/>
      <c r="P74" s="1" t="n">
        <f aca="false" t="array" ref="P74:P74">_xlfn.SWITCH($A$2,"average", AVERAGE(Instances!P74:P74),"median", MEDIAN(Instances!P74:P74),"min", MIN(Instances!P74:P74),"max", MAX(Instances!P74:P74),"diff", MAX(Instances!P74:P74)-MIN(Instances!P74:P74))</f>
        <v>20.36</v>
      </c>
      <c r="Q74" s="1" t="n">
        <f aca="false" t="array" ref="Q74:Q74">_xlfn.SWITCH($A$2,"average", AVERAGE(Instances!Q74:Q74),"median", MEDIAN(Instances!Q74:Q74),"min", MIN(Instances!Q74:Q74),"max", MAX(Instances!Q74:Q74),"diff", MAX(Instances!Q74:Q74)-MIN(Instances!Q74:Q74))</f>
        <v>0</v>
      </c>
      <c r="R74" s="1" t="n">
        <f aca="false" t="array" ref="R74:R74">_xlfn.SWITCH($A$2,"average", AVERAGE(Instances!R74:R74),"median", MEDIAN(Instances!R74:R74),"min", MIN(Instances!R74:R74),"max", MAX(Instances!R74:R74),"diff", MAX(Instances!R74:R74)-MIN(Instances!R74:R74))</f>
        <v>1182845</v>
      </c>
      <c r="S74" s="1" t="n">
        <f aca="false">MIN($B74)</f>
        <v>52490</v>
      </c>
      <c r="T74" s="1" t="n">
        <f aca="false">MIN($C74)</f>
        <v>437</v>
      </c>
      <c r="U74" s="1" t="n">
        <f aca="false">MIN($D74)</f>
        <v>1849434</v>
      </c>
      <c r="V74" s="1" t="n">
        <f aca="false">MIN($E74)</f>
        <v>0</v>
      </c>
      <c r="W74" s="1" t="n">
        <f aca="false">MIN($F74)</f>
        <v>1162</v>
      </c>
      <c r="X74" s="1" t="n">
        <f aca="false">MIN($G74)</f>
        <v>0</v>
      </c>
      <c r="Y74" s="1" t="n">
        <f aca="false">MIN($H74)</f>
        <v>1</v>
      </c>
      <c r="Z74" s="1" t="n">
        <f aca="false">MIN($I74)</f>
        <v>19.917</v>
      </c>
      <c r="AA74" s="1" t="n">
        <f aca="false">MIN($J74)</f>
        <v>20.36</v>
      </c>
      <c r="AB74" s="1" t="n">
        <f aca="false">MIN($K74)</f>
        <v>3</v>
      </c>
      <c r="AC74" s="1" t="n">
        <f aca="false">MIN($M74)</f>
        <v>4456080</v>
      </c>
      <c r="AD74" s="1" t="n">
        <f aca="false">MIN($N74)</f>
        <v>1.07</v>
      </c>
      <c r="AE74" s="1" t="n">
        <f aca="false">MIN($P74)</f>
        <v>20.36</v>
      </c>
      <c r="AF74" s="1" t="n">
        <f aca="false">MIN($Q74)</f>
        <v>0</v>
      </c>
      <c r="AG74" s="1" t="n">
        <f aca="false">MIN($R74)</f>
        <v>1182845</v>
      </c>
      <c r="AH74" s="1" t="n">
        <f aca="false">MEDIAN($B74)</f>
        <v>52490</v>
      </c>
      <c r="AI74" s="1" t="n">
        <f aca="false">MEDIAN($C74)</f>
        <v>437</v>
      </c>
      <c r="AJ74" s="1" t="n">
        <f aca="false">MEDIAN($D74)</f>
        <v>1849434</v>
      </c>
      <c r="AK74" s="1" t="n">
        <f aca="false">MEDIAN($E74)</f>
        <v>0</v>
      </c>
      <c r="AL74" s="1" t="n">
        <f aca="false">MEDIAN($F74)</f>
        <v>1162</v>
      </c>
      <c r="AM74" s="1" t="n">
        <f aca="false">MEDIAN($G74)</f>
        <v>0</v>
      </c>
      <c r="AN74" s="1" t="n">
        <f aca="false">MEDIAN($H74)</f>
        <v>1</v>
      </c>
      <c r="AO74" s="1" t="n">
        <f aca="false">MEDIAN($I74)</f>
        <v>19.917</v>
      </c>
      <c r="AP74" s="1" t="n">
        <f aca="false">MEDIAN($J74)</f>
        <v>20.36</v>
      </c>
      <c r="AQ74" s="1" t="n">
        <f aca="false">MEDIAN($K74)</f>
        <v>3</v>
      </c>
      <c r="AR74" s="1" t="n">
        <f aca="false">MEDIAN($M74)</f>
        <v>4456080</v>
      </c>
      <c r="AS74" s="1" t="n">
        <f aca="false">MEDIAN($N74)</f>
        <v>1.07</v>
      </c>
      <c r="AT74" s="1" t="n">
        <f aca="false">MEDIAN($P74)</f>
        <v>20.36</v>
      </c>
      <c r="AU74" s="1" t="n">
        <f aca="false">MEDIAN($Q74)</f>
        <v>0</v>
      </c>
      <c r="AV74" s="1" t="n">
        <f aca="false">MEDIAN($R74)</f>
        <v>1182845</v>
      </c>
      <c r="AW74" s="1" t="n">
        <f aca="false">MAX($B74)</f>
        <v>52490</v>
      </c>
      <c r="AX74" s="1" t="n">
        <f aca="false">MAX($C74)</f>
        <v>437</v>
      </c>
      <c r="AY74" s="1" t="n">
        <f aca="false">MAX($D74)</f>
        <v>1849434</v>
      </c>
      <c r="AZ74" s="1" t="n">
        <f aca="false">MAX($E74)</f>
        <v>0</v>
      </c>
      <c r="BA74" s="1" t="n">
        <f aca="false">MAX($F74)</f>
        <v>1162</v>
      </c>
      <c r="BB74" s="1" t="n">
        <f aca="false">MAX($G74)</f>
        <v>0</v>
      </c>
      <c r="BC74" s="1" t="n">
        <f aca="false">MAX($H74)</f>
        <v>1</v>
      </c>
      <c r="BD74" s="1" t="n">
        <f aca="false">MAX($I74)</f>
        <v>19.917</v>
      </c>
      <c r="BE74" s="1" t="n">
        <f aca="false">MAX($J74)</f>
        <v>20.36</v>
      </c>
      <c r="BF74" s="1" t="n">
        <f aca="false">MAX($K74)</f>
        <v>3</v>
      </c>
      <c r="BG74" s="1" t="n">
        <f aca="false">MAX($M74)</f>
        <v>4456080</v>
      </c>
      <c r="BH74" s="1" t="n">
        <f aca="false">MAX($N74)</f>
        <v>1.07</v>
      </c>
      <c r="BI74" s="1" t="n">
        <f aca="false">MAX($P74)</f>
        <v>20.36</v>
      </c>
      <c r="BJ74" s="1" t="n">
        <f aca="false">MAX($Q74)</f>
        <v>0</v>
      </c>
      <c r="BK74" s="1" t="n">
        <f aca="false">MAX($R74)</f>
        <v>1182845</v>
      </c>
    </row>
    <row r="75" customFormat="false" ht="15" hidden="false" customHeight="false" outlineLevel="0" collapsed="false">
      <c r="A75" s="1" t="s">
        <v>92</v>
      </c>
      <c r="B75" s="1" t="n">
        <f aca="false" t="array" ref="B75:B75">_xlfn.SWITCH($A$2,"average", AVERAGE(Instances!B75:B75),"median", MEDIAN(Instances!B75:B75),"min", MIN(Instances!B75:B75),"max", MAX(Instances!B75:B75),"diff", MAX(Instances!B75:B75)-MIN(Instances!B75:B75))</f>
        <v>1406</v>
      </c>
      <c r="C75" s="1" t="n">
        <f aca="false" t="array" ref="C75:C75">_xlfn.SWITCH($A$2,"average", AVERAGE(Instances!C75:C75),"median", MEDIAN(Instances!C75:C75),"min", MIN(Instances!C75:C75),"max", MAX(Instances!C75:C75),"diff", MAX(Instances!C75:C75)-MIN(Instances!C75:C75))</f>
        <v>0</v>
      </c>
      <c r="D75" s="1" t="n">
        <f aca="false" t="array" ref="D75:D75">_xlfn.SWITCH($A$2,"average", AVERAGE(Instances!D75:D75),"median", MEDIAN(Instances!D75:D75),"min", MIN(Instances!D75:D75),"max", MAX(Instances!D75:D75),"diff", MAX(Instances!D75:D75)-MIN(Instances!D75:D75))</f>
        <v>565469</v>
      </c>
      <c r="E75" s="1" t="n">
        <f aca="false" t="array" ref="E75:E75">_xlfn.SWITCH($A$2,"average", AVERAGE(Instances!E75:E75),"median", MEDIAN(Instances!E75:E75),"min", MIN(Instances!E75:E75),"max", MAX(Instances!E75:E75),"diff", MAX(Instances!E75:E75)-MIN(Instances!E75:E75))</f>
        <v>0</v>
      </c>
      <c r="F75" s="1" t="n">
        <f aca="false" t="array" ref="F75:F75">_xlfn.SWITCH($A$2,"average", AVERAGE(Instances!F75:F75),"median", MEDIAN(Instances!F75:F75),"min", MIN(Instances!F75:F75),"max", MAX(Instances!F75:F75),"diff", MAX(Instances!F75:F75)-MIN(Instances!F75:F75))</f>
        <v>287</v>
      </c>
      <c r="G75" s="1" t="n">
        <f aca="false" t="array" ref="G75:G75">_xlfn.SWITCH($A$2,"average", AVERAGE(Instances!G75:G75),"median", MEDIAN(Instances!G75:G75),"min", MIN(Instances!G75:G75),"max", MAX(Instances!G75:G75),"diff", MAX(Instances!G75:G75)-MIN(Instances!G75:G75))</f>
        <v>0</v>
      </c>
      <c r="H75" s="1" t="n">
        <f aca="false" t="array" ref="H75:H75">_xlfn.SWITCH($A$2,"average", AVERAGE(Instances!H75:H75),"median", MEDIAN(Instances!H75:H75),"min", MIN(Instances!H75:H75),"max", MAX(Instances!H75:H75),"diff", MAX(Instances!H75:H75)-MIN(Instances!H75:H75))</f>
        <v>1</v>
      </c>
      <c r="I75" s="1" t="n">
        <f aca="false" t="array" ref="I75:I75">_xlfn.SWITCH($A$2,"average", AVERAGE(Instances!I75:I75),"median", MEDIAN(Instances!I75:I75),"min", MIN(Instances!I75:I75),"max", MAX(Instances!I75:I75),"diff", MAX(Instances!I75:I75)-MIN(Instances!I75:I75))</f>
        <v>3.711</v>
      </c>
      <c r="J75" s="1" t="n">
        <f aca="false" t="array" ref="J75:J75">_xlfn.SWITCH($A$2,"average", AVERAGE(Instances!J75:J75),"median", MEDIAN(Instances!J75:J75),"min", MIN(Instances!J75:J75),"max", MAX(Instances!J75:J75),"diff", MAX(Instances!J75:J75)-MIN(Instances!J75:J75))</f>
        <v>3.82</v>
      </c>
      <c r="K75" s="1" t="n">
        <f aca="false" t="array" ref="K75:K75">_xlfn.SWITCH($A$2,"average", AVERAGE(Instances!K75:K75),"median", MEDIAN(Instances!K75:K75),"min", MIN(Instances!K75:K75),"max", MAX(Instances!K75:K75),"diff", MAX(Instances!K75:K75)-MIN(Instances!K75:K75))</f>
        <v>0</v>
      </c>
      <c r="L75" s="1"/>
      <c r="M75" s="1" t="n">
        <f aca="false" t="array" ref="M75:M75">_xlfn.SWITCH($A$2,"average", AVERAGE(Instances!M75:M75),"median", MEDIAN(Instances!M75:M75),"min", MIN(Instances!M75:M75),"max", MAX(Instances!M75:M75),"diff", MAX(Instances!M75:M75)-MIN(Instances!M75:M75))</f>
        <v>809042</v>
      </c>
      <c r="N75" s="1" t="n">
        <f aca="false" t="array" ref="N75:N75">_xlfn.SWITCH($A$2,"average", AVERAGE(Instances!N75:N75),"median", MEDIAN(Instances!N75:N75),"min", MIN(Instances!N75:N75),"max", MAX(Instances!N75:N75),"diff", MAX(Instances!N75:N75)-MIN(Instances!N75:N75))</f>
        <v>0.04</v>
      </c>
      <c r="O75" s="1"/>
      <c r="P75" s="1" t="n">
        <f aca="false" t="array" ref="P75:P75">_xlfn.SWITCH($A$2,"average", AVERAGE(Instances!P75:P75),"median", MEDIAN(Instances!P75:P75),"min", MIN(Instances!P75:P75),"max", MAX(Instances!P75:P75),"diff", MAX(Instances!P75:P75)-MIN(Instances!P75:P75))</f>
        <v>3.82</v>
      </c>
      <c r="Q75" s="1" t="n">
        <f aca="false" t="array" ref="Q75:Q75">_xlfn.SWITCH($A$2,"average", AVERAGE(Instances!Q75:Q75),"median", MEDIAN(Instances!Q75:Q75),"min", MIN(Instances!Q75:Q75),"max", MAX(Instances!Q75:Q75),"diff", MAX(Instances!Q75:Q75)-MIN(Instances!Q75:Q75))</f>
        <v>0</v>
      </c>
      <c r="R75" s="1" t="n">
        <f aca="false" t="array" ref="R75:R75">_xlfn.SWITCH($A$2,"average", AVERAGE(Instances!R75:R75),"median", MEDIAN(Instances!R75:R75),"min", MIN(Instances!R75:R75),"max", MAX(Instances!R75:R75),"diff", MAX(Instances!R75:R75)-MIN(Instances!R75:R75))</f>
        <v>299551</v>
      </c>
      <c r="S75" s="1" t="n">
        <f aca="false">MIN($B75)</f>
        <v>1406</v>
      </c>
      <c r="T75" s="1" t="n">
        <f aca="false">MIN($C75)</f>
        <v>0</v>
      </c>
      <c r="U75" s="1" t="n">
        <f aca="false">MIN($D75)</f>
        <v>565469</v>
      </c>
      <c r="V75" s="1" t="n">
        <f aca="false">MIN($E75)</f>
        <v>0</v>
      </c>
      <c r="W75" s="1" t="n">
        <f aca="false">MIN($F75)</f>
        <v>287</v>
      </c>
      <c r="X75" s="1" t="n">
        <f aca="false">MIN($G75)</f>
        <v>0</v>
      </c>
      <c r="Y75" s="1" t="n">
        <f aca="false">MIN($H75)</f>
        <v>1</v>
      </c>
      <c r="Z75" s="1" t="n">
        <f aca="false">MIN($I75)</f>
        <v>3.711</v>
      </c>
      <c r="AA75" s="1" t="n">
        <f aca="false">MIN($J75)</f>
        <v>3.82</v>
      </c>
      <c r="AB75" s="1" t="n">
        <f aca="false">MIN($K75)</f>
        <v>0</v>
      </c>
      <c r="AC75" s="1" t="n">
        <f aca="false">MIN($M75)</f>
        <v>809042</v>
      </c>
      <c r="AD75" s="1" t="n">
        <f aca="false">MIN($N75)</f>
        <v>0.04</v>
      </c>
      <c r="AE75" s="1" t="n">
        <f aca="false">MIN($P75)</f>
        <v>3.82</v>
      </c>
      <c r="AF75" s="1" t="n">
        <f aca="false">MIN($Q75)</f>
        <v>0</v>
      </c>
      <c r="AG75" s="1" t="n">
        <f aca="false">MIN($R75)</f>
        <v>299551</v>
      </c>
      <c r="AH75" s="1" t="n">
        <f aca="false">MEDIAN($B75)</f>
        <v>1406</v>
      </c>
      <c r="AI75" s="1" t="n">
        <f aca="false">MEDIAN($C75)</f>
        <v>0</v>
      </c>
      <c r="AJ75" s="1" t="n">
        <f aca="false">MEDIAN($D75)</f>
        <v>565469</v>
      </c>
      <c r="AK75" s="1" t="n">
        <f aca="false">MEDIAN($E75)</f>
        <v>0</v>
      </c>
      <c r="AL75" s="1" t="n">
        <f aca="false">MEDIAN($F75)</f>
        <v>287</v>
      </c>
      <c r="AM75" s="1" t="n">
        <f aca="false">MEDIAN($G75)</f>
        <v>0</v>
      </c>
      <c r="AN75" s="1" t="n">
        <f aca="false">MEDIAN($H75)</f>
        <v>1</v>
      </c>
      <c r="AO75" s="1" t="n">
        <f aca="false">MEDIAN($I75)</f>
        <v>3.711</v>
      </c>
      <c r="AP75" s="1" t="n">
        <f aca="false">MEDIAN($J75)</f>
        <v>3.82</v>
      </c>
      <c r="AQ75" s="1" t="n">
        <f aca="false">MEDIAN($K75)</f>
        <v>0</v>
      </c>
      <c r="AR75" s="1" t="n">
        <f aca="false">MEDIAN($M75)</f>
        <v>809042</v>
      </c>
      <c r="AS75" s="1" t="n">
        <f aca="false">MEDIAN($N75)</f>
        <v>0.04</v>
      </c>
      <c r="AT75" s="1" t="n">
        <f aca="false">MEDIAN($P75)</f>
        <v>3.82</v>
      </c>
      <c r="AU75" s="1" t="n">
        <f aca="false">MEDIAN($Q75)</f>
        <v>0</v>
      </c>
      <c r="AV75" s="1" t="n">
        <f aca="false">MEDIAN($R75)</f>
        <v>299551</v>
      </c>
      <c r="AW75" s="1" t="n">
        <f aca="false">MAX($B75)</f>
        <v>1406</v>
      </c>
      <c r="AX75" s="1" t="n">
        <f aca="false">MAX($C75)</f>
        <v>0</v>
      </c>
      <c r="AY75" s="1" t="n">
        <f aca="false">MAX($D75)</f>
        <v>565469</v>
      </c>
      <c r="AZ75" s="1" t="n">
        <f aca="false">MAX($E75)</f>
        <v>0</v>
      </c>
      <c r="BA75" s="1" t="n">
        <f aca="false">MAX($F75)</f>
        <v>287</v>
      </c>
      <c r="BB75" s="1" t="n">
        <f aca="false">MAX($G75)</f>
        <v>0</v>
      </c>
      <c r="BC75" s="1" t="n">
        <f aca="false">MAX($H75)</f>
        <v>1</v>
      </c>
      <c r="BD75" s="1" t="n">
        <f aca="false">MAX($I75)</f>
        <v>3.711</v>
      </c>
      <c r="BE75" s="1" t="n">
        <f aca="false">MAX($J75)</f>
        <v>3.82</v>
      </c>
      <c r="BF75" s="1" t="n">
        <f aca="false">MAX($K75)</f>
        <v>0</v>
      </c>
      <c r="BG75" s="1" t="n">
        <f aca="false">MAX($M75)</f>
        <v>809042</v>
      </c>
      <c r="BH75" s="1" t="n">
        <f aca="false">MAX($N75)</f>
        <v>0.04</v>
      </c>
      <c r="BI75" s="1" t="n">
        <f aca="false">MAX($P75)</f>
        <v>3.82</v>
      </c>
      <c r="BJ75" s="1" t="n">
        <f aca="false">MAX($Q75)</f>
        <v>0</v>
      </c>
      <c r="BK75" s="1" t="n">
        <f aca="false">MAX($R75)</f>
        <v>299551</v>
      </c>
    </row>
    <row r="76" customFormat="false" ht="15" hidden="false" customHeight="false" outlineLevel="0" collapsed="false">
      <c r="A76" s="1" t="s">
        <v>93</v>
      </c>
      <c r="B76" s="1" t="n">
        <f aca="false" t="array" ref="B76:B76">_xlfn.SWITCH($A$2,"average", AVERAGE(Instances!B76:B76),"median", MEDIAN(Instances!B76:B76),"min", MIN(Instances!B76:B76),"max", MAX(Instances!B76:B76),"diff", MAX(Instances!B76:B76)-MIN(Instances!B76:B76))</f>
        <v>449</v>
      </c>
      <c r="C76" s="1" t="n">
        <f aca="false" t="array" ref="C76:C76">_xlfn.SWITCH($A$2,"average", AVERAGE(Instances!C76:C76),"median", MEDIAN(Instances!C76:C76),"min", MIN(Instances!C76:C76),"max", MAX(Instances!C76:C76),"diff", MAX(Instances!C76:C76)-MIN(Instances!C76:C76))</f>
        <v>0</v>
      </c>
      <c r="D76" s="1" t="n">
        <f aca="false" t="array" ref="D76:D76">_xlfn.SWITCH($A$2,"average", AVERAGE(Instances!D76:D76),"median", MEDIAN(Instances!D76:D76),"min", MIN(Instances!D76:D76),"max", MAX(Instances!D76:D76),"diff", MAX(Instances!D76:D76)-MIN(Instances!D76:D76))</f>
        <v>283815</v>
      </c>
      <c r="E76" s="1" t="n">
        <f aca="false" t="array" ref="E76:E76">_xlfn.SWITCH($A$2,"average", AVERAGE(Instances!E76:E76),"median", MEDIAN(Instances!E76:E76),"min", MIN(Instances!E76:E76),"max", MAX(Instances!E76:E76),"diff", MAX(Instances!E76:E76)-MIN(Instances!E76:E76))</f>
        <v>0</v>
      </c>
      <c r="F76" s="1" t="n">
        <f aca="false" t="array" ref="F76:F76">_xlfn.SWITCH($A$2,"average", AVERAGE(Instances!F76:F76),"median", MEDIAN(Instances!F76:F76),"min", MIN(Instances!F76:F76),"max", MAX(Instances!F76:F76),"diff", MAX(Instances!F76:F76)-MIN(Instances!F76:F76))</f>
        <v>179</v>
      </c>
      <c r="G76" s="1" t="n">
        <f aca="false" t="array" ref="G76:G76">_xlfn.SWITCH($A$2,"average", AVERAGE(Instances!G76:G76),"median", MEDIAN(Instances!G76:G76),"min", MIN(Instances!G76:G76),"max", MAX(Instances!G76:G76),"diff", MAX(Instances!G76:G76)-MIN(Instances!G76:G76))</f>
        <v>0</v>
      </c>
      <c r="H76" s="1" t="n">
        <f aca="false" t="array" ref="H76:H76">_xlfn.SWITCH($A$2,"average", AVERAGE(Instances!H76:H76),"median", MEDIAN(Instances!H76:H76),"min", MIN(Instances!H76:H76),"max", MAX(Instances!H76:H76),"diff", MAX(Instances!H76:H76)-MIN(Instances!H76:H76))</f>
        <v>1</v>
      </c>
      <c r="I76" s="1" t="n">
        <f aca="false" t="array" ref="I76:I76">_xlfn.SWITCH($A$2,"average", AVERAGE(Instances!I76:I76),"median", MEDIAN(Instances!I76:I76),"min", MIN(Instances!I76:I76),"max", MAX(Instances!I76:I76),"diff", MAX(Instances!I76:I76)-MIN(Instances!I76:I76))</f>
        <v>2.354</v>
      </c>
      <c r="J76" s="1" t="n">
        <f aca="false" t="array" ref="J76:J76">_xlfn.SWITCH($A$2,"average", AVERAGE(Instances!J76:J76),"median", MEDIAN(Instances!J76:J76),"min", MIN(Instances!J76:J76),"max", MAX(Instances!J76:J76),"diff", MAX(Instances!J76:J76)-MIN(Instances!J76:J76))</f>
        <v>2.42</v>
      </c>
      <c r="K76" s="1" t="n">
        <f aca="false" t="array" ref="K76:K76">_xlfn.SWITCH($A$2,"average", AVERAGE(Instances!K76:K76),"median", MEDIAN(Instances!K76:K76),"min", MIN(Instances!K76:K76),"max", MAX(Instances!K76:K76),"diff", MAX(Instances!K76:K76)-MIN(Instances!K76:K76))</f>
        <v>0</v>
      </c>
      <c r="L76" s="1"/>
      <c r="M76" s="1" t="n">
        <f aca="false" t="array" ref="M76:M76">_xlfn.SWITCH($A$2,"average", AVERAGE(Instances!M76:M76),"median", MEDIAN(Instances!M76:M76),"min", MIN(Instances!M76:M76),"max", MAX(Instances!M76:M76),"diff", MAX(Instances!M76:M76)-MIN(Instances!M76:M76))</f>
        <v>501834</v>
      </c>
      <c r="N76" s="1" t="n">
        <f aca="false" t="array" ref="N76:N76">_xlfn.SWITCH($A$2,"average", AVERAGE(Instances!N76:N76),"median", MEDIAN(Instances!N76:N76),"min", MIN(Instances!N76:N76),"max", MAX(Instances!N76:N76),"diff", MAX(Instances!N76:N76)-MIN(Instances!N76:N76))</f>
        <v>0.02</v>
      </c>
      <c r="O76" s="1"/>
      <c r="P76" s="1" t="n">
        <f aca="false" t="array" ref="P76:P76">_xlfn.SWITCH($A$2,"average", AVERAGE(Instances!P76:P76),"median", MEDIAN(Instances!P76:P76),"min", MIN(Instances!P76:P76),"max", MAX(Instances!P76:P76),"diff", MAX(Instances!P76:P76)-MIN(Instances!P76:P76))</f>
        <v>2.42</v>
      </c>
      <c r="Q76" s="1" t="n">
        <f aca="false" t="array" ref="Q76:Q76">_xlfn.SWITCH($A$2,"average", AVERAGE(Instances!Q76:Q76),"median", MEDIAN(Instances!Q76:Q76),"min", MIN(Instances!Q76:Q76),"max", MAX(Instances!Q76:Q76),"diff", MAX(Instances!Q76:Q76)-MIN(Instances!Q76:Q76))</f>
        <v>0</v>
      </c>
      <c r="R76" s="1" t="n">
        <f aca="false" t="array" ref="R76:R76">_xlfn.SWITCH($A$2,"average", AVERAGE(Instances!R76:R76),"median", MEDIAN(Instances!R76:R76),"min", MIN(Instances!R76:R76),"max", MAX(Instances!R76:R76),"diff", MAX(Instances!R76:R76)-MIN(Instances!R76:R76))</f>
        <v>185228</v>
      </c>
      <c r="S76" s="1" t="n">
        <f aca="false">MIN($B76)</f>
        <v>449</v>
      </c>
      <c r="T76" s="1" t="n">
        <f aca="false">MIN($C76)</f>
        <v>0</v>
      </c>
      <c r="U76" s="1" t="n">
        <f aca="false">MIN($D76)</f>
        <v>283815</v>
      </c>
      <c r="V76" s="1" t="n">
        <f aca="false">MIN($E76)</f>
        <v>0</v>
      </c>
      <c r="W76" s="1" t="n">
        <f aca="false">MIN($F76)</f>
        <v>179</v>
      </c>
      <c r="X76" s="1" t="n">
        <f aca="false">MIN($G76)</f>
        <v>0</v>
      </c>
      <c r="Y76" s="1" t="n">
        <f aca="false">MIN($H76)</f>
        <v>1</v>
      </c>
      <c r="Z76" s="1" t="n">
        <f aca="false">MIN($I76)</f>
        <v>2.354</v>
      </c>
      <c r="AA76" s="1" t="n">
        <f aca="false">MIN($J76)</f>
        <v>2.42</v>
      </c>
      <c r="AB76" s="1" t="n">
        <f aca="false">MIN($K76)</f>
        <v>0</v>
      </c>
      <c r="AC76" s="1" t="n">
        <f aca="false">MIN($M76)</f>
        <v>501834</v>
      </c>
      <c r="AD76" s="1" t="n">
        <f aca="false">MIN($N76)</f>
        <v>0.02</v>
      </c>
      <c r="AE76" s="1" t="n">
        <f aca="false">MIN($P76)</f>
        <v>2.42</v>
      </c>
      <c r="AF76" s="1" t="n">
        <f aca="false">MIN($Q76)</f>
        <v>0</v>
      </c>
      <c r="AG76" s="1" t="n">
        <f aca="false">MIN($R76)</f>
        <v>185228</v>
      </c>
      <c r="AH76" s="1" t="n">
        <f aca="false">MEDIAN($B76)</f>
        <v>449</v>
      </c>
      <c r="AI76" s="1" t="n">
        <f aca="false">MEDIAN($C76)</f>
        <v>0</v>
      </c>
      <c r="AJ76" s="1" t="n">
        <f aca="false">MEDIAN($D76)</f>
        <v>283815</v>
      </c>
      <c r="AK76" s="1" t="n">
        <f aca="false">MEDIAN($E76)</f>
        <v>0</v>
      </c>
      <c r="AL76" s="1" t="n">
        <f aca="false">MEDIAN($F76)</f>
        <v>179</v>
      </c>
      <c r="AM76" s="1" t="n">
        <f aca="false">MEDIAN($G76)</f>
        <v>0</v>
      </c>
      <c r="AN76" s="1" t="n">
        <f aca="false">MEDIAN($H76)</f>
        <v>1</v>
      </c>
      <c r="AO76" s="1" t="n">
        <f aca="false">MEDIAN($I76)</f>
        <v>2.354</v>
      </c>
      <c r="AP76" s="1" t="n">
        <f aca="false">MEDIAN($J76)</f>
        <v>2.42</v>
      </c>
      <c r="AQ76" s="1" t="n">
        <f aca="false">MEDIAN($K76)</f>
        <v>0</v>
      </c>
      <c r="AR76" s="1" t="n">
        <f aca="false">MEDIAN($M76)</f>
        <v>501834</v>
      </c>
      <c r="AS76" s="1" t="n">
        <f aca="false">MEDIAN($N76)</f>
        <v>0.02</v>
      </c>
      <c r="AT76" s="1" t="n">
        <f aca="false">MEDIAN($P76)</f>
        <v>2.42</v>
      </c>
      <c r="AU76" s="1" t="n">
        <f aca="false">MEDIAN($Q76)</f>
        <v>0</v>
      </c>
      <c r="AV76" s="1" t="n">
        <f aca="false">MEDIAN($R76)</f>
        <v>185228</v>
      </c>
      <c r="AW76" s="1" t="n">
        <f aca="false">MAX($B76)</f>
        <v>449</v>
      </c>
      <c r="AX76" s="1" t="n">
        <f aca="false">MAX($C76)</f>
        <v>0</v>
      </c>
      <c r="AY76" s="1" t="n">
        <f aca="false">MAX($D76)</f>
        <v>283815</v>
      </c>
      <c r="AZ76" s="1" t="n">
        <f aca="false">MAX($E76)</f>
        <v>0</v>
      </c>
      <c r="BA76" s="1" t="n">
        <f aca="false">MAX($F76)</f>
        <v>179</v>
      </c>
      <c r="BB76" s="1" t="n">
        <f aca="false">MAX($G76)</f>
        <v>0</v>
      </c>
      <c r="BC76" s="1" t="n">
        <f aca="false">MAX($H76)</f>
        <v>1</v>
      </c>
      <c r="BD76" s="1" t="n">
        <f aca="false">MAX($I76)</f>
        <v>2.354</v>
      </c>
      <c r="BE76" s="1" t="n">
        <f aca="false">MAX($J76)</f>
        <v>2.42</v>
      </c>
      <c r="BF76" s="1" t="n">
        <f aca="false">MAX($K76)</f>
        <v>0</v>
      </c>
      <c r="BG76" s="1" t="n">
        <f aca="false">MAX($M76)</f>
        <v>501834</v>
      </c>
      <c r="BH76" s="1" t="n">
        <f aca="false">MAX($N76)</f>
        <v>0.02</v>
      </c>
      <c r="BI76" s="1" t="n">
        <f aca="false">MAX($P76)</f>
        <v>2.42</v>
      </c>
      <c r="BJ76" s="1" t="n">
        <f aca="false">MAX($Q76)</f>
        <v>0</v>
      </c>
      <c r="BK76" s="1" t="n">
        <f aca="false">MAX($R76)</f>
        <v>185228</v>
      </c>
    </row>
    <row r="77" customFormat="false" ht="15" hidden="false" customHeight="false" outlineLevel="0" collapsed="false">
      <c r="A77" s="1" t="s">
        <v>94</v>
      </c>
      <c r="B77" s="1" t="n">
        <f aca="false" t="array" ref="B77:B77">_xlfn.SWITCH($A$2,"average", AVERAGE(Instances!B77:B77),"median", MEDIAN(Instances!B77:B77),"min", MIN(Instances!B77:B77),"max", MAX(Instances!B77:B77),"diff", MAX(Instances!B77:B77)-MIN(Instances!B77:B77))</f>
        <v>959</v>
      </c>
      <c r="C77" s="1" t="n">
        <f aca="false" t="array" ref="C77:C77">_xlfn.SWITCH($A$2,"average", AVERAGE(Instances!C77:C77),"median", MEDIAN(Instances!C77:C77),"min", MIN(Instances!C77:C77),"max", MAX(Instances!C77:C77),"diff", MAX(Instances!C77:C77)-MIN(Instances!C77:C77))</f>
        <v>0</v>
      </c>
      <c r="D77" s="1" t="n">
        <f aca="false" t="array" ref="D77:D77">_xlfn.SWITCH($A$2,"average", AVERAGE(Instances!D77:D77),"median", MEDIAN(Instances!D77:D77),"min", MIN(Instances!D77:D77),"max", MAX(Instances!D77:D77),"diff", MAX(Instances!D77:D77)-MIN(Instances!D77:D77))</f>
        <v>444957</v>
      </c>
      <c r="E77" s="1" t="n">
        <f aca="false" t="array" ref="E77:E77">_xlfn.SWITCH($A$2,"average", AVERAGE(Instances!E77:E77),"median", MEDIAN(Instances!E77:E77),"min", MIN(Instances!E77:E77),"max", MAX(Instances!E77:E77),"diff", MAX(Instances!E77:E77)-MIN(Instances!E77:E77))</f>
        <v>0</v>
      </c>
      <c r="F77" s="1" t="n">
        <f aca="false" t="array" ref="F77:F77">_xlfn.SWITCH($A$2,"average", AVERAGE(Instances!F77:F77),"median", MEDIAN(Instances!F77:F77),"min", MIN(Instances!F77:F77),"max", MAX(Instances!F77:F77),"diff", MAX(Instances!F77:F77)-MIN(Instances!F77:F77))</f>
        <v>239</v>
      </c>
      <c r="G77" s="1" t="n">
        <f aca="false" t="array" ref="G77:G77">_xlfn.SWITCH($A$2,"average", AVERAGE(Instances!G77:G77),"median", MEDIAN(Instances!G77:G77),"min", MIN(Instances!G77:G77),"max", MAX(Instances!G77:G77),"diff", MAX(Instances!G77:G77)-MIN(Instances!G77:G77))</f>
        <v>0</v>
      </c>
      <c r="H77" s="1" t="n">
        <f aca="false" t="array" ref="H77:H77">_xlfn.SWITCH($A$2,"average", AVERAGE(Instances!H77:H77),"median", MEDIAN(Instances!H77:H77),"min", MIN(Instances!H77:H77),"max", MAX(Instances!H77:H77),"diff", MAX(Instances!H77:H77)-MIN(Instances!H77:H77))</f>
        <v>1</v>
      </c>
      <c r="I77" s="1" t="n">
        <f aca="false" t="array" ref="I77:I77">_xlfn.SWITCH($A$2,"average", AVERAGE(Instances!I77:I77),"median", MEDIAN(Instances!I77:I77),"min", MIN(Instances!I77:I77),"max", MAX(Instances!I77:I77),"diff", MAX(Instances!I77:I77)-MIN(Instances!I77:I77))</f>
        <v>2.833</v>
      </c>
      <c r="J77" s="1" t="n">
        <f aca="false" t="array" ref="J77:J77">_xlfn.SWITCH($A$2,"average", AVERAGE(Instances!J77:J77),"median", MEDIAN(Instances!J77:J77),"min", MIN(Instances!J77:J77),"max", MAX(Instances!J77:J77),"diff", MAX(Instances!J77:J77)-MIN(Instances!J77:J77))</f>
        <v>2.92</v>
      </c>
      <c r="K77" s="1" t="n">
        <f aca="false" t="array" ref="K77:K77">_xlfn.SWITCH($A$2,"average", AVERAGE(Instances!K77:K77),"median", MEDIAN(Instances!K77:K77),"min", MIN(Instances!K77:K77),"max", MAX(Instances!K77:K77),"diff", MAX(Instances!K77:K77)-MIN(Instances!K77:K77))</f>
        <v>0</v>
      </c>
      <c r="L77" s="1"/>
      <c r="M77" s="1" t="n">
        <f aca="false" t="array" ref="M77:M77">_xlfn.SWITCH($A$2,"average", AVERAGE(Instances!M77:M77),"median", MEDIAN(Instances!M77:M77),"min", MIN(Instances!M77:M77),"max", MAX(Instances!M77:M77),"diff", MAX(Instances!M77:M77)-MIN(Instances!M77:M77))</f>
        <v>641327</v>
      </c>
      <c r="N77" s="1" t="n">
        <f aca="false" t="array" ref="N77:N77">_xlfn.SWITCH($A$2,"average", AVERAGE(Instances!N77:N77),"median", MEDIAN(Instances!N77:N77),"min", MIN(Instances!N77:N77),"max", MAX(Instances!N77:N77),"diff", MAX(Instances!N77:N77)-MIN(Instances!N77:N77))</f>
        <v>0.03</v>
      </c>
      <c r="O77" s="1"/>
      <c r="P77" s="1" t="n">
        <f aca="false" t="array" ref="P77:P77">_xlfn.SWITCH($A$2,"average", AVERAGE(Instances!P77:P77),"median", MEDIAN(Instances!P77:P77),"min", MIN(Instances!P77:P77),"max", MAX(Instances!P77:P77),"diff", MAX(Instances!P77:P77)-MIN(Instances!P77:P77))</f>
        <v>2.92</v>
      </c>
      <c r="Q77" s="1" t="n">
        <f aca="false" t="array" ref="Q77:Q77">_xlfn.SWITCH($A$2,"average", AVERAGE(Instances!Q77:Q77),"median", MEDIAN(Instances!Q77:Q77),"min", MIN(Instances!Q77:Q77),"max", MAX(Instances!Q77:Q77),"diff", MAX(Instances!Q77:Q77)-MIN(Instances!Q77:Q77))</f>
        <v>0</v>
      </c>
      <c r="R77" s="1" t="n">
        <f aca="false" t="array" ref="R77:R77">_xlfn.SWITCH($A$2,"average", AVERAGE(Instances!R77:R77),"median", MEDIAN(Instances!R77:R77),"min", MIN(Instances!R77:R77),"max", MAX(Instances!R77:R77),"diff", MAX(Instances!R77:R77)-MIN(Instances!R77:R77))</f>
        <v>244777</v>
      </c>
      <c r="S77" s="1" t="n">
        <f aca="false">MIN($B77)</f>
        <v>959</v>
      </c>
      <c r="T77" s="1" t="n">
        <f aca="false">MIN($C77)</f>
        <v>0</v>
      </c>
      <c r="U77" s="1" t="n">
        <f aca="false">MIN($D77)</f>
        <v>444957</v>
      </c>
      <c r="V77" s="1" t="n">
        <f aca="false">MIN($E77)</f>
        <v>0</v>
      </c>
      <c r="W77" s="1" t="n">
        <f aca="false">MIN($F77)</f>
        <v>239</v>
      </c>
      <c r="X77" s="1" t="n">
        <f aca="false">MIN($G77)</f>
        <v>0</v>
      </c>
      <c r="Y77" s="1" t="n">
        <f aca="false">MIN($H77)</f>
        <v>1</v>
      </c>
      <c r="Z77" s="1" t="n">
        <f aca="false">MIN($I77)</f>
        <v>2.833</v>
      </c>
      <c r="AA77" s="1" t="n">
        <f aca="false">MIN($J77)</f>
        <v>2.92</v>
      </c>
      <c r="AB77" s="1" t="n">
        <f aca="false">MIN($K77)</f>
        <v>0</v>
      </c>
      <c r="AC77" s="1" t="n">
        <f aca="false">MIN($M77)</f>
        <v>641327</v>
      </c>
      <c r="AD77" s="1" t="n">
        <f aca="false">MIN($N77)</f>
        <v>0.03</v>
      </c>
      <c r="AE77" s="1" t="n">
        <f aca="false">MIN($P77)</f>
        <v>2.92</v>
      </c>
      <c r="AF77" s="1" t="n">
        <f aca="false">MIN($Q77)</f>
        <v>0</v>
      </c>
      <c r="AG77" s="1" t="n">
        <f aca="false">MIN($R77)</f>
        <v>244777</v>
      </c>
      <c r="AH77" s="1" t="n">
        <f aca="false">MEDIAN($B77)</f>
        <v>959</v>
      </c>
      <c r="AI77" s="1" t="n">
        <f aca="false">MEDIAN($C77)</f>
        <v>0</v>
      </c>
      <c r="AJ77" s="1" t="n">
        <f aca="false">MEDIAN($D77)</f>
        <v>444957</v>
      </c>
      <c r="AK77" s="1" t="n">
        <f aca="false">MEDIAN($E77)</f>
        <v>0</v>
      </c>
      <c r="AL77" s="1" t="n">
        <f aca="false">MEDIAN($F77)</f>
        <v>239</v>
      </c>
      <c r="AM77" s="1" t="n">
        <f aca="false">MEDIAN($G77)</f>
        <v>0</v>
      </c>
      <c r="AN77" s="1" t="n">
        <f aca="false">MEDIAN($H77)</f>
        <v>1</v>
      </c>
      <c r="AO77" s="1" t="n">
        <f aca="false">MEDIAN($I77)</f>
        <v>2.833</v>
      </c>
      <c r="AP77" s="1" t="n">
        <f aca="false">MEDIAN($J77)</f>
        <v>2.92</v>
      </c>
      <c r="AQ77" s="1" t="n">
        <f aca="false">MEDIAN($K77)</f>
        <v>0</v>
      </c>
      <c r="AR77" s="1" t="n">
        <f aca="false">MEDIAN($M77)</f>
        <v>641327</v>
      </c>
      <c r="AS77" s="1" t="n">
        <f aca="false">MEDIAN($N77)</f>
        <v>0.03</v>
      </c>
      <c r="AT77" s="1" t="n">
        <f aca="false">MEDIAN($P77)</f>
        <v>2.92</v>
      </c>
      <c r="AU77" s="1" t="n">
        <f aca="false">MEDIAN($Q77)</f>
        <v>0</v>
      </c>
      <c r="AV77" s="1" t="n">
        <f aca="false">MEDIAN($R77)</f>
        <v>244777</v>
      </c>
      <c r="AW77" s="1" t="n">
        <f aca="false">MAX($B77)</f>
        <v>959</v>
      </c>
      <c r="AX77" s="1" t="n">
        <f aca="false">MAX($C77)</f>
        <v>0</v>
      </c>
      <c r="AY77" s="1" t="n">
        <f aca="false">MAX($D77)</f>
        <v>444957</v>
      </c>
      <c r="AZ77" s="1" t="n">
        <f aca="false">MAX($E77)</f>
        <v>0</v>
      </c>
      <c r="BA77" s="1" t="n">
        <f aca="false">MAX($F77)</f>
        <v>239</v>
      </c>
      <c r="BB77" s="1" t="n">
        <f aca="false">MAX($G77)</f>
        <v>0</v>
      </c>
      <c r="BC77" s="1" t="n">
        <f aca="false">MAX($H77)</f>
        <v>1</v>
      </c>
      <c r="BD77" s="1" t="n">
        <f aca="false">MAX($I77)</f>
        <v>2.833</v>
      </c>
      <c r="BE77" s="1" t="n">
        <f aca="false">MAX($J77)</f>
        <v>2.92</v>
      </c>
      <c r="BF77" s="1" t="n">
        <f aca="false">MAX($K77)</f>
        <v>0</v>
      </c>
      <c r="BG77" s="1" t="n">
        <f aca="false">MAX($M77)</f>
        <v>641327</v>
      </c>
      <c r="BH77" s="1" t="n">
        <f aca="false">MAX($N77)</f>
        <v>0.03</v>
      </c>
      <c r="BI77" s="1" t="n">
        <f aca="false">MAX($P77)</f>
        <v>2.92</v>
      </c>
      <c r="BJ77" s="1" t="n">
        <f aca="false">MAX($Q77)</f>
        <v>0</v>
      </c>
      <c r="BK77" s="1" t="n">
        <f aca="false">MAX($R77)</f>
        <v>244777</v>
      </c>
    </row>
    <row r="78" customFormat="false" ht="15" hidden="false" customHeight="false" outlineLevel="0" collapsed="false">
      <c r="A78" s="1" t="s">
        <v>95</v>
      </c>
      <c r="B78" s="1" t="n">
        <f aca="false" t="array" ref="B78:B78">_xlfn.SWITCH($A$2,"average", AVERAGE(Instances!B78:B78),"median", MEDIAN(Instances!B78:B78),"min", MIN(Instances!B78:B78),"max", MAX(Instances!B78:B78),"diff", MAX(Instances!B78:B78)-MIN(Instances!B78:B78))</f>
        <v>759</v>
      </c>
      <c r="C78" s="1" t="n">
        <f aca="false" t="array" ref="C78:C78">_xlfn.SWITCH($A$2,"average", AVERAGE(Instances!C78:C78),"median", MEDIAN(Instances!C78:C78),"min", MIN(Instances!C78:C78),"max", MAX(Instances!C78:C78),"diff", MAX(Instances!C78:C78)-MIN(Instances!C78:C78))</f>
        <v>1</v>
      </c>
      <c r="D78" s="1" t="n">
        <f aca="false" t="array" ref="D78:D78">_xlfn.SWITCH($A$2,"average", AVERAGE(Instances!D78:D78),"median", MEDIAN(Instances!D78:D78),"min", MIN(Instances!D78:D78),"max", MAX(Instances!D78:D78),"diff", MAX(Instances!D78:D78)-MIN(Instances!D78:D78))</f>
        <v>569063</v>
      </c>
      <c r="E78" s="1" t="n">
        <f aca="false" t="array" ref="E78:E78">_xlfn.SWITCH($A$2,"average", AVERAGE(Instances!E78:E78),"median", MEDIAN(Instances!E78:E78),"min", MIN(Instances!E78:E78),"max", MAX(Instances!E78:E78),"diff", MAX(Instances!E78:E78)-MIN(Instances!E78:E78))</f>
        <v>0</v>
      </c>
      <c r="F78" s="1" t="n">
        <f aca="false" t="array" ref="F78:F78">_xlfn.SWITCH($A$2,"average", AVERAGE(Instances!F78:F78),"median", MEDIAN(Instances!F78:F78),"min", MIN(Instances!F78:F78),"max", MAX(Instances!F78:F78),"diff", MAX(Instances!F78:F78)-MIN(Instances!F78:F78))</f>
        <v>275</v>
      </c>
      <c r="G78" s="1" t="n">
        <f aca="false" t="array" ref="G78:G78">_xlfn.SWITCH($A$2,"average", AVERAGE(Instances!G78:G78),"median", MEDIAN(Instances!G78:G78),"min", MIN(Instances!G78:G78),"max", MAX(Instances!G78:G78),"diff", MAX(Instances!G78:G78)-MIN(Instances!G78:G78))</f>
        <v>0</v>
      </c>
      <c r="H78" s="1" t="n">
        <f aca="false" t="array" ref="H78:H78">_xlfn.SWITCH($A$2,"average", AVERAGE(Instances!H78:H78),"median", MEDIAN(Instances!H78:H78),"min", MIN(Instances!H78:H78),"max", MAX(Instances!H78:H78),"diff", MAX(Instances!H78:H78)-MIN(Instances!H78:H78))</f>
        <v>1</v>
      </c>
      <c r="I78" s="1" t="n">
        <f aca="false" t="array" ref="I78:I78">_xlfn.SWITCH($A$2,"average", AVERAGE(Instances!I78:I78),"median", MEDIAN(Instances!I78:I78),"min", MIN(Instances!I78:I78),"max", MAX(Instances!I78:I78),"diff", MAX(Instances!I78:I78)-MIN(Instances!I78:I78))</f>
        <v>3.537</v>
      </c>
      <c r="J78" s="1" t="n">
        <f aca="false" t="array" ref="J78:J78">_xlfn.SWITCH($A$2,"average", AVERAGE(Instances!J78:J78),"median", MEDIAN(Instances!J78:J78),"min", MIN(Instances!J78:J78),"max", MAX(Instances!J78:J78),"diff", MAX(Instances!J78:J78)-MIN(Instances!J78:J78))</f>
        <v>3.64</v>
      </c>
      <c r="K78" s="1" t="n">
        <f aca="false" t="array" ref="K78:K78">_xlfn.SWITCH($A$2,"average", AVERAGE(Instances!K78:K78),"median", MEDIAN(Instances!K78:K78),"min", MIN(Instances!K78:K78),"max", MAX(Instances!K78:K78),"diff", MAX(Instances!K78:K78)-MIN(Instances!K78:K78))</f>
        <v>0</v>
      </c>
      <c r="L78" s="1"/>
      <c r="M78" s="1" t="n">
        <f aca="false" t="array" ref="M78:M78">_xlfn.SWITCH($A$2,"average", AVERAGE(Instances!M78:M78),"median", MEDIAN(Instances!M78:M78),"min", MIN(Instances!M78:M78),"max", MAX(Instances!M78:M78),"diff", MAX(Instances!M78:M78)-MIN(Instances!M78:M78))</f>
        <v>780124</v>
      </c>
      <c r="N78" s="1" t="n">
        <f aca="false" t="array" ref="N78:N78">_xlfn.SWITCH($A$2,"average", AVERAGE(Instances!N78:N78),"median", MEDIAN(Instances!N78:N78),"min", MIN(Instances!N78:N78),"max", MAX(Instances!N78:N78),"diff", MAX(Instances!N78:N78)-MIN(Instances!N78:N78))</f>
        <v>0.04</v>
      </c>
      <c r="O78" s="1"/>
      <c r="P78" s="1" t="n">
        <f aca="false" t="array" ref="P78:P78">_xlfn.SWITCH($A$2,"average", AVERAGE(Instances!P78:P78),"median", MEDIAN(Instances!P78:P78),"min", MIN(Instances!P78:P78),"max", MAX(Instances!P78:P78),"diff", MAX(Instances!P78:P78)-MIN(Instances!P78:P78))</f>
        <v>3.64</v>
      </c>
      <c r="Q78" s="1" t="n">
        <f aca="false" t="array" ref="Q78:Q78">_xlfn.SWITCH($A$2,"average", AVERAGE(Instances!Q78:Q78),"median", MEDIAN(Instances!Q78:Q78),"min", MIN(Instances!Q78:Q78),"max", MAX(Instances!Q78:Q78),"diff", MAX(Instances!Q78:Q78)-MIN(Instances!Q78:Q78))</f>
        <v>0</v>
      </c>
      <c r="R78" s="1" t="n">
        <f aca="false" t="array" ref="R78:R78">_xlfn.SWITCH($A$2,"average", AVERAGE(Instances!R78:R78),"median", MEDIAN(Instances!R78:R78),"min", MIN(Instances!R78:R78),"max", MAX(Instances!R78:R78),"diff", MAX(Instances!R78:R78)-MIN(Instances!R78:R78))</f>
        <v>288854</v>
      </c>
      <c r="S78" s="1" t="n">
        <f aca="false">MIN($B78)</f>
        <v>759</v>
      </c>
      <c r="T78" s="1" t="n">
        <f aca="false">MIN($C78)</f>
        <v>1</v>
      </c>
      <c r="U78" s="1" t="n">
        <f aca="false">MIN($D78)</f>
        <v>569063</v>
      </c>
      <c r="V78" s="1" t="n">
        <f aca="false">MIN($E78)</f>
        <v>0</v>
      </c>
      <c r="W78" s="1" t="n">
        <f aca="false">MIN($F78)</f>
        <v>275</v>
      </c>
      <c r="X78" s="1" t="n">
        <f aca="false">MIN($G78)</f>
        <v>0</v>
      </c>
      <c r="Y78" s="1" t="n">
        <f aca="false">MIN($H78)</f>
        <v>1</v>
      </c>
      <c r="Z78" s="1" t="n">
        <f aca="false">MIN($I78)</f>
        <v>3.537</v>
      </c>
      <c r="AA78" s="1" t="n">
        <f aca="false">MIN($J78)</f>
        <v>3.64</v>
      </c>
      <c r="AB78" s="1" t="n">
        <f aca="false">MIN($K78)</f>
        <v>0</v>
      </c>
      <c r="AC78" s="1" t="n">
        <f aca="false">MIN($M78)</f>
        <v>780124</v>
      </c>
      <c r="AD78" s="1" t="n">
        <f aca="false">MIN($N78)</f>
        <v>0.04</v>
      </c>
      <c r="AE78" s="1" t="n">
        <f aca="false">MIN($P78)</f>
        <v>3.64</v>
      </c>
      <c r="AF78" s="1" t="n">
        <f aca="false">MIN($Q78)</f>
        <v>0</v>
      </c>
      <c r="AG78" s="1" t="n">
        <f aca="false">MIN($R78)</f>
        <v>288854</v>
      </c>
      <c r="AH78" s="1" t="n">
        <f aca="false">MEDIAN($B78)</f>
        <v>759</v>
      </c>
      <c r="AI78" s="1" t="n">
        <f aca="false">MEDIAN($C78)</f>
        <v>1</v>
      </c>
      <c r="AJ78" s="1" t="n">
        <f aca="false">MEDIAN($D78)</f>
        <v>569063</v>
      </c>
      <c r="AK78" s="1" t="n">
        <f aca="false">MEDIAN($E78)</f>
        <v>0</v>
      </c>
      <c r="AL78" s="1" t="n">
        <f aca="false">MEDIAN($F78)</f>
        <v>275</v>
      </c>
      <c r="AM78" s="1" t="n">
        <f aca="false">MEDIAN($G78)</f>
        <v>0</v>
      </c>
      <c r="AN78" s="1" t="n">
        <f aca="false">MEDIAN($H78)</f>
        <v>1</v>
      </c>
      <c r="AO78" s="1" t="n">
        <f aca="false">MEDIAN($I78)</f>
        <v>3.537</v>
      </c>
      <c r="AP78" s="1" t="n">
        <f aca="false">MEDIAN($J78)</f>
        <v>3.64</v>
      </c>
      <c r="AQ78" s="1" t="n">
        <f aca="false">MEDIAN($K78)</f>
        <v>0</v>
      </c>
      <c r="AR78" s="1" t="n">
        <f aca="false">MEDIAN($M78)</f>
        <v>780124</v>
      </c>
      <c r="AS78" s="1" t="n">
        <f aca="false">MEDIAN($N78)</f>
        <v>0.04</v>
      </c>
      <c r="AT78" s="1" t="n">
        <f aca="false">MEDIAN($P78)</f>
        <v>3.64</v>
      </c>
      <c r="AU78" s="1" t="n">
        <f aca="false">MEDIAN($Q78)</f>
        <v>0</v>
      </c>
      <c r="AV78" s="1" t="n">
        <f aca="false">MEDIAN($R78)</f>
        <v>288854</v>
      </c>
      <c r="AW78" s="1" t="n">
        <f aca="false">MAX($B78)</f>
        <v>759</v>
      </c>
      <c r="AX78" s="1" t="n">
        <f aca="false">MAX($C78)</f>
        <v>1</v>
      </c>
      <c r="AY78" s="1" t="n">
        <f aca="false">MAX($D78)</f>
        <v>569063</v>
      </c>
      <c r="AZ78" s="1" t="n">
        <f aca="false">MAX($E78)</f>
        <v>0</v>
      </c>
      <c r="BA78" s="1" t="n">
        <f aca="false">MAX($F78)</f>
        <v>275</v>
      </c>
      <c r="BB78" s="1" t="n">
        <f aca="false">MAX($G78)</f>
        <v>0</v>
      </c>
      <c r="BC78" s="1" t="n">
        <f aca="false">MAX($H78)</f>
        <v>1</v>
      </c>
      <c r="BD78" s="1" t="n">
        <f aca="false">MAX($I78)</f>
        <v>3.537</v>
      </c>
      <c r="BE78" s="1" t="n">
        <f aca="false">MAX($J78)</f>
        <v>3.64</v>
      </c>
      <c r="BF78" s="1" t="n">
        <f aca="false">MAX($K78)</f>
        <v>0</v>
      </c>
      <c r="BG78" s="1" t="n">
        <f aca="false">MAX($M78)</f>
        <v>780124</v>
      </c>
      <c r="BH78" s="1" t="n">
        <f aca="false">MAX($N78)</f>
        <v>0.04</v>
      </c>
      <c r="BI78" s="1" t="n">
        <f aca="false">MAX($P78)</f>
        <v>3.64</v>
      </c>
      <c r="BJ78" s="1" t="n">
        <f aca="false">MAX($Q78)</f>
        <v>0</v>
      </c>
      <c r="BK78" s="1" t="n">
        <f aca="false">MAX($R78)</f>
        <v>288854</v>
      </c>
    </row>
    <row r="79" customFormat="false" ht="15" hidden="false" customHeight="false" outlineLevel="0" collapsed="false">
      <c r="A79" s="1" t="s">
        <v>96</v>
      </c>
      <c r="B79" s="1" t="n">
        <f aca="false" t="array" ref="B79:B79">_xlfn.SWITCH($A$2,"average", AVERAGE(Instances!B79:B79),"median", MEDIAN(Instances!B79:B79),"min", MIN(Instances!B79:B79),"max", MAX(Instances!B79:B79),"diff", MAX(Instances!B79:B79)-MIN(Instances!B79:B79))</f>
        <v>1082</v>
      </c>
      <c r="C79" s="1" t="n">
        <f aca="false" t="array" ref="C79:C79">_xlfn.SWITCH($A$2,"average", AVERAGE(Instances!C79:C79),"median", MEDIAN(Instances!C79:C79),"min", MIN(Instances!C79:C79),"max", MAX(Instances!C79:C79),"diff", MAX(Instances!C79:C79)-MIN(Instances!C79:C79))</f>
        <v>0</v>
      </c>
      <c r="D79" s="1" t="n">
        <f aca="false" t="array" ref="D79:D79">_xlfn.SWITCH($A$2,"average", AVERAGE(Instances!D79:D79),"median", MEDIAN(Instances!D79:D79),"min", MIN(Instances!D79:D79),"max", MAX(Instances!D79:D79),"diff", MAX(Instances!D79:D79)-MIN(Instances!D79:D79))</f>
        <v>496120</v>
      </c>
      <c r="E79" s="1" t="n">
        <f aca="false" t="array" ref="E79:E79">_xlfn.SWITCH($A$2,"average", AVERAGE(Instances!E79:E79),"median", MEDIAN(Instances!E79:E79),"min", MIN(Instances!E79:E79),"max", MAX(Instances!E79:E79),"diff", MAX(Instances!E79:E79)-MIN(Instances!E79:E79))</f>
        <v>0</v>
      </c>
      <c r="F79" s="1" t="n">
        <f aca="false" t="array" ref="F79:F79">_xlfn.SWITCH($A$2,"average", AVERAGE(Instances!F79:F79),"median", MEDIAN(Instances!F79:F79),"min", MIN(Instances!F79:F79),"max", MAX(Instances!F79:F79),"diff", MAX(Instances!F79:F79)-MIN(Instances!F79:F79))</f>
        <v>251</v>
      </c>
      <c r="G79" s="1" t="n">
        <f aca="false" t="array" ref="G79:G79">_xlfn.SWITCH($A$2,"average", AVERAGE(Instances!G79:G79),"median", MEDIAN(Instances!G79:G79),"min", MIN(Instances!G79:G79),"max", MAX(Instances!G79:G79),"diff", MAX(Instances!G79:G79)-MIN(Instances!G79:G79))</f>
        <v>0</v>
      </c>
      <c r="H79" s="1" t="n">
        <f aca="false" t="array" ref="H79:H79">_xlfn.SWITCH($A$2,"average", AVERAGE(Instances!H79:H79),"median", MEDIAN(Instances!H79:H79),"min", MIN(Instances!H79:H79),"max", MAX(Instances!H79:H79),"diff", MAX(Instances!H79:H79)-MIN(Instances!H79:H79))</f>
        <v>1</v>
      </c>
      <c r="I79" s="1" t="n">
        <f aca="false" t="array" ref="I79:I79">_xlfn.SWITCH($A$2,"average", AVERAGE(Instances!I79:I79),"median", MEDIAN(Instances!I79:I79),"min", MIN(Instances!I79:I79),"max", MAX(Instances!I79:I79),"diff", MAX(Instances!I79:I79)-MIN(Instances!I79:I79))</f>
        <v>3.192</v>
      </c>
      <c r="J79" s="1" t="n">
        <f aca="false" t="array" ref="J79:J79">_xlfn.SWITCH($A$2,"average", AVERAGE(Instances!J79:J79),"median", MEDIAN(Instances!J79:J79),"min", MIN(Instances!J79:J79),"max", MAX(Instances!J79:J79),"diff", MAX(Instances!J79:J79)-MIN(Instances!J79:J79))</f>
        <v>3.28</v>
      </c>
      <c r="K79" s="1" t="n">
        <f aca="false" t="array" ref="K79:K79">_xlfn.SWITCH($A$2,"average", AVERAGE(Instances!K79:K79),"median", MEDIAN(Instances!K79:K79),"min", MIN(Instances!K79:K79),"max", MAX(Instances!K79:K79),"diff", MAX(Instances!K79:K79)-MIN(Instances!K79:K79))</f>
        <v>0</v>
      </c>
      <c r="L79" s="1"/>
      <c r="M79" s="1" t="n">
        <f aca="false" t="array" ref="M79:M79">_xlfn.SWITCH($A$2,"average", AVERAGE(Instances!M79:M79),"median", MEDIAN(Instances!M79:M79),"min", MIN(Instances!M79:M79),"max", MAX(Instances!M79:M79),"diff", MAX(Instances!M79:M79)-MIN(Instances!M79:M79))</f>
        <v>664163</v>
      </c>
      <c r="N79" s="1" t="n">
        <f aca="false" t="array" ref="N79:N79">_xlfn.SWITCH($A$2,"average", AVERAGE(Instances!N79:N79),"median", MEDIAN(Instances!N79:N79),"min", MIN(Instances!N79:N79),"max", MAX(Instances!N79:N79),"diff", MAX(Instances!N79:N79)-MIN(Instances!N79:N79))</f>
        <v>0.04</v>
      </c>
      <c r="O79" s="1"/>
      <c r="P79" s="1" t="n">
        <f aca="false" t="array" ref="P79:P79">_xlfn.SWITCH($A$2,"average", AVERAGE(Instances!P79:P79),"median", MEDIAN(Instances!P79:P79),"min", MIN(Instances!P79:P79),"max", MAX(Instances!P79:P79),"diff", MAX(Instances!P79:P79)-MIN(Instances!P79:P79))</f>
        <v>3.28</v>
      </c>
      <c r="Q79" s="1" t="n">
        <f aca="false" t="array" ref="Q79:Q79">_xlfn.SWITCH($A$2,"average", AVERAGE(Instances!Q79:Q79),"median", MEDIAN(Instances!Q79:Q79),"min", MIN(Instances!Q79:Q79),"max", MAX(Instances!Q79:Q79),"diff", MAX(Instances!Q79:Q79)-MIN(Instances!Q79:Q79))</f>
        <v>0</v>
      </c>
      <c r="R79" s="1" t="n">
        <f aca="false" t="array" ref="R79:R79">_xlfn.SWITCH($A$2,"average", AVERAGE(Instances!R79:R79),"median", MEDIAN(Instances!R79:R79),"min", MIN(Instances!R79:R79),"max", MAX(Instances!R79:R79),"diff", MAX(Instances!R79:R79)-MIN(Instances!R79:R79))</f>
        <v>253961</v>
      </c>
      <c r="S79" s="1" t="n">
        <f aca="false">MIN($B79)</f>
        <v>1082</v>
      </c>
      <c r="T79" s="1" t="n">
        <f aca="false">MIN($C79)</f>
        <v>0</v>
      </c>
      <c r="U79" s="1" t="n">
        <f aca="false">MIN($D79)</f>
        <v>496120</v>
      </c>
      <c r="V79" s="1" t="n">
        <f aca="false">MIN($E79)</f>
        <v>0</v>
      </c>
      <c r="W79" s="1" t="n">
        <f aca="false">MIN($F79)</f>
        <v>251</v>
      </c>
      <c r="X79" s="1" t="n">
        <f aca="false">MIN($G79)</f>
        <v>0</v>
      </c>
      <c r="Y79" s="1" t="n">
        <f aca="false">MIN($H79)</f>
        <v>1</v>
      </c>
      <c r="Z79" s="1" t="n">
        <f aca="false">MIN($I79)</f>
        <v>3.192</v>
      </c>
      <c r="AA79" s="1" t="n">
        <f aca="false">MIN($J79)</f>
        <v>3.28</v>
      </c>
      <c r="AB79" s="1" t="n">
        <f aca="false">MIN($K79)</f>
        <v>0</v>
      </c>
      <c r="AC79" s="1" t="n">
        <f aca="false">MIN($M79)</f>
        <v>664163</v>
      </c>
      <c r="AD79" s="1" t="n">
        <f aca="false">MIN($N79)</f>
        <v>0.04</v>
      </c>
      <c r="AE79" s="1" t="n">
        <f aca="false">MIN($P79)</f>
        <v>3.28</v>
      </c>
      <c r="AF79" s="1" t="n">
        <f aca="false">MIN($Q79)</f>
        <v>0</v>
      </c>
      <c r="AG79" s="1" t="n">
        <f aca="false">MIN($R79)</f>
        <v>253961</v>
      </c>
      <c r="AH79" s="1" t="n">
        <f aca="false">MEDIAN($B79)</f>
        <v>1082</v>
      </c>
      <c r="AI79" s="1" t="n">
        <f aca="false">MEDIAN($C79)</f>
        <v>0</v>
      </c>
      <c r="AJ79" s="1" t="n">
        <f aca="false">MEDIAN($D79)</f>
        <v>496120</v>
      </c>
      <c r="AK79" s="1" t="n">
        <f aca="false">MEDIAN($E79)</f>
        <v>0</v>
      </c>
      <c r="AL79" s="1" t="n">
        <f aca="false">MEDIAN($F79)</f>
        <v>251</v>
      </c>
      <c r="AM79" s="1" t="n">
        <f aca="false">MEDIAN($G79)</f>
        <v>0</v>
      </c>
      <c r="AN79" s="1" t="n">
        <f aca="false">MEDIAN($H79)</f>
        <v>1</v>
      </c>
      <c r="AO79" s="1" t="n">
        <f aca="false">MEDIAN($I79)</f>
        <v>3.192</v>
      </c>
      <c r="AP79" s="1" t="n">
        <f aca="false">MEDIAN($J79)</f>
        <v>3.28</v>
      </c>
      <c r="AQ79" s="1" t="n">
        <f aca="false">MEDIAN($K79)</f>
        <v>0</v>
      </c>
      <c r="AR79" s="1" t="n">
        <f aca="false">MEDIAN($M79)</f>
        <v>664163</v>
      </c>
      <c r="AS79" s="1" t="n">
        <f aca="false">MEDIAN($N79)</f>
        <v>0.04</v>
      </c>
      <c r="AT79" s="1" t="n">
        <f aca="false">MEDIAN($P79)</f>
        <v>3.28</v>
      </c>
      <c r="AU79" s="1" t="n">
        <f aca="false">MEDIAN($Q79)</f>
        <v>0</v>
      </c>
      <c r="AV79" s="1" t="n">
        <f aca="false">MEDIAN($R79)</f>
        <v>253961</v>
      </c>
      <c r="AW79" s="1" t="n">
        <f aca="false">MAX($B79)</f>
        <v>1082</v>
      </c>
      <c r="AX79" s="1" t="n">
        <f aca="false">MAX($C79)</f>
        <v>0</v>
      </c>
      <c r="AY79" s="1" t="n">
        <f aca="false">MAX($D79)</f>
        <v>496120</v>
      </c>
      <c r="AZ79" s="1" t="n">
        <f aca="false">MAX($E79)</f>
        <v>0</v>
      </c>
      <c r="BA79" s="1" t="n">
        <f aca="false">MAX($F79)</f>
        <v>251</v>
      </c>
      <c r="BB79" s="1" t="n">
        <f aca="false">MAX($G79)</f>
        <v>0</v>
      </c>
      <c r="BC79" s="1" t="n">
        <f aca="false">MAX($H79)</f>
        <v>1</v>
      </c>
      <c r="BD79" s="1" t="n">
        <f aca="false">MAX($I79)</f>
        <v>3.192</v>
      </c>
      <c r="BE79" s="1" t="n">
        <f aca="false">MAX($J79)</f>
        <v>3.28</v>
      </c>
      <c r="BF79" s="1" t="n">
        <f aca="false">MAX($K79)</f>
        <v>0</v>
      </c>
      <c r="BG79" s="1" t="n">
        <f aca="false">MAX($M79)</f>
        <v>664163</v>
      </c>
      <c r="BH79" s="1" t="n">
        <f aca="false">MAX($N79)</f>
        <v>0.04</v>
      </c>
      <c r="BI79" s="1" t="n">
        <f aca="false">MAX($P79)</f>
        <v>3.28</v>
      </c>
      <c r="BJ79" s="1" t="n">
        <f aca="false">MAX($Q79)</f>
        <v>0</v>
      </c>
      <c r="BK79" s="1" t="n">
        <f aca="false">MAX($R79)</f>
        <v>253961</v>
      </c>
    </row>
    <row r="80" customFormat="false" ht="15" hidden="false" customHeight="false" outlineLevel="0" collapsed="false">
      <c r="A80" s="1" t="s">
        <v>97</v>
      </c>
      <c r="B80" s="1" t="n">
        <f aca="false" t="array" ref="B80:B80">_xlfn.SWITCH($A$2,"average", AVERAGE(Instances!B80:B80),"median", MEDIAN(Instances!B80:B80),"min", MIN(Instances!B80:B80),"max", MAX(Instances!B80:B80),"diff", MAX(Instances!B80:B80)-MIN(Instances!B80:B80))</f>
        <v>1170</v>
      </c>
      <c r="C80" s="1" t="n">
        <f aca="false" t="array" ref="C80:C80">_xlfn.SWITCH($A$2,"average", AVERAGE(Instances!C80:C80),"median", MEDIAN(Instances!C80:C80),"min", MIN(Instances!C80:C80),"max", MAX(Instances!C80:C80),"diff", MAX(Instances!C80:C80)-MIN(Instances!C80:C80))</f>
        <v>0</v>
      </c>
      <c r="D80" s="1" t="n">
        <f aca="false" t="array" ref="D80:D80">_xlfn.SWITCH($A$2,"average", AVERAGE(Instances!D80:D80),"median", MEDIAN(Instances!D80:D80),"min", MIN(Instances!D80:D80),"max", MAX(Instances!D80:D80),"diff", MAX(Instances!D80:D80)-MIN(Instances!D80:D80))</f>
        <v>596919</v>
      </c>
      <c r="E80" s="1" t="n">
        <f aca="false" t="array" ref="E80:E80">_xlfn.SWITCH($A$2,"average", AVERAGE(Instances!E80:E80),"median", MEDIAN(Instances!E80:E80),"min", MIN(Instances!E80:E80),"max", MAX(Instances!E80:E80),"diff", MAX(Instances!E80:E80)-MIN(Instances!E80:E80))</f>
        <v>0</v>
      </c>
      <c r="F80" s="1" t="n">
        <f aca="false" t="array" ref="F80:F80">_xlfn.SWITCH($A$2,"average", AVERAGE(Instances!F80:F80),"median", MEDIAN(Instances!F80:F80),"min", MIN(Instances!F80:F80),"max", MAX(Instances!F80:F80),"diff", MAX(Instances!F80:F80)-MIN(Instances!F80:F80))</f>
        <v>285</v>
      </c>
      <c r="G80" s="1" t="n">
        <f aca="false" t="array" ref="G80:G80">_xlfn.SWITCH($A$2,"average", AVERAGE(Instances!G80:G80),"median", MEDIAN(Instances!G80:G80),"min", MIN(Instances!G80:G80),"max", MAX(Instances!G80:G80),"diff", MAX(Instances!G80:G80)-MIN(Instances!G80:G80))</f>
        <v>0</v>
      </c>
      <c r="H80" s="1" t="n">
        <f aca="false" t="array" ref="H80:H80">_xlfn.SWITCH($A$2,"average", AVERAGE(Instances!H80:H80),"median", MEDIAN(Instances!H80:H80),"min", MIN(Instances!H80:H80),"max", MAX(Instances!H80:H80),"diff", MAX(Instances!H80:H80)-MIN(Instances!H80:H80))</f>
        <v>1</v>
      </c>
      <c r="I80" s="1" t="n">
        <f aca="false" t="array" ref="I80:I80">_xlfn.SWITCH($A$2,"average", AVERAGE(Instances!I80:I80),"median", MEDIAN(Instances!I80:I80),"min", MIN(Instances!I80:I80),"max", MAX(Instances!I80:I80),"diff", MAX(Instances!I80:I80)-MIN(Instances!I80:I80))</f>
        <v>3.666</v>
      </c>
      <c r="J80" s="1" t="n">
        <f aca="false" t="array" ref="J80:J80">_xlfn.SWITCH($A$2,"average", AVERAGE(Instances!J80:J80),"median", MEDIAN(Instances!J80:J80),"min", MIN(Instances!J80:J80),"max", MAX(Instances!J80:J80),"diff", MAX(Instances!J80:J80)-MIN(Instances!J80:J80))</f>
        <v>3.77</v>
      </c>
      <c r="K80" s="1" t="n">
        <f aca="false" t="array" ref="K80:K80">_xlfn.SWITCH($A$2,"average", AVERAGE(Instances!K80:K80),"median", MEDIAN(Instances!K80:K80),"min", MIN(Instances!K80:K80),"max", MAX(Instances!K80:K80),"diff", MAX(Instances!K80:K80)-MIN(Instances!K80:K80))</f>
        <v>0</v>
      </c>
      <c r="L80" s="1"/>
      <c r="M80" s="1" t="n">
        <f aca="false" t="array" ref="M80:M80">_xlfn.SWITCH($A$2,"average", AVERAGE(Instances!M80:M80),"median", MEDIAN(Instances!M80:M80),"min", MIN(Instances!M80:M80),"max", MAX(Instances!M80:M80),"diff", MAX(Instances!M80:M80)-MIN(Instances!M80:M80))</f>
        <v>802968</v>
      </c>
      <c r="N80" s="1" t="n">
        <f aca="false" t="array" ref="N80:N80">_xlfn.SWITCH($A$2,"average", AVERAGE(Instances!N80:N80),"median", MEDIAN(Instances!N80:N80),"min", MIN(Instances!N80:N80),"max", MAX(Instances!N80:N80),"diff", MAX(Instances!N80:N80)-MIN(Instances!N80:N80))</f>
        <v>0.04</v>
      </c>
      <c r="O80" s="1"/>
      <c r="P80" s="1" t="n">
        <f aca="false" t="array" ref="P80:P80">_xlfn.SWITCH($A$2,"average", AVERAGE(Instances!P80:P80),"median", MEDIAN(Instances!P80:P80),"min", MIN(Instances!P80:P80),"max", MAX(Instances!P80:P80),"diff", MAX(Instances!P80:P80)-MIN(Instances!P80:P80))</f>
        <v>3.77</v>
      </c>
      <c r="Q80" s="1" t="n">
        <f aca="false" t="array" ref="Q80:Q80">_xlfn.SWITCH($A$2,"average", AVERAGE(Instances!Q80:Q80),"median", MEDIAN(Instances!Q80:Q80),"min", MIN(Instances!Q80:Q80),"max", MAX(Instances!Q80:Q80),"diff", MAX(Instances!Q80:Q80)-MIN(Instances!Q80:Q80))</f>
        <v>0</v>
      </c>
      <c r="R80" s="1" t="n">
        <f aca="false" t="array" ref="R80:R80">_xlfn.SWITCH($A$2,"average", AVERAGE(Instances!R80:R80),"median", MEDIAN(Instances!R80:R80),"min", MIN(Instances!R80:R80),"max", MAX(Instances!R80:R80),"diff", MAX(Instances!R80:R80)-MIN(Instances!R80:R80))</f>
        <v>298645</v>
      </c>
      <c r="S80" s="1" t="n">
        <f aca="false">MIN($B80)</f>
        <v>1170</v>
      </c>
      <c r="T80" s="1" t="n">
        <f aca="false">MIN($C80)</f>
        <v>0</v>
      </c>
      <c r="U80" s="1" t="n">
        <f aca="false">MIN($D80)</f>
        <v>596919</v>
      </c>
      <c r="V80" s="1" t="n">
        <f aca="false">MIN($E80)</f>
        <v>0</v>
      </c>
      <c r="W80" s="1" t="n">
        <f aca="false">MIN($F80)</f>
        <v>285</v>
      </c>
      <c r="X80" s="1" t="n">
        <f aca="false">MIN($G80)</f>
        <v>0</v>
      </c>
      <c r="Y80" s="1" t="n">
        <f aca="false">MIN($H80)</f>
        <v>1</v>
      </c>
      <c r="Z80" s="1" t="n">
        <f aca="false">MIN($I80)</f>
        <v>3.666</v>
      </c>
      <c r="AA80" s="1" t="n">
        <f aca="false">MIN($J80)</f>
        <v>3.77</v>
      </c>
      <c r="AB80" s="1" t="n">
        <f aca="false">MIN($K80)</f>
        <v>0</v>
      </c>
      <c r="AC80" s="1" t="n">
        <f aca="false">MIN($M80)</f>
        <v>802968</v>
      </c>
      <c r="AD80" s="1" t="n">
        <f aca="false">MIN($N80)</f>
        <v>0.04</v>
      </c>
      <c r="AE80" s="1" t="n">
        <f aca="false">MIN($P80)</f>
        <v>3.77</v>
      </c>
      <c r="AF80" s="1" t="n">
        <f aca="false">MIN($Q80)</f>
        <v>0</v>
      </c>
      <c r="AG80" s="1" t="n">
        <f aca="false">MIN($R80)</f>
        <v>298645</v>
      </c>
      <c r="AH80" s="1" t="n">
        <f aca="false">MEDIAN($B80)</f>
        <v>1170</v>
      </c>
      <c r="AI80" s="1" t="n">
        <f aca="false">MEDIAN($C80)</f>
        <v>0</v>
      </c>
      <c r="AJ80" s="1" t="n">
        <f aca="false">MEDIAN($D80)</f>
        <v>596919</v>
      </c>
      <c r="AK80" s="1" t="n">
        <f aca="false">MEDIAN($E80)</f>
        <v>0</v>
      </c>
      <c r="AL80" s="1" t="n">
        <f aca="false">MEDIAN($F80)</f>
        <v>285</v>
      </c>
      <c r="AM80" s="1" t="n">
        <f aca="false">MEDIAN($G80)</f>
        <v>0</v>
      </c>
      <c r="AN80" s="1" t="n">
        <f aca="false">MEDIAN($H80)</f>
        <v>1</v>
      </c>
      <c r="AO80" s="1" t="n">
        <f aca="false">MEDIAN($I80)</f>
        <v>3.666</v>
      </c>
      <c r="AP80" s="1" t="n">
        <f aca="false">MEDIAN($J80)</f>
        <v>3.77</v>
      </c>
      <c r="AQ80" s="1" t="n">
        <f aca="false">MEDIAN($K80)</f>
        <v>0</v>
      </c>
      <c r="AR80" s="1" t="n">
        <f aca="false">MEDIAN($M80)</f>
        <v>802968</v>
      </c>
      <c r="AS80" s="1" t="n">
        <f aca="false">MEDIAN($N80)</f>
        <v>0.04</v>
      </c>
      <c r="AT80" s="1" t="n">
        <f aca="false">MEDIAN($P80)</f>
        <v>3.77</v>
      </c>
      <c r="AU80" s="1" t="n">
        <f aca="false">MEDIAN($Q80)</f>
        <v>0</v>
      </c>
      <c r="AV80" s="1" t="n">
        <f aca="false">MEDIAN($R80)</f>
        <v>298645</v>
      </c>
      <c r="AW80" s="1" t="n">
        <f aca="false">MAX($B80)</f>
        <v>1170</v>
      </c>
      <c r="AX80" s="1" t="n">
        <f aca="false">MAX($C80)</f>
        <v>0</v>
      </c>
      <c r="AY80" s="1" t="n">
        <f aca="false">MAX($D80)</f>
        <v>596919</v>
      </c>
      <c r="AZ80" s="1" t="n">
        <f aca="false">MAX($E80)</f>
        <v>0</v>
      </c>
      <c r="BA80" s="1" t="n">
        <f aca="false">MAX($F80)</f>
        <v>285</v>
      </c>
      <c r="BB80" s="1" t="n">
        <f aca="false">MAX($G80)</f>
        <v>0</v>
      </c>
      <c r="BC80" s="1" t="n">
        <f aca="false">MAX($H80)</f>
        <v>1</v>
      </c>
      <c r="BD80" s="1" t="n">
        <f aca="false">MAX($I80)</f>
        <v>3.666</v>
      </c>
      <c r="BE80" s="1" t="n">
        <f aca="false">MAX($J80)</f>
        <v>3.77</v>
      </c>
      <c r="BF80" s="1" t="n">
        <f aca="false">MAX($K80)</f>
        <v>0</v>
      </c>
      <c r="BG80" s="1" t="n">
        <f aca="false">MAX($M80)</f>
        <v>802968</v>
      </c>
      <c r="BH80" s="1" t="n">
        <f aca="false">MAX($N80)</f>
        <v>0.04</v>
      </c>
      <c r="BI80" s="1" t="n">
        <f aca="false">MAX($P80)</f>
        <v>3.77</v>
      </c>
      <c r="BJ80" s="1" t="n">
        <f aca="false">MAX($Q80)</f>
        <v>0</v>
      </c>
      <c r="BK80" s="1" t="n">
        <f aca="false">MAX($R80)</f>
        <v>298645</v>
      </c>
    </row>
    <row r="81" customFormat="false" ht="15" hidden="false" customHeight="false" outlineLevel="0" collapsed="false">
      <c r="A81" s="1" t="s">
        <v>98</v>
      </c>
      <c r="B81" s="1" t="n">
        <f aca="false" t="array" ref="B81:B81">_xlfn.SWITCH($A$2,"average", AVERAGE(Instances!B81:B81),"median", MEDIAN(Instances!B81:B81),"min", MIN(Instances!B81:B81),"max", MAX(Instances!B81:B81),"diff", MAX(Instances!B81:B81)-MIN(Instances!B81:B81))</f>
        <v>433</v>
      </c>
      <c r="C81" s="1" t="n">
        <f aca="false" t="array" ref="C81:C81">_xlfn.SWITCH($A$2,"average", AVERAGE(Instances!C81:C81),"median", MEDIAN(Instances!C81:C81),"min", MIN(Instances!C81:C81),"max", MAX(Instances!C81:C81),"diff", MAX(Instances!C81:C81)-MIN(Instances!C81:C81))</f>
        <v>0</v>
      </c>
      <c r="D81" s="1" t="n">
        <f aca="false" t="array" ref="D81:D81">_xlfn.SWITCH($A$2,"average", AVERAGE(Instances!D81:D81),"median", MEDIAN(Instances!D81:D81),"min", MIN(Instances!D81:D81),"max", MAX(Instances!D81:D81),"diff", MAX(Instances!D81:D81)-MIN(Instances!D81:D81))</f>
        <v>284784</v>
      </c>
      <c r="E81" s="1" t="n">
        <f aca="false" t="array" ref="E81:E81">_xlfn.SWITCH($A$2,"average", AVERAGE(Instances!E81:E81),"median", MEDIAN(Instances!E81:E81),"min", MIN(Instances!E81:E81),"max", MAX(Instances!E81:E81),"diff", MAX(Instances!E81:E81)-MIN(Instances!E81:E81))</f>
        <v>0</v>
      </c>
      <c r="F81" s="1" t="n">
        <f aca="false" t="array" ref="F81:F81">_xlfn.SWITCH($A$2,"average", AVERAGE(Instances!F81:F81),"median", MEDIAN(Instances!F81:F81),"min", MIN(Instances!F81:F81),"max", MAX(Instances!F81:F81),"diff", MAX(Instances!F81:F81)-MIN(Instances!F81:F81))</f>
        <v>180</v>
      </c>
      <c r="G81" s="1" t="n">
        <f aca="false" t="array" ref="G81:G81">_xlfn.SWITCH($A$2,"average", AVERAGE(Instances!G81:G81),"median", MEDIAN(Instances!G81:G81),"min", MIN(Instances!G81:G81),"max", MAX(Instances!G81:G81),"diff", MAX(Instances!G81:G81)-MIN(Instances!G81:G81))</f>
        <v>0</v>
      </c>
      <c r="H81" s="1" t="n">
        <f aca="false" t="array" ref="H81:H81">_xlfn.SWITCH($A$2,"average", AVERAGE(Instances!H81:H81),"median", MEDIAN(Instances!H81:H81),"min", MIN(Instances!H81:H81),"max", MAX(Instances!H81:H81),"diff", MAX(Instances!H81:H81)-MIN(Instances!H81:H81))</f>
        <v>1</v>
      </c>
      <c r="I81" s="1" t="n">
        <f aca="false" t="array" ref="I81:I81">_xlfn.SWITCH($A$2,"average", AVERAGE(Instances!I81:I81),"median", MEDIAN(Instances!I81:I81),"min", MIN(Instances!I81:I81),"max", MAX(Instances!I81:I81),"diff", MAX(Instances!I81:I81)-MIN(Instances!I81:I81))</f>
        <v>2.357</v>
      </c>
      <c r="J81" s="1" t="n">
        <f aca="false" t="array" ref="J81:J81">_xlfn.SWITCH($A$2,"average", AVERAGE(Instances!J81:J81),"median", MEDIAN(Instances!J81:J81),"min", MIN(Instances!J81:J81),"max", MAX(Instances!J81:J81),"diff", MAX(Instances!J81:J81)-MIN(Instances!J81:J81))</f>
        <v>2.42</v>
      </c>
      <c r="K81" s="1" t="n">
        <f aca="false" t="array" ref="K81:K81">_xlfn.SWITCH($A$2,"average", AVERAGE(Instances!K81:K81),"median", MEDIAN(Instances!K81:K81),"min", MIN(Instances!K81:K81),"max", MAX(Instances!K81:K81),"diff", MAX(Instances!K81:K81)-MIN(Instances!K81:K81))</f>
        <v>0</v>
      </c>
      <c r="L81" s="1"/>
      <c r="M81" s="1" t="n">
        <f aca="false" t="array" ref="M81:M81">_xlfn.SWITCH($A$2,"average", AVERAGE(Instances!M81:M81),"median", MEDIAN(Instances!M81:M81),"min", MIN(Instances!M81:M81),"max", MAX(Instances!M81:M81),"diff", MAX(Instances!M81:M81)-MIN(Instances!M81:M81))</f>
        <v>498398</v>
      </c>
      <c r="N81" s="1" t="n">
        <f aca="false" t="array" ref="N81:N81">_xlfn.SWITCH($A$2,"average", AVERAGE(Instances!N81:N81),"median", MEDIAN(Instances!N81:N81),"min", MIN(Instances!N81:N81),"max", MAX(Instances!N81:N81),"diff", MAX(Instances!N81:N81)-MIN(Instances!N81:N81))</f>
        <v>0.02</v>
      </c>
      <c r="O81" s="1"/>
      <c r="P81" s="1" t="n">
        <f aca="false" t="array" ref="P81:P81">_xlfn.SWITCH($A$2,"average", AVERAGE(Instances!P81:P81),"median", MEDIAN(Instances!P81:P81),"min", MIN(Instances!P81:P81),"max", MAX(Instances!P81:P81),"diff", MAX(Instances!P81:P81)-MIN(Instances!P81:P81))</f>
        <v>2.42</v>
      </c>
      <c r="Q81" s="1" t="n">
        <f aca="false" t="array" ref="Q81:Q81">_xlfn.SWITCH($A$2,"average", AVERAGE(Instances!Q81:Q81),"median", MEDIAN(Instances!Q81:Q81),"min", MIN(Instances!Q81:Q81),"max", MAX(Instances!Q81:Q81),"diff", MAX(Instances!Q81:Q81)-MIN(Instances!Q81:Q81))</f>
        <v>0</v>
      </c>
      <c r="R81" s="1" t="n">
        <f aca="false" t="array" ref="R81:R81">_xlfn.SWITCH($A$2,"average", AVERAGE(Instances!R81:R81),"median", MEDIAN(Instances!R81:R81),"min", MIN(Instances!R81:R81),"max", MAX(Instances!R81:R81),"diff", MAX(Instances!R81:R81)-MIN(Instances!R81:R81))</f>
        <v>184777</v>
      </c>
      <c r="S81" s="1" t="n">
        <f aca="false">MIN($B81)</f>
        <v>433</v>
      </c>
      <c r="T81" s="1" t="n">
        <f aca="false">MIN($C81)</f>
        <v>0</v>
      </c>
      <c r="U81" s="1" t="n">
        <f aca="false">MIN($D81)</f>
        <v>284784</v>
      </c>
      <c r="V81" s="1" t="n">
        <f aca="false">MIN($E81)</f>
        <v>0</v>
      </c>
      <c r="W81" s="1" t="n">
        <f aca="false">MIN($F81)</f>
        <v>180</v>
      </c>
      <c r="X81" s="1" t="n">
        <f aca="false">MIN($G81)</f>
        <v>0</v>
      </c>
      <c r="Y81" s="1" t="n">
        <f aca="false">MIN($H81)</f>
        <v>1</v>
      </c>
      <c r="Z81" s="1" t="n">
        <f aca="false">MIN($I81)</f>
        <v>2.357</v>
      </c>
      <c r="AA81" s="1" t="n">
        <f aca="false">MIN($J81)</f>
        <v>2.42</v>
      </c>
      <c r="AB81" s="1" t="n">
        <f aca="false">MIN($K81)</f>
        <v>0</v>
      </c>
      <c r="AC81" s="1" t="n">
        <f aca="false">MIN($M81)</f>
        <v>498398</v>
      </c>
      <c r="AD81" s="1" t="n">
        <f aca="false">MIN($N81)</f>
        <v>0.02</v>
      </c>
      <c r="AE81" s="1" t="n">
        <f aca="false">MIN($P81)</f>
        <v>2.42</v>
      </c>
      <c r="AF81" s="1" t="n">
        <f aca="false">MIN($Q81)</f>
        <v>0</v>
      </c>
      <c r="AG81" s="1" t="n">
        <f aca="false">MIN($R81)</f>
        <v>184777</v>
      </c>
      <c r="AH81" s="1" t="n">
        <f aca="false">MEDIAN($B81)</f>
        <v>433</v>
      </c>
      <c r="AI81" s="1" t="n">
        <f aca="false">MEDIAN($C81)</f>
        <v>0</v>
      </c>
      <c r="AJ81" s="1" t="n">
        <f aca="false">MEDIAN($D81)</f>
        <v>284784</v>
      </c>
      <c r="AK81" s="1" t="n">
        <f aca="false">MEDIAN($E81)</f>
        <v>0</v>
      </c>
      <c r="AL81" s="1" t="n">
        <f aca="false">MEDIAN($F81)</f>
        <v>180</v>
      </c>
      <c r="AM81" s="1" t="n">
        <f aca="false">MEDIAN($G81)</f>
        <v>0</v>
      </c>
      <c r="AN81" s="1" t="n">
        <f aca="false">MEDIAN($H81)</f>
        <v>1</v>
      </c>
      <c r="AO81" s="1" t="n">
        <f aca="false">MEDIAN($I81)</f>
        <v>2.357</v>
      </c>
      <c r="AP81" s="1" t="n">
        <f aca="false">MEDIAN($J81)</f>
        <v>2.42</v>
      </c>
      <c r="AQ81" s="1" t="n">
        <f aca="false">MEDIAN($K81)</f>
        <v>0</v>
      </c>
      <c r="AR81" s="1" t="n">
        <f aca="false">MEDIAN($M81)</f>
        <v>498398</v>
      </c>
      <c r="AS81" s="1" t="n">
        <f aca="false">MEDIAN($N81)</f>
        <v>0.02</v>
      </c>
      <c r="AT81" s="1" t="n">
        <f aca="false">MEDIAN($P81)</f>
        <v>2.42</v>
      </c>
      <c r="AU81" s="1" t="n">
        <f aca="false">MEDIAN($Q81)</f>
        <v>0</v>
      </c>
      <c r="AV81" s="1" t="n">
        <f aca="false">MEDIAN($R81)</f>
        <v>184777</v>
      </c>
      <c r="AW81" s="1" t="n">
        <f aca="false">MAX($B81)</f>
        <v>433</v>
      </c>
      <c r="AX81" s="1" t="n">
        <f aca="false">MAX($C81)</f>
        <v>0</v>
      </c>
      <c r="AY81" s="1" t="n">
        <f aca="false">MAX($D81)</f>
        <v>284784</v>
      </c>
      <c r="AZ81" s="1" t="n">
        <f aca="false">MAX($E81)</f>
        <v>0</v>
      </c>
      <c r="BA81" s="1" t="n">
        <f aca="false">MAX($F81)</f>
        <v>180</v>
      </c>
      <c r="BB81" s="1" t="n">
        <f aca="false">MAX($G81)</f>
        <v>0</v>
      </c>
      <c r="BC81" s="1" t="n">
        <f aca="false">MAX($H81)</f>
        <v>1</v>
      </c>
      <c r="BD81" s="1" t="n">
        <f aca="false">MAX($I81)</f>
        <v>2.357</v>
      </c>
      <c r="BE81" s="1" t="n">
        <f aca="false">MAX($J81)</f>
        <v>2.42</v>
      </c>
      <c r="BF81" s="1" t="n">
        <f aca="false">MAX($K81)</f>
        <v>0</v>
      </c>
      <c r="BG81" s="1" t="n">
        <f aca="false">MAX($M81)</f>
        <v>498398</v>
      </c>
      <c r="BH81" s="1" t="n">
        <f aca="false">MAX($N81)</f>
        <v>0.02</v>
      </c>
      <c r="BI81" s="1" t="n">
        <f aca="false">MAX($P81)</f>
        <v>2.42</v>
      </c>
      <c r="BJ81" s="1" t="n">
        <f aca="false">MAX($Q81)</f>
        <v>0</v>
      </c>
      <c r="BK81" s="1" t="n">
        <f aca="false">MAX($R81)</f>
        <v>184777</v>
      </c>
    </row>
    <row r="82" customFormat="false" ht="15" hidden="false" customHeight="false" outlineLevel="0" collapsed="false">
      <c r="A82" s="1" t="s">
        <v>99</v>
      </c>
      <c r="B82" s="1" t="n">
        <f aca="false" t="array" ref="B82:B82">_xlfn.SWITCH($A$2,"average", AVERAGE(Instances!B82:B82),"median", MEDIAN(Instances!B82:B82),"min", MIN(Instances!B82:B82),"max", MAX(Instances!B82:B82),"diff", MAX(Instances!B82:B82)-MIN(Instances!B82:B82))</f>
        <v>1204</v>
      </c>
      <c r="C82" s="1" t="n">
        <f aca="false" t="array" ref="C82:C82">_xlfn.SWITCH($A$2,"average", AVERAGE(Instances!C82:C82),"median", MEDIAN(Instances!C82:C82),"min", MIN(Instances!C82:C82),"max", MAX(Instances!C82:C82),"diff", MAX(Instances!C82:C82)-MIN(Instances!C82:C82))</f>
        <v>1</v>
      </c>
      <c r="D82" s="1" t="n">
        <f aca="false" t="array" ref="D82:D82">_xlfn.SWITCH($A$2,"average", AVERAGE(Instances!D82:D82),"median", MEDIAN(Instances!D82:D82),"min", MIN(Instances!D82:D82),"max", MAX(Instances!D82:D82),"diff", MAX(Instances!D82:D82)-MIN(Instances!D82:D82))</f>
        <v>866482</v>
      </c>
      <c r="E82" s="1" t="n">
        <f aca="false" t="array" ref="E82:E82">_xlfn.SWITCH($A$2,"average", AVERAGE(Instances!E82:E82),"median", MEDIAN(Instances!E82:E82),"min", MIN(Instances!E82:E82),"max", MAX(Instances!E82:E82),"diff", MAX(Instances!E82:E82)-MIN(Instances!E82:E82))</f>
        <v>0</v>
      </c>
      <c r="F82" s="1" t="n">
        <f aca="false" t="array" ref="F82:F82">_xlfn.SWITCH($A$2,"average", AVERAGE(Instances!F82:F82),"median", MEDIAN(Instances!F82:F82),"min", MIN(Instances!F82:F82),"max", MAX(Instances!F82:F82),"diff", MAX(Instances!F82:F82)-MIN(Instances!F82:F82))</f>
        <v>419</v>
      </c>
      <c r="G82" s="1" t="n">
        <f aca="false" t="array" ref="G82:G82">_xlfn.SWITCH($A$2,"average", AVERAGE(Instances!G82:G82),"median", MEDIAN(Instances!G82:G82),"min", MIN(Instances!G82:G82),"max", MAX(Instances!G82:G82),"diff", MAX(Instances!G82:G82)-MIN(Instances!G82:G82))</f>
        <v>0</v>
      </c>
      <c r="H82" s="1" t="n">
        <f aca="false" t="array" ref="H82:H82">_xlfn.SWITCH($A$2,"average", AVERAGE(Instances!H82:H82),"median", MEDIAN(Instances!H82:H82),"min", MIN(Instances!H82:H82),"max", MAX(Instances!H82:H82),"diff", MAX(Instances!H82:H82)-MIN(Instances!H82:H82))</f>
        <v>1</v>
      </c>
      <c r="I82" s="1" t="n">
        <f aca="false" t="array" ref="I82:I82">_xlfn.SWITCH($A$2,"average", AVERAGE(Instances!I82:I82),"median", MEDIAN(Instances!I82:I82),"min", MIN(Instances!I82:I82),"max", MAX(Instances!I82:I82),"diff", MAX(Instances!I82:I82)-MIN(Instances!I82:I82))</f>
        <v>5.657</v>
      </c>
      <c r="J82" s="1" t="n">
        <f aca="false" t="array" ref="J82:J82">_xlfn.SWITCH($A$2,"average", AVERAGE(Instances!J82:J82),"median", MEDIAN(Instances!J82:J82),"min", MIN(Instances!J82:J82),"max", MAX(Instances!J82:J82),"diff", MAX(Instances!J82:J82)-MIN(Instances!J82:J82))</f>
        <v>5.81</v>
      </c>
      <c r="K82" s="1" t="n">
        <f aca="false" t="array" ref="K82:K82">_xlfn.SWITCH($A$2,"average", AVERAGE(Instances!K82:K82),"median", MEDIAN(Instances!K82:K82),"min", MIN(Instances!K82:K82),"max", MAX(Instances!K82:K82),"diff", MAX(Instances!K82:K82)-MIN(Instances!K82:K82))</f>
        <v>0</v>
      </c>
      <c r="L82" s="1"/>
      <c r="M82" s="1" t="n">
        <f aca="false" t="array" ref="M82:M82">_xlfn.SWITCH($A$2,"average", AVERAGE(Instances!M82:M82),"median", MEDIAN(Instances!M82:M82),"min", MIN(Instances!M82:M82),"max", MAX(Instances!M82:M82),"diff", MAX(Instances!M82:M82)-MIN(Instances!M82:M82))</f>
        <v>1269512</v>
      </c>
      <c r="N82" s="1" t="n">
        <f aca="false" t="array" ref="N82:N82">_xlfn.SWITCH($A$2,"average", AVERAGE(Instances!N82:N82),"median", MEDIAN(Instances!N82:N82),"min", MIN(Instances!N82:N82),"max", MAX(Instances!N82:N82),"diff", MAX(Instances!N82:N82)-MIN(Instances!N82:N82))</f>
        <v>0.06</v>
      </c>
      <c r="O82" s="1"/>
      <c r="P82" s="1" t="n">
        <f aca="false" t="array" ref="P82:P82">_xlfn.SWITCH($A$2,"average", AVERAGE(Instances!P82:P82),"median", MEDIAN(Instances!P82:P82),"min", MIN(Instances!P82:P82),"max", MAX(Instances!P82:P82),"diff", MAX(Instances!P82:P82)-MIN(Instances!P82:P82))</f>
        <v>5.81</v>
      </c>
      <c r="Q82" s="1" t="n">
        <f aca="false" t="array" ref="Q82:Q82">_xlfn.SWITCH($A$2,"average", AVERAGE(Instances!Q82:Q82),"median", MEDIAN(Instances!Q82:Q82),"min", MIN(Instances!Q82:Q82),"max", MAX(Instances!Q82:Q82),"diff", MAX(Instances!Q82:Q82)-MIN(Instances!Q82:Q82))</f>
        <v>0</v>
      </c>
      <c r="R82" s="1" t="n">
        <f aca="false" t="array" ref="R82:R82">_xlfn.SWITCH($A$2,"average", AVERAGE(Instances!R82:R82),"median", MEDIAN(Instances!R82:R82),"min", MIN(Instances!R82:R82),"max", MAX(Instances!R82:R82),"diff", MAX(Instances!R82:R82)-MIN(Instances!R82:R82))</f>
        <v>427885</v>
      </c>
      <c r="S82" s="1" t="n">
        <f aca="false">MIN($B82)</f>
        <v>1204</v>
      </c>
      <c r="T82" s="1" t="n">
        <f aca="false">MIN($C82)</f>
        <v>1</v>
      </c>
      <c r="U82" s="1" t="n">
        <f aca="false">MIN($D82)</f>
        <v>866482</v>
      </c>
      <c r="V82" s="1" t="n">
        <f aca="false">MIN($E82)</f>
        <v>0</v>
      </c>
      <c r="W82" s="1" t="n">
        <f aca="false">MIN($F82)</f>
        <v>419</v>
      </c>
      <c r="X82" s="1" t="n">
        <f aca="false">MIN($G82)</f>
        <v>0</v>
      </c>
      <c r="Y82" s="1" t="n">
        <f aca="false">MIN($H82)</f>
        <v>1</v>
      </c>
      <c r="Z82" s="1" t="n">
        <f aca="false">MIN($I82)</f>
        <v>5.657</v>
      </c>
      <c r="AA82" s="1" t="n">
        <f aca="false">MIN($J82)</f>
        <v>5.81</v>
      </c>
      <c r="AB82" s="1" t="n">
        <f aca="false">MIN($K82)</f>
        <v>0</v>
      </c>
      <c r="AC82" s="1" t="n">
        <f aca="false">MIN($M82)</f>
        <v>1269512</v>
      </c>
      <c r="AD82" s="1" t="n">
        <f aca="false">MIN($N82)</f>
        <v>0.06</v>
      </c>
      <c r="AE82" s="1" t="n">
        <f aca="false">MIN($P82)</f>
        <v>5.81</v>
      </c>
      <c r="AF82" s="1" t="n">
        <f aca="false">MIN($Q82)</f>
        <v>0</v>
      </c>
      <c r="AG82" s="1" t="n">
        <f aca="false">MIN($R82)</f>
        <v>427885</v>
      </c>
      <c r="AH82" s="1" t="n">
        <f aca="false">MEDIAN($B82)</f>
        <v>1204</v>
      </c>
      <c r="AI82" s="1" t="n">
        <f aca="false">MEDIAN($C82)</f>
        <v>1</v>
      </c>
      <c r="AJ82" s="1" t="n">
        <f aca="false">MEDIAN($D82)</f>
        <v>866482</v>
      </c>
      <c r="AK82" s="1" t="n">
        <f aca="false">MEDIAN($E82)</f>
        <v>0</v>
      </c>
      <c r="AL82" s="1" t="n">
        <f aca="false">MEDIAN($F82)</f>
        <v>419</v>
      </c>
      <c r="AM82" s="1" t="n">
        <f aca="false">MEDIAN($G82)</f>
        <v>0</v>
      </c>
      <c r="AN82" s="1" t="n">
        <f aca="false">MEDIAN($H82)</f>
        <v>1</v>
      </c>
      <c r="AO82" s="1" t="n">
        <f aca="false">MEDIAN($I82)</f>
        <v>5.657</v>
      </c>
      <c r="AP82" s="1" t="n">
        <f aca="false">MEDIAN($J82)</f>
        <v>5.81</v>
      </c>
      <c r="AQ82" s="1" t="n">
        <f aca="false">MEDIAN($K82)</f>
        <v>0</v>
      </c>
      <c r="AR82" s="1" t="n">
        <f aca="false">MEDIAN($M82)</f>
        <v>1269512</v>
      </c>
      <c r="AS82" s="1" t="n">
        <f aca="false">MEDIAN($N82)</f>
        <v>0.06</v>
      </c>
      <c r="AT82" s="1" t="n">
        <f aca="false">MEDIAN($P82)</f>
        <v>5.81</v>
      </c>
      <c r="AU82" s="1" t="n">
        <f aca="false">MEDIAN($Q82)</f>
        <v>0</v>
      </c>
      <c r="AV82" s="1" t="n">
        <f aca="false">MEDIAN($R82)</f>
        <v>427885</v>
      </c>
      <c r="AW82" s="1" t="n">
        <f aca="false">MAX($B82)</f>
        <v>1204</v>
      </c>
      <c r="AX82" s="1" t="n">
        <f aca="false">MAX($C82)</f>
        <v>1</v>
      </c>
      <c r="AY82" s="1" t="n">
        <f aca="false">MAX($D82)</f>
        <v>866482</v>
      </c>
      <c r="AZ82" s="1" t="n">
        <f aca="false">MAX($E82)</f>
        <v>0</v>
      </c>
      <c r="BA82" s="1" t="n">
        <f aca="false">MAX($F82)</f>
        <v>419</v>
      </c>
      <c r="BB82" s="1" t="n">
        <f aca="false">MAX($G82)</f>
        <v>0</v>
      </c>
      <c r="BC82" s="1" t="n">
        <f aca="false">MAX($H82)</f>
        <v>1</v>
      </c>
      <c r="BD82" s="1" t="n">
        <f aca="false">MAX($I82)</f>
        <v>5.657</v>
      </c>
      <c r="BE82" s="1" t="n">
        <f aca="false">MAX($J82)</f>
        <v>5.81</v>
      </c>
      <c r="BF82" s="1" t="n">
        <f aca="false">MAX($K82)</f>
        <v>0</v>
      </c>
      <c r="BG82" s="1" t="n">
        <f aca="false">MAX($M82)</f>
        <v>1269512</v>
      </c>
      <c r="BH82" s="1" t="n">
        <f aca="false">MAX($N82)</f>
        <v>0.06</v>
      </c>
      <c r="BI82" s="1" t="n">
        <f aca="false">MAX($P82)</f>
        <v>5.81</v>
      </c>
      <c r="BJ82" s="1" t="n">
        <f aca="false">MAX($Q82)</f>
        <v>0</v>
      </c>
      <c r="BK82" s="1" t="n">
        <f aca="false">MAX($R82)</f>
        <v>427885</v>
      </c>
    </row>
    <row r="83" customFormat="false" ht="15" hidden="false" customHeight="false" outlineLevel="0" collapsed="false">
      <c r="A83" s="1" t="s">
        <v>100</v>
      </c>
      <c r="B83" s="1" t="n">
        <f aca="false" t="array" ref="B83:B83">_xlfn.SWITCH($A$2,"average", AVERAGE(Instances!B83:B83),"median", MEDIAN(Instances!B83:B83),"min", MIN(Instances!B83:B83),"max", MAX(Instances!B83:B83),"diff", MAX(Instances!B83:B83)-MIN(Instances!B83:B83))</f>
        <v>1619</v>
      </c>
      <c r="C83" s="1" t="n">
        <f aca="false" t="array" ref="C83:C83">_xlfn.SWITCH($A$2,"average", AVERAGE(Instances!C83:C83),"median", MEDIAN(Instances!C83:C83),"min", MIN(Instances!C83:C83),"max", MAX(Instances!C83:C83),"diff", MAX(Instances!C83:C83)-MIN(Instances!C83:C83))</f>
        <v>2</v>
      </c>
      <c r="D83" s="1" t="n">
        <f aca="false" t="array" ref="D83:D83">_xlfn.SWITCH($A$2,"average", AVERAGE(Instances!D83:D83),"median", MEDIAN(Instances!D83:D83),"min", MIN(Instances!D83:D83),"max", MAX(Instances!D83:D83),"diff", MAX(Instances!D83:D83)-MIN(Instances!D83:D83))</f>
        <v>830071</v>
      </c>
      <c r="E83" s="1" t="n">
        <f aca="false" t="array" ref="E83:E83">_xlfn.SWITCH($A$2,"average", AVERAGE(Instances!E83:E83),"median", MEDIAN(Instances!E83:E83),"min", MIN(Instances!E83:E83),"max", MAX(Instances!E83:E83),"diff", MAX(Instances!E83:E83)-MIN(Instances!E83:E83))</f>
        <v>0</v>
      </c>
      <c r="F83" s="1" t="n">
        <f aca="false" t="array" ref="F83:F83">_xlfn.SWITCH($A$2,"average", AVERAGE(Instances!F83:F83),"median", MEDIAN(Instances!F83:F83),"min", MIN(Instances!F83:F83),"max", MAX(Instances!F83:F83),"diff", MAX(Instances!F83:F83)-MIN(Instances!F83:F83))</f>
        <v>385</v>
      </c>
      <c r="G83" s="1" t="n">
        <f aca="false" t="array" ref="G83:G83">_xlfn.SWITCH($A$2,"average", AVERAGE(Instances!G83:G83),"median", MEDIAN(Instances!G83:G83),"min", MIN(Instances!G83:G83),"max", MAX(Instances!G83:G83),"diff", MAX(Instances!G83:G83)-MIN(Instances!G83:G83))</f>
        <v>0</v>
      </c>
      <c r="H83" s="1" t="n">
        <f aca="false" t="array" ref="H83:H83">_xlfn.SWITCH($A$2,"average", AVERAGE(Instances!H83:H83),"median", MEDIAN(Instances!H83:H83),"min", MIN(Instances!H83:H83),"max", MAX(Instances!H83:H83),"diff", MAX(Instances!H83:H83)-MIN(Instances!H83:H83))</f>
        <v>1</v>
      </c>
      <c r="I83" s="1" t="n">
        <f aca="false" t="array" ref="I83:I83">_xlfn.SWITCH($A$2,"average", AVERAGE(Instances!I83:I83),"median", MEDIAN(Instances!I83:I83),"min", MIN(Instances!I83:I83),"max", MAX(Instances!I83:I83),"diff", MAX(Instances!I83:I83)-MIN(Instances!I83:I83))</f>
        <v>5.259</v>
      </c>
      <c r="J83" s="1" t="n">
        <f aca="false" t="array" ref="J83:J83">_xlfn.SWITCH($A$2,"average", AVERAGE(Instances!J83:J83),"median", MEDIAN(Instances!J83:J83),"min", MIN(Instances!J83:J83),"max", MAX(Instances!J83:J83),"diff", MAX(Instances!J83:J83)-MIN(Instances!J83:J83))</f>
        <v>5.4</v>
      </c>
      <c r="K83" s="1" t="n">
        <f aca="false" t="array" ref="K83:K83">_xlfn.SWITCH($A$2,"average", AVERAGE(Instances!K83:K83),"median", MEDIAN(Instances!K83:K83),"min", MIN(Instances!K83:K83),"max", MAX(Instances!K83:K83),"diff", MAX(Instances!K83:K83)-MIN(Instances!K83:K83))</f>
        <v>0</v>
      </c>
      <c r="L83" s="1"/>
      <c r="M83" s="1" t="n">
        <f aca="false" t="array" ref="M83:M83">_xlfn.SWITCH($A$2,"average", AVERAGE(Instances!M83:M83),"median", MEDIAN(Instances!M83:M83),"min", MIN(Instances!M83:M83),"max", MAX(Instances!M83:M83),"diff", MAX(Instances!M83:M83)-MIN(Instances!M83:M83))</f>
        <v>1153348</v>
      </c>
      <c r="N83" s="1" t="n">
        <f aca="false" t="array" ref="N83:N83">_xlfn.SWITCH($A$2,"average", AVERAGE(Instances!N83:N83),"median", MEDIAN(Instances!N83:N83),"min", MIN(Instances!N83:N83),"max", MAX(Instances!N83:N83),"diff", MAX(Instances!N83:N83)-MIN(Instances!N83:N83))</f>
        <v>0.06</v>
      </c>
      <c r="O83" s="1"/>
      <c r="P83" s="1" t="n">
        <f aca="false" t="array" ref="P83:P83">_xlfn.SWITCH($A$2,"average", AVERAGE(Instances!P83:P83),"median", MEDIAN(Instances!P83:P83),"min", MIN(Instances!P83:P83),"max", MAX(Instances!P83:P83),"diff", MAX(Instances!P83:P83)-MIN(Instances!P83:P83))</f>
        <v>5.4</v>
      </c>
      <c r="Q83" s="1" t="n">
        <f aca="false" t="array" ref="Q83:Q83">_xlfn.SWITCH($A$2,"average", AVERAGE(Instances!Q83:Q83),"median", MEDIAN(Instances!Q83:Q83),"min", MIN(Instances!Q83:Q83),"max", MAX(Instances!Q83:Q83),"diff", MAX(Instances!Q83:Q83)-MIN(Instances!Q83:Q83))</f>
        <v>0</v>
      </c>
      <c r="R83" s="1" t="n">
        <f aca="false" t="array" ref="R83:R83">_xlfn.SWITCH($A$2,"average", AVERAGE(Instances!R83:R83),"median", MEDIAN(Instances!R83:R83),"min", MIN(Instances!R83:R83),"max", MAX(Instances!R83:R83),"diff", MAX(Instances!R83:R83)-MIN(Instances!R83:R83))</f>
        <v>399591</v>
      </c>
      <c r="S83" s="1" t="n">
        <f aca="false">MIN($B83)</f>
        <v>1619</v>
      </c>
      <c r="T83" s="1" t="n">
        <f aca="false">MIN($C83)</f>
        <v>2</v>
      </c>
      <c r="U83" s="1" t="n">
        <f aca="false">MIN($D83)</f>
        <v>830071</v>
      </c>
      <c r="V83" s="1" t="n">
        <f aca="false">MIN($E83)</f>
        <v>0</v>
      </c>
      <c r="W83" s="1" t="n">
        <f aca="false">MIN($F83)</f>
        <v>385</v>
      </c>
      <c r="X83" s="1" t="n">
        <f aca="false">MIN($G83)</f>
        <v>0</v>
      </c>
      <c r="Y83" s="1" t="n">
        <f aca="false">MIN($H83)</f>
        <v>1</v>
      </c>
      <c r="Z83" s="1" t="n">
        <f aca="false">MIN($I83)</f>
        <v>5.259</v>
      </c>
      <c r="AA83" s="1" t="n">
        <f aca="false">MIN($J83)</f>
        <v>5.4</v>
      </c>
      <c r="AB83" s="1" t="n">
        <f aca="false">MIN($K83)</f>
        <v>0</v>
      </c>
      <c r="AC83" s="1" t="n">
        <f aca="false">MIN($M83)</f>
        <v>1153348</v>
      </c>
      <c r="AD83" s="1" t="n">
        <f aca="false">MIN($N83)</f>
        <v>0.06</v>
      </c>
      <c r="AE83" s="1" t="n">
        <f aca="false">MIN($P83)</f>
        <v>5.4</v>
      </c>
      <c r="AF83" s="1" t="n">
        <f aca="false">MIN($Q83)</f>
        <v>0</v>
      </c>
      <c r="AG83" s="1" t="n">
        <f aca="false">MIN($R83)</f>
        <v>399591</v>
      </c>
      <c r="AH83" s="1" t="n">
        <f aca="false">MEDIAN($B83)</f>
        <v>1619</v>
      </c>
      <c r="AI83" s="1" t="n">
        <f aca="false">MEDIAN($C83)</f>
        <v>2</v>
      </c>
      <c r="AJ83" s="1" t="n">
        <f aca="false">MEDIAN($D83)</f>
        <v>830071</v>
      </c>
      <c r="AK83" s="1" t="n">
        <f aca="false">MEDIAN($E83)</f>
        <v>0</v>
      </c>
      <c r="AL83" s="1" t="n">
        <f aca="false">MEDIAN($F83)</f>
        <v>385</v>
      </c>
      <c r="AM83" s="1" t="n">
        <f aca="false">MEDIAN($G83)</f>
        <v>0</v>
      </c>
      <c r="AN83" s="1" t="n">
        <f aca="false">MEDIAN($H83)</f>
        <v>1</v>
      </c>
      <c r="AO83" s="1" t="n">
        <f aca="false">MEDIAN($I83)</f>
        <v>5.259</v>
      </c>
      <c r="AP83" s="1" t="n">
        <f aca="false">MEDIAN($J83)</f>
        <v>5.4</v>
      </c>
      <c r="AQ83" s="1" t="n">
        <f aca="false">MEDIAN($K83)</f>
        <v>0</v>
      </c>
      <c r="AR83" s="1" t="n">
        <f aca="false">MEDIAN($M83)</f>
        <v>1153348</v>
      </c>
      <c r="AS83" s="1" t="n">
        <f aca="false">MEDIAN($N83)</f>
        <v>0.06</v>
      </c>
      <c r="AT83" s="1" t="n">
        <f aca="false">MEDIAN($P83)</f>
        <v>5.4</v>
      </c>
      <c r="AU83" s="1" t="n">
        <f aca="false">MEDIAN($Q83)</f>
        <v>0</v>
      </c>
      <c r="AV83" s="1" t="n">
        <f aca="false">MEDIAN($R83)</f>
        <v>399591</v>
      </c>
      <c r="AW83" s="1" t="n">
        <f aca="false">MAX($B83)</f>
        <v>1619</v>
      </c>
      <c r="AX83" s="1" t="n">
        <f aca="false">MAX($C83)</f>
        <v>2</v>
      </c>
      <c r="AY83" s="1" t="n">
        <f aca="false">MAX($D83)</f>
        <v>830071</v>
      </c>
      <c r="AZ83" s="1" t="n">
        <f aca="false">MAX($E83)</f>
        <v>0</v>
      </c>
      <c r="BA83" s="1" t="n">
        <f aca="false">MAX($F83)</f>
        <v>385</v>
      </c>
      <c r="BB83" s="1" t="n">
        <f aca="false">MAX($G83)</f>
        <v>0</v>
      </c>
      <c r="BC83" s="1" t="n">
        <f aca="false">MAX($H83)</f>
        <v>1</v>
      </c>
      <c r="BD83" s="1" t="n">
        <f aca="false">MAX($I83)</f>
        <v>5.259</v>
      </c>
      <c r="BE83" s="1" t="n">
        <f aca="false">MAX($J83)</f>
        <v>5.4</v>
      </c>
      <c r="BF83" s="1" t="n">
        <f aca="false">MAX($K83)</f>
        <v>0</v>
      </c>
      <c r="BG83" s="1" t="n">
        <f aca="false">MAX($M83)</f>
        <v>1153348</v>
      </c>
      <c r="BH83" s="1" t="n">
        <f aca="false">MAX($N83)</f>
        <v>0.06</v>
      </c>
      <c r="BI83" s="1" t="n">
        <f aca="false">MAX($P83)</f>
        <v>5.4</v>
      </c>
      <c r="BJ83" s="1" t="n">
        <f aca="false">MAX($Q83)</f>
        <v>0</v>
      </c>
      <c r="BK83" s="1" t="n">
        <f aca="false">MAX($R83)</f>
        <v>399591</v>
      </c>
    </row>
    <row r="84" customFormat="false" ht="15" hidden="false" customHeight="false" outlineLevel="0" collapsed="false">
      <c r="A84" s="1" t="s">
        <v>101</v>
      </c>
      <c r="B84" s="1" t="n">
        <f aca="false" t="array" ref="B84:B84">_xlfn.SWITCH($A$2,"average", AVERAGE(Instances!B84:B84),"median", MEDIAN(Instances!B84:B84),"min", MIN(Instances!B84:B84),"max", MAX(Instances!B84:B84),"diff", MAX(Instances!B84:B84)-MIN(Instances!B84:B84))</f>
        <v>1281</v>
      </c>
      <c r="C84" s="1" t="n">
        <f aca="false" t="array" ref="C84:C84">_xlfn.SWITCH($A$2,"average", AVERAGE(Instances!C84:C84),"median", MEDIAN(Instances!C84:C84),"min", MIN(Instances!C84:C84),"max", MAX(Instances!C84:C84),"diff", MAX(Instances!C84:C84)-MIN(Instances!C84:C84))</f>
        <v>2</v>
      </c>
      <c r="D84" s="1" t="n">
        <f aca="false" t="array" ref="D84:D84">_xlfn.SWITCH($A$2,"average", AVERAGE(Instances!D84:D84),"median", MEDIAN(Instances!D84:D84),"min", MIN(Instances!D84:D84),"max", MAX(Instances!D84:D84),"diff", MAX(Instances!D84:D84)-MIN(Instances!D84:D84))</f>
        <v>927048</v>
      </c>
      <c r="E84" s="1" t="n">
        <f aca="false" t="array" ref="E84:E84">_xlfn.SWITCH($A$2,"average", AVERAGE(Instances!E84:E84),"median", MEDIAN(Instances!E84:E84),"min", MIN(Instances!E84:E84),"max", MAX(Instances!E84:E84),"diff", MAX(Instances!E84:E84)-MIN(Instances!E84:E84))</f>
        <v>0</v>
      </c>
      <c r="F84" s="1" t="n">
        <f aca="false" t="array" ref="F84:F84">_xlfn.SWITCH($A$2,"average", AVERAGE(Instances!F84:F84),"median", MEDIAN(Instances!F84:F84),"min", MIN(Instances!F84:F84),"max", MAX(Instances!F84:F84),"diff", MAX(Instances!F84:F84)-MIN(Instances!F84:F84))</f>
        <v>427</v>
      </c>
      <c r="G84" s="1" t="n">
        <f aca="false" t="array" ref="G84:G84">_xlfn.SWITCH($A$2,"average", AVERAGE(Instances!G84:G84),"median", MEDIAN(Instances!G84:G84),"min", MIN(Instances!G84:G84),"max", MAX(Instances!G84:G84),"diff", MAX(Instances!G84:G84)-MIN(Instances!G84:G84))</f>
        <v>0</v>
      </c>
      <c r="H84" s="1" t="n">
        <f aca="false" t="array" ref="H84:H84">_xlfn.SWITCH($A$2,"average", AVERAGE(Instances!H84:H84),"median", MEDIAN(Instances!H84:H84),"min", MIN(Instances!H84:H84),"max", MAX(Instances!H84:H84),"diff", MAX(Instances!H84:H84)-MIN(Instances!H84:H84))</f>
        <v>1</v>
      </c>
      <c r="I84" s="1" t="n">
        <f aca="false" t="array" ref="I84:I84">_xlfn.SWITCH($A$2,"average", AVERAGE(Instances!I84:I84),"median", MEDIAN(Instances!I84:I84),"min", MIN(Instances!I84:I84),"max", MAX(Instances!I84:I84),"diff", MAX(Instances!I84:I84)-MIN(Instances!I84:I84))</f>
        <v>5.226</v>
      </c>
      <c r="J84" s="1" t="n">
        <f aca="false" t="array" ref="J84:J84">_xlfn.SWITCH($A$2,"average", AVERAGE(Instances!J84:J84),"median", MEDIAN(Instances!J84:J84),"min", MIN(Instances!J84:J84),"max", MAX(Instances!J84:J84),"diff", MAX(Instances!J84:J84)-MIN(Instances!J84:J84))</f>
        <v>5.38</v>
      </c>
      <c r="K84" s="1" t="n">
        <f aca="false" t="array" ref="K84:K84">_xlfn.SWITCH($A$2,"average", AVERAGE(Instances!K84:K84),"median", MEDIAN(Instances!K84:K84),"min", MIN(Instances!K84:K84),"max", MAX(Instances!K84:K84),"diff", MAX(Instances!K84:K84)-MIN(Instances!K84:K84))</f>
        <v>0</v>
      </c>
      <c r="L84" s="1"/>
      <c r="M84" s="1" t="n">
        <f aca="false" t="array" ref="M84:M84">_xlfn.SWITCH($A$2,"average", AVERAGE(Instances!M84:M84),"median", MEDIAN(Instances!M84:M84),"min", MIN(Instances!M84:M84),"max", MAX(Instances!M84:M84),"diff", MAX(Instances!M84:M84)-MIN(Instances!M84:M84))</f>
        <v>1295314</v>
      </c>
      <c r="N84" s="1" t="n">
        <f aca="false" t="array" ref="N84:N84">_xlfn.SWITCH($A$2,"average", AVERAGE(Instances!N84:N84),"median", MEDIAN(Instances!N84:N84),"min", MIN(Instances!N84:N84),"max", MAX(Instances!N84:N84),"diff", MAX(Instances!N84:N84)-MIN(Instances!N84:N84))</f>
        <v>0.06</v>
      </c>
      <c r="O84" s="1"/>
      <c r="P84" s="1" t="n">
        <f aca="false" t="array" ref="P84:P84">_xlfn.SWITCH($A$2,"average", AVERAGE(Instances!P84:P84),"median", MEDIAN(Instances!P84:P84),"min", MIN(Instances!P84:P84),"max", MAX(Instances!P84:P84),"diff", MAX(Instances!P84:P84)-MIN(Instances!P84:P84))</f>
        <v>5.38</v>
      </c>
      <c r="Q84" s="1" t="n">
        <f aca="false" t="array" ref="Q84:Q84">_xlfn.SWITCH($A$2,"average", AVERAGE(Instances!Q84:Q84),"median", MEDIAN(Instances!Q84:Q84),"min", MIN(Instances!Q84:Q84),"max", MAX(Instances!Q84:Q84),"diff", MAX(Instances!Q84:Q84)-MIN(Instances!Q84:Q84))</f>
        <v>0</v>
      </c>
      <c r="R84" s="1" t="n">
        <f aca="false" t="array" ref="R84:R84">_xlfn.SWITCH($A$2,"average", AVERAGE(Instances!R84:R84),"median", MEDIAN(Instances!R84:R84),"min", MIN(Instances!R84:R84),"max", MAX(Instances!R84:R84),"diff", MAX(Instances!R84:R84)-MIN(Instances!R84:R84))</f>
        <v>437483</v>
      </c>
      <c r="S84" s="1" t="n">
        <f aca="false">MIN($B84)</f>
        <v>1281</v>
      </c>
      <c r="T84" s="1" t="n">
        <f aca="false">MIN($C84)</f>
        <v>2</v>
      </c>
      <c r="U84" s="1" t="n">
        <f aca="false">MIN($D84)</f>
        <v>927048</v>
      </c>
      <c r="V84" s="1" t="n">
        <f aca="false">MIN($E84)</f>
        <v>0</v>
      </c>
      <c r="W84" s="1" t="n">
        <f aca="false">MIN($F84)</f>
        <v>427</v>
      </c>
      <c r="X84" s="1" t="n">
        <f aca="false">MIN($G84)</f>
        <v>0</v>
      </c>
      <c r="Y84" s="1" t="n">
        <f aca="false">MIN($H84)</f>
        <v>1</v>
      </c>
      <c r="Z84" s="1" t="n">
        <f aca="false">MIN($I84)</f>
        <v>5.226</v>
      </c>
      <c r="AA84" s="1" t="n">
        <f aca="false">MIN($J84)</f>
        <v>5.38</v>
      </c>
      <c r="AB84" s="1" t="n">
        <f aca="false">MIN($K84)</f>
        <v>0</v>
      </c>
      <c r="AC84" s="1" t="n">
        <f aca="false">MIN($M84)</f>
        <v>1295314</v>
      </c>
      <c r="AD84" s="1" t="n">
        <f aca="false">MIN($N84)</f>
        <v>0.06</v>
      </c>
      <c r="AE84" s="1" t="n">
        <f aca="false">MIN($P84)</f>
        <v>5.38</v>
      </c>
      <c r="AF84" s="1" t="n">
        <f aca="false">MIN($Q84)</f>
        <v>0</v>
      </c>
      <c r="AG84" s="1" t="n">
        <f aca="false">MIN($R84)</f>
        <v>437483</v>
      </c>
      <c r="AH84" s="1" t="n">
        <f aca="false">MEDIAN($B84)</f>
        <v>1281</v>
      </c>
      <c r="AI84" s="1" t="n">
        <f aca="false">MEDIAN($C84)</f>
        <v>2</v>
      </c>
      <c r="AJ84" s="1" t="n">
        <f aca="false">MEDIAN($D84)</f>
        <v>927048</v>
      </c>
      <c r="AK84" s="1" t="n">
        <f aca="false">MEDIAN($E84)</f>
        <v>0</v>
      </c>
      <c r="AL84" s="1" t="n">
        <f aca="false">MEDIAN($F84)</f>
        <v>427</v>
      </c>
      <c r="AM84" s="1" t="n">
        <f aca="false">MEDIAN($G84)</f>
        <v>0</v>
      </c>
      <c r="AN84" s="1" t="n">
        <f aca="false">MEDIAN($H84)</f>
        <v>1</v>
      </c>
      <c r="AO84" s="1" t="n">
        <f aca="false">MEDIAN($I84)</f>
        <v>5.226</v>
      </c>
      <c r="AP84" s="1" t="n">
        <f aca="false">MEDIAN($J84)</f>
        <v>5.38</v>
      </c>
      <c r="AQ84" s="1" t="n">
        <f aca="false">MEDIAN($K84)</f>
        <v>0</v>
      </c>
      <c r="AR84" s="1" t="n">
        <f aca="false">MEDIAN($M84)</f>
        <v>1295314</v>
      </c>
      <c r="AS84" s="1" t="n">
        <f aca="false">MEDIAN($N84)</f>
        <v>0.06</v>
      </c>
      <c r="AT84" s="1" t="n">
        <f aca="false">MEDIAN($P84)</f>
        <v>5.38</v>
      </c>
      <c r="AU84" s="1" t="n">
        <f aca="false">MEDIAN($Q84)</f>
        <v>0</v>
      </c>
      <c r="AV84" s="1" t="n">
        <f aca="false">MEDIAN($R84)</f>
        <v>437483</v>
      </c>
      <c r="AW84" s="1" t="n">
        <f aca="false">MAX($B84)</f>
        <v>1281</v>
      </c>
      <c r="AX84" s="1" t="n">
        <f aca="false">MAX($C84)</f>
        <v>2</v>
      </c>
      <c r="AY84" s="1" t="n">
        <f aca="false">MAX($D84)</f>
        <v>927048</v>
      </c>
      <c r="AZ84" s="1" t="n">
        <f aca="false">MAX($E84)</f>
        <v>0</v>
      </c>
      <c r="BA84" s="1" t="n">
        <f aca="false">MAX($F84)</f>
        <v>427</v>
      </c>
      <c r="BB84" s="1" t="n">
        <f aca="false">MAX($G84)</f>
        <v>0</v>
      </c>
      <c r="BC84" s="1" t="n">
        <f aca="false">MAX($H84)</f>
        <v>1</v>
      </c>
      <c r="BD84" s="1" t="n">
        <f aca="false">MAX($I84)</f>
        <v>5.226</v>
      </c>
      <c r="BE84" s="1" t="n">
        <f aca="false">MAX($J84)</f>
        <v>5.38</v>
      </c>
      <c r="BF84" s="1" t="n">
        <f aca="false">MAX($K84)</f>
        <v>0</v>
      </c>
      <c r="BG84" s="1" t="n">
        <f aca="false">MAX($M84)</f>
        <v>1295314</v>
      </c>
      <c r="BH84" s="1" t="n">
        <f aca="false">MAX($N84)</f>
        <v>0.06</v>
      </c>
      <c r="BI84" s="1" t="n">
        <f aca="false">MAX($P84)</f>
        <v>5.38</v>
      </c>
      <c r="BJ84" s="1" t="n">
        <f aca="false">MAX($Q84)</f>
        <v>0</v>
      </c>
      <c r="BK84" s="1" t="n">
        <f aca="false">MAX($R84)</f>
        <v>437483</v>
      </c>
    </row>
    <row r="85" customFormat="false" ht="15" hidden="false" customHeight="false" outlineLevel="0" collapsed="false">
      <c r="A85" s="1" t="s">
        <v>102</v>
      </c>
      <c r="B85" s="1" t="n">
        <f aca="false" t="array" ref="B85:B85">_xlfn.SWITCH($A$2,"average", AVERAGE(Instances!B85:B85),"median", MEDIAN(Instances!B85:B85),"min", MIN(Instances!B85:B85),"max", MAX(Instances!B85:B85),"diff", MAX(Instances!B85:B85)-MIN(Instances!B85:B85))</f>
        <v>1869</v>
      </c>
      <c r="C85" s="1" t="n">
        <f aca="false" t="array" ref="C85:C85">_xlfn.SWITCH($A$2,"average", AVERAGE(Instances!C85:C85),"median", MEDIAN(Instances!C85:C85),"min", MIN(Instances!C85:C85),"max", MAX(Instances!C85:C85),"diff", MAX(Instances!C85:C85)-MIN(Instances!C85:C85))</f>
        <v>1</v>
      </c>
      <c r="D85" s="1" t="n">
        <f aca="false" t="array" ref="D85:D85">_xlfn.SWITCH($A$2,"average", AVERAGE(Instances!D85:D85),"median", MEDIAN(Instances!D85:D85),"min", MIN(Instances!D85:D85),"max", MAX(Instances!D85:D85),"diff", MAX(Instances!D85:D85)-MIN(Instances!D85:D85))</f>
        <v>934178</v>
      </c>
      <c r="E85" s="1" t="n">
        <f aca="false" t="array" ref="E85:E85">_xlfn.SWITCH($A$2,"average", AVERAGE(Instances!E85:E85),"median", MEDIAN(Instances!E85:E85),"min", MIN(Instances!E85:E85),"max", MAX(Instances!E85:E85),"diff", MAX(Instances!E85:E85)-MIN(Instances!E85:E85))</f>
        <v>0</v>
      </c>
      <c r="F85" s="1" t="n">
        <f aca="false" t="array" ref="F85:F85">_xlfn.SWITCH($A$2,"average", AVERAGE(Instances!F85:F85),"median", MEDIAN(Instances!F85:F85),"min", MIN(Instances!F85:F85),"max", MAX(Instances!F85:F85),"diff", MAX(Instances!F85:F85)-MIN(Instances!F85:F85))</f>
        <v>438</v>
      </c>
      <c r="G85" s="1" t="n">
        <f aca="false" t="array" ref="G85:G85">_xlfn.SWITCH($A$2,"average", AVERAGE(Instances!G85:G85),"median", MEDIAN(Instances!G85:G85),"min", MIN(Instances!G85:G85),"max", MAX(Instances!G85:G85),"diff", MAX(Instances!G85:G85)-MIN(Instances!G85:G85))</f>
        <v>0</v>
      </c>
      <c r="H85" s="1" t="n">
        <f aca="false" t="array" ref="H85:H85">_xlfn.SWITCH($A$2,"average", AVERAGE(Instances!H85:H85),"median", MEDIAN(Instances!H85:H85),"min", MIN(Instances!H85:H85),"max", MAX(Instances!H85:H85),"diff", MAX(Instances!H85:H85)-MIN(Instances!H85:H85))</f>
        <v>1</v>
      </c>
      <c r="I85" s="1" t="n">
        <f aca="false" t="array" ref="I85:I85">_xlfn.SWITCH($A$2,"average", AVERAGE(Instances!I85:I85),"median", MEDIAN(Instances!I85:I85),"min", MIN(Instances!I85:I85),"max", MAX(Instances!I85:I85),"diff", MAX(Instances!I85:I85)-MIN(Instances!I85:I85))</f>
        <v>6.015</v>
      </c>
      <c r="J85" s="1" t="n">
        <f aca="false" t="array" ref="J85:J85">_xlfn.SWITCH($A$2,"average", AVERAGE(Instances!J85:J85),"median", MEDIAN(Instances!J85:J85),"min", MIN(Instances!J85:J85),"max", MAX(Instances!J85:J85),"diff", MAX(Instances!J85:J85)-MIN(Instances!J85:J85))</f>
        <v>6.18</v>
      </c>
      <c r="K85" s="1" t="n">
        <f aca="false" t="array" ref="K85:K85">_xlfn.SWITCH($A$2,"average", AVERAGE(Instances!K85:K85),"median", MEDIAN(Instances!K85:K85),"min", MIN(Instances!K85:K85),"max", MAX(Instances!K85:K85),"diff", MAX(Instances!K85:K85)-MIN(Instances!K85:K85))</f>
        <v>0</v>
      </c>
      <c r="L85" s="1"/>
      <c r="M85" s="1" t="n">
        <f aca="false" t="array" ref="M85:M85">_xlfn.SWITCH($A$2,"average", AVERAGE(Instances!M85:M85),"median", MEDIAN(Instances!M85:M85),"min", MIN(Instances!M85:M85),"max", MAX(Instances!M85:M85),"diff", MAX(Instances!M85:M85)-MIN(Instances!M85:M85))</f>
        <v>1341203</v>
      </c>
      <c r="N85" s="1" t="n">
        <f aca="false" t="array" ref="N85:N85">_xlfn.SWITCH($A$2,"average", AVERAGE(Instances!N85:N85),"median", MEDIAN(Instances!N85:N85),"min", MIN(Instances!N85:N85),"max", MAX(Instances!N85:N85),"diff", MAX(Instances!N85:N85)-MIN(Instances!N85:N85))</f>
        <v>0.07</v>
      </c>
      <c r="O85" s="1"/>
      <c r="P85" s="1" t="n">
        <f aca="false" t="array" ref="P85:P85">_xlfn.SWITCH($A$2,"average", AVERAGE(Instances!P85:P85),"median", MEDIAN(Instances!P85:P85),"min", MIN(Instances!P85:P85),"max", MAX(Instances!P85:P85),"diff", MAX(Instances!P85:P85)-MIN(Instances!P85:P85))</f>
        <v>6.18</v>
      </c>
      <c r="Q85" s="1" t="n">
        <f aca="false" t="array" ref="Q85:Q85">_xlfn.SWITCH($A$2,"average", AVERAGE(Instances!Q85:Q85),"median", MEDIAN(Instances!Q85:Q85),"min", MIN(Instances!Q85:Q85),"max", MAX(Instances!Q85:Q85),"diff", MAX(Instances!Q85:Q85)-MIN(Instances!Q85:Q85))</f>
        <v>0</v>
      </c>
      <c r="R85" s="1" t="n">
        <f aca="false" t="array" ref="R85:R85">_xlfn.SWITCH($A$2,"average", AVERAGE(Instances!R85:R85),"median", MEDIAN(Instances!R85:R85),"min", MIN(Instances!R85:R85),"max", MAX(Instances!R85:R85),"diff", MAX(Instances!R85:R85)-MIN(Instances!R85:R85))</f>
        <v>451952</v>
      </c>
      <c r="S85" s="1" t="n">
        <f aca="false">MIN($B85)</f>
        <v>1869</v>
      </c>
      <c r="T85" s="1" t="n">
        <f aca="false">MIN($C85)</f>
        <v>1</v>
      </c>
      <c r="U85" s="1" t="n">
        <f aca="false">MIN($D85)</f>
        <v>934178</v>
      </c>
      <c r="V85" s="1" t="n">
        <f aca="false">MIN($E85)</f>
        <v>0</v>
      </c>
      <c r="W85" s="1" t="n">
        <f aca="false">MIN($F85)</f>
        <v>438</v>
      </c>
      <c r="X85" s="1" t="n">
        <f aca="false">MIN($G85)</f>
        <v>0</v>
      </c>
      <c r="Y85" s="1" t="n">
        <f aca="false">MIN($H85)</f>
        <v>1</v>
      </c>
      <c r="Z85" s="1" t="n">
        <f aca="false">MIN($I85)</f>
        <v>6.015</v>
      </c>
      <c r="AA85" s="1" t="n">
        <f aca="false">MIN($J85)</f>
        <v>6.18</v>
      </c>
      <c r="AB85" s="1" t="n">
        <f aca="false">MIN($K85)</f>
        <v>0</v>
      </c>
      <c r="AC85" s="1" t="n">
        <f aca="false">MIN($M85)</f>
        <v>1341203</v>
      </c>
      <c r="AD85" s="1" t="n">
        <f aca="false">MIN($N85)</f>
        <v>0.07</v>
      </c>
      <c r="AE85" s="1" t="n">
        <f aca="false">MIN($P85)</f>
        <v>6.18</v>
      </c>
      <c r="AF85" s="1" t="n">
        <f aca="false">MIN($Q85)</f>
        <v>0</v>
      </c>
      <c r="AG85" s="1" t="n">
        <f aca="false">MIN($R85)</f>
        <v>451952</v>
      </c>
      <c r="AH85" s="1" t="n">
        <f aca="false">MEDIAN($B85)</f>
        <v>1869</v>
      </c>
      <c r="AI85" s="1" t="n">
        <f aca="false">MEDIAN($C85)</f>
        <v>1</v>
      </c>
      <c r="AJ85" s="1" t="n">
        <f aca="false">MEDIAN($D85)</f>
        <v>934178</v>
      </c>
      <c r="AK85" s="1" t="n">
        <f aca="false">MEDIAN($E85)</f>
        <v>0</v>
      </c>
      <c r="AL85" s="1" t="n">
        <f aca="false">MEDIAN($F85)</f>
        <v>438</v>
      </c>
      <c r="AM85" s="1" t="n">
        <f aca="false">MEDIAN($G85)</f>
        <v>0</v>
      </c>
      <c r="AN85" s="1" t="n">
        <f aca="false">MEDIAN($H85)</f>
        <v>1</v>
      </c>
      <c r="AO85" s="1" t="n">
        <f aca="false">MEDIAN($I85)</f>
        <v>6.015</v>
      </c>
      <c r="AP85" s="1" t="n">
        <f aca="false">MEDIAN($J85)</f>
        <v>6.18</v>
      </c>
      <c r="AQ85" s="1" t="n">
        <f aca="false">MEDIAN($K85)</f>
        <v>0</v>
      </c>
      <c r="AR85" s="1" t="n">
        <f aca="false">MEDIAN($M85)</f>
        <v>1341203</v>
      </c>
      <c r="AS85" s="1" t="n">
        <f aca="false">MEDIAN($N85)</f>
        <v>0.07</v>
      </c>
      <c r="AT85" s="1" t="n">
        <f aca="false">MEDIAN($P85)</f>
        <v>6.18</v>
      </c>
      <c r="AU85" s="1" t="n">
        <f aca="false">MEDIAN($Q85)</f>
        <v>0</v>
      </c>
      <c r="AV85" s="1" t="n">
        <f aca="false">MEDIAN($R85)</f>
        <v>451952</v>
      </c>
      <c r="AW85" s="1" t="n">
        <f aca="false">MAX($B85)</f>
        <v>1869</v>
      </c>
      <c r="AX85" s="1" t="n">
        <f aca="false">MAX($C85)</f>
        <v>1</v>
      </c>
      <c r="AY85" s="1" t="n">
        <f aca="false">MAX($D85)</f>
        <v>934178</v>
      </c>
      <c r="AZ85" s="1" t="n">
        <f aca="false">MAX($E85)</f>
        <v>0</v>
      </c>
      <c r="BA85" s="1" t="n">
        <f aca="false">MAX($F85)</f>
        <v>438</v>
      </c>
      <c r="BB85" s="1" t="n">
        <f aca="false">MAX($G85)</f>
        <v>0</v>
      </c>
      <c r="BC85" s="1" t="n">
        <f aca="false">MAX($H85)</f>
        <v>1</v>
      </c>
      <c r="BD85" s="1" t="n">
        <f aca="false">MAX($I85)</f>
        <v>6.015</v>
      </c>
      <c r="BE85" s="1" t="n">
        <f aca="false">MAX($J85)</f>
        <v>6.18</v>
      </c>
      <c r="BF85" s="1" t="n">
        <f aca="false">MAX($K85)</f>
        <v>0</v>
      </c>
      <c r="BG85" s="1" t="n">
        <f aca="false">MAX($M85)</f>
        <v>1341203</v>
      </c>
      <c r="BH85" s="1" t="n">
        <f aca="false">MAX($N85)</f>
        <v>0.07</v>
      </c>
      <c r="BI85" s="1" t="n">
        <f aca="false">MAX($P85)</f>
        <v>6.18</v>
      </c>
      <c r="BJ85" s="1" t="n">
        <f aca="false">MAX($Q85)</f>
        <v>0</v>
      </c>
      <c r="BK85" s="1" t="n">
        <f aca="false">MAX($R85)</f>
        <v>451952</v>
      </c>
    </row>
    <row r="86" customFormat="false" ht="15" hidden="false" customHeight="false" outlineLevel="0" collapsed="false">
      <c r="A86" s="1" t="s">
        <v>103</v>
      </c>
      <c r="B86" s="1" t="n">
        <f aca="false" t="array" ref="B86:B86">_xlfn.SWITCH($A$2,"average", AVERAGE(Instances!B86:B86),"median", MEDIAN(Instances!B86:B86),"min", MIN(Instances!B86:B86),"max", MAX(Instances!B86:B86),"diff", MAX(Instances!B86:B86)-MIN(Instances!B86:B86))</f>
        <v>1641</v>
      </c>
      <c r="C86" s="1" t="n">
        <f aca="false" t="array" ref="C86:C86">_xlfn.SWITCH($A$2,"average", AVERAGE(Instances!C86:C86),"median", MEDIAN(Instances!C86:C86),"min", MIN(Instances!C86:C86),"max", MAX(Instances!C86:C86),"diff", MAX(Instances!C86:C86)-MIN(Instances!C86:C86))</f>
        <v>1</v>
      </c>
      <c r="D86" s="1" t="n">
        <f aca="false" t="array" ref="D86:D86">_xlfn.SWITCH($A$2,"average", AVERAGE(Instances!D86:D86),"median", MEDIAN(Instances!D86:D86),"min", MIN(Instances!D86:D86),"max", MAX(Instances!D86:D86),"diff", MAX(Instances!D86:D86)-MIN(Instances!D86:D86))</f>
        <v>969369</v>
      </c>
      <c r="E86" s="1" t="n">
        <f aca="false" t="array" ref="E86:E86">_xlfn.SWITCH($A$2,"average", AVERAGE(Instances!E86:E86),"median", MEDIAN(Instances!E86:E86),"min", MIN(Instances!E86:E86),"max", MAX(Instances!E86:E86),"diff", MAX(Instances!E86:E86)-MIN(Instances!E86:E86))</f>
        <v>0</v>
      </c>
      <c r="F86" s="1" t="n">
        <f aca="false" t="array" ref="F86:F86">_xlfn.SWITCH($A$2,"average", AVERAGE(Instances!F86:F86),"median", MEDIAN(Instances!F86:F86),"min", MIN(Instances!F86:F86),"max", MAX(Instances!F86:F86),"diff", MAX(Instances!F86:F86)-MIN(Instances!F86:F86))</f>
        <v>440</v>
      </c>
      <c r="G86" s="1" t="n">
        <f aca="false" t="array" ref="G86:G86">_xlfn.SWITCH($A$2,"average", AVERAGE(Instances!G86:G86),"median", MEDIAN(Instances!G86:G86),"min", MIN(Instances!G86:G86),"max", MAX(Instances!G86:G86),"diff", MAX(Instances!G86:G86)-MIN(Instances!G86:G86))</f>
        <v>0</v>
      </c>
      <c r="H86" s="1" t="n">
        <f aca="false" t="array" ref="H86:H86">_xlfn.SWITCH($A$2,"average", AVERAGE(Instances!H86:H86),"median", MEDIAN(Instances!H86:H86),"min", MIN(Instances!H86:H86),"max", MAX(Instances!H86:H86),"diff", MAX(Instances!H86:H86)-MIN(Instances!H86:H86))</f>
        <v>1</v>
      </c>
      <c r="I86" s="1" t="n">
        <f aca="false" t="array" ref="I86:I86">_xlfn.SWITCH($A$2,"average", AVERAGE(Instances!I86:I86),"median", MEDIAN(Instances!I86:I86),"min", MIN(Instances!I86:I86),"max", MAX(Instances!I86:I86),"diff", MAX(Instances!I86:I86)-MIN(Instances!I86:I86))</f>
        <v>6.007</v>
      </c>
      <c r="J86" s="1" t="n">
        <f aca="false" t="array" ref="J86:J86">_xlfn.SWITCH($A$2,"average", AVERAGE(Instances!J86:J86),"median", MEDIAN(Instances!J86:J86),"min", MIN(Instances!J86:J86),"max", MAX(Instances!J86:J86),"diff", MAX(Instances!J86:J86)-MIN(Instances!J86:J86))</f>
        <v>6.17</v>
      </c>
      <c r="K86" s="1" t="n">
        <f aca="false" t="array" ref="K86:K86">_xlfn.SWITCH($A$2,"average", AVERAGE(Instances!K86:K86),"median", MEDIAN(Instances!K86:K86),"min", MIN(Instances!K86:K86),"max", MAX(Instances!K86:K86),"diff", MAX(Instances!K86:K86)-MIN(Instances!K86:K86))</f>
        <v>0</v>
      </c>
      <c r="L86" s="1"/>
      <c r="M86" s="1" t="n">
        <f aca="false" t="array" ref="M86:M86">_xlfn.SWITCH($A$2,"average", AVERAGE(Instances!M86:M86),"median", MEDIAN(Instances!M86:M86),"min", MIN(Instances!M86:M86),"max", MAX(Instances!M86:M86),"diff", MAX(Instances!M86:M86)-MIN(Instances!M86:M86))</f>
        <v>1344105</v>
      </c>
      <c r="N86" s="1" t="n">
        <f aca="false" t="array" ref="N86:N86">_xlfn.SWITCH($A$2,"average", AVERAGE(Instances!N86:N86),"median", MEDIAN(Instances!N86:N86),"min", MIN(Instances!N86:N86),"max", MAX(Instances!N86:N86),"diff", MAX(Instances!N86:N86)-MIN(Instances!N86:N86))</f>
        <v>0.07</v>
      </c>
      <c r="O86" s="1"/>
      <c r="P86" s="1" t="n">
        <f aca="false" t="array" ref="P86:P86">_xlfn.SWITCH($A$2,"average", AVERAGE(Instances!P86:P86),"median", MEDIAN(Instances!P86:P86),"min", MIN(Instances!P86:P86),"max", MAX(Instances!P86:P86),"diff", MAX(Instances!P86:P86)-MIN(Instances!P86:P86))</f>
        <v>6.17</v>
      </c>
      <c r="Q86" s="1" t="n">
        <f aca="false" t="array" ref="Q86:Q86">_xlfn.SWITCH($A$2,"average", AVERAGE(Instances!Q86:Q86),"median", MEDIAN(Instances!Q86:Q86),"min", MIN(Instances!Q86:Q86),"max", MAX(Instances!Q86:Q86),"diff", MAX(Instances!Q86:Q86)-MIN(Instances!Q86:Q86))</f>
        <v>0</v>
      </c>
      <c r="R86" s="1" t="n">
        <f aca="false" t="array" ref="R86:R86">_xlfn.SWITCH($A$2,"average", AVERAGE(Instances!R86:R86),"median", MEDIAN(Instances!R86:R86),"min", MIN(Instances!R86:R86),"max", MAX(Instances!R86:R86),"diff", MAX(Instances!R86:R86)-MIN(Instances!R86:R86))</f>
        <v>453891</v>
      </c>
      <c r="S86" s="1" t="n">
        <f aca="false">MIN($B86)</f>
        <v>1641</v>
      </c>
      <c r="T86" s="1" t="n">
        <f aca="false">MIN($C86)</f>
        <v>1</v>
      </c>
      <c r="U86" s="1" t="n">
        <f aca="false">MIN($D86)</f>
        <v>969369</v>
      </c>
      <c r="V86" s="1" t="n">
        <f aca="false">MIN($E86)</f>
        <v>0</v>
      </c>
      <c r="W86" s="1" t="n">
        <f aca="false">MIN($F86)</f>
        <v>440</v>
      </c>
      <c r="X86" s="1" t="n">
        <f aca="false">MIN($G86)</f>
        <v>0</v>
      </c>
      <c r="Y86" s="1" t="n">
        <f aca="false">MIN($H86)</f>
        <v>1</v>
      </c>
      <c r="Z86" s="1" t="n">
        <f aca="false">MIN($I86)</f>
        <v>6.007</v>
      </c>
      <c r="AA86" s="1" t="n">
        <f aca="false">MIN($J86)</f>
        <v>6.17</v>
      </c>
      <c r="AB86" s="1" t="n">
        <f aca="false">MIN($K86)</f>
        <v>0</v>
      </c>
      <c r="AC86" s="1" t="n">
        <f aca="false">MIN($M86)</f>
        <v>1344105</v>
      </c>
      <c r="AD86" s="1" t="n">
        <f aca="false">MIN($N86)</f>
        <v>0.07</v>
      </c>
      <c r="AE86" s="1" t="n">
        <f aca="false">MIN($P86)</f>
        <v>6.17</v>
      </c>
      <c r="AF86" s="1" t="n">
        <f aca="false">MIN($Q86)</f>
        <v>0</v>
      </c>
      <c r="AG86" s="1" t="n">
        <f aca="false">MIN($R86)</f>
        <v>453891</v>
      </c>
      <c r="AH86" s="1" t="n">
        <f aca="false">MEDIAN($B86)</f>
        <v>1641</v>
      </c>
      <c r="AI86" s="1" t="n">
        <f aca="false">MEDIAN($C86)</f>
        <v>1</v>
      </c>
      <c r="AJ86" s="1" t="n">
        <f aca="false">MEDIAN($D86)</f>
        <v>969369</v>
      </c>
      <c r="AK86" s="1" t="n">
        <f aca="false">MEDIAN($E86)</f>
        <v>0</v>
      </c>
      <c r="AL86" s="1" t="n">
        <f aca="false">MEDIAN($F86)</f>
        <v>440</v>
      </c>
      <c r="AM86" s="1" t="n">
        <f aca="false">MEDIAN($G86)</f>
        <v>0</v>
      </c>
      <c r="AN86" s="1" t="n">
        <f aca="false">MEDIAN($H86)</f>
        <v>1</v>
      </c>
      <c r="AO86" s="1" t="n">
        <f aca="false">MEDIAN($I86)</f>
        <v>6.007</v>
      </c>
      <c r="AP86" s="1" t="n">
        <f aca="false">MEDIAN($J86)</f>
        <v>6.17</v>
      </c>
      <c r="AQ86" s="1" t="n">
        <f aca="false">MEDIAN($K86)</f>
        <v>0</v>
      </c>
      <c r="AR86" s="1" t="n">
        <f aca="false">MEDIAN($M86)</f>
        <v>1344105</v>
      </c>
      <c r="AS86" s="1" t="n">
        <f aca="false">MEDIAN($N86)</f>
        <v>0.07</v>
      </c>
      <c r="AT86" s="1" t="n">
        <f aca="false">MEDIAN($P86)</f>
        <v>6.17</v>
      </c>
      <c r="AU86" s="1" t="n">
        <f aca="false">MEDIAN($Q86)</f>
        <v>0</v>
      </c>
      <c r="AV86" s="1" t="n">
        <f aca="false">MEDIAN($R86)</f>
        <v>453891</v>
      </c>
      <c r="AW86" s="1" t="n">
        <f aca="false">MAX($B86)</f>
        <v>1641</v>
      </c>
      <c r="AX86" s="1" t="n">
        <f aca="false">MAX($C86)</f>
        <v>1</v>
      </c>
      <c r="AY86" s="1" t="n">
        <f aca="false">MAX($D86)</f>
        <v>969369</v>
      </c>
      <c r="AZ86" s="1" t="n">
        <f aca="false">MAX($E86)</f>
        <v>0</v>
      </c>
      <c r="BA86" s="1" t="n">
        <f aca="false">MAX($F86)</f>
        <v>440</v>
      </c>
      <c r="BB86" s="1" t="n">
        <f aca="false">MAX($G86)</f>
        <v>0</v>
      </c>
      <c r="BC86" s="1" t="n">
        <f aca="false">MAX($H86)</f>
        <v>1</v>
      </c>
      <c r="BD86" s="1" t="n">
        <f aca="false">MAX($I86)</f>
        <v>6.007</v>
      </c>
      <c r="BE86" s="1" t="n">
        <f aca="false">MAX($J86)</f>
        <v>6.17</v>
      </c>
      <c r="BF86" s="1" t="n">
        <f aca="false">MAX($K86)</f>
        <v>0</v>
      </c>
      <c r="BG86" s="1" t="n">
        <f aca="false">MAX($M86)</f>
        <v>1344105</v>
      </c>
      <c r="BH86" s="1" t="n">
        <f aca="false">MAX($N86)</f>
        <v>0.07</v>
      </c>
      <c r="BI86" s="1" t="n">
        <f aca="false">MAX($P86)</f>
        <v>6.17</v>
      </c>
      <c r="BJ86" s="1" t="n">
        <f aca="false">MAX($Q86)</f>
        <v>0</v>
      </c>
      <c r="BK86" s="1" t="n">
        <f aca="false">MAX($R86)</f>
        <v>453891</v>
      </c>
    </row>
    <row r="87" customFormat="false" ht="15" hidden="false" customHeight="false" outlineLevel="0" collapsed="false">
      <c r="A87" s="1" t="s">
        <v>104</v>
      </c>
      <c r="B87" s="1" t="n">
        <f aca="false" t="array" ref="B87:B87">_xlfn.SWITCH($A$2,"average", AVERAGE(Instances!B87:B87),"median", MEDIAN(Instances!B87:B87),"min", MIN(Instances!B87:B87),"max", MAX(Instances!B87:B87),"diff", MAX(Instances!B87:B87)-MIN(Instances!B87:B87))</f>
        <v>1523</v>
      </c>
      <c r="C87" s="1" t="n">
        <f aca="false" t="array" ref="C87:C87">_xlfn.SWITCH($A$2,"average", AVERAGE(Instances!C87:C87),"median", MEDIAN(Instances!C87:C87),"min", MIN(Instances!C87:C87),"max", MAX(Instances!C87:C87),"diff", MAX(Instances!C87:C87)-MIN(Instances!C87:C87))</f>
        <v>1</v>
      </c>
      <c r="D87" s="1" t="n">
        <f aca="false" t="array" ref="D87:D87">_xlfn.SWITCH($A$2,"average", AVERAGE(Instances!D87:D87),"median", MEDIAN(Instances!D87:D87),"min", MIN(Instances!D87:D87),"max", MAX(Instances!D87:D87),"diff", MAX(Instances!D87:D87)-MIN(Instances!D87:D87))</f>
        <v>858543</v>
      </c>
      <c r="E87" s="1" t="n">
        <f aca="false" t="array" ref="E87:E87">_xlfn.SWITCH($A$2,"average", AVERAGE(Instances!E87:E87),"median", MEDIAN(Instances!E87:E87),"min", MIN(Instances!E87:E87),"max", MAX(Instances!E87:E87),"diff", MAX(Instances!E87:E87)-MIN(Instances!E87:E87))</f>
        <v>0</v>
      </c>
      <c r="F87" s="1" t="n">
        <f aca="false" t="array" ref="F87:F87">_xlfn.SWITCH($A$2,"average", AVERAGE(Instances!F87:F87),"median", MEDIAN(Instances!F87:F87),"min", MIN(Instances!F87:F87),"max", MAX(Instances!F87:F87),"diff", MAX(Instances!F87:F87)-MIN(Instances!F87:F87))</f>
        <v>395</v>
      </c>
      <c r="G87" s="1" t="n">
        <f aca="false" t="array" ref="G87:G87">_xlfn.SWITCH($A$2,"average", AVERAGE(Instances!G87:G87),"median", MEDIAN(Instances!G87:G87),"min", MIN(Instances!G87:G87),"max", MAX(Instances!G87:G87),"diff", MAX(Instances!G87:G87)-MIN(Instances!G87:G87))</f>
        <v>0</v>
      </c>
      <c r="H87" s="1" t="n">
        <f aca="false" t="array" ref="H87:H87">_xlfn.SWITCH($A$2,"average", AVERAGE(Instances!H87:H87),"median", MEDIAN(Instances!H87:H87),"min", MIN(Instances!H87:H87),"max", MAX(Instances!H87:H87),"diff", MAX(Instances!H87:H87)-MIN(Instances!H87:H87))</f>
        <v>1</v>
      </c>
      <c r="I87" s="1" t="n">
        <f aca="false" t="array" ref="I87:I87">_xlfn.SWITCH($A$2,"average", AVERAGE(Instances!I87:I87),"median", MEDIAN(Instances!I87:I87),"min", MIN(Instances!I87:I87),"max", MAX(Instances!I87:I87),"diff", MAX(Instances!I87:I87)-MIN(Instances!I87:I87))</f>
        <v>4.9</v>
      </c>
      <c r="J87" s="1" t="n">
        <f aca="false" t="array" ref="J87:J87">_xlfn.SWITCH($A$2,"average", AVERAGE(Instances!J87:J87),"median", MEDIAN(Instances!J87:J87),"min", MIN(Instances!J87:J87),"max", MAX(Instances!J87:J87),"diff", MAX(Instances!J87:J87)-MIN(Instances!J87:J87))</f>
        <v>5.05</v>
      </c>
      <c r="K87" s="1" t="n">
        <f aca="false" t="array" ref="K87:K87">_xlfn.SWITCH($A$2,"average", AVERAGE(Instances!K87:K87),"median", MEDIAN(Instances!K87:K87),"min", MIN(Instances!K87:K87),"max", MAX(Instances!K87:K87),"diff", MAX(Instances!K87:K87)-MIN(Instances!K87:K87))</f>
        <v>0</v>
      </c>
      <c r="L87" s="1"/>
      <c r="M87" s="1" t="n">
        <f aca="false" t="array" ref="M87:M87">_xlfn.SWITCH($A$2,"average", AVERAGE(Instances!M87:M87),"median", MEDIAN(Instances!M87:M87),"min", MIN(Instances!M87:M87),"max", MAX(Instances!M87:M87),"diff", MAX(Instances!M87:M87)-MIN(Instances!M87:M87))</f>
        <v>1183160</v>
      </c>
      <c r="N87" s="1" t="n">
        <f aca="false" t="array" ref="N87:N87">_xlfn.SWITCH($A$2,"average", AVERAGE(Instances!N87:N87),"median", MEDIAN(Instances!N87:N87),"min", MIN(Instances!N87:N87),"max", MAX(Instances!N87:N87),"diff", MAX(Instances!N87:N87)-MIN(Instances!N87:N87))</f>
        <v>0.06</v>
      </c>
      <c r="O87" s="1"/>
      <c r="P87" s="1" t="n">
        <f aca="false" t="array" ref="P87:P87">_xlfn.SWITCH($A$2,"average", AVERAGE(Instances!P87:P87),"median", MEDIAN(Instances!P87:P87),"min", MIN(Instances!P87:P87),"max", MAX(Instances!P87:P87),"diff", MAX(Instances!P87:P87)-MIN(Instances!P87:P87))</f>
        <v>5.05</v>
      </c>
      <c r="Q87" s="1" t="n">
        <f aca="false" t="array" ref="Q87:Q87">_xlfn.SWITCH($A$2,"average", AVERAGE(Instances!Q87:Q87),"median", MEDIAN(Instances!Q87:Q87),"min", MIN(Instances!Q87:Q87),"max", MAX(Instances!Q87:Q87),"diff", MAX(Instances!Q87:Q87)-MIN(Instances!Q87:Q87))</f>
        <v>0</v>
      </c>
      <c r="R87" s="1" t="n">
        <f aca="false" t="array" ref="R87:R87">_xlfn.SWITCH($A$2,"average", AVERAGE(Instances!R87:R87),"median", MEDIAN(Instances!R87:R87),"min", MIN(Instances!R87:R87),"max", MAX(Instances!R87:R87),"diff", MAX(Instances!R87:R87)-MIN(Instances!R87:R87))</f>
        <v>410420</v>
      </c>
      <c r="S87" s="1" t="n">
        <f aca="false">MIN($B87)</f>
        <v>1523</v>
      </c>
      <c r="T87" s="1" t="n">
        <f aca="false">MIN($C87)</f>
        <v>1</v>
      </c>
      <c r="U87" s="1" t="n">
        <f aca="false">MIN($D87)</f>
        <v>858543</v>
      </c>
      <c r="V87" s="1" t="n">
        <f aca="false">MIN($E87)</f>
        <v>0</v>
      </c>
      <c r="W87" s="1" t="n">
        <f aca="false">MIN($F87)</f>
        <v>395</v>
      </c>
      <c r="X87" s="1" t="n">
        <f aca="false">MIN($G87)</f>
        <v>0</v>
      </c>
      <c r="Y87" s="1" t="n">
        <f aca="false">MIN($H87)</f>
        <v>1</v>
      </c>
      <c r="Z87" s="1" t="n">
        <f aca="false">MIN($I87)</f>
        <v>4.9</v>
      </c>
      <c r="AA87" s="1" t="n">
        <f aca="false">MIN($J87)</f>
        <v>5.05</v>
      </c>
      <c r="AB87" s="1" t="n">
        <f aca="false">MIN($K87)</f>
        <v>0</v>
      </c>
      <c r="AC87" s="1" t="n">
        <f aca="false">MIN($M87)</f>
        <v>1183160</v>
      </c>
      <c r="AD87" s="1" t="n">
        <f aca="false">MIN($N87)</f>
        <v>0.06</v>
      </c>
      <c r="AE87" s="1" t="n">
        <f aca="false">MIN($P87)</f>
        <v>5.05</v>
      </c>
      <c r="AF87" s="1" t="n">
        <f aca="false">MIN($Q87)</f>
        <v>0</v>
      </c>
      <c r="AG87" s="1" t="n">
        <f aca="false">MIN($R87)</f>
        <v>410420</v>
      </c>
      <c r="AH87" s="1" t="n">
        <f aca="false">MEDIAN($B87)</f>
        <v>1523</v>
      </c>
      <c r="AI87" s="1" t="n">
        <f aca="false">MEDIAN($C87)</f>
        <v>1</v>
      </c>
      <c r="AJ87" s="1" t="n">
        <f aca="false">MEDIAN($D87)</f>
        <v>858543</v>
      </c>
      <c r="AK87" s="1" t="n">
        <f aca="false">MEDIAN($E87)</f>
        <v>0</v>
      </c>
      <c r="AL87" s="1" t="n">
        <f aca="false">MEDIAN($F87)</f>
        <v>395</v>
      </c>
      <c r="AM87" s="1" t="n">
        <f aca="false">MEDIAN($G87)</f>
        <v>0</v>
      </c>
      <c r="AN87" s="1" t="n">
        <f aca="false">MEDIAN($H87)</f>
        <v>1</v>
      </c>
      <c r="AO87" s="1" t="n">
        <f aca="false">MEDIAN($I87)</f>
        <v>4.9</v>
      </c>
      <c r="AP87" s="1" t="n">
        <f aca="false">MEDIAN($J87)</f>
        <v>5.05</v>
      </c>
      <c r="AQ87" s="1" t="n">
        <f aca="false">MEDIAN($K87)</f>
        <v>0</v>
      </c>
      <c r="AR87" s="1" t="n">
        <f aca="false">MEDIAN($M87)</f>
        <v>1183160</v>
      </c>
      <c r="AS87" s="1" t="n">
        <f aca="false">MEDIAN($N87)</f>
        <v>0.06</v>
      </c>
      <c r="AT87" s="1" t="n">
        <f aca="false">MEDIAN($P87)</f>
        <v>5.05</v>
      </c>
      <c r="AU87" s="1" t="n">
        <f aca="false">MEDIAN($Q87)</f>
        <v>0</v>
      </c>
      <c r="AV87" s="1" t="n">
        <f aca="false">MEDIAN($R87)</f>
        <v>410420</v>
      </c>
      <c r="AW87" s="1" t="n">
        <f aca="false">MAX($B87)</f>
        <v>1523</v>
      </c>
      <c r="AX87" s="1" t="n">
        <f aca="false">MAX($C87)</f>
        <v>1</v>
      </c>
      <c r="AY87" s="1" t="n">
        <f aca="false">MAX($D87)</f>
        <v>858543</v>
      </c>
      <c r="AZ87" s="1" t="n">
        <f aca="false">MAX($E87)</f>
        <v>0</v>
      </c>
      <c r="BA87" s="1" t="n">
        <f aca="false">MAX($F87)</f>
        <v>395</v>
      </c>
      <c r="BB87" s="1" t="n">
        <f aca="false">MAX($G87)</f>
        <v>0</v>
      </c>
      <c r="BC87" s="1" t="n">
        <f aca="false">MAX($H87)</f>
        <v>1</v>
      </c>
      <c r="BD87" s="1" t="n">
        <f aca="false">MAX($I87)</f>
        <v>4.9</v>
      </c>
      <c r="BE87" s="1" t="n">
        <f aca="false">MAX($J87)</f>
        <v>5.05</v>
      </c>
      <c r="BF87" s="1" t="n">
        <f aca="false">MAX($K87)</f>
        <v>0</v>
      </c>
      <c r="BG87" s="1" t="n">
        <f aca="false">MAX($M87)</f>
        <v>1183160</v>
      </c>
      <c r="BH87" s="1" t="n">
        <f aca="false">MAX($N87)</f>
        <v>0.06</v>
      </c>
      <c r="BI87" s="1" t="n">
        <f aca="false">MAX($P87)</f>
        <v>5.05</v>
      </c>
      <c r="BJ87" s="1" t="n">
        <f aca="false">MAX($Q87)</f>
        <v>0</v>
      </c>
      <c r="BK87" s="1" t="n">
        <f aca="false">MAX($R87)</f>
        <v>410420</v>
      </c>
    </row>
    <row r="88" customFormat="false" ht="15" hidden="false" customHeight="false" outlineLevel="0" collapsed="false">
      <c r="A88" s="1" t="s">
        <v>105</v>
      </c>
      <c r="B88" s="1" t="n">
        <f aca="false" t="array" ref="B88:B88">_xlfn.SWITCH($A$2,"average", AVERAGE(Instances!B88:B88),"median", MEDIAN(Instances!B88:B88),"min", MIN(Instances!B88:B88),"max", MAX(Instances!B88:B88),"diff", MAX(Instances!B88:B88)-MIN(Instances!B88:B88))</f>
        <v>761</v>
      </c>
      <c r="C88" s="1" t="n">
        <f aca="false" t="array" ref="C88:C88">_xlfn.SWITCH($A$2,"average", AVERAGE(Instances!C88:C88),"median", MEDIAN(Instances!C88:C88),"min", MIN(Instances!C88:C88),"max", MAX(Instances!C88:C88),"diff", MAX(Instances!C88:C88)-MIN(Instances!C88:C88))</f>
        <v>2</v>
      </c>
      <c r="D88" s="1" t="n">
        <f aca="false" t="array" ref="D88:D88">_xlfn.SWITCH($A$2,"average", AVERAGE(Instances!D88:D88),"median", MEDIAN(Instances!D88:D88),"min", MIN(Instances!D88:D88),"max", MAX(Instances!D88:D88),"diff", MAX(Instances!D88:D88)-MIN(Instances!D88:D88))</f>
        <v>539168</v>
      </c>
      <c r="E88" s="1" t="n">
        <f aca="false" t="array" ref="E88:E88">_xlfn.SWITCH($A$2,"average", AVERAGE(Instances!E88:E88),"median", MEDIAN(Instances!E88:E88),"min", MIN(Instances!E88:E88),"max", MAX(Instances!E88:E88),"diff", MAX(Instances!E88:E88)-MIN(Instances!E88:E88))</f>
        <v>0</v>
      </c>
      <c r="F88" s="1" t="n">
        <f aca="false" t="array" ref="F88:F88">_xlfn.SWITCH($A$2,"average", AVERAGE(Instances!F88:F88),"median", MEDIAN(Instances!F88:F88),"min", MIN(Instances!F88:F88),"max", MAX(Instances!F88:F88),"diff", MAX(Instances!F88:F88)-MIN(Instances!F88:F88))</f>
        <v>277</v>
      </c>
      <c r="G88" s="1" t="n">
        <f aca="false" t="array" ref="G88:G88">_xlfn.SWITCH($A$2,"average", AVERAGE(Instances!G88:G88),"median", MEDIAN(Instances!G88:G88),"min", MIN(Instances!G88:G88),"max", MAX(Instances!G88:G88),"diff", MAX(Instances!G88:G88)-MIN(Instances!G88:G88))</f>
        <v>0</v>
      </c>
      <c r="H88" s="1" t="n">
        <f aca="false" t="array" ref="H88:H88">_xlfn.SWITCH($A$2,"average", AVERAGE(Instances!H88:H88),"median", MEDIAN(Instances!H88:H88),"min", MIN(Instances!H88:H88),"max", MAX(Instances!H88:H88),"diff", MAX(Instances!H88:H88)-MIN(Instances!H88:H88))</f>
        <v>1</v>
      </c>
      <c r="I88" s="1" t="n">
        <f aca="false" t="array" ref="I88:I88">_xlfn.SWITCH($A$2,"average", AVERAGE(Instances!I88:I88),"median", MEDIAN(Instances!I88:I88),"min", MIN(Instances!I88:I88),"max", MAX(Instances!I88:I88),"diff", MAX(Instances!I88:I88)-MIN(Instances!I88:I88))</f>
        <v>3.748</v>
      </c>
      <c r="J88" s="1" t="n">
        <f aca="false" t="array" ref="J88:J88">_xlfn.SWITCH($A$2,"average", AVERAGE(Instances!J88:J88),"median", MEDIAN(Instances!J88:J88),"min", MIN(Instances!J88:J88),"max", MAX(Instances!J88:J88),"diff", MAX(Instances!J88:J88)-MIN(Instances!J88:J88))</f>
        <v>3.85</v>
      </c>
      <c r="K88" s="1" t="n">
        <f aca="false" t="array" ref="K88:K88">_xlfn.SWITCH($A$2,"average", AVERAGE(Instances!K88:K88),"median", MEDIAN(Instances!K88:K88),"min", MIN(Instances!K88:K88),"max", MAX(Instances!K88:K88),"diff", MAX(Instances!K88:K88)-MIN(Instances!K88:K88))</f>
        <v>0</v>
      </c>
      <c r="L88" s="1"/>
      <c r="M88" s="1" t="n">
        <f aca="false" t="array" ref="M88:M88">_xlfn.SWITCH($A$2,"average", AVERAGE(Instances!M88:M88),"median", MEDIAN(Instances!M88:M88),"min", MIN(Instances!M88:M88),"max", MAX(Instances!M88:M88),"diff", MAX(Instances!M88:M88)-MIN(Instances!M88:M88))</f>
        <v>866647</v>
      </c>
      <c r="N88" s="1" t="n">
        <f aca="false" t="array" ref="N88:N88">_xlfn.SWITCH($A$2,"average", AVERAGE(Instances!N88:N88),"median", MEDIAN(Instances!N88:N88),"min", MIN(Instances!N88:N88),"max", MAX(Instances!N88:N88),"diff", MAX(Instances!N88:N88)-MIN(Instances!N88:N88))</f>
        <v>0.04</v>
      </c>
      <c r="O88" s="1"/>
      <c r="P88" s="1" t="n">
        <f aca="false" t="array" ref="P88:P88">_xlfn.SWITCH($A$2,"average", AVERAGE(Instances!P88:P88),"median", MEDIAN(Instances!P88:P88),"min", MIN(Instances!P88:P88),"max", MAX(Instances!P88:P88),"diff", MAX(Instances!P88:P88)-MIN(Instances!P88:P88))</f>
        <v>3.85</v>
      </c>
      <c r="Q88" s="1" t="n">
        <f aca="false" t="array" ref="Q88:Q88">_xlfn.SWITCH($A$2,"average", AVERAGE(Instances!Q88:Q88),"median", MEDIAN(Instances!Q88:Q88),"min", MIN(Instances!Q88:Q88),"max", MAX(Instances!Q88:Q88),"diff", MAX(Instances!Q88:Q88)-MIN(Instances!Q88:Q88))</f>
        <v>0</v>
      </c>
      <c r="R88" s="1" t="n">
        <f aca="false" t="array" ref="R88:R88">_xlfn.SWITCH($A$2,"average", AVERAGE(Instances!R88:R88),"median", MEDIAN(Instances!R88:R88),"min", MIN(Instances!R88:R88),"max", MAX(Instances!R88:R88),"diff", MAX(Instances!R88:R88)-MIN(Instances!R88:R88))</f>
        <v>292355</v>
      </c>
      <c r="S88" s="1" t="n">
        <f aca="false">MIN($B88)</f>
        <v>761</v>
      </c>
      <c r="T88" s="1" t="n">
        <f aca="false">MIN($C88)</f>
        <v>2</v>
      </c>
      <c r="U88" s="1" t="n">
        <f aca="false">MIN($D88)</f>
        <v>539168</v>
      </c>
      <c r="V88" s="1" t="n">
        <f aca="false">MIN($E88)</f>
        <v>0</v>
      </c>
      <c r="W88" s="1" t="n">
        <f aca="false">MIN($F88)</f>
        <v>277</v>
      </c>
      <c r="X88" s="1" t="n">
        <f aca="false">MIN($G88)</f>
        <v>0</v>
      </c>
      <c r="Y88" s="1" t="n">
        <f aca="false">MIN($H88)</f>
        <v>1</v>
      </c>
      <c r="Z88" s="1" t="n">
        <f aca="false">MIN($I88)</f>
        <v>3.748</v>
      </c>
      <c r="AA88" s="1" t="n">
        <f aca="false">MIN($J88)</f>
        <v>3.85</v>
      </c>
      <c r="AB88" s="1" t="n">
        <f aca="false">MIN($K88)</f>
        <v>0</v>
      </c>
      <c r="AC88" s="1" t="n">
        <f aca="false">MIN($M88)</f>
        <v>866647</v>
      </c>
      <c r="AD88" s="1" t="n">
        <f aca="false">MIN($N88)</f>
        <v>0.04</v>
      </c>
      <c r="AE88" s="1" t="n">
        <f aca="false">MIN($P88)</f>
        <v>3.85</v>
      </c>
      <c r="AF88" s="1" t="n">
        <f aca="false">MIN($Q88)</f>
        <v>0</v>
      </c>
      <c r="AG88" s="1" t="n">
        <f aca="false">MIN($R88)</f>
        <v>292355</v>
      </c>
      <c r="AH88" s="1" t="n">
        <f aca="false">MEDIAN($B88)</f>
        <v>761</v>
      </c>
      <c r="AI88" s="1" t="n">
        <f aca="false">MEDIAN($C88)</f>
        <v>2</v>
      </c>
      <c r="AJ88" s="1" t="n">
        <f aca="false">MEDIAN($D88)</f>
        <v>539168</v>
      </c>
      <c r="AK88" s="1" t="n">
        <f aca="false">MEDIAN($E88)</f>
        <v>0</v>
      </c>
      <c r="AL88" s="1" t="n">
        <f aca="false">MEDIAN($F88)</f>
        <v>277</v>
      </c>
      <c r="AM88" s="1" t="n">
        <f aca="false">MEDIAN($G88)</f>
        <v>0</v>
      </c>
      <c r="AN88" s="1" t="n">
        <f aca="false">MEDIAN($H88)</f>
        <v>1</v>
      </c>
      <c r="AO88" s="1" t="n">
        <f aca="false">MEDIAN($I88)</f>
        <v>3.748</v>
      </c>
      <c r="AP88" s="1" t="n">
        <f aca="false">MEDIAN($J88)</f>
        <v>3.85</v>
      </c>
      <c r="AQ88" s="1" t="n">
        <f aca="false">MEDIAN($K88)</f>
        <v>0</v>
      </c>
      <c r="AR88" s="1" t="n">
        <f aca="false">MEDIAN($M88)</f>
        <v>866647</v>
      </c>
      <c r="AS88" s="1" t="n">
        <f aca="false">MEDIAN($N88)</f>
        <v>0.04</v>
      </c>
      <c r="AT88" s="1" t="n">
        <f aca="false">MEDIAN($P88)</f>
        <v>3.85</v>
      </c>
      <c r="AU88" s="1" t="n">
        <f aca="false">MEDIAN($Q88)</f>
        <v>0</v>
      </c>
      <c r="AV88" s="1" t="n">
        <f aca="false">MEDIAN($R88)</f>
        <v>292355</v>
      </c>
      <c r="AW88" s="1" t="n">
        <f aca="false">MAX($B88)</f>
        <v>761</v>
      </c>
      <c r="AX88" s="1" t="n">
        <f aca="false">MAX($C88)</f>
        <v>2</v>
      </c>
      <c r="AY88" s="1" t="n">
        <f aca="false">MAX($D88)</f>
        <v>539168</v>
      </c>
      <c r="AZ88" s="1" t="n">
        <f aca="false">MAX($E88)</f>
        <v>0</v>
      </c>
      <c r="BA88" s="1" t="n">
        <f aca="false">MAX($F88)</f>
        <v>277</v>
      </c>
      <c r="BB88" s="1" t="n">
        <f aca="false">MAX($G88)</f>
        <v>0</v>
      </c>
      <c r="BC88" s="1" t="n">
        <f aca="false">MAX($H88)</f>
        <v>1</v>
      </c>
      <c r="BD88" s="1" t="n">
        <f aca="false">MAX($I88)</f>
        <v>3.748</v>
      </c>
      <c r="BE88" s="1" t="n">
        <f aca="false">MAX($J88)</f>
        <v>3.85</v>
      </c>
      <c r="BF88" s="1" t="n">
        <f aca="false">MAX($K88)</f>
        <v>0</v>
      </c>
      <c r="BG88" s="1" t="n">
        <f aca="false">MAX($M88)</f>
        <v>866647</v>
      </c>
      <c r="BH88" s="1" t="n">
        <f aca="false">MAX($N88)</f>
        <v>0.04</v>
      </c>
      <c r="BI88" s="1" t="n">
        <f aca="false">MAX($P88)</f>
        <v>3.85</v>
      </c>
      <c r="BJ88" s="1" t="n">
        <f aca="false">MAX($Q88)</f>
        <v>0</v>
      </c>
      <c r="BK88" s="1" t="n">
        <f aca="false">MAX($R88)</f>
        <v>292355</v>
      </c>
    </row>
    <row r="89" customFormat="false" ht="15" hidden="false" customHeight="false" outlineLevel="0" collapsed="false">
      <c r="A89" s="1" t="s">
        <v>106</v>
      </c>
      <c r="B89" s="1" t="n">
        <f aca="false" t="array" ref="B89:B89">_xlfn.SWITCH($A$2,"average", AVERAGE(Instances!B89:B89),"median", MEDIAN(Instances!B89:B89),"min", MIN(Instances!B89:B89),"max", MAX(Instances!B89:B89),"diff", MAX(Instances!B89:B89)-MIN(Instances!B89:B89))</f>
        <v>2997</v>
      </c>
      <c r="C89" s="1" t="n">
        <f aca="false" t="array" ref="C89:C89">_xlfn.SWITCH($A$2,"average", AVERAGE(Instances!C89:C89),"median", MEDIAN(Instances!C89:C89),"min", MIN(Instances!C89:C89),"max", MAX(Instances!C89:C89),"diff", MAX(Instances!C89:C89)-MIN(Instances!C89:C89))</f>
        <v>50</v>
      </c>
      <c r="D89" s="1" t="n">
        <f aca="false" t="array" ref="D89:D89">_xlfn.SWITCH($A$2,"average", AVERAGE(Instances!D89:D89),"median", MEDIAN(Instances!D89:D89),"min", MIN(Instances!D89:D89),"max", MAX(Instances!D89:D89),"diff", MAX(Instances!D89:D89)-MIN(Instances!D89:D89))</f>
        <v>1118076</v>
      </c>
      <c r="E89" s="1" t="n">
        <f aca="false" t="array" ref="E89:E89">_xlfn.SWITCH($A$2,"average", AVERAGE(Instances!E89:E89),"median", MEDIAN(Instances!E89:E89),"min", MIN(Instances!E89:E89),"max", MAX(Instances!E89:E89),"diff", MAX(Instances!E89:E89)-MIN(Instances!E89:E89))</f>
        <v>0</v>
      </c>
      <c r="F89" s="1" t="n">
        <f aca="false" t="array" ref="F89:F89">_xlfn.SWITCH($A$2,"average", AVERAGE(Instances!F89:F89),"median", MEDIAN(Instances!F89:F89),"min", MIN(Instances!F89:F89),"max", MAX(Instances!F89:F89),"diff", MAX(Instances!F89:F89)-MIN(Instances!F89:F89))</f>
        <v>514</v>
      </c>
      <c r="G89" s="1" t="n">
        <f aca="false" t="array" ref="G89:G89">_xlfn.SWITCH($A$2,"average", AVERAGE(Instances!G89:G89),"median", MEDIAN(Instances!G89:G89),"min", MIN(Instances!G89:G89),"max", MAX(Instances!G89:G89),"diff", MAX(Instances!G89:G89)-MIN(Instances!G89:G89))</f>
        <v>0</v>
      </c>
      <c r="H89" s="1" t="n">
        <f aca="false" t="array" ref="H89:H89">_xlfn.SWITCH($A$2,"average", AVERAGE(Instances!H89:H89),"median", MEDIAN(Instances!H89:H89),"min", MIN(Instances!H89:H89),"max", MAX(Instances!H89:H89),"diff", MAX(Instances!H89:H89)-MIN(Instances!H89:H89))</f>
        <v>1</v>
      </c>
      <c r="I89" s="1" t="n">
        <f aca="false" t="array" ref="I89:I89">_xlfn.SWITCH($A$2,"average", AVERAGE(Instances!I89:I89),"median", MEDIAN(Instances!I89:I89),"min", MIN(Instances!I89:I89),"max", MAX(Instances!I89:I89),"diff", MAX(Instances!I89:I89)-MIN(Instances!I89:I89))</f>
        <v>7.441</v>
      </c>
      <c r="J89" s="1" t="n">
        <f aca="false" t="array" ref="J89:J89">_xlfn.SWITCH($A$2,"average", AVERAGE(Instances!J89:J89),"median", MEDIAN(Instances!J89:J89),"min", MIN(Instances!J89:J89),"max", MAX(Instances!J89:J89),"diff", MAX(Instances!J89:J89)-MIN(Instances!J89:J89))</f>
        <v>7.63</v>
      </c>
      <c r="K89" s="1" t="n">
        <f aca="false" t="array" ref="K89:K89">_xlfn.SWITCH($A$2,"average", AVERAGE(Instances!K89:K89),"median", MEDIAN(Instances!K89:K89),"min", MIN(Instances!K89:K89),"max", MAX(Instances!K89:K89),"diff", MAX(Instances!K89:K89)-MIN(Instances!K89:K89))</f>
        <v>0</v>
      </c>
      <c r="L89" s="1"/>
      <c r="M89" s="1" t="n">
        <f aca="false" t="array" ref="M89:M89">_xlfn.SWITCH($A$2,"average", AVERAGE(Instances!M89:M89),"median", MEDIAN(Instances!M89:M89),"min", MIN(Instances!M89:M89),"max", MAX(Instances!M89:M89),"diff", MAX(Instances!M89:M89)-MIN(Instances!M89:M89))</f>
        <v>1701108</v>
      </c>
      <c r="N89" s="1" t="n">
        <f aca="false" t="array" ref="N89:N89">_xlfn.SWITCH($A$2,"average", AVERAGE(Instances!N89:N89),"median", MEDIAN(Instances!N89:N89),"min", MIN(Instances!N89:N89),"max", MAX(Instances!N89:N89),"diff", MAX(Instances!N89:N89)-MIN(Instances!N89:N89))</f>
        <v>0.1</v>
      </c>
      <c r="O89" s="1"/>
      <c r="P89" s="1" t="n">
        <f aca="false" t="array" ref="P89:P89">_xlfn.SWITCH($A$2,"average", AVERAGE(Instances!P89:P89),"median", MEDIAN(Instances!P89:P89),"min", MIN(Instances!P89:P89),"max", MAX(Instances!P89:P89),"diff", MAX(Instances!P89:P89)-MIN(Instances!P89:P89))</f>
        <v>7.63</v>
      </c>
      <c r="Q89" s="1" t="n">
        <f aca="false" t="array" ref="Q89:Q89">_xlfn.SWITCH($A$2,"average", AVERAGE(Instances!Q89:Q89),"median", MEDIAN(Instances!Q89:Q89),"min", MIN(Instances!Q89:Q89),"max", MAX(Instances!Q89:Q89),"diff", MAX(Instances!Q89:Q89)-MIN(Instances!Q89:Q89))</f>
        <v>0</v>
      </c>
      <c r="R89" s="1" t="n">
        <f aca="false" t="array" ref="R89:R89">_xlfn.SWITCH($A$2,"average", AVERAGE(Instances!R89:R89),"median", MEDIAN(Instances!R89:R89),"min", MIN(Instances!R89:R89),"max", MAX(Instances!R89:R89),"diff", MAX(Instances!R89:R89)-MIN(Instances!R89:R89))</f>
        <v>539015</v>
      </c>
      <c r="S89" s="1" t="n">
        <f aca="false">MIN($B89)</f>
        <v>2997</v>
      </c>
      <c r="T89" s="1" t="n">
        <f aca="false">MIN($C89)</f>
        <v>50</v>
      </c>
      <c r="U89" s="1" t="n">
        <f aca="false">MIN($D89)</f>
        <v>1118076</v>
      </c>
      <c r="V89" s="1" t="n">
        <f aca="false">MIN($E89)</f>
        <v>0</v>
      </c>
      <c r="W89" s="1" t="n">
        <f aca="false">MIN($F89)</f>
        <v>514</v>
      </c>
      <c r="X89" s="1" t="n">
        <f aca="false">MIN($G89)</f>
        <v>0</v>
      </c>
      <c r="Y89" s="1" t="n">
        <f aca="false">MIN($H89)</f>
        <v>1</v>
      </c>
      <c r="Z89" s="1" t="n">
        <f aca="false">MIN($I89)</f>
        <v>7.441</v>
      </c>
      <c r="AA89" s="1" t="n">
        <f aca="false">MIN($J89)</f>
        <v>7.63</v>
      </c>
      <c r="AB89" s="1" t="n">
        <f aca="false">MIN($K89)</f>
        <v>0</v>
      </c>
      <c r="AC89" s="1" t="n">
        <f aca="false">MIN($M89)</f>
        <v>1701108</v>
      </c>
      <c r="AD89" s="1" t="n">
        <f aca="false">MIN($N89)</f>
        <v>0.1</v>
      </c>
      <c r="AE89" s="1" t="n">
        <f aca="false">MIN($P89)</f>
        <v>7.63</v>
      </c>
      <c r="AF89" s="1" t="n">
        <f aca="false">MIN($Q89)</f>
        <v>0</v>
      </c>
      <c r="AG89" s="1" t="n">
        <f aca="false">MIN($R89)</f>
        <v>539015</v>
      </c>
      <c r="AH89" s="1" t="n">
        <f aca="false">MEDIAN($B89)</f>
        <v>2997</v>
      </c>
      <c r="AI89" s="1" t="n">
        <f aca="false">MEDIAN($C89)</f>
        <v>50</v>
      </c>
      <c r="AJ89" s="1" t="n">
        <f aca="false">MEDIAN($D89)</f>
        <v>1118076</v>
      </c>
      <c r="AK89" s="1" t="n">
        <f aca="false">MEDIAN($E89)</f>
        <v>0</v>
      </c>
      <c r="AL89" s="1" t="n">
        <f aca="false">MEDIAN($F89)</f>
        <v>514</v>
      </c>
      <c r="AM89" s="1" t="n">
        <f aca="false">MEDIAN($G89)</f>
        <v>0</v>
      </c>
      <c r="AN89" s="1" t="n">
        <f aca="false">MEDIAN($H89)</f>
        <v>1</v>
      </c>
      <c r="AO89" s="1" t="n">
        <f aca="false">MEDIAN($I89)</f>
        <v>7.441</v>
      </c>
      <c r="AP89" s="1" t="n">
        <f aca="false">MEDIAN($J89)</f>
        <v>7.63</v>
      </c>
      <c r="AQ89" s="1" t="n">
        <f aca="false">MEDIAN($K89)</f>
        <v>0</v>
      </c>
      <c r="AR89" s="1" t="n">
        <f aca="false">MEDIAN($M89)</f>
        <v>1701108</v>
      </c>
      <c r="AS89" s="1" t="n">
        <f aca="false">MEDIAN($N89)</f>
        <v>0.1</v>
      </c>
      <c r="AT89" s="1" t="n">
        <f aca="false">MEDIAN($P89)</f>
        <v>7.63</v>
      </c>
      <c r="AU89" s="1" t="n">
        <f aca="false">MEDIAN($Q89)</f>
        <v>0</v>
      </c>
      <c r="AV89" s="1" t="n">
        <f aca="false">MEDIAN($R89)</f>
        <v>539015</v>
      </c>
      <c r="AW89" s="1" t="n">
        <f aca="false">MAX($B89)</f>
        <v>2997</v>
      </c>
      <c r="AX89" s="1" t="n">
        <f aca="false">MAX($C89)</f>
        <v>50</v>
      </c>
      <c r="AY89" s="1" t="n">
        <f aca="false">MAX($D89)</f>
        <v>1118076</v>
      </c>
      <c r="AZ89" s="1" t="n">
        <f aca="false">MAX($E89)</f>
        <v>0</v>
      </c>
      <c r="BA89" s="1" t="n">
        <f aca="false">MAX($F89)</f>
        <v>514</v>
      </c>
      <c r="BB89" s="1" t="n">
        <f aca="false">MAX($G89)</f>
        <v>0</v>
      </c>
      <c r="BC89" s="1" t="n">
        <f aca="false">MAX($H89)</f>
        <v>1</v>
      </c>
      <c r="BD89" s="1" t="n">
        <f aca="false">MAX($I89)</f>
        <v>7.441</v>
      </c>
      <c r="BE89" s="1" t="n">
        <f aca="false">MAX($J89)</f>
        <v>7.63</v>
      </c>
      <c r="BF89" s="1" t="n">
        <f aca="false">MAX($K89)</f>
        <v>0</v>
      </c>
      <c r="BG89" s="1" t="n">
        <f aca="false">MAX($M89)</f>
        <v>1701108</v>
      </c>
      <c r="BH89" s="1" t="n">
        <f aca="false">MAX($N89)</f>
        <v>0.1</v>
      </c>
      <c r="BI89" s="1" t="n">
        <f aca="false">MAX($P89)</f>
        <v>7.63</v>
      </c>
      <c r="BJ89" s="1" t="n">
        <f aca="false">MAX($Q89)</f>
        <v>0</v>
      </c>
      <c r="BK89" s="1" t="n">
        <f aca="false">MAX($R89)</f>
        <v>539015</v>
      </c>
    </row>
    <row r="90" customFormat="false" ht="15" hidden="false" customHeight="false" outlineLevel="0" collapsed="false">
      <c r="A90" s="1" t="s">
        <v>107</v>
      </c>
      <c r="B90" s="1" t="n">
        <f aca="false" t="array" ref="B90:B90">_xlfn.SWITCH($A$2,"average", AVERAGE(Instances!B90:B90),"median", MEDIAN(Instances!B90:B90),"min", MIN(Instances!B90:B90),"max", MAX(Instances!B90:B90),"diff", MAX(Instances!B90:B90)-MIN(Instances!B90:B90))</f>
        <v>42441</v>
      </c>
      <c r="C90" s="1" t="n">
        <f aca="false" t="array" ref="C90:C90">_xlfn.SWITCH($A$2,"average", AVERAGE(Instances!C90:C90),"median", MEDIAN(Instances!C90:C90),"min", MIN(Instances!C90:C90),"max", MAX(Instances!C90:C90),"diff", MAX(Instances!C90:C90)-MIN(Instances!C90:C90))</f>
        <v>218</v>
      </c>
      <c r="D90" s="1" t="n">
        <f aca="false" t="array" ref="D90:D90">_xlfn.SWITCH($A$2,"average", AVERAGE(Instances!D90:D90),"median", MEDIAN(Instances!D90:D90),"min", MIN(Instances!D90:D90),"max", MAX(Instances!D90:D90),"diff", MAX(Instances!D90:D90)-MIN(Instances!D90:D90))</f>
        <v>1151095</v>
      </c>
      <c r="E90" s="1" t="n">
        <f aca="false" t="array" ref="E90:E90">_xlfn.SWITCH($A$2,"average", AVERAGE(Instances!E90:E90),"median", MEDIAN(Instances!E90:E90),"min", MIN(Instances!E90:E90),"max", MAX(Instances!E90:E90),"diff", MAX(Instances!E90:E90)-MIN(Instances!E90:E90))</f>
        <v>0</v>
      </c>
      <c r="F90" s="1" t="n">
        <f aca="false" t="array" ref="F90:F90">_xlfn.SWITCH($A$2,"average", AVERAGE(Instances!F90:F90),"median", MEDIAN(Instances!F90:F90),"min", MIN(Instances!F90:F90),"max", MAX(Instances!F90:F90),"diff", MAX(Instances!F90:F90)-MIN(Instances!F90:F90))</f>
        <v>528</v>
      </c>
      <c r="G90" s="1" t="n">
        <f aca="false" t="array" ref="G90:G90">_xlfn.SWITCH($A$2,"average", AVERAGE(Instances!G90:G90),"median", MEDIAN(Instances!G90:G90),"min", MIN(Instances!G90:G90),"max", MAX(Instances!G90:G90),"diff", MAX(Instances!G90:G90)-MIN(Instances!G90:G90))</f>
        <v>0</v>
      </c>
      <c r="H90" s="1" t="n">
        <f aca="false" t="array" ref="H90:H90">_xlfn.SWITCH($A$2,"average", AVERAGE(Instances!H90:H90),"median", MEDIAN(Instances!H90:H90),"min", MIN(Instances!H90:H90),"max", MAX(Instances!H90:H90),"diff", MAX(Instances!H90:H90)-MIN(Instances!H90:H90))</f>
        <v>1</v>
      </c>
      <c r="I90" s="1" t="n">
        <f aca="false" t="array" ref="I90:I90">_xlfn.SWITCH($A$2,"average", AVERAGE(Instances!I90:I90),"median", MEDIAN(Instances!I90:I90),"min", MIN(Instances!I90:I90),"max", MAX(Instances!I90:I90),"diff", MAX(Instances!I90:I90)-MIN(Instances!I90:I90))</f>
        <v>8.855</v>
      </c>
      <c r="J90" s="1" t="n">
        <f aca="false" t="array" ref="J90:J90">_xlfn.SWITCH($A$2,"average", AVERAGE(Instances!J90:J90),"median", MEDIAN(Instances!J90:J90),"min", MIN(Instances!J90:J90),"max", MAX(Instances!J90:J90),"diff", MAX(Instances!J90:J90)-MIN(Instances!J90:J90))</f>
        <v>9.05</v>
      </c>
      <c r="K90" s="1" t="n">
        <f aca="false" t="array" ref="K90:K90">_xlfn.SWITCH($A$2,"average", AVERAGE(Instances!K90:K90),"median", MEDIAN(Instances!K90:K90),"min", MIN(Instances!K90:K90),"max", MAX(Instances!K90:K90),"diff", MAX(Instances!K90:K90)-MIN(Instances!K90:K90))</f>
        <v>2</v>
      </c>
      <c r="L90" s="1"/>
      <c r="M90" s="1" t="n">
        <f aca="false" t="array" ref="M90:M90">_xlfn.SWITCH($A$2,"average", AVERAGE(Instances!M90:M90),"median", MEDIAN(Instances!M90:M90),"min", MIN(Instances!M90:M90),"max", MAX(Instances!M90:M90),"diff", MAX(Instances!M90:M90)-MIN(Instances!M90:M90))</f>
        <v>1736612</v>
      </c>
      <c r="N90" s="1" t="n">
        <f aca="false" t="array" ref="N90:N90">_xlfn.SWITCH($A$2,"average", AVERAGE(Instances!N90:N90),"median", MEDIAN(Instances!N90:N90),"min", MIN(Instances!N90:N90),"max", MAX(Instances!N90:N90),"diff", MAX(Instances!N90:N90)-MIN(Instances!N90:N90))</f>
        <v>1.35</v>
      </c>
      <c r="O90" s="1"/>
      <c r="P90" s="1" t="n">
        <f aca="false" t="array" ref="P90:P90">_xlfn.SWITCH($A$2,"average", AVERAGE(Instances!P90:P90),"median", MEDIAN(Instances!P90:P90),"min", MIN(Instances!P90:P90),"max", MAX(Instances!P90:P90),"diff", MAX(Instances!P90:P90)-MIN(Instances!P90:P90))</f>
        <v>9.05</v>
      </c>
      <c r="Q90" s="1" t="n">
        <f aca="false" t="array" ref="Q90:Q90">_xlfn.SWITCH($A$2,"average", AVERAGE(Instances!Q90:Q90),"median", MEDIAN(Instances!Q90:Q90),"min", MIN(Instances!Q90:Q90),"max", MAX(Instances!Q90:Q90),"diff", MAX(Instances!Q90:Q90)-MIN(Instances!Q90:Q90))</f>
        <v>0</v>
      </c>
      <c r="R90" s="1" t="n">
        <f aca="false" t="array" ref="R90:R90">_xlfn.SWITCH($A$2,"average", AVERAGE(Instances!R90:R90),"median", MEDIAN(Instances!R90:R90),"min", MIN(Instances!R90:R90),"max", MAX(Instances!R90:R90),"diff", MAX(Instances!R90:R90)-MIN(Instances!R90:R90))</f>
        <v>551700</v>
      </c>
      <c r="S90" s="1" t="n">
        <f aca="false">MIN($B90)</f>
        <v>42441</v>
      </c>
      <c r="T90" s="1" t="n">
        <f aca="false">MIN($C90)</f>
        <v>218</v>
      </c>
      <c r="U90" s="1" t="n">
        <f aca="false">MIN($D90)</f>
        <v>1151095</v>
      </c>
      <c r="V90" s="1" t="n">
        <f aca="false">MIN($E90)</f>
        <v>0</v>
      </c>
      <c r="W90" s="1" t="n">
        <f aca="false">MIN($F90)</f>
        <v>528</v>
      </c>
      <c r="X90" s="1" t="n">
        <f aca="false">MIN($G90)</f>
        <v>0</v>
      </c>
      <c r="Y90" s="1" t="n">
        <f aca="false">MIN($H90)</f>
        <v>1</v>
      </c>
      <c r="Z90" s="1" t="n">
        <f aca="false">MIN($I90)</f>
        <v>8.855</v>
      </c>
      <c r="AA90" s="1" t="n">
        <f aca="false">MIN($J90)</f>
        <v>9.05</v>
      </c>
      <c r="AB90" s="1" t="n">
        <f aca="false">MIN($K90)</f>
        <v>2</v>
      </c>
      <c r="AC90" s="1" t="n">
        <f aca="false">MIN($M90)</f>
        <v>1736612</v>
      </c>
      <c r="AD90" s="1" t="n">
        <f aca="false">MIN($N90)</f>
        <v>1.35</v>
      </c>
      <c r="AE90" s="1" t="n">
        <f aca="false">MIN($P90)</f>
        <v>9.05</v>
      </c>
      <c r="AF90" s="1" t="n">
        <f aca="false">MIN($Q90)</f>
        <v>0</v>
      </c>
      <c r="AG90" s="1" t="n">
        <f aca="false">MIN($R90)</f>
        <v>551700</v>
      </c>
      <c r="AH90" s="1" t="n">
        <f aca="false">MEDIAN($B90)</f>
        <v>42441</v>
      </c>
      <c r="AI90" s="1" t="n">
        <f aca="false">MEDIAN($C90)</f>
        <v>218</v>
      </c>
      <c r="AJ90" s="1" t="n">
        <f aca="false">MEDIAN($D90)</f>
        <v>1151095</v>
      </c>
      <c r="AK90" s="1" t="n">
        <f aca="false">MEDIAN($E90)</f>
        <v>0</v>
      </c>
      <c r="AL90" s="1" t="n">
        <f aca="false">MEDIAN($F90)</f>
        <v>528</v>
      </c>
      <c r="AM90" s="1" t="n">
        <f aca="false">MEDIAN($G90)</f>
        <v>0</v>
      </c>
      <c r="AN90" s="1" t="n">
        <f aca="false">MEDIAN($H90)</f>
        <v>1</v>
      </c>
      <c r="AO90" s="1" t="n">
        <f aca="false">MEDIAN($I90)</f>
        <v>8.855</v>
      </c>
      <c r="AP90" s="1" t="n">
        <f aca="false">MEDIAN($J90)</f>
        <v>9.05</v>
      </c>
      <c r="AQ90" s="1" t="n">
        <f aca="false">MEDIAN($K90)</f>
        <v>2</v>
      </c>
      <c r="AR90" s="1" t="n">
        <f aca="false">MEDIAN($M90)</f>
        <v>1736612</v>
      </c>
      <c r="AS90" s="1" t="n">
        <f aca="false">MEDIAN($N90)</f>
        <v>1.35</v>
      </c>
      <c r="AT90" s="1" t="n">
        <f aca="false">MEDIAN($P90)</f>
        <v>9.05</v>
      </c>
      <c r="AU90" s="1" t="n">
        <f aca="false">MEDIAN($Q90)</f>
        <v>0</v>
      </c>
      <c r="AV90" s="1" t="n">
        <f aca="false">MEDIAN($R90)</f>
        <v>551700</v>
      </c>
      <c r="AW90" s="1" t="n">
        <f aca="false">MAX($B90)</f>
        <v>42441</v>
      </c>
      <c r="AX90" s="1" t="n">
        <f aca="false">MAX($C90)</f>
        <v>218</v>
      </c>
      <c r="AY90" s="1" t="n">
        <f aca="false">MAX($D90)</f>
        <v>1151095</v>
      </c>
      <c r="AZ90" s="1" t="n">
        <f aca="false">MAX($E90)</f>
        <v>0</v>
      </c>
      <c r="BA90" s="1" t="n">
        <f aca="false">MAX($F90)</f>
        <v>528</v>
      </c>
      <c r="BB90" s="1" t="n">
        <f aca="false">MAX($G90)</f>
        <v>0</v>
      </c>
      <c r="BC90" s="1" t="n">
        <f aca="false">MAX($H90)</f>
        <v>1</v>
      </c>
      <c r="BD90" s="1" t="n">
        <f aca="false">MAX($I90)</f>
        <v>8.855</v>
      </c>
      <c r="BE90" s="1" t="n">
        <f aca="false">MAX($J90)</f>
        <v>9.05</v>
      </c>
      <c r="BF90" s="1" t="n">
        <f aca="false">MAX($K90)</f>
        <v>2</v>
      </c>
      <c r="BG90" s="1" t="n">
        <f aca="false">MAX($M90)</f>
        <v>1736612</v>
      </c>
      <c r="BH90" s="1" t="n">
        <f aca="false">MAX($N90)</f>
        <v>1.35</v>
      </c>
      <c r="BI90" s="1" t="n">
        <f aca="false">MAX($P90)</f>
        <v>9.05</v>
      </c>
      <c r="BJ90" s="1" t="n">
        <f aca="false">MAX($Q90)</f>
        <v>0</v>
      </c>
      <c r="BK90" s="1" t="n">
        <f aca="false">MAX($R90)</f>
        <v>551700</v>
      </c>
    </row>
    <row r="91" customFormat="false" ht="15" hidden="false" customHeight="false" outlineLevel="0" collapsed="false">
      <c r="A91" s="1" t="s">
        <v>108</v>
      </c>
      <c r="B91" s="1" t="n">
        <f aca="false" t="array" ref="B91:B91">_xlfn.SWITCH($A$2,"average", AVERAGE(Instances!B91:B91),"median", MEDIAN(Instances!B91:B91),"min", MIN(Instances!B91:B91),"max", MAX(Instances!B91:B91),"diff", MAX(Instances!B91:B91)-MIN(Instances!B91:B91))</f>
        <v>23037</v>
      </c>
      <c r="C91" s="1" t="n">
        <f aca="false" t="array" ref="C91:C91">_xlfn.SWITCH($A$2,"average", AVERAGE(Instances!C91:C91),"median", MEDIAN(Instances!C91:C91),"min", MIN(Instances!C91:C91),"max", MAX(Instances!C91:C91),"diff", MAX(Instances!C91:C91)-MIN(Instances!C91:C91))</f>
        <v>467</v>
      </c>
      <c r="D91" s="1" t="n">
        <f aca="false" t="array" ref="D91:D91">_xlfn.SWITCH($A$2,"average", AVERAGE(Instances!D91:D91),"median", MEDIAN(Instances!D91:D91),"min", MIN(Instances!D91:D91),"max", MAX(Instances!D91:D91),"diff", MAX(Instances!D91:D91)-MIN(Instances!D91:D91))</f>
        <v>1314034</v>
      </c>
      <c r="E91" s="1" t="n">
        <f aca="false" t="array" ref="E91:E91">_xlfn.SWITCH($A$2,"average", AVERAGE(Instances!E91:E91),"median", MEDIAN(Instances!E91:E91),"min", MIN(Instances!E91:E91),"max", MAX(Instances!E91:E91),"diff", MAX(Instances!E91:E91)-MIN(Instances!E91:E91))</f>
        <v>0</v>
      </c>
      <c r="F91" s="1" t="n">
        <f aca="false" t="array" ref="F91:F91">_xlfn.SWITCH($A$2,"average", AVERAGE(Instances!F91:F91),"median", MEDIAN(Instances!F91:F91),"min", MIN(Instances!F91:F91),"max", MAX(Instances!F91:F91),"diff", MAX(Instances!F91:F91)-MIN(Instances!F91:F91))</f>
        <v>567</v>
      </c>
      <c r="G91" s="1" t="n">
        <f aca="false" t="array" ref="G91:G91">_xlfn.SWITCH($A$2,"average", AVERAGE(Instances!G91:G91),"median", MEDIAN(Instances!G91:G91),"min", MIN(Instances!G91:G91),"max", MAX(Instances!G91:G91),"diff", MAX(Instances!G91:G91)-MIN(Instances!G91:G91))</f>
        <v>0</v>
      </c>
      <c r="H91" s="1" t="n">
        <f aca="false" t="array" ref="H91:H91">_xlfn.SWITCH($A$2,"average", AVERAGE(Instances!H91:H91),"median", MEDIAN(Instances!H91:H91),"min", MIN(Instances!H91:H91),"max", MAX(Instances!H91:H91),"diff", MAX(Instances!H91:H91)-MIN(Instances!H91:H91))</f>
        <v>1</v>
      </c>
      <c r="I91" s="1" t="n">
        <f aca="false" t="array" ref="I91:I91">_xlfn.SWITCH($A$2,"average", AVERAGE(Instances!I91:I91),"median", MEDIAN(Instances!I91:I91),"min", MIN(Instances!I91:I91),"max", MAX(Instances!I91:I91),"diff", MAX(Instances!I91:I91)-MIN(Instances!I91:I91))</f>
        <v>8.918</v>
      </c>
      <c r="J91" s="1" t="n">
        <f aca="false" t="array" ref="J91:J91">_xlfn.SWITCH($A$2,"average", AVERAGE(Instances!J91:J91),"median", MEDIAN(Instances!J91:J91),"min", MIN(Instances!J91:J91),"max", MAX(Instances!J91:J91),"diff", MAX(Instances!J91:J91)-MIN(Instances!J91:J91))</f>
        <v>9.12</v>
      </c>
      <c r="K91" s="1" t="n">
        <f aca="false" t="array" ref="K91:K91">_xlfn.SWITCH($A$2,"average", AVERAGE(Instances!K91:K91),"median", MEDIAN(Instances!K91:K91),"min", MIN(Instances!K91:K91),"max", MAX(Instances!K91:K91),"diff", MAX(Instances!K91:K91)-MIN(Instances!K91:K91))</f>
        <v>3</v>
      </c>
      <c r="L91" s="1"/>
      <c r="M91" s="1" t="n">
        <f aca="false" t="array" ref="M91:M91">_xlfn.SWITCH($A$2,"average", AVERAGE(Instances!M91:M91),"median", MEDIAN(Instances!M91:M91),"min", MIN(Instances!M91:M91),"max", MAX(Instances!M91:M91),"diff", MAX(Instances!M91:M91)-MIN(Instances!M91:M91))</f>
        <v>1936277</v>
      </c>
      <c r="N91" s="1" t="n">
        <f aca="false" t="array" ref="N91:N91">_xlfn.SWITCH($A$2,"average", AVERAGE(Instances!N91:N91),"median", MEDIAN(Instances!N91:N91),"min", MIN(Instances!N91:N91),"max", MAX(Instances!N91:N91),"diff", MAX(Instances!N91:N91)-MIN(Instances!N91:N91))</f>
        <v>1.06</v>
      </c>
      <c r="O91" s="1"/>
      <c r="P91" s="1" t="n">
        <f aca="false" t="array" ref="P91:P91">_xlfn.SWITCH($A$2,"average", AVERAGE(Instances!P91:P91),"median", MEDIAN(Instances!P91:P91),"min", MIN(Instances!P91:P91),"max", MAX(Instances!P91:P91),"diff", MAX(Instances!P91:P91)-MIN(Instances!P91:P91))</f>
        <v>9.12</v>
      </c>
      <c r="Q91" s="1" t="n">
        <f aca="false" t="array" ref="Q91:Q91">_xlfn.SWITCH($A$2,"average", AVERAGE(Instances!Q91:Q91),"median", MEDIAN(Instances!Q91:Q91),"min", MIN(Instances!Q91:Q91),"max", MAX(Instances!Q91:Q91),"diff", MAX(Instances!Q91:Q91)-MIN(Instances!Q91:Q91))</f>
        <v>0</v>
      </c>
      <c r="R91" s="1" t="n">
        <f aca="false" t="array" ref="R91:R91">_xlfn.SWITCH($A$2,"average", AVERAGE(Instances!R91:R91),"median", MEDIAN(Instances!R91:R91),"min", MIN(Instances!R91:R91),"max", MAX(Instances!R91:R91),"diff", MAX(Instances!R91:R91)-MIN(Instances!R91:R91))</f>
        <v>597861</v>
      </c>
      <c r="S91" s="1" t="n">
        <f aca="false">MIN($B91)</f>
        <v>23037</v>
      </c>
      <c r="T91" s="1" t="n">
        <f aca="false">MIN($C91)</f>
        <v>467</v>
      </c>
      <c r="U91" s="1" t="n">
        <f aca="false">MIN($D91)</f>
        <v>1314034</v>
      </c>
      <c r="V91" s="1" t="n">
        <f aca="false">MIN($E91)</f>
        <v>0</v>
      </c>
      <c r="W91" s="1" t="n">
        <f aca="false">MIN($F91)</f>
        <v>567</v>
      </c>
      <c r="X91" s="1" t="n">
        <f aca="false">MIN($G91)</f>
        <v>0</v>
      </c>
      <c r="Y91" s="1" t="n">
        <f aca="false">MIN($H91)</f>
        <v>1</v>
      </c>
      <c r="Z91" s="1" t="n">
        <f aca="false">MIN($I91)</f>
        <v>8.918</v>
      </c>
      <c r="AA91" s="1" t="n">
        <f aca="false">MIN($J91)</f>
        <v>9.12</v>
      </c>
      <c r="AB91" s="1" t="n">
        <f aca="false">MIN($K91)</f>
        <v>3</v>
      </c>
      <c r="AC91" s="1" t="n">
        <f aca="false">MIN($M91)</f>
        <v>1936277</v>
      </c>
      <c r="AD91" s="1" t="n">
        <f aca="false">MIN($N91)</f>
        <v>1.06</v>
      </c>
      <c r="AE91" s="1" t="n">
        <f aca="false">MIN($P91)</f>
        <v>9.12</v>
      </c>
      <c r="AF91" s="1" t="n">
        <f aca="false">MIN($Q91)</f>
        <v>0</v>
      </c>
      <c r="AG91" s="1" t="n">
        <f aca="false">MIN($R91)</f>
        <v>597861</v>
      </c>
      <c r="AH91" s="1" t="n">
        <f aca="false">MEDIAN($B91)</f>
        <v>23037</v>
      </c>
      <c r="AI91" s="1" t="n">
        <f aca="false">MEDIAN($C91)</f>
        <v>467</v>
      </c>
      <c r="AJ91" s="1" t="n">
        <f aca="false">MEDIAN($D91)</f>
        <v>1314034</v>
      </c>
      <c r="AK91" s="1" t="n">
        <f aca="false">MEDIAN($E91)</f>
        <v>0</v>
      </c>
      <c r="AL91" s="1" t="n">
        <f aca="false">MEDIAN($F91)</f>
        <v>567</v>
      </c>
      <c r="AM91" s="1" t="n">
        <f aca="false">MEDIAN($G91)</f>
        <v>0</v>
      </c>
      <c r="AN91" s="1" t="n">
        <f aca="false">MEDIAN($H91)</f>
        <v>1</v>
      </c>
      <c r="AO91" s="1" t="n">
        <f aca="false">MEDIAN($I91)</f>
        <v>8.918</v>
      </c>
      <c r="AP91" s="1" t="n">
        <f aca="false">MEDIAN($J91)</f>
        <v>9.12</v>
      </c>
      <c r="AQ91" s="1" t="n">
        <f aca="false">MEDIAN($K91)</f>
        <v>3</v>
      </c>
      <c r="AR91" s="1" t="n">
        <f aca="false">MEDIAN($M91)</f>
        <v>1936277</v>
      </c>
      <c r="AS91" s="1" t="n">
        <f aca="false">MEDIAN($N91)</f>
        <v>1.06</v>
      </c>
      <c r="AT91" s="1" t="n">
        <f aca="false">MEDIAN($P91)</f>
        <v>9.12</v>
      </c>
      <c r="AU91" s="1" t="n">
        <f aca="false">MEDIAN($Q91)</f>
        <v>0</v>
      </c>
      <c r="AV91" s="1" t="n">
        <f aca="false">MEDIAN($R91)</f>
        <v>597861</v>
      </c>
      <c r="AW91" s="1" t="n">
        <f aca="false">MAX($B91)</f>
        <v>23037</v>
      </c>
      <c r="AX91" s="1" t="n">
        <f aca="false">MAX($C91)</f>
        <v>467</v>
      </c>
      <c r="AY91" s="1" t="n">
        <f aca="false">MAX($D91)</f>
        <v>1314034</v>
      </c>
      <c r="AZ91" s="1" t="n">
        <f aca="false">MAX($E91)</f>
        <v>0</v>
      </c>
      <c r="BA91" s="1" t="n">
        <f aca="false">MAX($F91)</f>
        <v>567</v>
      </c>
      <c r="BB91" s="1" t="n">
        <f aca="false">MAX($G91)</f>
        <v>0</v>
      </c>
      <c r="BC91" s="1" t="n">
        <f aca="false">MAX($H91)</f>
        <v>1</v>
      </c>
      <c r="BD91" s="1" t="n">
        <f aca="false">MAX($I91)</f>
        <v>8.918</v>
      </c>
      <c r="BE91" s="1" t="n">
        <f aca="false">MAX($J91)</f>
        <v>9.12</v>
      </c>
      <c r="BF91" s="1" t="n">
        <f aca="false">MAX($K91)</f>
        <v>3</v>
      </c>
      <c r="BG91" s="1" t="n">
        <f aca="false">MAX($M91)</f>
        <v>1936277</v>
      </c>
      <c r="BH91" s="1" t="n">
        <f aca="false">MAX($N91)</f>
        <v>1.06</v>
      </c>
      <c r="BI91" s="1" t="n">
        <f aca="false">MAX($P91)</f>
        <v>9.12</v>
      </c>
      <c r="BJ91" s="1" t="n">
        <f aca="false">MAX($Q91)</f>
        <v>0</v>
      </c>
      <c r="BK91" s="1" t="n">
        <f aca="false">MAX($R91)</f>
        <v>597861</v>
      </c>
    </row>
    <row r="92" customFormat="false" ht="15" hidden="false" customHeight="false" outlineLevel="0" collapsed="false">
      <c r="A92" s="1" t="s">
        <v>109</v>
      </c>
      <c r="B92" s="1" t="n">
        <f aca="false" t="array" ref="B92:B92">_xlfn.SWITCH($A$2,"average", AVERAGE(Instances!B92:B92),"median", MEDIAN(Instances!B92:B92),"min", MIN(Instances!B92:B92),"max", MAX(Instances!B92:B92),"diff", MAX(Instances!B92:B92)-MIN(Instances!B92:B92))</f>
        <v>97284</v>
      </c>
      <c r="C92" s="1" t="n">
        <f aca="false" t="array" ref="C92:C92">_xlfn.SWITCH($A$2,"average", AVERAGE(Instances!C92:C92),"median", MEDIAN(Instances!C92:C92),"min", MIN(Instances!C92:C92),"max", MAX(Instances!C92:C92),"diff", MAX(Instances!C92:C92)-MIN(Instances!C92:C92))</f>
        <v>3417</v>
      </c>
      <c r="D92" s="1" t="n">
        <f aca="false" t="array" ref="D92:D92">_xlfn.SWITCH($A$2,"average", AVERAGE(Instances!D92:D92),"median", MEDIAN(Instances!D92:D92),"min", MIN(Instances!D92:D92),"max", MAX(Instances!D92:D92),"diff", MAX(Instances!D92:D92)-MIN(Instances!D92:D92))</f>
        <v>1288370</v>
      </c>
      <c r="E92" s="1" t="n">
        <f aca="false" t="array" ref="E92:E92">_xlfn.SWITCH($A$2,"average", AVERAGE(Instances!E92:E92),"median", MEDIAN(Instances!E92:E92),"min", MIN(Instances!E92:E92),"max", MAX(Instances!E92:E92),"diff", MAX(Instances!E92:E92)-MIN(Instances!E92:E92))</f>
        <v>0</v>
      </c>
      <c r="F92" s="1" t="n">
        <f aca="false" t="array" ref="F92:F92">_xlfn.SWITCH($A$2,"average", AVERAGE(Instances!F92:F92),"median", MEDIAN(Instances!F92:F92),"min", MIN(Instances!F92:F92),"max", MAX(Instances!F92:F92),"diff", MAX(Instances!F92:F92)-MIN(Instances!F92:F92))</f>
        <v>564</v>
      </c>
      <c r="G92" s="1" t="n">
        <f aca="false" t="array" ref="G92:G92">_xlfn.SWITCH($A$2,"average", AVERAGE(Instances!G92:G92),"median", MEDIAN(Instances!G92:G92),"min", MIN(Instances!G92:G92),"max", MAX(Instances!G92:G92),"diff", MAX(Instances!G92:G92)-MIN(Instances!G92:G92))</f>
        <v>0</v>
      </c>
      <c r="H92" s="1" t="n">
        <f aca="false" t="array" ref="H92:H92">_xlfn.SWITCH($A$2,"average", AVERAGE(Instances!H92:H92),"median", MEDIAN(Instances!H92:H92),"min", MIN(Instances!H92:H92),"max", MAX(Instances!H92:H92),"diff", MAX(Instances!H92:H92)-MIN(Instances!H92:H92))</f>
        <v>1</v>
      </c>
      <c r="I92" s="1" t="n">
        <f aca="false" t="array" ref="I92:I92">_xlfn.SWITCH($A$2,"average", AVERAGE(Instances!I92:I92),"median", MEDIAN(Instances!I92:I92),"min", MIN(Instances!I92:I92),"max", MAX(Instances!I92:I92),"diff", MAX(Instances!I92:I92)-MIN(Instances!I92:I92))</f>
        <v>14.373</v>
      </c>
      <c r="J92" s="1" t="n">
        <f aca="false" t="array" ref="J92:J92">_xlfn.SWITCH($A$2,"average", AVERAGE(Instances!J92:J92),"median", MEDIAN(Instances!J92:J92),"min", MIN(Instances!J92:J92),"max", MAX(Instances!J92:J92),"diff", MAX(Instances!J92:J92)-MIN(Instances!J92:J92))</f>
        <v>14.56</v>
      </c>
      <c r="K92" s="1" t="n">
        <f aca="false" t="array" ref="K92:K92">_xlfn.SWITCH($A$2,"average", AVERAGE(Instances!K92:K92),"median", MEDIAN(Instances!K92:K92),"min", MIN(Instances!K92:K92),"max", MAX(Instances!K92:K92),"diff", MAX(Instances!K92:K92)-MIN(Instances!K92:K92))</f>
        <v>15</v>
      </c>
      <c r="L92" s="1"/>
      <c r="M92" s="1" t="n">
        <f aca="false" t="array" ref="M92:M92">_xlfn.SWITCH($A$2,"average", AVERAGE(Instances!M92:M92),"median", MEDIAN(Instances!M92:M92),"min", MIN(Instances!M92:M92),"max", MAX(Instances!M92:M92),"diff", MAX(Instances!M92:M92)-MIN(Instances!M92:M92))</f>
        <v>1936337</v>
      </c>
      <c r="N92" s="1" t="n">
        <f aca="false" t="array" ref="N92:N92">_xlfn.SWITCH($A$2,"average", AVERAGE(Instances!N92:N92),"median", MEDIAN(Instances!N92:N92),"min", MIN(Instances!N92:N92),"max", MAX(Instances!N92:N92),"diff", MAX(Instances!N92:N92)-MIN(Instances!N92:N92))</f>
        <v>6.12</v>
      </c>
      <c r="O92" s="1"/>
      <c r="P92" s="1" t="n">
        <f aca="false" t="array" ref="P92:P92">_xlfn.SWITCH($A$2,"average", AVERAGE(Instances!P92:P92),"median", MEDIAN(Instances!P92:P92),"min", MIN(Instances!P92:P92),"max", MAX(Instances!P92:P92),"diff", MAX(Instances!P92:P92)-MIN(Instances!P92:P92))</f>
        <v>14.56</v>
      </c>
      <c r="Q92" s="1" t="n">
        <f aca="false" t="array" ref="Q92:Q92">_xlfn.SWITCH($A$2,"average", AVERAGE(Instances!Q92:Q92),"median", MEDIAN(Instances!Q92:Q92),"min", MIN(Instances!Q92:Q92),"max", MAX(Instances!Q92:Q92),"diff", MAX(Instances!Q92:Q92)-MIN(Instances!Q92:Q92))</f>
        <v>0</v>
      </c>
      <c r="R92" s="1" t="n">
        <f aca="false" t="array" ref="R92:R92">_xlfn.SWITCH($A$2,"average", AVERAGE(Instances!R92:R92),"median", MEDIAN(Instances!R92:R92),"min", MIN(Instances!R92:R92),"max", MAX(Instances!R92:R92),"diff", MAX(Instances!R92:R92)-MIN(Instances!R92:R92))</f>
        <v>599338</v>
      </c>
      <c r="S92" s="1" t="n">
        <f aca="false">MIN($B92)</f>
        <v>97284</v>
      </c>
      <c r="T92" s="1" t="n">
        <f aca="false">MIN($C92)</f>
        <v>3417</v>
      </c>
      <c r="U92" s="1" t="n">
        <f aca="false">MIN($D92)</f>
        <v>1288370</v>
      </c>
      <c r="V92" s="1" t="n">
        <f aca="false">MIN($E92)</f>
        <v>0</v>
      </c>
      <c r="W92" s="1" t="n">
        <f aca="false">MIN($F92)</f>
        <v>564</v>
      </c>
      <c r="X92" s="1" t="n">
        <f aca="false">MIN($G92)</f>
        <v>0</v>
      </c>
      <c r="Y92" s="1" t="n">
        <f aca="false">MIN($H92)</f>
        <v>1</v>
      </c>
      <c r="Z92" s="1" t="n">
        <f aca="false">MIN($I92)</f>
        <v>14.373</v>
      </c>
      <c r="AA92" s="1" t="n">
        <f aca="false">MIN($J92)</f>
        <v>14.56</v>
      </c>
      <c r="AB92" s="1" t="n">
        <f aca="false">MIN($K92)</f>
        <v>15</v>
      </c>
      <c r="AC92" s="1" t="n">
        <f aca="false">MIN($M92)</f>
        <v>1936337</v>
      </c>
      <c r="AD92" s="1" t="n">
        <f aca="false">MIN($N92)</f>
        <v>6.12</v>
      </c>
      <c r="AE92" s="1" t="n">
        <f aca="false">MIN($P92)</f>
        <v>14.56</v>
      </c>
      <c r="AF92" s="1" t="n">
        <f aca="false">MIN($Q92)</f>
        <v>0</v>
      </c>
      <c r="AG92" s="1" t="n">
        <f aca="false">MIN($R92)</f>
        <v>599338</v>
      </c>
      <c r="AH92" s="1" t="n">
        <f aca="false">MEDIAN($B92)</f>
        <v>97284</v>
      </c>
      <c r="AI92" s="1" t="n">
        <f aca="false">MEDIAN($C92)</f>
        <v>3417</v>
      </c>
      <c r="AJ92" s="1" t="n">
        <f aca="false">MEDIAN($D92)</f>
        <v>1288370</v>
      </c>
      <c r="AK92" s="1" t="n">
        <f aca="false">MEDIAN($E92)</f>
        <v>0</v>
      </c>
      <c r="AL92" s="1" t="n">
        <f aca="false">MEDIAN($F92)</f>
        <v>564</v>
      </c>
      <c r="AM92" s="1" t="n">
        <f aca="false">MEDIAN($G92)</f>
        <v>0</v>
      </c>
      <c r="AN92" s="1" t="n">
        <f aca="false">MEDIAN($H92)</f>
        <v>1</v>
      </c>
      <c r="AO92" s="1" t="n">
        <f aca="false">MEDIAN($I92)</f>
        <v>14.373</v>
      </c>
      <c r="AP92" s="1" t="n">
        <f aca="false">MEDIAN($J92)</f>
        <v>14.56</v>
      </c>
      <c r="AQ92" s="1" t="n">
        <f aca="false">MEDIAN($K92)</f>
        <v>15</v>
      </c>
      <c r="AR92" s="1" t="n">
        <f aca="false">MEDIAN($M92)</f>
        <v>1936337</v>
      </c>
      <c r="AS92" s="1" t="n">
        <f aca="false">MEDIAN($N92)</f>
        <v>6.12</v>
      </c>
      <c r="AT92" s="1" t="n">
        <f aca="false">MEDIAN($P92)</f>
        <v>14.56</v>
      </c>
      <c r="AU92" s="1" t="n">
        <f aca="false">MEDIAN($Q92)</f>
        <v>0</v>
      </c>
      <c r="AV92" s="1" t="n">
        <f aca="false">MEDIAN($R92)</f>
        <v>599338</v>
      </c>
      <c r="AW92" s="1" t="n">
        <f aca="false">MAX($B92)</f>
        <v>97284</v>
      </c>
      <c r="AX92" s="1" t="n">
        <f aca="false">MAX($C92)</f>
        <v>3417</v>
      </c>
      <c r="AY92" s="1" t="n">
        <f aca="false">MAX($D92)</f>
        <v>1288370</v>
      </c>
      <c r="AZ92" s="1" t="n">
        <f aca="false">MAX($E92)</f>
        <v>0</v>
      </c>
      <c r="BA92" s="1" t="n">
        <f aca="false">MAX($F92)</f>
        <v>564</v>
      </c>
      <c r="BB92" s="1" t="n">
        <f aca="false">MAX($G92)</f>
        <v>0</v>
      </c>
      <c r="BC92" s="1" t="n">
        <f aca="false">MAX($H92)</f>
        <v>1</v>
      </c>
      <c r="BD92" s="1" t="n">
        <f aca="false">MAX($I92)</f>
        <v>14.373</v>
      </c>
      <c r="BE92" s="1" t="n">
        <f aca="false">MAX($J92)</f>
        <v>14.56</v>
      </c>
      <c r="BF92" s="1" t="n">
        <f aca="false">MAX($K92)</f>
        <v>15</v>
      </c>
      <c r="BG92" s="1" t="n">
        <f aca="false">MAX($M92)</f>
        <v>1936337</v>
      </c>
      <c r="BH92" s="1" t="n">
        <f aca="false">MAX($N92)</f>
        <v>6.12</v>
      </c>
      <c r="BI92" s="1" t="n">
        <f aca="false">MAX($P92)</f>
        <v>14.56</v>
      </c>
      <c r="BJ92" s="1" t="n">
        <f aca="false">MAX($Q92)</f>
        <v>0</v>
      </c>
      <c r="BK92" s="1" t="n">
        <f aca="false">MAX($R92)</f>
        <v>599338</v>
      </c>
    </row>
    <row r="93" customFormat="false" ht="15" hidden="false" customHeight="false" outlineLevel="0" collapsed="false">
      <c r="A93" s="1" t="s">
        <v>110</v>
      </c>
      <c r="B93" s="1" t="n">
        <f aca="false" t="array" ref="B93:B93">_xlfn.SWITCH($A$2,"average", AVERAGE(Instances!B93:B93),"median", MEDIAN(Instances!B93:B93),"min", MIN(Instances!B93:B93),"max", MAX(Instances!B93:B93),"diff", MAX(Instances!B93:B93)-MIN(Instances!B93:B93))</f>
        <v>1908</v>
      </c>
      <c r="C93" s="1" t="n">
        <f aca="false" t="array" ref="C93:C93">_xlfn.SWITCH($A$2,"average", AVERAGE(Instances!C93:C93),"median", MEDIAN(Instances!C93:C93),"min", MIN(Instances!C93:C93),"max", MAX(Instances!C93:C93),"diff", MAX(Instances!C93:C93)-MIN(Instances!C93:C93))</f>
        <v>1</v>
      </c>
      <c r="D93" s="1" t="n">
        <f aca="false" t="array" ref="D93:D93">_xlfn.SWITCH($A$2,"average", AVERAGE(Instances!D93:D93),"median", MEDIAN(Instances!D93:D93),"min", MIN(Instances!D93:D93),"max", MAX(Instances!D93:D93),"diff", MAX(Instances!D93:D93)-MIN(Instances!D93:D93))</f>
        <v>1258219</v>
      </c>
      <c r="E93" s="1" t="n">
        <f aca="false" t="array" ref="E93:E93">_xlfn.SWITCH($A$2,"average", AVERAGE(Instances!E93:E93),"median", MEDIAN(Instances!E93:E93),"min", MIN(Instances!E93:E93),"max", MAX(Instances!E93:E93),"diff", MAX(Instances!E93:E93)-MIN(Instances!E93:E93))</f>
        <v>0</v>
      </c>
      <c r="F93" s="1" t="n">
        <f aca="false" t="array" ref="F93:F93">_xlfn.SWITCH($A$2,"average", AVERAGE(Instances!F93:F93),"median", MEDIAN(Instances!F93:F93),"min", MIN(Instances!F93:F93),"max", MAX(Instances!F93:F93),"diff", MAX(Instances!F93:F93)-MIN(Instances!F93:F93))</f>
        <v>551</v>
      </c>
      <c r="G93" s="1" t="n">
        <f aca="false" t="array" ref="G93:G93">_xlfn.SWITCH($A$2,"average", AVERAGE(Instances!G93:G93),"median", MEDIAN(Instances!G93:G93),"min", MIN(Instances!G93:G93),"max", MAX(Instances!G93:G93),"diff", MAX(Instances!G93:G93)-MIN(Instances!G93:G93))</f>
        <v>0</v>
      </c>
      <c r="H93" s="1" t="n">
        <f aca="false" t="array" ref="H93:H93">_xlfn.SWITCH($A$2,"average", AVERAGE(Instances!H93:H93),"median", MEDIAN(Instances!H93:H93),"min", MIN(Instances!H93:H93),"max", MAX(Instances!H93:H93),"diff", MAX(Instances!H93:H93)-MIN(Instances!H93:H93))</f>
        <v>1</v>
      </c>
      <c r="I93" s="1" t="n">
        <f aca="false" t="array" ref="I93:I93">_xlfn.SWITCH($A$2,"average", AVERAGE(Instances!I93:I93),"median", MEDIAN(Instances!I93:I93),"min", MIN(Instances!I93:I93),"max", MAX(Instances!I93:I93),"diff", MAX(Instances!I93:I93)-MIN(Instances!I93:I93))</f>
        <v>8.065</v>
      </c>
      <c r="J93" s="1" t="n">
        <f aca="false" t="array" ref="J93:J93">_xlfn.SWITCH($A$2,"average", AVERAGE(Instances!J93:J93),"median", MEDIAN(Instances!J93:J93),"min", MIN(Instances!J93:J93),"max", MAX(Instances!J93:J93),"diff", MAX(Instances!J93:J93)-MIN(Instances!J93:J93))</f>
        <v>8.28</v>
      </c>
      <c r="K93" s="1" t="n">
        <f aca="false" t="array" ref="K93:K93">_xlfn.SWITCH($A$2,"average", AVERAGE(Instances!K93:K93),"median", MEDIAN(Instances!K93:K93),"min", MIN(Instances!K93:K93),"max", MAX(Instances!K93:K93),"diff", MAX(Instances!K93:K93)-MIN(Instances!K93:K93))</f>
        <v>0</v>
      </c>
      <c r="L93" s="1"/>
      <c r="M93" s="1" t="n">
        <f aca="false" t="array" ref="M93:M93">_xlfn.SWITCH($A$2,"average", AVERAGE(Instances!M93:M93),"median", MEDIAN(Instances!M93:M93),"min", MIN(Instances!M93:M93),"max", MAX(Instances!M93:M93),"diff", MAX(Instances!M93:M93)-MIN(Instances!M93:M93))</f>
        <v>1870487</v>
      </c>
      <c r="N93" s="1" t="n">
        <f aca="false" t="array" ref="N93:N93">_xlfn.SWITCH($A$2,"average", AVERAGE(Instances!N93:N93),"median", MEDIAN(Instances!N93:N93),"min", MIN(Instances!N93:N93),"max", MAX(Instances!N93:N93),"diff", MAX(Instances!N93:N93)-MIN(Instances!N93:N93))</f>
        <v>0.08</v>
      </c>
      <c r="O93" s="1"/>
      <c r="P93" s="1" t="n">
        <f aca="false" t="array" ref="P93:P93">_xlfn.SWITCH($A$2,"average", AVERAGE(Instances!P93:P93),"median", MEDIAN(Instances!P93:P93),"min", MIN(Instances!P93:P93),"max", MAX(Instances!P93:P93),"diff", MAX(Instances!P93:P93)-MIN(Instances!P93:P93))</f>
        <v>8.28</v>
      </c>
      <c r="Q93" s="1" t="n">
        <f aca="false" t="array" ref="Q93:Q93">_xlfn.SWITCH($A$2,"average", AVERAGE(Instances!Q93:Q93),"median", MEDIAN(Instances!Q93:Q93),"min", MIN(Instances!Q93:Q93),"max", MAX(Instances!Q93:Q93),"diff", MAX(Instances!Q93:Q93)-MIN(Instances!Q93:Q93))</f>
        <v>0</v>
      </c>
      <c r="R93" s="1" t="n">
        <f aca="false" t="array" ref="R93:R93">_xlfn.SWITCH($A$2,"average", AVERAGE(Instances!R93:R93),"median", MEDIAN(Instances!R93:R93),"min", MIN(Instances!R93:R93),"max", MAX(Instances!R93:R93),"diff", MAX(Instances!R93:R93)-MIN(Instances!R93:R93))</f>
        <v>578687</v>
      </c>
      <c r="S93" s="1" t="n">
        <f aca="false">MIN($B93)</f>
        <v>1908</v>
      </c>
      <c r="T93" s="1" t="n">
        <f aca="false">MIN($C93)</f>
        <v>1</v>
      </c>
      <c r="U93" s="1" t="n">
        <f aca="false">MIN($D93)</f>
        <v>1258219</v>
      </c>
      <c r="V93" s="1" t="n">
        <f aca="false">MIN($E93)</f>
        <v>0</v>
      </c>
      <c r="W93" s="1" t="n">
        <f aca="false">MIN($F93)</f>
        <v>551</v>
      </c>
      <c r="X93" s="1" t="n">
        <f aca="false">MIN($G93)</f>
        <v>0</v>
      </c>
      <c r="Y93" s="1" t="n">
        <f aca="false">MIN($H93)</f>
        <v>1</v>
      </c>
      <c r="Z93" s="1" t="n">
        <f aca="false">MIN($I93)</f>
        <v>8.065</v>
      </c>
      <c r="AA93" s="1" t="n">
        <f aca="false">MIN($J93)</f>
        <v>8.28</v>
      </c>
      <c r="AB93" s="1" t="n">
        <f aca="false">MIN($K93)</f>
        <v>0</v>
      </c>
      <c r="AC93" s="1" t="n">
        <f aca="false">MIN($M93)</f>
        <v>1870487</v>
      </c>
      <c r="AD93" s="1" t="n">
        <f aca="false">MIN($N93)</f>
        <v>0.08</v>
      </c>
      <c r="AE93" s="1" t="n">
        <f aca="false">MIN($P93)</f>
        <v>8.28</v>
      </c>
      <c r="AF93" s="1" t="n">
        <f aca="false">MIN($Q93)</f>
        <v>0</v>
      </c>
      <c r="AG93" s="1" t="n">
        <f aca="false">MIN($R93)</f>
        <v>578687</v>
      </c>
      <c r="AH93" s="1" t="n">
        <f aca="false">MEDIAN($B93)</f>
        <v>1908</v>
      </c>
      <c r="AI93" s="1" t="n">
        <f aca="false">MEDIAN($C93)</f>
        <v>1</v>
      </c>
      <c r="AJ93" s="1" t="n">
        <f aca="false">MEDIAN($D93)</f>
        <v>1258219</v>
      </c>
      <c r="AK93" s="1" t="n">
        <f aca="false">MEDIAN($E93)</f>
        <v>0</v>
      </c>
      <c r="AL93" s="1" t="n">
        <f aca="false">MEDIAN($F93)</f>
        <v>551</v>
      </c>
      <c r="AM93" s="1" t="n">
        <f aca="false">MEDIAN($G93)</f>
        <v>0</v>
      </c>
      <c r="AN93" s="1" t="n">
        <f aca="false">MEDIAN($H93)</f>
        <v>1</v>
      </c>
      <c r="AO93" s="1" t="n">
        <f aca="false">MEDIAN($I93)</f>
        <v>8.065</v>
      </c>
      <c r="AP93" s="1" t="n">
        <f aca="false">MEDIAN($J93)</f>
        <v>8.28</v>
      </c>
      <c r="AQ93" s="1" t="n">
        <f aca="false">MEDIAN($K93)</f>
        <v>0</v>
      </c>
      <c r="AR93" s="1" t="n">
        <f aca="false">MEDIAN($M93)</f>
        <v>1870487</v>
      </c>
      <c r="AS93" s="1" t="n">
        <f aca="false">MEDIAN($N93)</f>
        <v>0.08</v>
      </c>
      <c r="AT93" s="1" t="n">
        <f aca="false">MEDIAN($P93)</f>
        <v>8.28</v>
      </c>
      <c r="AU93" s="1" t="n">
        <f aca="false">MEDIAN($Q93)</f>
        <v>0</v>
      </c>
      <c r="AV93" s="1" t="n">
        <f aca="false">MEDIAN($R93)</f>
        <v>578687</v>
      </c>
      <c r="AW93" s="1" t="n">
        <f aca="false">MAX($B93)</f>
        <v>1908</v>
      </c>
      <c r="AX93" s="1" t="n">
        <f aca="false">MAX($C93)</f>
        <v>1</v>
      </c>
      <c r="AY93" s="1" t="n">
        <f aca="false">MAX($D93)</f>
        <v>1258219</v>
      </c>
      <c r="AZ93" s="1" t="n">
        <f aca="false">MAX($E93)</f>
        <v>0</v>
      </c>
      <c r="BA93" s="1" t="n">
        <f aca="false">MAX($F93)</f>
        <v>551</v>
      </c>
      <c r="BB93" s="1" t="n">
        <f aca="false">MAX($G93)</f>
        <v>0</v>
      </c>
      <c r="BC93" s="1" t="n">
        <f aca="false">MAX($H93)</f>
        <v>1</v>
      </c>
      <c r="BD93" s="1" t="n">
        <f aca="false">MAX($I93)</f>
        <v>8.065</v>
      </c>
      <c r="BE93" s="1" t="n">
        <f aca="false">MAX($J93)</f>
        <v>8.28</v>
      </c>
      <c r="BF93" s="1" t="n">
        <f aca="false">MAX($K93)</f>
        <v>0</v>
      </c>
      <c r="BG93" s="1" t="n">
        <f aca="false">MAX($M93)</f>
        <v>1870487</v>
      </c>
      <c r="BH93" s="1" t="n">
        <f aca="false">MAX($N93)</f>
        <v>0.08</v>
      </c>
      <c r="BI93" s="1" t="n">
        <f aca="false">MAX($P93)</f>
        <v>8.28</v>
      </c>
      <c r="BJ93" s="1" t="n">
        <f aca="false">MAX($Q93)</f>
        <v>0</v>
      </c>
      <c r="BK93" s="1" t="n">
        <f aca="false">MAX($R93)</f>
        <v>578687</v>
      </c>
    </row>
    <row r="94" customFormat="false" ht="15" hidden="false" customHeight="false" outlineLevel="0" collapsed="false">
      <c r="A94" s="1" t="s">
        <v>111</v>
      </c>
      <c r="B94" s="1" t="n">
        <f aca="false" t="array" ref="B94:B94">_xlfn.SWITCH($A$2,"average", AVERAGE(Instances!B94:B94),"median", MEDIAN(Instances!B94:B94),"min", MIN(Instances!B94:B94),"max", MAX(Instances!B94:B94),"diff", MAX(Instances!B94:B94)-MIN(Instances!B94:B94))</f>
        <v>38969</v>
      </c>
      <c r="C94" s="1" t="n">
        <f aca="false" t="array" ref="C94:C94">_xlfn.SWITCH($A$2,"average", AVERAGE(Instances!C94:C94),"median", MEDIAN(Instances!C94:C94),"min", MIN(Instances!C94:C94),"max", MAX(Instances!C94:C94),"diff", MAX(Instances!C94:C94)-MIN(Instances!C94:C94))</f>
        <v>851</v>
      </c>
      <c r="D94" s="1" t="n">
        <f aca="false" t="array" ref="D94:D94">_xlfn.SWITCH($A$2,"average", AVERAGE(Instances!D94:D94),"median", MEDIAN(Instances!D94:D94),"min", MIN(Instances!D94:D94),"max", MAX(Instances!D94:D94),"diff", MAX(Instances!D94:D94)-MIN(Instances!D94:D94))</f>
        <v>1343607</v>
      </c>
      <c r="E94" s="1" t="n">
        <f aca="false" t="array" ref="E94:E94">_xlfn.SWITCH($A$2,"average", AVERAGE(Instances!E94:E94),"median", MEDIAN(Instances!E94:E94),"min", MIN(Instances!E94:E94),"max", MAX(Instances!E94:E94),"diff", MAX(Instances!E94:E94)-MIN(Instances!E94:E94))</f>
        <v>0</v>
      </c>
      <c r="F94" s="1" t="n">
        <f aca="false" t="array" ref="F94:F94">_xlfn.SWITCH($A$2,"average", AVERAGE(Instances!F94:F94),"median", MEDIAN(Instances!F94:F94),"min", MIN(Instances!F94:F94),"max", MAX(Instances!F94:F94),"diff", MAX(Instances!F94:F94)-MIN(Instances!F94:F94))</f>
        <v>572</v>
      </c>
      <c r="G94" s="1" t="n">
        <f aca="false" t="array" ref="G94:G94">_xlfn.SWITCH($A$2,"average", AVERAGE(Instances!G94:G94),"median", MEDIAN(Instances!G94:G94),"min", MIN(Instances!G94:G94),"max", MAX(Instances!G94:G94),"diff", MAX(Instances!G94:G94)-MIN(Instances!G94:G94))</f>
        <v>0</v>
      </c>
      <c r="H94" s="1" t="n">
        <f aca="false" t="array" ref="H94:H94">_xlfn.SWITCH($A$2,"average", AVERAGE(Instances!H94:H94),"median", MEDIAN(Instances!H94:H94),"min", MIN(Instances!H94:H94),"max", MAX(Instances!H94:H94),"diff", MAX(Instances!H94:H94)-MIN(Instances!H94:H94))</f>
        <v>1</v>
      </c>
      <c r="I94" s="1" t="n">
        <f aca="false" t="array" ref="I94:I94">_xlfn.SWITCH($A$2,"average", AVERAGE(Instances!I94:I94),"median", MEDIAN(Instances!I94:I94),"min", MIN(Instances!I94:I94),"max", MAX(Instances!I94:I94),"diff", MAX(Instances!I94:I94)-MIN(Instances!I94:I94))</f>
        <v>10.152</v>
      </c>
      <c r="J94" s="1" t="n">
        <f aca="false" t="array" ref="J94:J94">_xlfn.SWITCH($A$2,"average", AVERAGE(Instances!J94:J94),"median", MEDIAN(Instances!J94:J94),"min", MIN(Instances!J94:J94),"max", MAX(Instances!J94:J94),"diff", MAX(Instances!J94:J94)-MIN(Instances!J94:J94))</f>
        <v>10.41</v>
      </c>
      <c r="K94" s="1" t="n">
        <f aca="false" t="array" ref="K94:K94">_xlfn.SWITCH($A$2,"average", AVERAGE(Instances!K94:K94),"median", MEDIAN(Instances!K94:K94),"min", MIN(Instances!K94:K94),"max", MAX(Instances!K94:K94),"diff", MAX(Instances!K94:K94)-MIN(Instances!K94:K94))</f>
        <v>6</v>
      </c>
      <c r="L94" s="1"/>
      <c r="M94" s="1" t="n">
        <f aca="false" t="array" ref="M94:M94">_xlfn.SWITCH($A$2,"average", AVERAGE(Instances!M94:M94),"median", MEDIAN(Instances!M94:M94),"min", MIN(Instances!M94:M94),"max", MAX(Instances!M94:M94),"diff", MAX(Instances!M94:M94)-MIN(Instances!M94:M94))</f>
        <v>1968161</v>
      </c>
      <c r="N94" s="1" t="n">
        <f aca="false" t="array" ref="N94:N94">_xlfn.SWITCH($A$2,"average", AVERAGE(Instances!N94:N94),"median", MEDIAN(Instances!N94:N94),"min", MIN(Instances!N94:N94),"max", MAX(Instances!N94:N94),"diff", MAX(Instances!N94:N94)-MIN(Instances!N94:N94))</f>
        <v>1.82</v>
      </c>
      <c r="O94" s="1"/>
      <c r="P94" s="1" t="n">
        <f aca="false" t="array" ref="P94:P94">_xlfn.SWITCH($A$2,"average", AVERAGE(Instances!P94:P94),"median", MEDIAN(Instances!P94:P94),"min", MIN(Instances!P94:P94),"max", MAX(Instances!P94:P94),"diff", MAX(Instances!P94:P94)-MIN(Instances!P94:P94))</f>
        <v>10.41</v>
      </c>
      <c r="Q94" s="1" t="n">
        <f aca="false" t="array" ref="Q94:Q94">_xlfn.SWITCH($A$2,"average", AVERAGE(Instances!Q94:Q94),"median", MEDIAN(Instances!Q94:Q94),"min", MIN(Instances!Q94:Q94),"max", MAX(Instances!Q94:Q94),"diff", MAX(Instances!Q94:Q94)-MIN(Instances!Q94:Q94))</f>
        <v>0</v>
      </c>
      <c r="R94" s="1" t="n">
        <f aca="false" t="array" ref="R94:R94">_xlfn.SWITCH($A$2,"average", AVERAGE(Instances!R94:R94),"median", MEDIAN(Instances!R94:R94),"min", MIN(Instances!R94:R94),"max", MAX(Instances!R94:R94),"diff", MAX(Instances!R94:R94)-MIN(Instances!R94:R94))</f>
        <v>607748</v>
      </c>
      <c r="S94" s="1" t="n">
        <f aca="false">MIN($B94)</f>
        <v>38969</v>
      </c>
      <c r="T94" s="1" t="n">
        <f aca="false">MIN($C94)</f>
        <v>851</v>
      </c>
      <c r="U94" s="1" t="n">
        <f aca="false">MIN($D94)</f>
        <v>1343607</v>
      </c>
      <c r="V94" s="1" t="n">
        <f aca="false">MIN($E94)</f>
        <v>0</v>
      </c>
      <c r="W94" s="1" t="n">
        <f aca="false">MIN($F94)</f>
        <v>572</v>
      </c>
      <c r="X94" s="1" t="n">
        <f aca="false">MIN($G94)</f>
        <v>0</v>
      </c>
      <c r="Y94" s="1" t="n">
        <f aca="false">MIN($H94)</f>
        <v>1</v>
      </c>
      <c r="Z94" s="1" t="n">
        <f aca="false">MIN($I94)</f>
        <v>10.152</v>
      </c>
      <c r="AA94" s="1" t="n">
        <f aca="false">MIN($J94)</f>
        <v>10.41</v>
      </c>
      <c r="AB94" s="1" t="n">
        <f aca="false">MIN($K94)</f>
        <v>6</v>
      </c>
      <c r="AC94" s="1" t="n">
        <f aca="false">MIN($M94)</f>
        <v>1968161</v>
      </c>
      <c r="AD94" s="1" t="n">
        <f aca="false">MIN($N94)</f>
        <v>1.82</v>
      </c>
      <c r="AE94" s="1" t="n">
        <f aca="false">MIN($P94)</f>
        <v>10.41</v>
      </c>
      <c r="AF94" s="1" t="n">
        <f aca="false">MIN($Q94)</f>
        <v>0</v>
      </c>
      <c r="AG94" s="1" t="n">
        <f aca="false">MIN($R94)</f>
        <v>607748</v>
      </c>
      <c r="AH94" s="1" t="n">
        <f aca="false">MEDIAN($B94)</f>
        <v>38969</v>
      </c>
      <c r="AI94" s="1" t="n">
        <f aca="false">MEDIAN($C94)</f>
        <v>851</v>
      </c>
      <c r="AJ94" s="1" t="n">
        <f aca="false">MEDIAN($D94)</f>
        <v>1343607</v>
      </c>
      <c r="AK94" s="1" t="n">
        <f aca="false">MEDIAN($E94)</f>
        <v>0</v>
      </c>
      <c r="AL94" s="1" t="n">
        <f aca="false">MEDIAN($F94)</f>
        <v>572</v>
      </c>
      <c r="AM94" s="1" t="n">
        <f aca="false">MEDIAN($G94)</f>
        <v>0</v>
      </c>
      <c r="AN94" s="1" t="n">
        <f aca="false">MEDIAN($H94)</f>
        <v>1</v>
      </c>
      <c r="AO94" s="1" t="n">
        <f aca="false">MEDIAN($I94)</f>
        <v>10.152</v>
      </c>
      <c r="AP94" s="1" t="n">
        <f aca="false">MEDIAN($J94)</f>
        <v>10.41</v>
      </c>
      <c r="AQ94" s="1" t="n">
        <f aca="false">MEDIAN($K94)</f>
        <v>6</v>
      </c>
      <c r="AR94" s="1" t="n">
        <f aca="false">MEDIAN($M94)</f>
        <v>1968161</v>
      </c>
      <c r="AS94" s="1" t="n">
        <f aca="false">MEDIAN($N94)</f>
        <v>1.82</v>
      </c>
      <c r="AT94" s="1" t="n">
        <f aca="false">MEDIAN($P94)</f>
        <v>10.41</v>
      </c>
      <c r="AU94" s="1" t="n">
        <f aca="false">MEDIAN($Q94)</f>
        <v>0</v>
      </c>
      <c r="AV94" s="1" t="n">
        <f aca="false">MEDIAN($R94)</f>
        <v>607748</v>
      </c>
      <c r="AW94" s="1" t="n">
        <f aca="false">MAX($B94)</f>
        <v>38969</v>
      </c>
      <c r="AX94" s="1" t="n">
        <f aca="false">MAX($C94)</f>
        <v>851</v>
      </c>
      <c r="AY94" s="1" t="n">
        <f aca="false">MAX($D94)</f>
        <v>1343607</v>
      </c>
      <c r="AZ94" s="1" t="n">
        <f aca="false">MAX($E94)</f>
        <v>0</v>
      </c>
      <c r="BA94" s="1" t="n">
        <f aca="false">MAX($F94)</f>
        <v>572</v>
      </c>
      <c r="BB94" s="1" t="n">
        <f aca="false">MAX($G94)</f>
        <v>0</v>
      </c>
      <c r="BC94" s="1" t="n">
        <f aca="false">MAX($H94)</f>
        <v>1</v>
      </c>
      <c r="BD94" s="1" t="n">
        <f aca="false">MAX($I94)</f>
        <v>10.152</v>
      </c>
      <c r="BE94" s="1" t="n">
        <f aca="false">MAX($J94)</f>
        <v>10.41</v>
      </c>
      <c r="BF94" s="1" t="n">
        <f aca="false">MAX($K94)</f>
        <v>6</v>
      </c>
      <c r="BG94" s="1" t="n">
        <f aca="false">MAX($M94)</f>
        <v>1968161</v>
      </c>
      <c r="BH94" s="1" t="n">
        <f aca="false">MAX($N94)</f>
        <v>1.82</v>
      </c>
      <c r="BI94" s="1" t="n">
        <f aca="false">MAX($P94)</f>
        <v>10.41</v>
      </c>
      <c r="BJ94" s="1" t="n">
        <f aca="false">MAX($Q94)</f>
        <v>0</v>
      </c>
      <c r="BK94" s="1" t="n">
        <f aca="false">MAX($R94)</f>
        <v>607748</v>
      </c>
    </row>
    <row r="95" customFormat="false" ht="15" hidden="false" customHeight="false" outlineLevel="0" collapsed="false">
      <c r="A95" s="1" t="s">
        <v>112</v>
      </c>
      <c r="B95" s="1" t="n">
        <f aca="false" t="array" ref="B95:B95">_xlfn.SWITCH($A$2,"average", AVERAGE(Instances!B95:B95),"median", MEDIAN(Instances!B95:B95),"min", MIN(Instances!B95:B95),"max", MAX(Instances!B95:B95),"diff", MAX(Instances!B95:B95)-MIN(Instances!B95:B95))</f>
        <v>3174</v>
      </c>
      <c r="C95" s="1" t="n">
        <f aca="false" t="array" ref="C95:C95">_xlfn.SWITCH($A$2,"average", AVERAGE(Instances!C95:C95),"median", MEDIAN(Instances!C95:C95),"min", MIN(Instances!C95:C95),"max", MAX(Instances!C95:C95),"diff", MAX(Instances!C95:C95)-MIN(Instances!C95:C95))</f>
        <v>2</v>
      </c>
      <c r="D95" s="1" t="n">
        <f aca="false" t="array" ref="D95:D95">_xlfn.SWITCH($A$2,"average", AVERAGE(Instances!D95:D95),"median", MEDIAN(Instances!D95:D95),"min", MIN(Instances!D95:D95),"max", MAX(Instances!D95:D95),"diff", MAX(Instances!D95:D95)-MIN(Instances!D95:D95))</f>
        <v>1208605</v>
      </c>
      <c r="E95" s="1" t="n">
        <f aca="false" t="array" ref="E95:E95">_xlfn.SWITCH($A$2,"average", AVERAGE(Instances!E95:E95),"median", MEDIAN(Instances!E95:E95),"min", MIN(Instances!E95:E95),"max", MAX(Instances!E95:E95),"diff", MAX(Instances!E95:E95)-MIN(Instances!E95:E95))</f>
        <v>0</v>
      </c>
      <c r="F95" s="1" t="n">
        <f aca="false" t="array" ref="F95:F95">_xlfn.SWITCH($A$2,"average", AVERAGE(Instances!F95:F95),"median", MEDIAN(Instances!F95:F95),"min", MIN(Instances!F95:F95),"max", MAX(Instances!F95:F95),"diff", MAX(Instances!F95:F95)-MIN(Instances!F95:F95))</f>
        <v>533</v>
      </c>
      <c r="G95" s="1" t="n">
        <f aca="false" t="array" ref="G95:G95">_xlfn.SWITCH($A$2,"average", AVERAGE(Instances!G95:G95),"median", MEDIAN(Instances!G95:G95),"min", MIN(Instances!G95:G95),"max", MAX(Instances!G95:G95),"diff", MAX(Instances!G95:G95)-MIN(Instances!G95:G95))</f>
        <v>0</v>
      </c>
      <c r="H95" s="1" t="n">
        <f aca="false" t="array" ref="H95:H95">_xlfn.SWITCH($A$2,"average", AVERAGE(Instances!H95:H95),"median", MEDIAN(Instances!H95:H95),"min", MIN(Instances!H95:H95),"max", MAX(Instances!H95:H95),"diff", MAX(Instances!H95:H95)-MIN(Instances!H95:H95))</f>
        <v>1</v>
      </c>
      <c r="I95" s="1" t="n">
        <f aca="false" t="array" ref="I95:I95">_xlfn.SWITCH($A$2,"average", AVERAGE(Instances!I95:I95),"median", MEDIAN(Instances!I95:I95),"min", MIN(Instances!I95:I95),"max", MAX(Instances!I95:I95),"diff", MAX(Instances!I95:I95)-MIN(Instances!I95:I95))</f>
        <v>7.546</v>
      </c>
      <c r="J95" s="1" t="n">
        <f aca="false" t="array" ref="J95:J95">_xlfn.SWITCH($A$2,"average", AVERAGE(Instances!J95:J95),"median", MEDIAN(Instances!J95:J95),"min", MIN(Instances!J95:J95),"max", MAX(Instances!J95:J95),"diff", MAX(Instances!J95:J95)-MIN(Instances!J95:J95))</f>
        <v>7.75</v>
      </c>
      <c r="K95" s="1" t="n">
        <f aca="false" t="array" ref="K95:K95">_xlfn.SWITCH($A$2,"average", AVERAGE(Instances!K95:K95),"median", MEDIAN(Instances!K95:K95),"min", MIN(Instances!K95:K95),"max", MAX(Instances!K95:K95),"diff", MAX(Instances!K95:K95)-MIN(Instances!K95:K95))</f>
        <v>0</v>
      </c>
      <c r="L95" s="1"/>
      <c r="M95" s="1" t="n">
        <f aca="false" t="array" ref="M95:M95">_xlfn.SWITCH($A$2,"average", AVERAGE(Instances!M95:M95),"median", MEDIAN(Instances!M95:M95),"min", MIN(Instances!M95:M95),"max", MAX(Instances!M95:M95),"diff", MAX(Instances!M95:M95)-MIN(Instances!M95:M95))</f>
        <v>1756988</v>
      </c>
      <c r="N95" s="1" t="n">
        <f aca="false" t="array" ref="N95:N95">_xlfn.SWITCH($A$2,"average", AVERAGE(Instances!N95:N95),"median", MEDIAN(Instances!N95:N95),"min", MIN(Instances!N95:N95),"max", MAX(Instances!N95:N95),"diff", MAX(Instances!N95:N95)-MIN(Instances!N95:N95))</f>
        <v>0.09</v>
      </c>
      <c r="O95" s="1"/>
      <c r="P95" s="1" t="n">
        <f aca="false" t="array" ref="P95:P95">_xlfn.SWITCH($A$2,"average", AVERAGE(Instances!P95:P95),"median", MEDIAN(Instances!P95:P95),"min", MIN(Instances!P95:P95),"max", MAX(Instances!P95:P95),"diff", MAX(Instances!P95:P95)-MIN(Instances!P95:P95))</f>
        <v>7.75</v>
      </c>
      <c r="Q95" s="1" t="n">
        <f aca="false" t="array" ref="Q95:Q95">_xlfn.SWITCH($A$2,"average", AVERAGE(Instances!Q95:Q95),"median", MEDIAN(Instances!Q95:Q95),"min", MIN(Instances!Q95:Q95),"max", MAX(Instances!Q95:Q95),"diff", MAX(Instances!Q95:Q95)-MIN(Instances!Q95:Q95))</f>
        <v>0</v>
      </c>
      <c r="R95" s="1" t="n">
        <f aca="false" t="array" ref="R95:R95">_xlfn.SWITCH($A$2,"average", AVERAGE(Instances!R95:R95),"median", MEDIAN(Instances!R95:R95),"min", MIN(Instances!R95:R95),"max", MAX(Instances!R95:R95),"diff", MAX(Instances!R95:R95)-MIN(Instances!R95:R95))</f>
        <v>559666</v>
      </c>
      <c r="S95" s="1" t="n">
        <f aca="false">MIN($B95)</f>
        <v>3174</v>
      </c>
      <c r="T95" s="1" t="n">
        <f aca="false">MIN($C95)</f>
        <v>2</v>
      </c>
      <c r="U95" s="1" t="n">
        <f aca="false">MIN($D95)</f>
        <v>1208605</v>
      </c>
      <c r="V95" s="1" t="n">
        <f aca="false">MIN($E95)</f>
        <v>0</v>
      </c>
      <c r="W95" s="1" t="n">
        <f aca="false">MIN($F95)</f>
        <v>533</v>
      </c>
      <c r="X95" s="1" t="n">
        <f aca="false">MIN($G95)</f>
        <v>0</v>
      </c>
      <c r="Y95" s="1" t="n">
        <f aca="false">MIN($H95)</f>
        <v>1</v>
      </c>
      <c r="Z95" s="1" t="n">
        <f aca="false">MIN($I95)</f>
        <v>7.546</v>
      </c>
      <c r="AA95" s="1" t="n">
        <f aca="false">MIN($J95)</f>
        <v>7.75</v>
      </c>
      <c r="AB95" s="1" t="n">
        <f aca="false">MIN($K95)</f>
        <v>0</v>
      </c>
      <c r="AC95" s="1" t="n">
        <f aca="false">MIN($M95)</f>
        <v>1756988</v>
      </c>
      <c r="AD95" s="1" t="n">
        <f aca="false">MIN($N95)</f>
        <v>0.09</v>
      </c>
      <c r="AE95" s="1" t="n">
        <f aca="false">MIN($P95)</f>
        <v>7.75</v>
      </c>
      <c r="AF95" s="1" t="n">
        <f aca="false">MIN($Q95)</f>
        <v>0</v>
      </c>
      <c r="AG95" s="1" t="n">
        <f aca="false">MIN($R95)</f>
        <v>559666</v>
      </c>
      <c r="AH95" s="1" t="n">
        <f aca="false">MEDIAN($B95)</f>
        <v>3174</v>
      </c>
      <c r="AI95" s="1" t="n">
        <f aca="false">MEDIAN($C95)</f>
        <v>2</v>
      </c>
      <c r="AJ95" s="1" t="n">
        <f aca="false">MEDIAN($D95)</f>
        <v>1208605</v>
      </c>
      <c r="AK95" s="1" t="n">
        <f aca="false">MEDIAN($E95)</f>
        <v>0</v>
      </c>
      <c r="AL95" s="1" t="n">
        <f aca="false">MEDIAN($F95)</f>
        <v>533</v>
      </c>
      <c r="AM95" s="1" t="n">
        <f aca="false">MEDIAN($G95)</f>
        <v>0</v>
      </c>
      <c r="AN95" s="1" t="n">
        <f aca="false">MEDIAN($H95)</f>
        <v>1</v>
      </c>
      <c r="AO95" s="1" t="n">
        <f aca="false">MEDIAN($I95)</f>
        <v>7.546</v>
      </c>
      <c r="AP95" s="1" t="n">
        <f aca="false">MEDIAN($J95)</f>
        <v>7.75</v>
      </c>
      <c r="AQ95" s="1" t="n">
        <f aca="false">MEDIAN($K95)</f>
        <v>0</v>
      </c>
      <c r="AR95" s="1" t="n">
        <f aca="false">MEDIAN($M95)</f>
        <v>1756988</v>
      </c>
      <c r="AS95" s="1" t="n">
        <f aca="false">MEDIAN($N95)</f>
        <v>0.09</v>
      </c>
      <c r="AT95" s="1" t="n">
        <f aca="false">MEDIAN($P95)</f>
        <v>7.75</v>
      </c>
      <c r="AU95" s="1" t="n">
        <f aca="false">MEDIAN($Q95)</f>
        <v>0</v>
      </c>
      <c r="AV95" s="1" t="n">
        <f aca="false">MEDIAN($R95)</f>
        <v>559666</v>
      </c>
      <c r="AW95" s="1" t="n">
        <f aca="false">MAX($B95)</f>
        <v>3174</v>
      </c>
      <c r="AX95" s="1" t="n">
        <f aca="false">MAX($C95)</f>
        <v>2</v>
      </c>
      <c r="AY95" s="1" t="n">
        <f aca="false">MAX($D95)</f>
        <v>1208605</v>
      </c>
      <c r="AZ95" s="1" t="n">
        <f aca="false">MAX($E95)</f>
        <v>0</v>
      </c>
      <c r="BA95" s="1" t="n">
        <f aca="false">MAX($F95)</f>
        <v>533</v>
      </c>
      <c r="BB95" s="1" t="n">
        <f aca="false">MAX($G95)</f>
        <v>0</v>
      </c>
      <c r="BC95" s="1" t="n">
        <f aca="false">MAX($H95)</f>
        <v>1</v>
      </c>
      <c r="BD95" s="1" t="n">
        <f aca="false">MAX($I95)</f>
        <v>7.546</v>
      </c>
      <c r="BE95" s="1" t="n">
        <f aca="false">MAX($J95)</f>
        <v>7.75</v>
      </c>
      <c r="BF95" s="1" t="n">
        <f aca="false">MAX($K95)</f>
        <v>0</v>
      </c>
      <c r="BG95" s="1" t="n">
        <f aca="false">MAX($M95)</f>
        <v>1756988</v>
      </c>
      <c r="BH95" s="1" t="n">
        <f aca="false">MAX($N95)</f>
        <v>0.09</v>
      </c>
      <c r="BI95" s="1" t="n">
        <f aca="false">MAX($P95)</f>
        <v>7.75</v>
      </c>
      <c r="BJ95" s="1" t="n">
        <f aca="false">MAX($Q95)</f>
        <v>0</v>
      </c>
      <c r="BK95" s="1" t="n">
        <f aca="false">MAX($R95)</f>
        <v>559666</v>
      </c>
    </row>
    <row r="96" customFormat="false" ht="15" hidden="false" customHeight="false" outlineLevel="0" collapsed="false">
      <c r="A96" s="1" t="s">
        <v>113</v>
      </c>
      <c r="B96" s="1" t="n">
        <f aca="false" t="array" ref="B96:B96">_xlfn.SWITCH($A$2,"average", AVERAGE(Instances!B96:B96),"median", MEDIAN(Instances!B96:B96),"min", MIN(Instances!B96:B96),"max", MAX(Instances!B96:B96),"diff", MAX(Instances!B96:B96)-MIN(Instances!B96:B96))</f>
        <v>4264</v>
      </c>
      <c r="C96" s="1" t="n">
        <f aca="false" t="array" ref="C96:C96">_xlfn.SWITCH($A$2,"average", AVERAGE(Instances!C96:C96),"median", MEDIAN(Instances!C96:C96),"min", MIN(Instances!C96:C96),"max", MAX(Instances!C96:C96),"diff", MAX(Instances!C96:C96)-MIN(Instances!C96:C96))</f>
        <v>47</v>
      </c>
      <c r="D96" s="1" t="n">
        <f aca="false" t="array" ref="D96:D96">_xlfn.SWITCH($A$2,"average", AVERAGE(Instances!D96:D96),"median", MEDIAN(Instances!D96:D96),"min", MIN(Instances!D96:D96),"max", MAX(Instances!D96:D96),"diff", MAX(Instances!D96:D96)-MIN(Instances!D96:D96))</f>
        <v>1559512</v>
      </c>
      <c r="E96" s="1" t="n">
        <f aca="false" t="array" ref="E96:E96">_xlfn.SWITCH($A$2,"average", AVERAGE(Instances!E96:E96),"median", MEDIAN(Instances!E96:E96),"min", MIN(Instances!E96:E96),"max", MAX(Instances!E96:E96),"diff", MAX(Instances!E96:E96)-MIN(Instances!E96:E96))</f>
        <v>0</v>
      </c>
      <c r="F96" s="1" t="n">
        <f aca="false" t="array" ref="F96:F96">_xlfn.SWITCH($A$2,"average", AVERAGE(Instances!F96:F96),"median", MEDIAN(Instances!F96:F96),"min", MIN(Instances!F96:F96),"max", MAX(Instances!F96:F96),"diff", MAX(Instances!F96:F96)-MIN(Instances!F96:F96))</f>
        <v>680</v>
      </c>
      <c r="G96" s="1" t="n">
        <f aca="false" t="array" ref="G96:G96">_xlfn.SWITCH($A$2,"average", AVERAGE(Instances!G96:G96),"median", MEDIAN(Instances!G96:G96),"min", MIN(Instances!G96:G96),"max", MAX(Instances!G96:G96),"diff", MAX(Instances!G96:G96)-MIN(Instances!G96:G96))</f>
        <v>0</v>
      </c>
      <c r="H96" s="1" t="n">
        <f aca="false" t="array" ref="H96:H96">_xlfn.SWITCH($A$2,"average", AVERAGE(Instances!H96:H96),"median", MEDIAN(Instances!H96:H96),"min", MIN(Instances!H96:H96),"max", MAX(Instances!H96:H96),"diff", MAX(Instances!H96:H96)-MIN(Instances!H96:H96))</f>
        <v>1</v>
      </c>
      <c r="I96" s="1" t="n">
        <f aca="false" t="array" ref="I96:I96">_xlfn.SWITCH($A$2,"average", AVERAGE(Instances!I96:I96),"median", MEDIAN(Instances!I96:I96),"min", MIN(Instances!I96:I96),"max", MAX(Instances!I96:I96),"diff", MAX(Instances!I96:I96)-MIN(Instances!I96:I96))</f>
        <v>10.306</v>
      </c>
      <c r="J96" s="1" t="n">
        <f aca="false" t="array" ref="J96:J96">_xlfn.SWITCH($A$2,"average", AVERAGE(Instances!J96:J96),"median", MEDIAN(Instances!J96:J96),"min", MIN(Instances!J96:J96),"max", MAX(Instances!J96:J96),"diff", MAX(Instances!J96:J96)-MIN(Instances!J96:J96))</f>
        <v>10.55</v>
      </c>
      <c r="K96" s="1" t="n">
        <f aca="false" t="array" ref="K96:K96">_xlfn.SWITCH($A$2,"average", AVERAGE(Instances!K96:K96),"median", MEDIAN(Instances!K96:K96),"min", MIN(Instances!K96:K96),"max", MAX(Instances!K96:K96),"diff", MAX(Instances!K96:K96)-MIN(Instances!K96:K96))</f>
        <v>0</v>
      </c>
      <c r="L96" s="1"/>
      <c r="M96" s="1" t="n">
        <f aca="false" t="array" ref="M96:M96">_xlfn.SWITCH($A$2,"average", AVERAGE(Instances!M96:M96),"median", MEDIAN(Instances!M96:M96),"min", MIN(Instances!M96:M96),"max", MAX(Instances!M96:M96),"diff", MAX(Instances!M96:M96)-MIN(Instances!M96:M96))</f>
        <v>2399698</v>
      </c>
      <c r="N96" s="1" t="n">
        <f aca="false" t="array" ref="N96:N96">_xlfn.SWITCH($A$2,"average", AVERAGE(Instances!N96:N96),"median", MEDIAN(Instances!N96:N96),"min", MIN(Instances!N96:N96),"max", MAX(Instances!N96:N96),"diff", MAX(Instances!N96:N96)-MIN(Instances!N96:N96))</f>
        <v>0.14</v>
      </c>
      <c r="O96" s="1"/>
      <c r="P96" s="1" t="n">
        <f aca="false" t="array" ref="P96:P96">_xlfn.SWITCH($A$2,"average", AVERAGE(Instances!P96:P96),"median", MEDIAN(Instances!P96:P96),"min", MIN(Instances!P96:P96),"max", MAX(Instances!P96:P96),"diff", MAX(Instances!P96:P96)-MIN(Instances!P96:P96))</f>
        <v>10.55</v>
      </c>
      <c r="Q96" s="1" t="n">
        <f aca="false" t="array" ref="Q96:Q96">_xlfn.SWITCH($A$2,"average", AVERAGE(Instances!Q96:Q96),"median", MEDIAN(Instances!Q96:Q96),"min", MIN(Instances!Q96:Q96),"max", MAX(Instances!Q96:Q96),"diff", MAX(Instances!Q96:Q96)-MIN(Instances!Q96:Q96))</f>
        <v>0</v>
      </c>
      <c r="R96" s="1" t="n">
        <f aca="false" t="array" ref="R96:R96">_xlfn.SWITCH($A$2,"average", AVERAGE(Instances!R96:R96),"median", MEDIAN(Instances!R96:R96),"min", MIN(Instances!R96:R96),"max", MAX(Instances!R96:R96),"diff", MAX(Instances!R96:R96)-MIN(Instances!R96:R96))</f>
        <v>700967</v>
      </c>
      <c r="S96" s="1" t="n">
        <f aca="false">MIN($B96)</f>
        <v>4264</v>
      </c>
      <c r="T96" s="1" t="n">
        <f aca="false">MIN($C96)</f>
        <v>47</v>
      </c>
      <c r="U96" s="1" t="n">
        <f aca="false">MIN($D96)</f>
        <v>1559512</v>
      </c>
      <c r="V96" s="1" t="n">
        <f aca="false">MIN($E96)</f>
        <v>0</v>
      </c>
      <c r="W96" s="1" t="n">
        <f aca="false">MIN($F96)</f>
        <v>680</v>
      </c>
      <c r="X96" s="1" t="n">
        <f aca="false">MIN($G96)</f>
        <v>0</v>
      </c>
      <c r="Y96" s="1" t="n">
        <f aca="false">MIN($H96)</f>
        <v>1</v>
      </c>
      <c r="Z96" s="1" t="n">
        <f aca="false">MIN($I96)</f>
        <v>10.306</v>
      </c>
      <c r="AA96" s="1" t="n">
        <f aca="false">MIN($J96)</f>
        <v>10.55</v>
      </c>
      <c r="AB96" s="1" t="n">
        <f aca="false">MIN($K96)</f>
        <v>0</v>
      </c>
      <c r="AC96" s="1" t="n">
        <f aca="false">MIN($M96)</f>
        <v>2399698</v>
      </c>
      <c r="AD96" s="1" t="n">
        <f aca="false">MIN($N96)</f>
        <v>0.14</v>
      </c>
      <c r="AE96" s="1" t="n">
        <f aca="false">MIN($P96)</f>
        <v>10.55</v>
      </c>
      <c r="AF96" s="1" t="n">
        <f aca="false">MIN($Q96)</f>
        <v>0</v>
      </c>
      <c r="AG96" s="1" t="n">
        <f aca="false">MIN($R96)</f>
        <v>700967</v>
      </c>
      <c r="AH96" s="1" t="n">
        <f aca="false">MEDIAN($B96)</f>
        <v>4264</v>
      </c>
      <c r="AI96" s="1" t="n">
        <f aca="false">MEDIAN($C96)</f>
        <v>47</v>
      </c>
      <c r="AJ96" s="1" t="n">
        <f aca="false">MEDIAN($D96)</f>
        <v>1559512</v>
      </c>
      <c r="AK96" s="1" t="n">
        <f aca="false">MEDIAN($E96)</f>
        <v>0</v>
      </c>
      <c r="AL96" s="1" t="n">
        <f aca="false">MEDIAN($F96)</f>
        <v>680</v>
      </c>
      <c r="AM96" s="1" t="n">
        <f aca="false">MEDIAN($G96)</f>
        <v>0</v>
      </c>
      <c r="AN96" s="1" t="n">
        <f aca="false">MEDIAN($H96)</f>
        <v>1</v>
      </c>
      <c r="AO96" s="1" t="n">
        <f aca="false">MEDIAN($I96)</f>
        <v>10.306</v>
      </c>
      <c r="AP96" s="1" t="n">
        <f aca="false">MEDIAN($J96)</f>
        <v>10.55</v>
      </c>
      <c r="AQ96" s="1" t="n">
        <f aca="false">MEDIAN($K96)</f>
        <v>0</v>
      </c>
      <c r="AR96" s="1" t="n">
        <f aca="false">MEDIAN($M96)</f>
        <v>2399698</v>
      </c>
      <c r="AS96" s="1" t="n">
        <f aca="false">MEDIAN($N96)</f>
        <v>0.14</v>
      </c>
      <c r="AT96" s="1" t="n">
        <f aca="false">MEDIAN($P96)</f>
        <v>10.55</v>
      </c>
      <c r="AU96" s="1" t="n">
        <f aca="false">MEDIAN($Q96)</f>
        <v>0</v>
      </c>
      <c r="AV96" s="1" t="n">
        <f aca="false">MEDIAN($R96)</f>
        <v>700967</v>
      </c>
      <c r="AW96" s="1" t="n">
        <f aca="false">MAX($B96)</f>
        <v>4264</v>
      </c>
      <c r="AX96" s="1" t="n">
        <f aca="false">MAX($C96)</f>
        <v>47</v>
      </c>
      <c r="AY96" s="1" t="n">
        <f aca="false">MAX($D96)</f>
        <v>1559512</v>
      </c>
      <c r="AZ96" s="1" t="n">
        <f aca="false">MAX($E96)</f>
        <v>0</v>
      </c>
      <c r="BA96" s="1" t="n">
        <f aca="false">MAX($F96)</f>
        <v>680</v>
      </c>
      <c r="BB96" s="1" t="n">
        <f aca="false">MAX($G96)</f>
        <v>0</v>
      </c>
      <c r="BC96" s="1" t="n">
        <f aca="false">MAX($H96)</f>
        <v>1</v>
      </c>
      <c r="BD96" s="1" t="n">
        <f aca="false">MAX($I96)</f>
        <v>10.306</v>
      </c>
      <c r="BE96" s="1" t="n">
        <f aca="false">MAX($J96)</f>
        <v>10.55</v>
      </c>
      <c r="BF96" s="1" t="n">
        <f aca="false">MAX($K96)</f>
        <v>0</v>
      </c>
      <c r="BG96" s="1" t="n">
        <f aca="false">MAX($M96)</f>
        <v>2399698</v>
      </c>
      <c r="BH96" s="1" t="n">
        <f aca="false">MAX($N96)</f>
        <v>0.14</v>
      </c>
      <c r="BI96" s="1" t="n">
        <f aca="false">MAX($P96)</f>
        <v>10.55</v>
      </c>
      <c r="BJ96" s="1" t="n">
        <f aca="false">MAX($Q96)</f>
        <v>0</v>
      </c>
      <c r="BK96" s="1" t="n">
        <f aca="false">MAX($R96)</f>
        <v>700967</v>
      </c>
    </row>
    <row r="97" customFormat="false" ht="15" hidden="false" customHeight="false" outlineLevel="0" collapsed="false">
      <c r="A97" s="1" t="s">
        <v>114</v>
      </c>
      <c r="B97" s="1" t="n">
        <f aca="false" t="array" ref="B97:B97">_xlfn.SWITCH($A$2,"average", AVERAGE(Instances!B97:B97),"median", MEDIAN(Instances!B97:B97),"min", MIN(Instances!B97:B97),"max", MAX(Instances!B97:B97),"diff", MAX(Instances!B97:B97)-MIN(Instances!B97:B97))</f>
        <v>39947</v>
      </c>
      <c r="C97" s="1" t="n">
        <f aca="false" t="array" ref="C97:C97">_xlfn.SWITCH($A$2,"average", AVERAGE(Instances!C97:C97),"median", MEDIAN(Instances!C97:C97),"min", MIN(Instances!C97:C97),"max", MAX(Instances!C97:C97),"diff", MAX(Instances!C97:C97)-MIN(Instances!C97:C97))</f>
        <v>1230</v>
      </c>
      <c r="D97" s="1" t="n">
        <f aca="false" t="array" ref="D97:D97">_xlfn.SWITCH($A$2,"average", AVERAGE(Instances!D97:D97),"median", MEDIAN(Instances!D97:D97),"min", MIN(Instances!D97:D97),"max", MAX(Instances!D97:D97),"diff", MAX(Instances!D97:D97)-MIN(Instances!D97:D97))</f>
        <v>1533140</v>
      </c>
      <c r="E97" s="1" t="n">
        <f aca="false" t="array" ref="E97:E97">_xlfn.SWITCH($A$2,"average", AVERAGE(Instances!E97:E97),"median", MEDIAN(Instances!E97:E97),"min", MIN(Instances!E97:E97),"max", MAX(Instances!E97:E97),"diff", MAX(Instances!E97:E97)-MIN(Instances!E97:E97))</f>
        <v>0</v>
      </c>
      <c r="F97" s="1" t="n">
        <f aca="false" t="array" ref="F97:F97">_xlfn.SWITCH($A$2,"average", AVERAGE(Instances!F97:F97),"median", MEDIAN(Instances!F97:F97),"min", MIN(Instances!F97:F97),"max", MAX(Instances!F97:F97),"diff", MAX(Instances!F97:F97)-MIN(Instances!F97:F97))</f>
        <v>683</v>
      </c>
      <c r="G97" s="1" t="n">
        <f aca="false" t="array" ref="G97:G97">_xlfn.SWITCH($A$2,"average", AVERAGE(Instances!G97:G97),"median", MEDIAN(Instances!G97:G97),"min", MIN(Instances!G97:G97),"max", MAX(Instances!G97:G97),"diff", MAX(Instances!G97:G97)-MIN(Instances!G97:G97))</f>
        <v>0</v>
      </c>
      <c r="H97" s="1" t="n">
        <f aca="false" t="array" ref="H97:H97">_xlfn.SWITCH($A$2,"average", AVERAGE(Instances!H97:H97),"median", MEDIAN(Instances!H97:H97),"min", MIN(Instances!H97:H97),"max", MAX(Instances!H97:H97),"diff", MAX(Instances!H97:H97)-MIN(Instances!H97:H97))</f>
        <v>1</v>
      </c>
      <c r="I97" s="1" t="n">
        <f aca="false" t="array" ref="I97:I97">_xlfn.SWITCH($A$2,"average", AVERAGE(Instances!I97:I97),"median", MEDIAN(Instances!I97:I97),"min", MIN(Instances!I97:I97),"max", MAX(Instances!I97:I97),"diff", MAX(Instances!I97:I97)-MIN(Instances!I97:I97))</f>
        <v>12.5</v>
      </c>
      <c r="J97" s="1" t="n">
        <f aca="false" t="array" ref="J97:J97">_xlfn.SWITCH($A$2,"average", AVERAGE(Instances!J97:J97),"median", MEDIAN(Instances!J97:J97),"min", MIN(Instances!J97:J97),"max", MAX(Instances!J97:J97),"diff", MAX(Instances!J97:J97)-MIN(Instances!J97:J97))</f>
        <v>12.72</v>
      </c>
      <c r="K97" s="1" t="n">
        <f aca="false" t="array" ref="K97:K97">_xlfn.SWITCH($A$2,"average", AVERAGE(Instances!K97:K97),"median", MEDIAN(Instances!K97:K97),"min", MIN(Instances!K97:K97),"max", MAX(Instances!K97:K97),"diff", MAX(Instances!K97:K97)-MIN(Instances!K97:K97))</f>
        <v>10</v>
      </c>
      <c r="L97" s="1"/>
      <c r="M97" s="1" t="n">
        <f aca="false" t="array" ref="M97:M97">_xlfn.SWITCH($A$2,"average", AVERAGE(Instances!M97:M97),"median", MEDIAN(Instances!M97:M97),"min", MIN(Instances!M97:M97),"max", MAX(Instances!M97:M97),"diff", MAX(Instances!M97:M97)-MIN(Instances!M97:M97))</f>
        <v>2398951</v>
      </c>
      <c r="N97" s="1" t="n">
        <f aca="false" t="array" ref="N97:N97">_xlfn.SWITCH($A$2,"average", AVERAGE(Instances!N97:N97),"median", MEDIAN(Instances!N97:N97),"min", MIN(Instances!N97:N97),"max", MAX(Instances!N97:N97),"diff", MAX(Instances!N97:N97)-MIN(Instances!N97:N97))</f>
        <v>2.2</v>
      </c>
      <c r="O97" s="1"/>
      <c r="P97" s="1" t="n">
        <f aca="false" t="array" ref="P97:P97">_xlfn.SWITCH($A$2,"average", AVERAGE(Instances!P97:P97),"median", MEDIAN(Instances!P97:P97),"min", MIN(Instances!P97:P97),"max", MAX(Instances!P97:P97),"diff", MAX(Instances!P97:P97)-MIN(Instances!P97:P97))</f>
        <v>12.72</v>
      </c>
      <c r="Q97" s="1" t="n">
        <f aca="false" t="array" ref="Q97:Q97">_xlfn.SWITCH($A$2,"average", AVERAGE(Instances!Q97:Q97),"median", MEDIAN(Instances!Q97:Q97),"min", MIN(Instances!Q97:Q97),"max", MAX(Instances!Q97:Q97),"diff", MAX(Instances!Q97:Q97)-MIN(Instances!Q97:Q97))</f>
        <v>0</v>
      </c>
      <c r="R97" s="1" t="n">
        <f aca="false" t="array" ref="R97:R97">_xlfn.SWITCH($A$2,"average", AVERAGE(Instances!R97:R97),"median", MEDIAN(Instances!R97:R97),"min", MIN(Instances!R97:R97),"max", MAX(Instances!R97:R97),"diff", MAX(Instances!R97:R97)-MIN(Instances!R97:R97))</f>
        <v>702291</v>
      </c>
      <c r="S97" s="1" t="n">
        <f aca="false">MIN($B97)</f>
        <v>39947</v>
      </c>
      <c r="T97" s="1" t="n">
        <f aca="false">MIN($C97)</f>
        <v>1230</v>
      </c>
      <c r="U97" s="1" t="n">
        <f aca="false">MIN($D97)</f>
        <v>1533140</v>
      </c>
      <c r="V97" s="1" t="n">
        <f aca="false">MIN($E97)</f>
        <v>0</v>
      </c>
      <c r="W97" s="1" t="n">
        <f aca="false">MIN($F97)</f>
        <v>683</v>
      </c>
      <c r="X97" s="1" t="n">
        <f aca="false">MIN($G97)</f>
        <v>0</v>
      </c>
      <c r="Y97" s="1" t="n">
        <f aca="false">MIN($H97)</f>
        <v>1</v>
      </c>
      <c r="Z97" s="1" t="n">
        <f aca="false">MIN($I97)</f>
        <v>12.5</v>
      </c>
      <c r="AA97" s="1" t="n">
        <f aca="false">MIN($J97)</f>
        <v>12.72</v>
      </c>
      <c r="AB97" s="1" t="n">
        <f aca="false">MIN($K97)</f>
        <v>10</v>
      </c>
      <c r="AC97" s="1" t="n">
        <f aca="false">MIN($M97)</f>
        <v>2398951</v>
      </c>
      <c r="AD97" s="1" t="n">
        <f aca="false">MIN($N97)</f>
        <v>2.2</v>
      </c>
      <c r="AE97" s="1" t="n">
        <f aca="false">MIN($P97)</f>
        <v>12.72</v>
      </c>
      <c r="AF97" s="1" t="n">
        <f aca="false">MIN($Q97)</f>
        <v>0</v>
      </c>
      <c r="AG97" s="1" t="n">
        <f aca="false">MIN($R97)</f>
        <v>702291</v>
      </c>
      <c r="AH97" s="1" t="n">
        <f aca="false">MEDIAN($B97)</f>
        <v>39947</v>
      </c>
      <c r="AI97" s="1" t="n">
        <f aca="false">MEDIAN($C97)</f>
        <v>1230</v>
      </c>
      <c r="AJ97" s="1" t="n">
        <f aca="false">MEDIAN($D97)</f>
        <v>1533140</v>
      </c>
      <c r="AK97" s="1" t="n">
        <f aca="false">MEDIAN($E97)</f>
        <v>0</v>
      </c>
      <c r="AL97" s="1" t="n">
        <f aca="false">MEDIAN($F97)</f>
        <v>683</v>
      </c>
      <c r="AM97" s="1" t="n">
        <f aca="false">MEDIAN($G97)</f>
        <v>0</v>
      </c>
      <c r="AN97" s="1" t="n">
        <f aca="false">MEDIAN($H97)</f>
        <v>1</v>
      </c>
      <c r="AO97" s="1" t="n">
        <f aca="false">MEDIAN($I97)</f>
        <v>12.5</v>
      </c>
      <c r="AP97" s="1" t="n">
        <f aca="false">MEDIAN($J97)</f>
        <v>12.72</v>
      </c>
      <c r="AQ97" s="1" t="n">
        <f aca="false">MEDIAN($K97)</f>
        <v>10</v>
      </c>
      <c r="AR97" s="1" t="n">
        <f aca="false">MEDIAN($M97)</f>
        <v>2398951</v>
      </c>
      <c r="AS97" s="1" t="n">
        <f aca="false">MEDIAN($N97)</f>
        <v>2.2</v>
      </c>
      <c r="AT97" s="1" t="n">
        <f aca="false">MEDIAN($P97)</f>
        <v>12.72</v>
      </c>
      <c r="AU97" s="1" t="n">
        <f aca="false">MEDIAN($Q97)</f>
        <v>0</v>
      </c>
      <c r="AV97" s="1" t="n">
        <f aca="false">MEDIAN($R97)</f>
        <v>702291</v>
      </c>
      <c r="AW97" s="1" t="n">
        <f aca="false">MAX($B97)</f>
        <v>39947</v>
      </c>
      <c r="AX97" s="1" t="n">
        <f aca="false">MAX($C97)</f>
        <v>1230</v>
      </c>
      <c r="AY97" s="1" t="n">
        <f aca="false">MAX($D97)</f>
        <v>1533140</v>
      </c>
      <c r="AZ97" s="1" t="n">
        <f aca="false">MAX($E97)</f>
        <v>0</v>
      </c>
      <c r="BA97" s="1" t="n">
        <f aca="false">MAX($F97)</f>
        <v>683</v>
      </c>
      <c r="BB97" s="1" t="n">
        <f aca="false">MAX($G97)</f>
        <v>0</v>
      </c>
      <c r="BC97" s="1" t="n">
        <f aca="false">MAX($H97)</f>
        <v>1</v>
      </c>
      <c r="BD97" s="1" t="n">
        <f aca="false">MAX($I97)</f>
        <v>12.5</v>
      </c>
      <c r="BE97" s="1" t="n">
        <f aca="false">MAX($J97)</f>
        <v>12.72</v>
      </c>
      <c r="BF97" s="1" t="n">
        <f aca="false">MAX($K97)</f>
        <v>10</v>
      </c>
      <c r="BG97" s="1" t="n">
        <f aca="false">MAX($M97)</f>
        <v>2398951</v>
      </c>
      <c r="BH97" s="1" t="n">
        <f aca="false">MAX($N97)</f>
        <v>2.2</v>
      </c>
      <c r="BI97" s="1" t="n">
        <f aca="false">MAX($P97)</f>
        <v>12.72</v>
      </c>
      <c r="BJ97" s="1" t="n">
        <f aca="false">MAX($Q97)</f>
        <v>0</v>
      </c>
      <c r="BK97" s="1" t="n">
        <f aca="false">MAX($R97)</f>
        <v>702291</v>
      </c>
    </row>
    <row r="98" customFormat="false" ht="15" hidden="false" customHeight="false" outlineLevel="0" collapsed="false">
      <c r="A98" s="1" t="s">
        <v>115</v>
      </c>
      <c r="B98" s="1" t="n">
        <f aca="false" t="array" ref="B98:B98">_xlfn.SWITCH($A$2,"average", AVERAGE(Instances!B98:B98),"median", MEDIAN(Instances!B98:B98),"min", MIN(Instances!B98:B98),"max", MAX(Instances!B98:B98),"diff", MAX(Instances!B98:B98)-MIN(Instances!B98:B98))</f>
        <v>104653</v>
      </c>
      <c r="C98" s="1" t="n">
        <f aca="false" t="array" ref="C98:C98">_xlfn.SWITCH($A$2,"average", AVERAGE(Instances!C98:C98),"median", MEDIAN(Instances!C98:C98),"min", MIN(Instances!C98:C98),"max", MAX(Instances!C98:C98),"diff", MAX(Instances!C98:C98)-MIN(Instances!C98:C98))</f>
        <v>2404</v>
      </c>
      <c r="D98" s="1" t="n">
        <f aca="false" t="array" ref="D98:D98">_xlfn.SWITCH($A$2,"average", AVERAGE(Instances!D98:D98),"median", MEDIAN(Instances!D98:D98),"min", MIN(Instances!D98:D98),"max", MAX(Instances!D98:D98),"diff", MAX(Instances!D98:D98)-MIN(Instances!D98:D98))</f>
        <v>1700461</v>
      </c>
      <c r="E98" s="1" t="n">
        <f aca="false" t="array" ref="E98:E98">_xlfn.SWITCH($A$2,"average", AVERAGE(Instances!E98:E98),"median", MEDIAN(Instances!E98:E98),"min", MIN(Instances!E98:E98),"max", MAX(Instances!E98:E98),"diff", MAX(Instances!E98:E98)-MIN(Instances!E98:E98))</f>
        <v>0</v>
      </c>
      <c r="F98" s="1" t="n">
        <f aca="false" t="array" ref="F98:F98">_xlfn.SWITCH($A$2,"average", AVERAGE(Instances!F98:F98),"median", MEDIAN(Instances!F98:F98),"min", MIN(Instances!F98:F98),"max", MAX(Instances!F98:F98),"diff", MAX(Instances!F98:F98)-MIN(Instances!F98:F98))</f>
        <v>741</v>
      </c>
      <c r="G98" s="1" t="n">
        <f aca="false" t="array" ref="G98:G98">_xlfn.SWITCH($A$2,"average", AVERAGE(Instances!G98:G98),"median", MEDIAN(Instances!G98:G98),"min", MIN(Instances!G98:G98),"max", MAX(Instances!G98:G98),"diff", MAX(Instances!G98:G98)-MIN(Instances!G98:G98))</f>
        <v>0</v>
      </c>
      <c r="H98" s="1" t="n">
        <f aca="false" t="array" ref="H98:H98">_xlfn.SWITCH($A$2,"average", AVERAGE(Instances!H98:H98),"median", MEDIAN(Instances!H98:H98),"min", MIN(Instances!H98:H98),"max", MAX(Instances!H98:H98),"diff", MAX(Instances!H98:H98)-MIN(Instances!H98:H98))</f>
        <v>1</v>
      </c>
      <c r="I98" s="1" t="n">
        <f aca="false" t="array" ref="I98:I98">_xlfn.SWITCH($A$2,"average", AVERAGE(Instances!I98:I98),"median", MEDIAN(Instances!I98:I98),"min", MIN(Instances!I98:I98),"max", MAX(Instances!I98:I98),"diff", MAX(Instances!I98:I98)-MIN(Instances!I98:I98))</f>
        <v>17.256</v>
      </c>
      <c r="J98" s="1" t="n">
        <f aca="false" t="array" ref="J98:J98">_xlfn.SWITCH($A$2,"average", AVERAGE(Instances!J98:J98),"median", MEDIAN(Instances!J98:J98),"min", MIN(Instances!J98:J98),"max", MAX(Instances!J98:J98),"diff", MAX(Instances!J98:J98)-MIN(Instances!J98:J98))</f>
        <v>17.5</v>
      </c>
      <c r="K98" s="1" t="n">
        <f aca="false" t="array" ref="K98:K98">_xlfn.SWITCH($A$2,"average", AVERAGE(Instances!K98:K98),"median", MEDIAN(Instances!K98:K98),"min", MIN(Instances!K98:K98),"max", MAX(Instances!K98:K98),"diff", MAX(Instances!K98:K98)-MIN(Instances!K98:K98))</f>
        <v>13</v>
      </c>
      <c r="L98" s="1"/>
      <c r="M98" s="1" t="n">
        <f aca="false" t="array" ref="M98:M98">_xlfn.SWITCH($A$2,"average", AVERAGE(Instances!M98:M98),"median", MEDIAN(Instances!M98:M98),"min", MIN(Instances!M98:M98),"max", MAX(Instances!M98:M98),"diff", MAX(Instances!M98:M98)-MIN(Instances!M98:M98))</f>
        <v>2618448</v>
      </c>
      <c r="N98" s="1" t="n">
        <f aca="false" t="array" ref="N98:N98">_xlfn.SWITCH($A$2,"average", AVERAGE(Instances!N98:N98),"median", MEDIAN(Instances!N98:N98),"min", MIN(Instances!N98:N98),"max", MAX(Instances!N98:N98),"diff", MAX(Instances!N98:N98)-MIN(Instances!N98:N98))</f>
        <v>6.17</v>
      </c>
      <c r="O98" s="1"/>
      <c r="P98" s="1" t="n">
        <f aca="false" t="array" ref="P98:P98">_xlfn.SWITCH($A$2,"average", AVERAGE(Instances!P98:P98),"median", MEDIAN(Instances!P98:P98),"min", MIN(Instances!P98:P98),"max", MAX(Instances!P98:P98),"diff", MAX(Instances!P98:P98)-MIN(Instances!P98:P98))</f>
        <v>17.5</v>
      </c>
      <c r="Q98" s="1" t="n">
        <f aca="false" t="array" ref="Q98:Q98">_xlfn.SWITCH($A$2,"average", AVERAGE(Instances!Q98:Q98),"median", MEDIAN(Instances!Q98:Q98),"min", MIN(Instances!Q98:Q98),"max", MAX(Instances!Q98:Q98),"diff", MAX(Instances!Q98:Q98)-MIN(Instances!Q98:Q98))</f>
        <v>0</v>
      </c>
      <c r="R98" s="1" t="n">
        <f aca="false" t="array" ref="R98:R98">_xlfn.SWITCH($A$2,"average", AVERAGE(Instances!R98:R98),"median", MEDIAN(Instances!R98:R98),"min", MIN(Instances!R98:R98),"max", MAX(Instances!R98:R98),"diff", MAX(Instances!R98:R98)-MIN(Instances!R98:R98))</f>
        <v>745478</v>
      </c>
      <c r="S98" s="1" t="n">
        <f aca="false">MIN($B98)</f>
        <v>104653</v>
      </c>
      <c r="T98" s="1" t="n">
        <f aca="false">MIN($C98)</f>
        <v>2404</v>
      </c>
      <c r="U98" s="1" t="n">
        <f aca="false">MIN($D98)</f>
        <v>1700461</v>
      </c>
      <c r="V98" s="1" t="n">
        <f aca="false">MIN($E98)</f>
        <v>0</v>
      </c>
      <c r="W98" s="1" t="n">
        <f aca="false">MIN($F98)</f>
        <v>741</v>
      </c>
      <c r="X98" s="1" t="n">
        <f aca="false">MIN($G98)</f>
        <v>0</v>
      </c>
      <c r="Y98" s="1" t="n">
        <f aca="false">MIN($H98)</f>
        <v>1</v>
      </c>
      <c r="Z98" s="1" t="n">
        <f aca="false">MIN($I98)</f>
        <v>17.256</v>
      </c>
      <c r="AA98" s="1" t="n">
        <f aca="false">MIN($J98)</f>
        <v>17.5</v>
      </c>
      <c r="AB98" s="1" t="n">
        <f aca="false">MIN($K98)</f>
        <v>13</v>
      </c>
      <c r="AC98" s="1" t="n">
        <f aca="false">MIN($M98)</f>
        <v>2618448</v>
      </c>
      <c r="AD98" s="1" t="n">
        <f aca="false">MIN($N98)</f>
        <v>6.17</v>
      </c>
      <c r="AE98" s="1" t="n">
        <f aca="false">MIN($P98)</f>
        <v>17.5</v>
      </c>
      <c r="AF98" s="1" t="n">
        <f aca="false">MIN($Q98)</f>
        <v>0</v>
      </c>
      <c r="AG98" s="1" t="n">
        <f aca="false">MIN($R98)</f>
        <v>745478</v>
      </c>
      <c r="AH98" s="1" t="n">
        <f aca="false">MEDIAN($B98)</f>
        <v>104653</v>
      </c>
      <c r="AI98" s="1" t="n">
        <f aca="false">MEDIAN($C98)</f>
        <v>2404</v>
      </c>
      <c r="AJ98" s="1" t="n">
        <f aca="false">MEDIAN($D98)</f>
        <v>1700461</v>
      </c>
      <c r="AK98" s="1" t="n">
        <f aca="false">MEDIAN($E98)</f>
        <v>0</v>
      </c>
      <c r="AL98" s="1" t="n">
        <f aca="false">MEDIAN($F98)</f>
        <v>741</v>
      </c>
      <c r="AM98" s="1" t="n">
        <f aca="false">MEDIAN($G98)</f>
        <v>0</v>
      </c>
      <c r="AN98" s="1" t="n">
        <f aca="false">MEDIAN($H98)</f>
        <v>1</v>
      </c>
      <c r="AO98" s="1" t="n">
        <f aca="false">MEDIAN($I98)</f>
        <v>17.256</v>
      </c>
      <c r="AP98" s="1" t="n">
        <f aca="false">MEDIAN($J98)</f>
        <v>17.5</v>
      </c>
      <c r="AQ98" s="1" t="n">
        <f aca="false">MEDIAN($K98)</f>
        <v>13</v>
      </c>
      <c r="AR98" s="1" t="n">
        <f aca="false">MEDIAN($M98)</f>
        <v>2618448</v>
      </c>
      <c r="AS98" s="1" t="n">
        <f aca="false">MEDIAN($N98)</f>
        <v>6.17</v>
      </c>
      <c r="AT98" s="1" t="n">
        <f aca="false">MEDIAN($P98)</f>
        <v>17.5</v>
      </c>
      <c r="AU98" s="1" t="n">
        <f aca="false">MEDIAN($Q98)</f>
        <v>0</v>
      </c>
      <c r="AV98" s="1" t="n">
        <f aca="false">MEDIAN($R98)</f>
        <v>745478</v>
      </c>
      <c r="AW98" s="1" t="n">
        <f aca="false">MAX($B98)</f>
        <v>104653</v>
      </c>
      <c r="AX98" s="1" t="n">
        <f aca="false">MAX($C98)</f>
        <v>2404</v>
      </c>
      <c r="AY98" s="1" t="n">
        <f aca="false">MAX($D98)</f>
        <v>1700461</v>
      </c>
      <c r="AZ98" s="1" t="n">
        <f aca="false">MAX($E98)</f>
        <v>0</v>
      </c>
      <c r="BA98" s="1" t="n">
        <f aca="false">MAX($F98)</f>
        <v>741</v>
      </c>
      <c r="BB98" s="1" t="n">
        <f aca="false">MAX($G98)</f>
        <v>0</v>
      </c>
      <c r="BC98" s="1" t="n">
        <f aca="false">MAX($H98)</f>
        <v>1</v>
      </c>
      <c r="BD98" s="1" t="n">
        <f aca="false">MAX($I98)</f>
        <v>17.256</v>
      </c>
      <c r="BE98" s="1" t="n">
        <f aca="false">MAX($J98)</f>
        <v>17.5</v>
      </c>
      <c r="BF98" s="1" t="n">
        <f aca="false">MAX($K98)</f>
        <v>13</v>
      </c>
      <c r="BG98" s="1" t="n">
        <f aca="false">MAX($M98)</f>
        <v>2618448</v>
      </c>
      <c r="BH98" s="1" t="n">
        <f aca="false">MAX($N98)</f>
        <v>6.17</v>
      </c>
      <c r="BI98" s="1" t="n">
        <f aca="false">MAX($P98)</f>
        <v>17.5</v>
      </c>
      <c r="BJ98" s="1" t="n">
        <f aca="false">MAX($Q98)</f>
        <v>0</v>
      </c>
      <c r="BK98" s="1" t="n">
        <f aca="false">MAX($R98)</f>
        <v>745478</v>
      </c>
    </row>
    <row r="99" customFormat="false" ht="15" hidden="false" customHeight="false" outlineLevel="0" collapsed="false">
      <c r="A99" s="1" t="s">
        <v>116</v>
      </c>
      <c r="B99" s="1" t="n">
        <f aca="false" t="array" ref="B99:B99">_xlfn.SWITCH($A$2,"average", AVERAGE(Instances!B99:B99),"median", MEDIAN(Instances!B99:B99),"min", MIN(Instances!B99:B99),"max", MAX(Instances!B99:B99),"diff", MAX(Instances!B99:B99)-MIN(Instances!B99:B99))</f>
        <v>86431</v>
      </c>
      <c r="C99" s="1" t="n">
        <f aca="false" t="array" ref="C99:C99">_xlfn.SWITCH($A$2,"average", AVERAGE(Instances!C99:C99),"median", MEDIAN(Instances!C99:C99),"min", MIN(Instances!C99:C99),"max", MAX(Instances!C99:C99),"diff", MAX(Instances!C99:C99)-MIN(Instances!C99:C99))</f>
        <v>2946</v>
      </c>
      <c r="D99" s="1" t="n">
        <f aca="false" t="array" ref="D99:D99">_xlfn.SWITCH($A$2,"average", AVERAGE(Instances!D99:D99),"median", MEDIAN(Instances!D99:D99),"min", MIN(Instances!D99:D99),"max", MAX(Instances!D99:D99),"diff", MAX(Instances!D99:D99)-MIN(Instances!D99:D99))</f>
        <v>1553624</v>
      </c>
      <c r="E99" s="1" t="n">
        <f aca="false" t="array" ref="E99:E99">_xlfn.SWITCH($A$2,"average", AVERAGE(Instances!E99:E99),"median", MEDIAN(Instances!E99:E99),"min", MIN(Instances!E99:E99),"max", MAX(Instances!E99:E99),"diff", MAX(Instances!E99:E99)-MIN(Instances!E99:E99))</f>
        <v>0</v>
      </c>
      <c r="F99" s="1" t="n">
        <f aca="false" t="array" ref="F99:F99">_xlfn.SWITCH($A$2,"average", AVERAGE(Instances!F99:F99),"median", MEDIAN(Instances!F99:F99),"min", MIN(Instances!F99:F99),"max", MAX(Instances!F99:F99),"diff", MAX(Instances!F99:F99)-MIN(Instances!F99:F99))</f>
        <v>678</v>
      </c>
      <c r="G99" s="1" t="n">
        <f aca="false" t="array" ref="G99:G99">_xlfn.SWITCH($A$2,"average", AVERAGE(Instances!G99:G99),"median", MEDIAN(Instances!G99:G99),"min", MIN(Instances!G99:G99),"max", MAX(Instances!G99:G99),"diff", MAX(Instances!G99:G99)-MIN(Instances!G99:G99))</f>
        <v>0</v>
      </c>
      <c r="H99" s="1" t="n">
        <f aca="false" t="array" ref="H99:H99">_xlfn.SWITCH($A$2,"average", AVERAGE(Instances!H99:H99),"median", MEDIAN(Instances!H99:H99),"min", MIN(Instances!H99:H99),"max", MAX(Instances!H99:H99),"diff", MAX(Instances!H99:H99)-MIN(Instances!H99:H99))</f>
        <v>1</v>
      </c>
      <c r="I99" s="1" t="n">
        <f aca="false" t="array" ref="I99:I99">_xlfn.SWITCH($A$2,"average", AVERAGE(Instances!I99:I99),"median", MEDIAN(Instances!I99:I99),"min", MIN(Instances!I99:I99),"max", MAX(Instances!I99:I99),"diff", MAX(Instances!I99:I99)-MIN(Instances!I99:I99))</f>
        <v>15.466</v>
      </c>
      <c r="J99" s="1" t="n">
        <f aca="false" t="array" ref="J99:J99">_xlfn.SWITCH($A$2,"average", AVERAGE(Instances!J99:J99),"median", MEDIAN(Instances!J99:J99),"min", MIN(Instances!J99:J99),"max", MAX(Instances!J99:J99),"diff", MAX(Instances!J99:J99)-MIN(Instances!J99:J99))</f>
        <v>15.7</v>
      </c>
      <c r="K99" s="1" t="n">
        <f aca="false" t="array" ref="K99:K99">_xlfn.SWITCH($A$2,"average", AVERAGE(Instances!K99:K99),"median", MEDIAN(Instances!K99:K99),"min", MIN(Instances!K99:K99),"max", MAX(Instances!K99:K99),"diff", MAX(Instances!K99:K99)-MIN(Instances!K99:K99))</f>
        <v>14</v>
      </c>
      <c r="L99" s="1"/>
      <c r="M99" s="1" t="n">
        <f aca="false" t="array" ref="M99:M99">_xlfn.SWITCH($A$2,"average", AVERAGE(Instances!M99:M99),"median", MEDIAN(Instances!M99:M99),"min", MIN(Instances!M99:M99),"max", MAX(Instances!M99:M99),"diff", MAX(Instances!M99:M99)-MIN(Instances!M99:M99))</f>
        <v>2386441</v>
      </c>
      <c r="N99" s="1" t="n">
        <f aca="false" t="array" ref="N99:N99">_xlfn.SWITCH($A$2,"average", AVERAGE(Instances!N99:N99),"median", MEDIAN(Instances!N99:N99),"min", MIN(Instances!N99:N99),"max", MAX(Instances!N99:N99),"diff", MAX(Instances!N99:N99)-MIN(Instances!N99:N99))</f>
        <v>5.28</v>
      </c>
      <c r="O99" s="1"/>
      <c r="P99" s="1" t="n">
        <f aca="false" t="array" ref="P99:P99">_xlfn.SWITCH($A$2,"average", AVERAGE(Instances!P99:P99),"median", MEDIAN(Instances!P99:P99),"min", MIN(Instances!P99:P99),"max", MAX(Instances!P99:P99),"diff", MAX(Instances!P99:P99)-MIN(Instances!P99:P99))</f>
        <v>15.7</v>
      </c>
      <c r="Q99" s="1" t="n">
        <f aca="false" t="array" ref="Q99:Q99">_xlfn.SWITCH($A$2,"average", AVERAGE(Instances!Q99:Q99),"median", MEDIAN(Instances!Q99:Q99),"min", MIN(Instances!Q99:Q99),"max", MAX(Instances!Q99:Q99),"diff", MAX(Instances!Q99:Q99)-MIN(Instances!Q99:Q99))</f>
        <v>0</v>
      </c>
      <c r="R99" s="1" t="n">
        <f aca="false" t="array" ref="R99:R99">_xlfn.SWITCH($A$2,"average", AVERAGE(Instances!R99:R99),"median", MEDIAN(Instances!R99:R99),"min", MIN(Instances!R99:R99),"max", MAX(Instances!R99:R99),"diff", MAX(Instances!R99:R99)-MIN(Instances!R99:R99))</f>
        <v>698142</v>
      </c>
      <c r="S99" s="1" t="n">
        <f aca="false">MIN($B99)</f>
        <v>86431</v>
      </c>
      <c r="T99" s="1" t="n">
        <f aca="false">MIN($C99)</f>
        <v>2946</v>
      </c>
      <c r="U99" s="1" t="n">
        <f aca="false">MIN($D99)</f>
        <v>1553624</v>
      </c>
      <c r="V99" s="1" t="n">
        <f aca="false">MIN($E99)</f>
        <v>0</v>
      </c>
      <c r="W99" s="1" t="n">
        <f aca="false">MIN($F99)</f>
        <v>678</v>
      </c>
      <c r="X99" s="1" t="n">
        <f aca="false">MIN($G99)</f>
        <v>0</v>
      </c>
      <c r="Y99" s="1" t="n">
        <f aca="false">MIN($H99)</f>
        <v>1</v>
      </c>
      <c r="Z99" s="1" t="n">
        <f aca="false">MIN($I99)</f>
        <v>15.466</v>
      </c>
      <c r="AA99" s="1" t="n">
        <f aca="false">MIN($J99)</f>
        <v>15.7</v>
      </c>
      <c r="AB99" s="1" t="n">
        <f aca="false">MIN($K99)</f>
        <v>14</v>
      </c>
      <c r="AC99" s="1" t="n">
        <f aca="false">MIN($M99)</f>
        <v>2386441</v>
      </c>
      <c r="AD99" s="1" t="n">
        <f aca="false">MIN($N99)</f>
        <v>5.28</v>
      </c>
      <c r="AE99" s="1" t="n">
        <f aca="false">MIN($P99)</f>
        <v>15.7</v>
      </c>
      <c r="AF99" s="1" t="n">
        <f aca="false">MIN($Q99)</f>
        <v>0</v>
      </c>
      <c r="AG99" s="1" t="n">
        <f aca="false">MIN($R99)</f>
        <v>698142</v>
      </c>
      <c r="AH99" s="1" t="n">
        <f aca="false">MEDIAN($B99)</f>
        <v>86431</v>
      </c>
      <c r="AI99" s="1" t="n">
        <f aca="false">MEDIAN($C99)</f>
        <v>2946</v>
      </c>
      <c r="AJ99" s="1" t="n">
        <f aca="false">MEDIAN($D99)</f>
        <v>1553624</v>
      </c>
      <c r="AK99" s="1" t="n">
        <f aca="false">MEDIAN($E99)</f>
        <v>0</v>
      </c>
      <c r="AL99" s="1" t="n">
        <f aca="false">MEDIAN($F99)</f>
        <v>678</v>
      </c>
      <c r="AM99" s="1" t="n">
        <f aca="false">MEDIAN($G99)</f>
        <v>0</v>
      </c>
      <c r="AN99" s="1" t="n">
        <f aca="false">MEDIAN($H99)</f>
        <v>1</v>
      </c>
      <c r="AO99" s="1" t="n">
        <f aca="false">MEDIAN($I99)</f>
        <v>15.466</v>
      </c>
      <c r="AP99" s="1" t="n">
        <f aca="false">MEDIAN($J99)</f>
        <v>15.7</v>
      </c>
      <c r="AQ99" s="1" t="n">
        <f aca="false">MEDIAN($K99)</f>
        <v>14</v>
      </c>
      <c r="AR99" s="1" t="n">
        <f aca="false">MEDIAN($M99)</f>
        <v>2386441</v>
      </c>
      <c r="AS99" s="1" t="n">
        <f aca="false">MEDIAN($N99)</f>
        <v>5.28</v>
      </c>
      <c r="AT99" s="1" t="n">
        <f aca="false">MEDIAN($P99)</f>
        <v>15.7</v>
      </c>
      <c r="AU99" s="1" t="n">
        <f aca="false">MEDIAN($Q99)</f>
        <v>0</v>
      </c>
      <c r="AV99" s="1" t="n">
        <f aca="false">MEDIAN($R99)</f>
        <v>698142</v>
      </c>
      <c r="AW99" s="1" t="n">
        <f aca="false">MAX($B99)</f>
        <v>86431</v>
      </c>
      <c r="AX99" s="1" t="n">
        <f aca="false">MAX($C99)</f>
        <v>2946</v>
      </c>
      <c r="AY99" s="1" t="n">
        <f aca="false">MAX($D99)</f>
        <v>1553624</v>
      </c>
      <c r="AZ99" s="1" t="n">
        <f aca="false">MAX($E99)</f>
        <v>0</v>
      </c>
      <c r="BA99" s="1" t="n">
        <f aca="false">MAX($F99)</f>
        <v>678</v>
      </c>
      <c r="BB99" s="1" t="n">
        <f aca="false">MAX($G99)</f>
        <v>0</v>
      </c>
      <c r="BC99" s="1" t="n">
        <f aca="false">MAX($H99)</f>
        <v>1</v>
      </c>
      <c r="BD99" s="1" t="n">
        <f aca="false">MAX($I99)</f>
        <v>15.466</v>
      </c>
      <c r="BE99" s="1" t="n">
        <f aca="false">MAX($J99)</f>
        <v>15.7</v>
      </c>
      <c r="BF99" s="1" t="n">
        <f aca="false">MAX($K99)</f>
        <v>14</v>
      </c>
      <c r="BG99" s="1" t="n">
        <f aca="false">MAX($M99)</f>
        <v>2386441</v>
      </c>
      <c r="BH99" s="1" t="n">
        <f aca="false">MAX($N99)</f>
        <v>5.28</v>
      </c>
      <c r="BI99" s="1" t="n">
        <f aca="false">MAX($P99)</f>
        <v>15.7</v>
      </c>
      <c r="BJ99" s="1" t="n">
        <f aca="false">MAX($Q99)</f>
        <v>0</v>
      </c>
      <c r="BK99" s="1" t="n">
        <f aca="false">MAX($R99)</f>
        <v>698142</v>
      </c>
    </row>
    <row r="100" customFormat="false" ht="15" hidden="false" customHeight="false" outlineLevel="0" collapsed="false">
      <c r="A100" s="1" t="s">
        <v>117</v>
      </c>
      <c r="B100" s="1" t="n">
        <f aca="false" t="array" ref="B100:B100">_xlfn.SWITCH($A$2,"average", AVERAGE(Instances!B100:B100),"median", MEDIAN(Instances!B100:B100),"min", MIN(Instances!B100:B100),"max", MAX(Instances!B100:B100),"diff", MAX(Instances!B100:B100)-MIN(Instances!B100:B100))</f>
        <v>90478</v>
      </c>
      <c r="C100" s="1" t="n">
        <f aca="false" t="array" ref="C100:C100">_xlfn.SWITCH($A$2,"average", AVERAGE(Instances!C100:C100),"median", MEDIAN(Instances!C100:C100),"min", MIN(Instances!C100:C100),"max", MAX(Instances!C100:C100),"diff", MAX(Instances!C100:C100)-MIN(Instances!C100:C100))</f>
        <v>1338</v>
      </c>
      <c r="D100" s="1" t="n">
        <f aca="false" t="array" ref="D100:D100">_xlfn.SWITCH($A$2,"average", AVERAGE(Instances!D100:D100),"median", MEDIAN(Instances!D100:D100),"min", MIN(Instances!D100:D100),"max", MAX(Instances!D100:D100),"diff", MAX(Instances!D100:D100)-MIN(Instances!D100:D100))</f>
        <v>1552752</v>
      </c>
      <c r="E100" s="1" t="n">
        <f aca="false" t="array" ref="E100:E100">_xlfn.SWITCH($A$2,"average", AVERAGE(Instances!E100:E100),"median", MEDIAN(Instances!E100:E100),"min", MIN(Instances!E100:E100),"max", MAX(Instances!E100:E100),"diff", MAX(Instances!E100:E100)-MIN(Instances!E100:E100))</f>
        <v>0</v>
      </c>
      <c r="F100" s="1" t="n">
        <f aca="false" t="array" ref="F100:F100">_xlfn.SWITCH($A$2,"average", AVERAGE(Instances!F100:F100),"median", MEDIAN(Instances!F100:F100),"min", MIN(Instances!F100:F100),"max", MAX(Instances!F100:F100),"diff", MAX(Instances!F100:F100)-MIN(Instances!F100:F100))</f>
        <v>678</v>
      </c>
      <c r="G100" s="1" t="n">
        <f aca="false" t="array" ref="G100:G100">_xlfn.SWITCH($A$2,"average", AVERAGE(Instances!G100:G100),"median", MEDIAN(Instances!G100:G100),"min", MIN(Instances!G100:G100),"max", MAX(Instances!G100:G100),"diff", MAX(Instances!G100:G100)-MIN(Instances!G100:G100))</f>
        <v>0</v>
      </c>
      <c r="H100" s="1" t="n">
        <f aca="false" t="array" ref="H100:H100">_xlfn.SWITCH($A$2,"average", AVERAGE(Instances!H100:H100),"median", MEDIAN(Instances!H100:H100),"min", MIN(Instances!H100:H100),"max", MAX(Instances!H100:H100),"diff", MAX(Instances!H100:H100)-MIN(Instances!H100:H100))</f>
        <v>1</v>
      </c>
      <c r="I100" s="1" t="n">
        <f aca="false" t="array" ref="I100:I100">_xlfn.SWITCH($A$2,"average", AVERAGE(Instances!I100:I100),"median", MEDIAN(Instances!I100:I100),"min", MIN(Instances!I100:I100),"max", MAX(Instances!I100:I100),"diff", MAX(Instances!I100:I100)-MIN(Instances!I100:I100))</f>
        <v>12.981</v>
      </c>
      <c r="J100" s="1" t="n">
        <f aca="false" t="array" ref="J100:J100">_xlfn.SWITCH($A$2,"average", AVERAGE(Instances!J100:J100),"median", MEDIAN(Instances!J100:J100),"min", MIN(Instances!J100:J100),"max", MAX(Instances!J100:J100),"diff", MAX(Instances!J100:J100)-MIN(Instances!J100:J100))</f>
        <v>13.22</v>
      </c>
      <c r="K100" s="1" t="n">
        <f aca="false" t="array" ref="K100:K100">_xlfn.SWITCH($A$2,"average", AVERAGE(Instances!K100:K100),"median", MEDIAN(Instances!K100:K100),"min", MIN(Instances!K100:K100),"max", MAX(Instances!K100:K100),"diff", MAX(Instances!K100:K100)-MIN(Instances!K100:K100))</f>
        <v>7</v>
      </c>
      <c r="L100" s="1"/>
      <c r="M100" s="1" t="n">
        <f aca="false" t="array" ref="M100:M100">_xlfn.SWITCH($A$2,"average", AVERAGE(Instances!M100:M100),"median", MEDIAN(Instances!M100:M100),"min", MIN(Instances!M100:M100),"max", MAX(Instances!M100:M100),"diff", MAX(Instances!M100:M100)-MIN(Instances!M100:M100))</f>
        <v>2386441</v>
      </c>
      <c r="N100" s="1" t="n">
        <f aca="false" t="array" ref="N100:N100">_xlfn.SWITCH($A$2,"average", AVERAGE(Instances!N100:N100),"median", MEDIAN(Instances!N100:N100),"min", MIN(Instances!N100:N100),"max", MAX(Instances!N100:N100),"diff", MAX(Instances!N100:N100)-MIN(Instances!N100:N100))</f>
        <v>3.28</v>
      </c>
      <c r="O100" s="1"/>
      <c r="P100" s="1" t="n">
        <f aca="false" t="array" ref="P100:P100">_xlfn.SWITCH($A$2,"average", AVERAGE(Instances!P100:P100),"median", MEDIAN(Instances!P100:P100),"min", MIN(Instances!P100:P100),"max", MAX(Instances!P100:P100),"diff", MAX(Instances!P100:P100)-MIN(Instances!P100:P100))</f>
        <v>13.22</v>
      </c>
      <c r="Q100" s="1" t="n">
        <f aca="false" t="array" ref="Q100:Q100">_xlfn.SWITCH($A$2,"average", AVERAGE(Instances!Q100:Q100),"median", MEDIAN(Instances!Q100:Q100),"min", MIN(Instances!Q100:Q100),"max", MAX(Instances!Q100:Q100),"diff", MAX(Instances!Q100:Q100)-MIN(Instances!Q100:Q100))</f>
        <v>0</v>
      </c>
      <c r="R100" s="1" t="n">
        <f aca="false" t="array" ref="R100:R100">_xlfn.SWITCH($A$2,"average", AVERAGE(Instances!R100:R100),"median", MEDIAN(Instances!R100:R100),"min", MIN(Instances!R100:R100),"max", MAX(Instances!R100:R100),"diff", MAX(Instances!R100:R100)-MIN(Instances!R100:R100))</f>
        <v>698140</v>
      </c>
      <c r="S100" s="1" t="n">
        <f aca="false">MIN($B100)</f>
        <v>90478</v>
      </c>
      <c r="T100" s="1" t="n">
        <f aca="false">MIN($C100)</f>
        <v>1338</v>
      </c>
      <c r="U100" s="1" t="n">
        <f aca="false">MIN($D100)</f>
        <v>1552752</v>
      </c>
      <c r="V100" s="1" t="n">
        <f aca="false">MIN($E100)</f>
        <v>0</v>
      </c>
      <c r="W100" s="1" t="n">
        <f aca="false">MIN($F100)</f>
        <v>678</v>
      </c>
      <c r="X100" s="1" t="n">
        <f aca="false">MIN($G100)</f>
        <v>0</v>
      </c>
      <c r="Y100" s="1" t="n">
        <f aca="false">MIN($H100)</f>
        <v>1</v>
      </c>
      <c r="Z100" s="1" t="n">
        <f aca="false">MIN($I100)</f>
        <v>12.981</v>
      </c>
      <c r="AA100" s="1" t="n">
        <f aca="false">MIN($J100)</f>
        <v>13.22</v>
      </c>
      <c r="AB100" s="1" t="n">
        <f aca="false">MIN($K100)</f>
        <v>7</v>
      </c>
      <c r="AC100" s="1" t="n">
        <f aca="false">MIN($M100)</f>
        <v>2386441</v>
      </c>
      <c r="AD100" s="1" t="n">
        <f aca="false">MIN($N100)</f>
        <v>3.28</v>
      </c>
      <c r="AE100" s="1" t="n">
        <f aca="false">MIN($P100)</f>
        <v>13.22</v>
      </c>
      <c r="AF100" s="1" t="n">
        <f aca="false">MIN($Q100)</f>
        <v>0</v>
      </c>
      <c r="AG100" s="1" t="n">
        <f aca="false">MIN($R100)</f>
        <v>698140</v>
      </c>
      <c r="AH100" s="1" t="n">
        <f aca="false">MEDIAN($B100)</f>
        <v>90478</v>
      </c>
      <c r="AI100" s="1" t="n">
        <f aca="false">MEDIAN($C100)</f>
        <v>1338</v>
      </c>
      <c r="AJ100" s="1" t="n">
        <f aca="false">MEDIAN($D100)</f>
        <v>1552752</v>
      </c>
      <c r="AK100" s="1" t="n">
        <f aca="false">MEDIAN($E100)</f>
        <v>0</v>
      </c>
      <c r="AL100" s="1" t="n">
        <f aca="false">MEDIAN($F100)</f>
        <v>678</v>
      </c>
      <c r="AM100" s="1" t="n">
        <f aca="false">MEDIAN($G100)</f>
        <v>0</v>
      </c>
      <c r="AN100" s="1" t="n">
        <f aca="false">MEDIAN($H100)</f>
        <v>1</v>
      </c>
      <c r="AO100" s="1" t="n">
        <f aca="false">MEDIAN($I100)</f>
        <v>12.981</v>
      </c>
      <c r="AP100" s="1" t="n">
        <f aca="false">MEDIAN($J100)</f>
        <v>13.22</v>
      </c>
      <c r="AQ100" s="1" t="n">
        <f aca="false">MEDIAN($K100)</f>
        <v>7</v>
      </c>
      <c r="AR100" s="1" t="n">
        <f aca="false">MEDIAN($M100)</f>
        <v>2386441</v>
      </c>
      <c r="AS100" s="1" t="n">
        <f aca="false">MEDIAN($N100)</f>
        <v>3.28</v>
      </c>
      <c r="AT100" s="1" t="n">
        <f aca="false">MEDIAN($P100)</f>
        <v>13.22</v>
      </c>
      <c r="AU100" s="1" t="n">
        <f aca="false">MEDIAN($Q100)</f>
        <v>0</v>
      </c>
      <c r="AV100" s="1" t="n">
        <f aca="false">MEDIAN($R100)</f>
        <v>698140</v>
      </c>
      <c r="AW100" s="1" t="n">
        <f aca="false">MAX($B100)</f>
        <v>90478</v>
      </c>
      <c r="AX100" s="1" t="n">
        <f aca="false">MAX($C100)</f>
        <v>1338</v>
      </c>
      <c r="AY100" s="1" t="n">
        <f aca="false">MAX($D100)</f>
        <v>1552752</v>
      </c>
      <c r="AZ100" s="1" t="n">
        <f aca="false">MAX($E100)</f>
        <v>0</v>
      </c>
      <c r="BA100" s="1" t="n">
        <f aca="false">MAX($F100)</f>
        <v>678</v>
      </c>
      <c r="BB100" s="1" t="n">
        <f aca="false">MAX($G100)</f>
        <v>0</v>
      </c>
      <c r="BC100" s="1" t="n">
        <f aca="false">MAX($H100)</f>
        <v>1</v>
      </c>
      <c r="BD100" s="1" t="n">
        <f aca="false">MAX($I100)</f>
        <v>12.981</v>
      </c>
      <c r="BE100" s="1" t="n">
        <f aca="false">MAX($J100)</f>
        <v>13.22</v>
      </c>
      <c r="BF100" s="1" t="n">
        <f aca="false">MAX($K100)</f>
        <v>7</v>
      </c>
      <c r="BG100" s="1" t="n">
        <f aca="false">MAX($M100)</f>
        <v>2386441</v>
      </c>
      <c r="BH100" s="1" t="n">
        <f aca="false">MAX($N100)</f>
        <v>3.28</v>
      </c>
      <c r="BI100" s="1" t="n">
        <f aca="false">MAX($P100)</f>
        <v>13.22</v>
      </c>
      <c r="BJ100" s="1" t="n">
        <f aca="false">MAX($Q100)</f>
        <v>0</v>
      </c>
      <c r="BK100" s="1" t="n">
        <f aca="false">MAX($R100)</f>
        <v>698140</v>
      </c>
    </row>
    <row r="101" customFormat="false" ht="15" hidden="false" customHeight="false" outlineLevel="0" collapsed="false">
      <c r="A101" s="1" t="s">
        <v>118</v>
      </c>
      <c r="B101" s="1" t="n">
        <f aca="false" t="array" ref="B101:B101">_xlfn.SWITCH($A$2,"average", AVERAGE(Instances!B101:B101),"median", MEDIAN(Instances!B101:B101),"min", MIN(Instances!B101:B101),"max", MAX(Instances!B101:B101),"diff", MAX(Instances!B101:B101)-MIN(Instances!B101:B101))</f>
        <v>3325</v>
      </c>
      <c r="C101" s="1" t="n">
        <f aca="false" t="array" ref="C101:C101">_xlfn.SWITCH($A$2,"average", AVERAGE(Instances!C101:C101),"median", MEDIAN(Instances!C101:C101),"min", MIN(Instances!C101:C101),"max", MAX(Instances!C101:C101),"diff", MAX(Instances!C101:C101)-MIN(Instances!C101:C101))</f>
        <v>6</v>
      </c>
      <c r="D101" s="1" t="n">
        <f aca="false" t="array" ref="D101:D101">_xlfn.SWITCH($A$2,"average", AVERAGE(Instances!D101:D101),"median", MEDIAN(Instances!D101:D101),"min", MIN(Instances!D101:D101),"max", MAX(Instances!D101:D101),"diff", MAX(Instances!D101:D101)-MIN(Instances!D101:D101))</f>
        <v>1758689</v>
      </c>
      <c r="E101" s="1" t="n">
        <f aca="false" t="array" ref="E101:E101">_xlfn.SWITCH($A$2,"average", AVERAGE(Instances!E101:E101),"median", MEDIAN(Instances!E101:E101),"min", MIN(Instances!E101:E101),"max", MAX(Instances!E101:E101),"diff", MAX(Instances!E101:E101)-MIN(Instances!E101:E101))</f>
        <v>0</v>
      </c>
      <c r="F101" s="1" t="n">
        <f aca="false" t="array" ref="F101:F101">_xlfn.SWITCH($A$2,"average", AVERAGE(Instances!F101:F101),"median", MEDIAN(Instances!F101:F101),"min", MIN(Instances!F101:F101),"max", MAX(Instances!F101:F101),"diff", MAX(Instances!F101:F101)-MIN(Instances!F101:F101))</f>
        <v>749</v>
      </c>
      <c r="G101" s="1" t="n">
        <f aca="false" t="array" ref="G101:G101">_xlfn.SWITCH($A$2,"average", AVERAGE(Instances!G101:G101),"median", MEDIAN(Instances!G101:G101),"min", MIN(Instances!G101:G101),"max", MAX(Instances!G101:G101),"diff", MAX(Instances!G101:G101)-MIN(Instances!G101:G101))</f>
        <v>0</v>
      </c>
      <c r="H101" s="1" t="n">
        <f aca="false" t="array" ref="H101:H101">_xlfn.SWITCH($A$2,"average", AVERAGE(Instances!H101:H101),"median", MEDIAN(Instances!H101:H101),"min", MIN(Instances!H101:H101),"max", MAX(Instances!H101:H101),"diff", MAX(Instances!H101:H101)-MIN(Instances!H101:H101))</f>
        <v>1</v>
      </c>
      <c r="I101" s="1" t="n">
        <f aca="false" t="array" ref="I101:I101">_xlfn.SWITCH($A$2,"average", AVERAGE(Instances!I101:I101),"median", MEDIAN(Instances!I101:I101),"min", MIN(Instances!I101:I101),"max", MAX(Instances!I101:I101),"diff", MAX(Instances!I101:I101)-MIN(Instances!I101:I101))</f>
        <v>11.516</v>
      </c>
      <c r="J101" s="1" t="n">
        <f aca="false" t="array" ref="J101:J101">_xlfn.SWITCH($A$2,"average", AVERAGE(Instances!J101:J101),"median", MEDIAN(Instances!J101:J101),"min", MIN(Instances!J101:J101),"max", MAX(Instances!J101:J101),"diff", MAX(Instances!J101:J101)-MIN(Instances!J101:J101))</f>
        <v>11.79</v>
      </c>
      <c r="K101" s="1" t="n">
        <f aca="false" t="array" ref="K101:K101">_xlfn.SWITCH($A$2,"average", AVERAGE(Instances!K101:K101),"median", MEDIAN(Instances!K101:K101),"min", MIN(Instances!K101:K101),"max", MAX(Instances!K101:K101),"diff", MAX(Instances!K101:K101)-MIN(Instances!K101:K101))</f>
        <v>0</v>
      </c>
      <c r="L101" s="1"/>
      <c r="M101" s="1" t="n">
        <f aca="false" t="array" ref="M101:M101">_xlfn.SWITCH($A$2,"average", AVERAGE(Instances!M101:M101),"median", MEDIAN(Instances!M101:M101),"min", MIN(Instances!M101:M101),"max", MAX(Instances!M101:M101),"diff", MAX(Instances!M101:M101)-MIN(Instances!M101:M101))</f>
        <v>2650400</v>
      </c>
      <c r="N101" s="1" t="n">
        <f aca="false" t="array" ref="N101:N101">_xlfn.SWITCH($A$2,"average", AVERAGE(Instances!N101:N101),"median", MEDIAN(Instances!N101:N101),"min", MIN(Instances!N101:N101),"max", MAX(Instances!N101:N101),"diff", MAX(Instances!N101:N101)-MIN(Instances!N101:N101))</f>
        <v>0.17</v>
      </c>
      <c r="O101" s="1"/>
      <c r="P101" s="1" t="n">
        <f aca="false" t="array" ref="P101:P101">_xlfn.SWITCH($A$2,"average", AVERAGE(Instances!P101:P101),"median", MEDIAN(Instances!P101:P101),"min", MIN(Instances!P101:P101),"max", MAX(Instances!P101:P101),"diff", MAX(Instances!P101:P101)-MIN(Instances!P101:P101))</f>
        <v>11.79</v>
      </c>
      <c r="Q101" s="1" t="n">
        <f aca="false" t="array" ref="Q101:Q101">_xlfn.SWITCH($A$2,"average", AVERAGE(Instances!Q101:Q101),"median", MEDIAN(Instances!Q101:Q101),"min", MIN(Instances!Q101:Q101),"max", MAX(Instances!Q101:Q101),"diff", MAX(Instances!Q101:Q101)-MIN(Instances!Q101:Q101))</f>
        <v>0</v>
      </c>
      <c r="R101" s="1" t="n">
        <f aca="false" t="array" ref="R101:R101">_xlfn.SWITCH($A$2,"average", AVERAGE(Instances!R101:R101),"median", MEDIAN(Instances!R101:R101),"min", MIN(Instances!R101:R101),"max", MAX(Instances!R101:R101),"diff", MAX(Instances!R101:R101)-MIN(Instances!R101:R101))</f>
        <v>753676</v>
      </c>
      <c r="S101" s="1" t="n">
        <f aca="false">MIN($B101)</f>
        <v>3325</v>
      </c>
      <c r="T101" s="1" t="n">
        <f aca="false">MIN($C101)</f>
        <v>6</v>
      </c>
      <c r="U101" s="1" t="n">
        <f aca="false">MIN($D101)</f>
        <v>1758689</v>
      </c>
      <c r="V101" s="1" t="n">
        <f aca="false">MIN($E101)</f>
        <v>0</v>
      </c>
      <c r="W101" s="1" t="n">
        <f aca="false">MIN($F101)</f>
        <v>749</v>
      </c>
      <c r="X101" s="1" t="n">
        <f aca="false">MIN($G101)</f>
        <v>0</v>
      </c>
      <c r="Y101" s="1" t="n">
        <f aca="false">MIN($H101)</f>
        <v>1</v>
      </c>
      <c r="Z101" s="1" t="n">
        <f aca="false">MIN($I101)</f>
        <v>11.516</v>
      </c>
      <c r="AA101" s="1" t="n">
        <f aca="false">MIN($J101)</f>
        <v>11.79</v>
      </c>
      <c r="AB101" s="1" t="n">
        <f aca="false">MIN($K101)</f>
        <v>0</v>
      </c>
      <c r="AC101" s="1" t="n">
        <f aca="false">MIN($M101)</f>
        <v>2650400</v>
      </c>
      <c r="AD101" s="1" t="n">
        <f aca="false">MIN($N101)</f>
        <v>0.17</v>
      </c>
      <c r="AE101" s="1" t="n">
        <f aca="false">MIN($P101)</f>
        <v>11.79</v>
      </c>
      <c r="AF101" s="1" t="n">
        <f aca="false">MIN($Q101)</f>
        <v>0</v>
      </c>
      <c r="AG101" s="1" t="n">
        <f aca="false">MIN($R101)</f>
        <v>753676</v>
      </c>
      <c r="AH101" s="1" t="n">
        <f aca="false">MEDIAN($B101)</f>
        <v>3325</v>
      </c>
      <c r="AI101" s="1" t="n">
        <f aca="false">MEDIAN($C101)</f>
        <v>6</v>
      </c>
      <c r="AJ101" s="1" t="n">
        <f aca="false">MEDIAN($D101)</f>
        <v>1758689</v>
      </c>
      <c r="AK101" s="1" t="n">
        <f aca="false">MEDIAN($E101)</f>
        <v>0</v>
      </c>
      <c r="AL101" s="1" t="n">
        <f aca="false">MEDIAN($F101)</f>
        <v>749</v>
      </c>
      <c r="AM101" s="1" t="n">
        <f aca="false">MEDIAN($G101)</f>
        <v>0</v>
      </c>
      <c r="AN101" s="1" t="n">
        <f aca="false">MEDIAN($H101)</f>
        <v>1</v>
      </c>
      <c r="AO101" s="1" t="n">
        <f aca="false">MEDIAN($I101)</f>
        <v>11.516</v>
      </c>
      <c r="AP101" s="1" t="n">
        <f aca="false">MEDIAN($J101)</f>
        <v>11.79</v>
      </c>
      <c r="AQ101" s="1" t="n">
        <f aca="false">MEDIAN($K101)</f>
        <v>0</v>
      </c>
      <c r="AR101" s="1" t="n">
        <f aca="false">MEDIAN($M101)</f>
        <v>2650400</v>
      </c>
      <c r="AS101" s="1" t="n">
        <f aca="false">MEDIAN($N101)</f>
        <v>0.17</v>
      </c>
      <c r="AT101" s="1" t="n">
        <f aca="false">MEDIAN($P101)</f>
        <v>11.79</v>
      </c>
      <c r="AU101" s="1" t="n">
        <f aca="false">MEDIAN($Q101)</f>
        <v>0</v>
      </c>
      <c r="AV101" s="1" t="n">
        <f aca="false">MEDIAN($R101)</f>
        <v>753676</v>
      </c>
      <c r="AW101" s="1" t="n">
        <f aca="false">MAX($B101)</f>
        <v>3325</v>
      </c>
      <c r="AX101" s="1" t="n">
        <f aca="false">MAX($C101)</f>
        <v>6</v>
      </c>
      <c r="AY101" s="1" t="n">
        <f aca="false">MAX($D101)</f>
        <v>1758689</v>
      </c>
      <c r="AZ101" s="1" t="n">
        <f aca="false">MAX($E101)</f>
        <v>0</v>
      </c>
      <c r="BA101" s="1" t="n">
        <f aca="false">MAX($F101)</f>
        <v>749</v>
      </c>
      <c r="BB101" s="1" t="n">
        <f aca="false">MAX($G101)</f>
        <v>0</v>
      </c>
      <c r="BC101" s="1" t="n">
        <f aca="false">MAX($H101)</f>
        <v>1</v>
      </c>
      <c r="BD101" s="1" t="n">
        <f aca="false">MAX($I101)</f>
        <v>11.516</v>
      </c>
      <c r="BE101" s="1" t="n">
        <f aca="false">MAX($J101)</f>
        <v>11.79</v>
      </c>
      <c r="BF101" s="1" t="n">
        <f aca="false">MAX($K101)</f>
        <v>0</v>
      </c>
      <c r="BG101" s="1" t="n">
        <f aca="false">MAX($M101)</f>
        <v>2650400</v>
      </c>
      <c r="BH101" s="1" t="n">
        <f aca="false">MAX($N101)</f>
        <v>0.17</v>
      </c>
      <c r="BI101" s="1" t="n">
        <f aca="false">MAX($P101)</f>
        <v>11.79</v>
      </c>
      <c r="BJ101" s="1" t="n">
        <f aca="false">MAX($Q101)</f>
        <v>0</v>
      </c>
      <c r="BK101" s="1" t="n">
        <f aca="false">MAX($R101)</f>
        <v>753676</v>
      </c>
    </row>
    <row r="102" customFormat="false" ht="15" hidden="false" customHeight="false" outlineLevel="0" collapsed="false">
      <c r="A102" s="1" t="s">
        <v>119</v>
      </c>
      <c r="B102" s="1" t="n">
        <f aca="false" t="array" ref="B102:B102">_xlfn.SWITCH($A$2,"average", AVERAGE(Instances!B102:B102),"median", MEDIAN(Instances!B102:B102),"min", MIN(Instances!B102:B102),"max", MAX(Instances!B102:B102),"diff", MAX(Instances!B102:B102)-MIN(Instances!B102:B102))</f>
        <v>3247</v>
      </c>
      <c r="C102" s="1" t="n">
        <f aca="false" t="array" ref="C102:C102">_xlfn.SWITCH($A$2,"average", AVERAGE(Instances!C102:C102),"median", MEDIAN(Instances!C102:C102),"min", MIN(Instances!C102:C102),"max", MAX(Instances!C102:C102),"diff", MAX(Instances!C102:C102)-MIN(Instances!C102:C102))</f>
        <v>2</v>
      </c>
      <c r="D102" s="1" t="n">
        <f aca="false" t="array" ref="D102:D102">_xlfn.SWITCH($A$2,"average", AVERAGE(Instances!D102:D102),"median", MEDIAN(Instances!D102:D102),"min", MIN(Instances!D102:D102),"max", MAX(Instances!D102:D102),"diff", MAX(Instances!D102:D102)-MIN(Instances!D102:D102))</f>
        <v>1598216</v>
      </c>
      <c r="E102" s="1" t="n">
        <f aca="false" t="array" ref="E102:E102">_xlfn.SWITCH($A$2,"average", AVERAGE(Instances!E102:E102),"median", MEDIAN(Instances!E102:E102),"min", MIN(Instances!E102:E102),"max", MAX(Instances!E102:E102),"diff", MAX(Instances!E102:E102)-MIN(Instances!E102:E102))</f>
        <v>0</v>
      </c>
      <c r="F102" s="1" t="n">
        <f aca="false" t="array" ref="F102:F102">_xlfn.SWITCH($A$2,"average", AVERAGE(Instances!F102:F102),"median", MEDIAN(Instances!F102:F102),"min", MIN(Instances!F102:F102),"max", MAX(Instances!F102:F102),"diff", MAX(Instances!F102:F102)-MIN(Instances!F102:F102))</f>
        <v>689</v>
      </c>
      <c r="G102" s="1" t="n">
        <f aca="false" t="array" ref="G102:G102">_xlfn.SWITCH($A$2,"average", AVERAGE(Instances!G102:G102),"median", MEDIAN(Instances!G102:G102),"min", MIN(Instances!G102:G102),"max", MAX(Instances!G102:G102),"diff", MAX(Instances!G102:G102)-MIN(Instances!G102:G102))</f>
        <v>0</v>
      </c>
      <c r="H102" s="1" t="n">
        <f aca="false" t="array" ref="H102:H102">_xlfn.SWITCH($A$2,"average", AVERAGE(Instances!H102:H102),"median", MEDIAN(Instances!H102:H102),"min", MIN(Instances!H102:H102),"max", MAX(Instances!H102:H102),"diff", MAX(Instances!H102:H102)-MIN(Instances!H102:H102))</f>
        <v>1</v>
      </c>
      <c r="I102" s="1" t="n">
        <f aca="false" t="array" ref="I102:I102">_xlfn.SWITCH($A$2,"average", AVERAGE(Instances!I102:I102),"median", MEDIAN(Instances!I102:I102),"min", MIN(Instances!I102:I102),"max", MAX(Instances!I102:I102),"diff", MAX(Instances!I102:I102)-MIN(Instances!I102:I102))</f>
        <v>10.43</v>
      </c>
      <c r="J102" s="1" t="n">
        <f aca="false" t="array" ref="J102:J102">_xlfn.SWITCH($A$2,"average", AVERAGE(Instances!J102:J102),"median", MEDIAN(Instances!J102:J102),"min", MIN(Instances!J102:J102),"max", MAX(Instances!J102:J102),"diff", MAX(Instances!J102:J102)-MIN(Instances!J102:J102))</f>
        <v>10.68</v>
      </c>
      <c r="K102" s="1" t="n">
        <f aca="false" t="array" ref="K102:K102">_xlfn.SWITCH($A$2,"average", AVERAGE(Instances!K102:K102),"median", MEDIAN(Instances!K102:K102),"min", MIN(Instances!K102:K102),"max", MAX(Instances!K102:K102),"diff", MAX(Instances!K102:K102)-MIN(Instances!K102:K102))</f>
        <v>0</v>
      </c>
      <c r="L102" s="1"/>
      <c r="M102" s="1" t="n">
        <f aca="false" t="array" ref="M102:M102">_xlfn.SWITCH($A$2,"average", AVERAGE(Instances!M102:M102),"median", MEDIAN(Instances!M102:M102),"min", MIN(Instances!M102:M102),"max", MAX(Instances!M102:M102),"diff", MAX(Instances!M102:M102)-MIN(Instances!M102:M102))</f>
        <v>2434335</v>
      </c>
      <c r="N102" s="1" t="n">
        <f aca="false" t="array" ref="N102:N102">_xlfn.SWITCH($A$2,"average", AVERAGE(Instances!N102:N102),"median", MEDIAN(Instances!N102:N102),"min", MIN(Instances!N102:N102),"max", MAX(Instances!N102:N102),"diff", MAX(Instances!N102:N102)-MIN(Instances!N102:N102))</f>
        <v>0.11</v>
      </c>
      <c r="O102" s="1"/>
      <c r="P102" s="1" t="n">
        <f aca="false" t="array" ref="P102:P102">_xlfn.SWITCH($A$2,"average", AVERAGE(Instances!P102:P102),"median", MEDIAN(Instances!P102:P102),"min", MIN(Instances!P102:P102),"max", MAX(Instances!P102:P102),"diff", MAX(Instances!P102:P102)-MIN(Instances!P102:P102))</f>
        <v>10.68</v>
      </c>
      <c r="Q102" s="1" t="n">
        <f aca="false" t="array" ref="Q102:Q102">_xlfn.SWITCH($A$2,"average", AVERAGE(Instances!Q102:Q102),"median", MEDIAN(Instances!Q102:Q102),"min", MIN(Instances!Q102:Q102),"max", MAX(Instances!Q102:Q102),"diff", MAX(Instances!Q102:Q102)-MIN(Instances!Q102:Q102))</f>
        <v>0</v>
      </c>
      <c r="R102" s="1" t="n">
        <f aca="false" t="array" ref="R102:R102">_xlfn.SWITCH($A$2,"average", AVERAGE(Instances!R102:R102),"median", MEDIAN(Instances!R102:R102),"min", MIN(Instances!R102:R102),"max", MAX(Instances!R102:R102),"diff", MAX(Instances!R102:R102)-MIN(Instances!R102:R102))</f>
        <v>713081</v>
      </c>
      <c r="S102" s="1" t="n">
        <f aca="false">MIN($B102)</f>
        <v>3247</v>
      </c>
      <c r="T102" s="1" t="n">
        <f aca="false">MIN($C102)</f>
        <v>2</v>
      </c>
      <c r="U102" s="1" t="n">
        <f aca="false">MIN($D102)</f>
        <v>1598216</v>
      </c>
      <c r="V102" s="1" t="n">
        <f aca="false">MIN($E102)</f>
        <v>0</v>
      </c>
      <c r="W102" s="1" t="n">
        <f aca="false">MIN($F102)</f>
        <v>689</v>
      </c>
      <c r="X102" s="1" t="n">
        <f aca="false">MIN($G102)</f>
        <v>0</v>
      </c>
      <c r="Y102" s="1" t="n">
        <f aca="false">MIN($H102)</f>
        <v>1</v>
      </c>
      <c r="Z102" s="1" t="n">
        <f aca="false">MIN($I102)</f>
        <v>10.43</v>
      </c>
      <c r="AA102" s="1" t="n">
        <f aca="false">MIN($J102)</f>
        <v>10.68</v>
      </c>
      <c r="AB102" s="1" t="n">
        <f aca="false">MIN($K102)</f>
        <v>0</v>
      </c>
      <c r="AC102" s="1" t="n">
        <f aca="false">MIN($M102)</f>
        <v>2434335</v>
      </c>
      <c r="AD102" s="1" t="n">
        <f aca="false">MIN($N102)</f>
        <v>0.11</v>
      </c>
      <c r="AE102" s="1" t="n">
        <f aca="false">MIN($P102)</f>
        <v>10.68</v>
      </c>
      <c r="AF102" s="1" t="n">
        <f aca="false">MIN($Q102)</f>
        <v>0</v>
      </c>
      <c r="AG102" s="1" t="n">
        <f aca="false">MIN($R102)</f>
        <v>713081</v>
      </c>
      <c r="AH102" s="1" t="n">
        <f aca="false">MEDIAN($B102)</f>
        <v>3247</v>
      </c>
      <c r="AI102" s="1" t="n">
        <f aca="false">MEDIAN($C102)</f>
        <v>2</v>
      </c>
      <c r="AJ102" s="1" t="n">
        <f aca="false">MEDIAN($D102)</f>
        <v>1598216</v>
      </c>
      <c r="AK102" s="1" t="n">
        <f aca="false">MEDIAN($E102)</f>
        <v>0</v>
      </c>
      <c r="AL102" s="1" t="n">
        <f aca="false">MEDIAN($F102)</f>
        <v>689</v>
      </c>
      <c r="AM102" s="1" t="n">
        <f aca="false">MEDIAN($G102)</f>
        <v>0</v>
      </c>
      <c r="AN102" s="1" t="n">
        <f aca="false">MEDIAN($H102)</f>
        <v>1</v>
      </c>
      <c r="AO102" s="1" t="n">
        <f aca="false">MEDIAN($I102)</f>
        <v>10.43</v>
      </c>
      <c r="AP102" s="1" t="n">
        <f aca="false">MEDIAN($J102)</f>
        <v>10.68</v>
      </c>
      <c r="AQ102" s="1" t="n">
        <f aca="false">MEDIAN($K102)</f>
        <v>0</v>
      </c>
      <c r="AR102" s="1" t="n">
        <f aca="false">MEDIAN($M102)</f>
        <v>2434335</v>
      </c>
      <c r="AS102" s="1" t="n">
        <f aca="false">MEDIAN($N102)</f>
        <v>0.11</v>
      </c>
      <c r="AT102" s="1" t="n">
        <f aca="false">MEDIAN($P102)</f>
        <v>10.68</v>
      </c>
      <c r="AU102" s="1" t="n">
        <f aca="false">MEDIAN($Q102)</f>
        <v>0</v>
      </c>
      <c r="AV102" s="1" t="n">
        <f aca="false">MEDIAN($R102)</f>
        <v>713081</v>
      </c>
      <c r="AW102" s="1" t="n">
        <f aca="false">MAX($B102)</f>
        <v>3247</v>
      </c>
      <c r="AX102" s="1" t="n">
        <f aca="false">MAX($C102)</f>
        <v>2</v>
      </c>
      <c r="AY102" s="1" t="n">
        <f aca="false">MAX($D102)</f>
        <v>1598216</v>
      </c>
      <c r="AZ102" s="1" t="n">
        <f aca="false">MAX($E102)</f>
        <v>0</v>
      </c>
      <c r="BA102" s="1" t="n">
        <f aca="false">MAX($F102)</f>
        <v>689</v>
      </c>
      <c r="BB102" s="1" t="n">
        <f aca="false">MAX($G102)</f>
        <v>0</v>
      </c>
      <c r="BC102" s="1" t="n">
        <f aca="false">MAX($H102)</f>
        <v>1</v>
      </c>
      <c r="BD102" s="1" t="n">
        <f aca="false">MAX($I102)</f>
        <v>10.43</v>
      </c>
      <c r="BE102" s="1" t="n">
        <f aca="false">MAX($J102)</f>
        <v>10.68</v>
      </c>
      <c r="BF102" s="1" t="n">
        <f aca="false">MAX($K102)</f>
        <v>0</v>
      </c>
      <c r="BG102" s="1" t="n">
        <f aca="false">MAX($M102)</f>
        <v>2434335</v>
      </c>
      <c r="BH102" s="1" t="n">
        <f aca="false">MAX($N102)</f>
        <v>0.11</v>
      </c>
      <c r="BI102" s="1" t="n">
        <f aca="false">MAX($P102)</f>
        <v>10.68</v>
      </c>
      <c r="BJ102" s="1" t="n">
        <f aca="false">MAX($Q102)</f>
        <v>0</v>
      </c>
      <c r="BK102" s="1" t="n">
        <f aca="false">MAX($R102)</f>
        <v>713081</v>
      </c>
    </row>
    <row r="103" customFormat="false" ht="15" hidden="false" customHeight="false" outlineLevel="0" collapsed="false">
      <c r="A103" s="1" t="s">
        <v>120</v>
      </c>
      <c r="B103" s="1" t="n">
        <f aca="false" t="array" ref="B103:B103">_xlfn.SWITCH($A$2,"average", AVERAGE(Instances!B103:B103),"median", MEDIAN(Instances!B103:B103),"min", MIN(Instances!B103:B103),"max", MAX(Instances!B103:B103),"diff", MAX(Instances!B103:B103)-MIN(Instances!B103:B103))</f>
        <v>6639</v>
      </c>
      <c r="C103" s="1" t="n">
        <f aca="false" t="array" ref="C103:C103">_xlfn.SWITCH($A$2,"average", AVERAGE(Instances!C103:C103),"median", MEDIAN(Instances!C103:C103),"min", MIN(Instances!C103:C103),"max", MAX(Instances!C103:C103),"diff", MAX(Instances!C103:C103)-MIN(Instances!C103:C103))</f>
        <v>53</v>
      </c>
      <c r="D103" s="1" t="n">
        <f aca="false" t="array" ref="D103:D103">_xlfn.SWITCH($A$2,"average", AVERAGE(Instances!D103:D103),"median", MEDIAN(Instances!D103:D103),"min", MIN(Instances!D103:D103),"max", MAX(Instances!D103:D103),"diff", MAX(Instances!D103:D103)-MIN(Instances!D103:D103))</f>
        <v>1977029</v>
      </c>
      <c r="E103" s="1" t="n">
        <f aca="false" t="array" ref="E103:E103">_xlfn.SWITCH($A$2,"average", AVERAGE(Instances!E103:E103),"median", MEDIAN(Instances!E103:E103),"min", MIN(Instances!E103:E103),"max", MAX(Instances!E103:E103),"diff", MAX(Instances!E103:E103)-MIN(Instances!E103:E103))</f>
        <v>0</v>
      </c>
      <c r="F103" s="1" t="n">
        <f aca="false" t="array" ref="F103:F103">_xlfn.SWITCH($A$2,"average", AVERAGE(Instances!F103:F103),"median", MEDIAN(Instances!F103:F103),"min", MIN(Instances!F103:F103),"max", MAX(Instances!F103:F103),"diff", MAX(Instances!F103:F103)-MIN(Instances!F103:F103))</f>
        <v>841</v>
      </c>
      <c r="G103" s="1" t="n">
        <f aca="false" t="array" ref="G103:G103">_xlfn.SWITCH($A$2,"average", AVERAGE(Instances!G103:G103),"median", MEDIAN(Instances!G103:G103),"min", MIN(Instances!G103:G103),"max", MAX(Instances!G103:G103),"diff", MAX(Instances!G103:G103)-MIN(Instances!G103:G103))</f>
        <v>0</v>
      </c>
      <c r="H103" s="1" t="n">
        <f aca="false" t="array" ref="H103:H103">_xlfn.SWITCH($A$2,"average", AVERAGE(Instances!H103:H103),"median", MEDIAN(Instances!H103:H103),"min", MIN(Instances!H103:H103),"max", MAX(Instances!H103:H103),"diff", MAX(Instances!H103:H103)-MIN(Instances!H103:H103))</f>
        <v>1</v>
      </c>
      <c r="I103" s="1" t="n">
        <f aca="false" t="array" ref="I103:I103">_xlfn.SWITCH($A$2,"average", AVERAGE(Instances!I103:I103),"median", MEDIAN(Instances!I103:I103),"min", MIN(Instances!I103:I103),"max", MAX(Instances!I103:I103),"diff", MAX(Instances!I103:I103)-MIN(Instances!I103:I103))</f>
        <v>13.357</v>
      </c>
      <c r="J103" s="1" t="n">
        <f aca="false" t="array" ref="J103:J103">_xlfn.SWITCH($A$2,"average", AVERAGE(Instances!J103:J103),"median", MEDIAN(Instances!J103:J103),"min", MIN(Instances!J103:J103),"max", MAX(Instances!J103:J103),"diff", MAX(Instances!J103:J103)-MIN(Instances!J103:J103))</f>
        <v>13.69</v>
      </c>
      <c r="K103" s="1" t="n">
        <f aca="false" t="array" ref="K103:K103">_xlfn.SWITCH($A$2,"average", AVERAGE(Instances!K103:K103),"median", MEDIAN(Instances!K103:K103),"min", MIN(Instances!K103:K103),"max", MAX(Instances!K103:K103),"diff", MAX(Instances!K103:K103)-MIN(Instances!K103:K103))</f>
        <v>0</v>
      </c>
      <c r="L103" s="1"/>
      <c r="M103" s="1" t="n">
        <f aca="false" t="array" ref="M103:M103">_xlfn.SWITCH($A$2,"average", AVERAGE(Instances!M103:M103),"median", MEDIAN(Instances!M103:M103),"min", MIN(Instances!M103:M103),"max", MAX(Instances!M103:M103),"diff", MAX(Instances!M103:M103)-MIN(Instances!M103:M103))</f>
        <v>3151913</v>
      </c>
      <c r="N103" s="1" t="n">
        <f aca="false" t="array" ref="N103:N103">_xlfn.SWITCH($A$2,"average", AVERAGE(Instances!N103:N103),"median", MEDIAN(Instances!N103:N103),"min", MIN(Instances!N103:N103),"max", MAX(Instances!N103:N103),"diff", MAX(Instances!N103:N103)-MIN(Instances!N103:N103))</f>
        <v>0.19</v>
      </c>
      <c r="O103" s="1"/>
      <c r="P103" s="1" t="n">
        <f aca="false" t="array" ref="P103:P103">_xlfn.SWITCH($A$2,"average", AVERAGE(Instances!P103:P103),"median", MEDIAN(Instances!P103:P103),"min", MIN(Instances!P103:P103),"max", MAX(Instances!P103:P103),"diff", MAX(Instances!P103:P103)-MIN(Instances!P103:P103))</f>
        <v>13.69</v>
      </c>
      <c r="Q103" s="1" t="n">
        <f aca="false" t="array" ref="Q103:Q103">_xlfn.SWITCH($A$2,"average", AVERAGE(Instances!Q103:Q103),"median", MEDIAN(Instances!Q103:Q103),"min", MIN(Instances!Q103:Q103),"max", MAX(Instances!Q103:Q103),"diff", MAX(Instances!Q103:Q103)-MIN(Instances!Q103:Q103))</f>
        <v>0</v>
      </c>
      <c r="R103" s="1" t="n">
        <f aca="false" t="array" ref="R103:R103">_xlfn.SWITCH($A$2,"average", AVERAGE(Instances!R103:R103),"median", MEDIAN(Instances!R103:R103),"min", MIN(Instances!R103:R103),"max", MAX(Instances!R103:R103),"diff", MAX(Instances!R103:R103)-MIN(Instances!R103:R103))</f>
        <v>853352</v>
      </c>
      <c r="S103" s="1" t="n">
        <f aca="false">MIN($B103)</f>
        <v>6639</v>
      </c>
      <c r="T103" s="1" t="n">
        <f aca="false">MIN($C103)</f>
        <v>53</v>
      </c>
      <c r="U103" s="1" t="n">
        <f aca="false">MIN($D103)</f>
        <v>1977029</v>
      </c>
      <c r="V103" s="1" t="n">
        <f aca="false">MIN($E103)</f>
        <v>0</v>
      </c>
      <c r="W103" s="1" t="n">
        <f aca="false">MIN($F103)</f>
        <v>841</v>
      </c>
      <c r="X103" s="1" t="n">
        <f aca="false">MIN($G103)</f>
        <v>0</v>
      </c>
      <c r="Y103" s="1" t="n">
        <f aca="false">MIN($H103)</f>
        <v>1</v>
      </c>
      <c r="Z103" s="1" t="n">
        <f aca="false">MIN($I103)</f>
        <v>13.357</v>
      </c>
      <c r="AA103" s="1" t="n">
        <f aca="false">MIN($J103)</f>
        <v>13.69</v>
      </c>
      <c r="AB103" s="1" t="n">
        <f aca="false">MIN($K103)</f>
        <v>0</v>
      </c>
      <c r="AC103" s="1" t="n">
        <f aca="false">MIN($M103)</f>
        <v>3151913</v>
      </c>
      <c r="AD103" s="1" t="n">
        <f aca="false">MIN($N103)</f>
        <v>0.19</v>
      </c>
      <c r="AE103" s="1" t="n">
        <f aca="false">MIN($P103)</f>
        <v>13.69</v>
      </c>
      <c r="AF103" s="1" t="n">
        <f aca="false">MIN($Q103)</f>
        <v>0</v>
      </c>
      <c r="AG103" s="1" t="n">
        <f aca="false">MIN($R103)</f>
        <v>853352</v>
      </c>
      <c r="AH103" s="1" t="n">
        <f aca="false">MEDIAN($B103)</f>
        <v>6639</v>
      </c>
      <c r="AI103" s="1" t="n">
        <f aca="false">MEDIAN($C103)</f>
        <v>53</v>
      </c>
      <c r="AJ103" s="1" t="n">
        <f aca="false">MEDIAN($D103)</f>
        <v>1977029</v>
      </c>
      <c r="AK103" s="1" t="n">
        <f aca="false">MEDIAN($E103)</f>
        <v>0</v>
      </c>
      <c r="AL103" s="1" t="n">
        <f aca="false">MEDIAN($F103)</f>
        <v>841</v>
      </c>
      <c r="AM103" s="1" t="n">
        <f aca="false">MEDIAN($G103)</f>
        <v>0</v>
      </c>
      <c r="AN103" s="1" t="n">
        <f aca="false">MEDIAN($H103)</f>
        <v>1</v>
      </c>
      <c r="AO103" s="1" t="n">
        <f aca="false">MEDIAN($I103)</f>
        <v>13.357</v>
      </c>
      <c r="AP103" s="1" t="n">
        <f aca="false">MEDIAN($J103)</f>
        <v>13.69</v>
      </c>
      <c r="AQ103" s="1" t="n">
        <f aca="false">MEDIAN($K103)</f>
        <v>0</v>
      </c>
      <c r="AR103" s="1" t="n">
        <f aca="false">MEDIAN($M103)</f>
        <v>3151913</v>
      </c>
      <c r="AS103" s="1" t="n">
        <f aca="false">MEDIAN($N103)</f>
        <v>0.19</v>
      </c>
      <c r="AT103" s="1" t="n">
        <f aca="false">MEDIAN($P103)</f>
        <v>13.69</v>
      </c>
      <c r="AU103" s="1" t="n">
        <f aca="false">MEDIAN($Q103)</f>
        <v>0</v>
      </c>
      <c r="AV103" s="1" t="n">
        <f aca="false">MEDIAN($R103)</f>
        <v>853352</v>
      </c>
      <c r="AW103" s="1" t="n">
        <f aca="false">MAX($B103)</f>
        <v>6639</v>
      </c>
      <c r="AX103" s="1" t="n">
        <f aca="false">MAX($C103)</f>
        <v>53</v>
      </c>
      <c r="AY103" s="1" t="n">
        <f aca="false">MAX($D103)</f>
        <v>1977029</v>
      </c>
      <c r="AZ103" s="1" t="n">
        <f aca="false">MAX($E103)</f>
        <v>0</v>
      </c>
      <c r="BA103" s="1" t="n">
        <f aca="false">MAX($F103)</f>
        <v>841</v>
      </c>
      <c r="BB103" s="1" t="n">
        <f aca="false">MAX($G103)</f>
        <v>0</v>
      </c>
      <c r="BC103" s="1" t="n">
        <f aca="false">MAX($H103)</f>
        <v>1</v>
      </c>
      <c r="BD103" s="1" t="n">
        <f aca="false">MAX($I103)</f>
        <v>13.357</v>
      </c>
      <c r="BE103" s="1" t="n">
        <f aca="false">MAX($J103)</f>
        <v>13.69</v>
      </c>
      <c r="BF103" s="1" t="n">
        <f aca="false">MAX($K103)</f>
        <v>0</v>
      </c>
      <c r="BG103" s="1" t="n">
        <f aca="false">MAX($M103)</f>
        <v>3151913</v>
      </c>
      <c r="BH103" s="1" t="n">
        <f aca="false">MAX($N103)</f>
        <v>0.19</v>
      </c>
      <c r="BI103" s="1" t="n">
        <f aca="false">MAX($P103)</f>
        <v>13.69</v>
      </c>
      <c r="BJ103" s="1" t="n">
        <f aca="false">MAX($Q103)</f>
        <v>0</v>
      </c>
      <c r="BK103" s="1" t="n">
        <f aca="false">MAX($R103)</f>
        <v>853352</v>
      </c>
    </row>
    <row r="104" customFormat="false" ht="15" hidden="false" customHeight="false" outlineLevel="0" collapsed="false">
      <c r="A104" s="1" t="s">
        <v>121</v>
      </c>
      <c r="B104" s="1" t="n">
        <f aca="false" t="array" ref="B104:B104">_xlfn.SWITCH($A$2,"average", AVERAGE(Instances!B104:B104),"median", MEDIAN(Instances!B104:B104),"min", MIN(Instances!B104:B104),"max", MAX(Instances!B104:B104),"diff", MAX(Instances!B104:B104)-MIN(Instances!B104:B104))</f>
        <v>23116</v>
      </c>
      <c r="C104" s="1" t="n">
        <f aca="false" t="array" ref="C104:C104">_xlfn.SWITCH($A$2,"average", AVERAGE(Instances!C104:C104),"median", MEDIAN(Instances!C104:C104),"min", MIN(Instances!C104:C104),"max", MAX(Instances!C104:C104),"diff", MAX(Instances!C104:C104)-MIN(Instances!C104:C104))</f>
        <v>254</v>
      </c>
      <c r="D104" s="1" t="n">
        <f aca="false" t="array" ref="D104:D104">_xlfn.SWITCH($A$2,"average", AVERAGE(Instances!D104:D104),"median", MEDIAN(Instances!D104:D104),"min", MIN(Instances!D104:D104),"max", MAX(Instances!D104:D104),"diff", MAX(Instances!D104:D104)-MIN(Instances!D104:D104))</f>
        <v>1976130</v>
      </c>
      <c r="E104" s="1" t="n">
        <f aca="false" t="array" ref="E104:E104">_xlfn.SWITCH($A$2,"average", AVERAGE(Instances!E104:E104),"median", MEDIAN(Instances!E104:E104),"min", MIN(Instances!E104:E104),"max", MAX(Instances!E104:E104),"diff", MAX(Instances!E104:E104)-MIN(Instances!E104:E104))</f>
        <v>0</v>
      </c>
      <c r="F104" s="1" t="n">
        <f aca="false" t="array" ref="F104:F104">_xlfn.SWITCH($A$2,"average", AVERAGE(Instances!F104:F104),"median", MEDIAN(Instances!F104:F104),"min", MIN(Instances!F104:F104),"max", MAX(Instances!F104:F104),"diff", MAX(Instances!F104:F104)-MIN(Instances!F104:F104))</f>
        <v>843</v>
      </c>
      <c r="G104" s="1" t="n">
        <f aca="false" t="array" ref="G104:G104">_xlfn.SWITCH($A$2,"average", AVERAGE(Instances!G104:G104),"median", MEDIAN(Instances!G104:G104),"min", MIN(Instances!G104:G104),"max", MAX(Instances!G104:G104),"diff", MAX(Instances!G104:G104)-MIN(Instances!G104:G104))</f>
        <v>0</v>
      </c>
      <c r="H104" s="1" t="n">
        <f aca="false" t="array" ref="H104:H104">_xlfn.SWITCH($A$2,"average", AVERAGE(Instances!H104:H104),"median", MEDIAN(Instances!H104:H104),"min", MIN(Instances!H104:H104),"max", MAX(Instances!H104:H104),"diff", MAX(Instances!H104:H104)-MIN(Instances!H104:H104))</f>
        <v>1</v>
      </c>
      <c r="I104" s="1" t="n">
        <f aca="false" t="array" ref="I104:I104">_xlfn.SWITCH($A$2,"average", AVERAGE(Instances!I104:I104),"median", MEDIAN(Instances!I104:I104),"min", MIN(Instances!I104:I104),"max", MAX(Instances!I104:I104),"diff", MAX(Instances!I104:I104)-MIN(Instances!I104:I104))</f>
        <v>14.133</v>
      </c>
      <c r="J104" s="1" t="n">
        <f aca="false" t="array" ref="J104:J104">_xlfn.SWITCH($A$2,"average", AVERAGE(Instances!J104:J104),"median", MEDIAN(Instances!J104:J104),"min", MIN(Instances!J104:J104),"max", MAX(Instances!J104:J104),"diff", MAX(Instances!J104:J104)-MIN(Instances!J104:J104))</f>
        <v>14.47</v>
      </c>
      <c r="K104" s="1" t="n">
        <f aca="false" t="array" ref="K104:K104">_xlfn.SWITCH($A$2,"average", AVERAGE(Instances!K104:K104),"median", MEDIAN(Instances!K104:K104),"min", MIN(Instances!K104:K104),"max", MAX(Instances!K104:K104),"diff", MAX(Instances!K104:K104)-MIN(Instances!K104:K104))</f>
        <v>2</v>
      </c>
      <c r="L104" s="1"/>
      <c r="M104" s="1" t="n">
        <f aca="false" t="array" ref="M104:M104">_xlfn.SWITCH($A$2,"average", AVERAGE(Instances!M104:M104),"median", MEDIAN(Instances!M104:M104),"min", MIN(Instances!M104:M104),"max", MAX(Instances!M104:M104),"diff", MAX(Instances!M104:M104)-MIN(Instances!M104:M104))</f>
        <v>3151913</v>
      </c>
      <c r="N104" s="1" t="n">
        <f aca="false" t="array" ref="N104:N104">_xlfn.SWITCH($A$2,"average", AVERAGE(Instances!N104:N104),"median", MEDIAN(Instances!N104:N104),"min", MIN(Instances!N104:N104),"max", MAX(Instances!N104:N104),"diff", MAX(Instances!N104:N104)-MIN(Instances!N104:N104))</f>
        <v>1.06</v>
      </c>
      <c r="O104" s="1"/>
      <c r="P104" s="1" t="n">
        <f aca="false" t="array" ref="P104:P104">_xlfn.SWITCH($A$2,"average", AVERAGE(Instances!P104:P104),"median", MEDIAN(Instances!P104:P104),"min", MIN(Instances!P104:P104),"max", MAX(Instances!P104:P104),"diff", MAX(Instances!P104:P104)-MIN(Instances!P104:P104))</f>
        <v>14.47</v>
      </c>
      <c r="Q104" s="1" t="n">
        <f aca="false" t="array" ref="Q104:Q104">_xlfn.SWITCH($A$2,"average", AVERAGE(Instances!Q104:Q104),"median", MEDIAN(Instances!Q104:Q104),"min", MIN(Instances!Q104:Q104),"max", MAX(Instances!Q104:Q104),"diff", MAX(Instances!Q104:Q104)-MIN(Instances!Q104:Q104))</f>
        <v>0</v>
      </c>
      <c r="R104" s="1" t="n">
        <f aca="false" t="array" ref="R104:R104">_xlfn.SWITCH($A$2,"average", AVERAGE(Instances!R104:R104),"median", MEDIAN(Instances!R104:R104),"min", MIN(Instances!R104:R104),"max", MAX(Instances!R104:R104),"diff", MAX(Instances!R104:R104)-MIN(Instances!R104:R104))</f>
        <v>853350</v>
      </c>
      <c r="S104" s="1" t="n">
        <f aca="false">MIN($B104)</f>
        <v>23116</v>
      </c>
      <c r="T104" s="1" t="n">
        <f aca="false">MIN($C104)</f>
        <v>254</v>
      </c>
      <c r="U104" s="1" t="n">
        <f aca="false">MIN($D104)</f>
        <v>1976130</v>
      </c>
      <c r="V104" s="1" t="n">
        <f aca="false">MIN($E104)</f>
        <v>0</v>
      </c>
      <c r="W104" s="1" t="n">
        <f aca="false">MIN($F104)</f>
        <v>843</v>
      </c>
      <c r="X104" s="1" t="n">
        <f aca="false">MIN($G104)</f>
        <v>0</v>
      </c>
      <c r="Y104" s="1" t="n">
        <f aca="false">MIN($H104)</f>
        <v>1</v>
      </c>
      <c r="Z104" s="1" t="n">
        <f aca="false">MIN($I104)</f>
        <v>14.133</v>
      </c>
      <c r="AA104" s="1" t="n">
        <f aca="false">MIN($J104)</f>
        <v>14.47</v>
      </c>
      <c r="AB104" s="1" t="n">
        <f aca="false">MIN($K104)</f>
        <v>2</v>
      </c>
      <c r="AC104" s="1" t="n">
        <f aca="false">MIN($M104)</f>
        <v>3151913</v>
      </c>
      <c r="AD104" s="1" t="n">
        <f aca="false">MIN($N104)</f>
        <v>1.06</v>
      </c>
      <c r="AE104" s="1" t="n">
        <f aca="false">MIN($P104)</f>
        <v>14.47</v>
      </c>
      <c r="AF104" s="1" t="n">
        <f aca="false">MIN($Q104)</f>
        <v>0</v>
      </c>
      <c r="AG104" s="1" t="n">
        <f aca="false">MIN($R104)</f>
        <v>853350</v>
      </c>
      <c r="AH104" s="1" t="n">
        <f aca="false">MEDIAN($B104)</f>
        <v>23116</v>
      </c>
      <c r="AI104" s="1" t="n">
        <f aca="false">MEDIAN($C104)</f>
        <v>254</v>
      </c>
      <c r="AJ104" s="1" t="n">
        <f aca="false">MEDIAN($D104)</f>
        <v>1976130</v>
      </c>
      <c r="AK104" s="1" t="n">
        <f aca="false">MEDIAN($E104)</f>
        <v>0</v>
      </c>
      <c r="AL104" s="1" t="n">
        <f aca="false">MEDIAN($F104)</f>
        <v>843</v>
      </c>
      <c r="AM104" s="1" t="n">
        <f aca="false">MEDIAN($G104)</f>
        <v>0</v>
      </c>
      <c r="AN104" s="1" t="n">
        <f aca="false">MEDIAN($H104)</f>
        <v>1</v>
      </c>
      <c r="AO104" s="1" t="n">
        <f aca="false">MEDIAN($I104)</f>
        <v>14.133</v>
      </c>
      <c r="AP104" s="1" t="n">
        <f aca="false">MEDIAN($J104)</f>
        <v>14.47</v>
      </c>
      <c r="AQ104" s="1" t="n">
        <f aca="false">MEDIAN($K104)</f>
        <v>2</v>
      </c>
      <c r="AR104" s="1" t="n">
        <f aca="false">MEDIAN($M104)</f>
        <v>3151913</v>
      </c>
      <c r="AS104" s="1" t="n">
        <f aca="false">MEDIAN($N104)</f>
        <v>1.06</v>
      </c>
      <c r="AT104" s="1" t="n">
        <f aca="false">MEDIAN($P104)</f>
        <v>14.47</v>
      </c>
      <c r="AU104" s="1" t="n">
        <f aca="false">MEDIAN($Q104)</f>
        <v>0</v>
      </c>
      <c r="AV104" s="1" t="n">
        <f aca="false">MEDIAN($R104)</f>
        <v>853350</v>
      </c>
      <c r="AW104" s="1" t="n">
        <f aca="false">MAX($B104)</f>
        <v>23116</v>
      </c>
      <c r="AX104" s="1" t="n">
        <f aca="false">MAX($C104)</f>
        <v>254</v>
      </c>
      <c r="AY104" s="1" t="n">
        <f aca="false">MAX($D104)</f>
        <v>1976130</v>
      </c>
      <c r="AZ104" s="1" t="n">
        <f aca="false">MAX($E104)</f>
        <v>0</v>
      </c>
      <c r="BA104" s="1" t="n">
        <f aca="false">MAX($F104)</f>
        <v>843</v>
      </c>
      <c r="BB104" s="1" t="n">
        <f aca="false">MAX($G104)</f>
        <v>0</v>
      </c>
      <c r="BC104" s="1" t="n">
        <f aca="false">MAX($H104)</f>
        <v>1</v>
      </c>
      <c r="BD104" s="1" t="n">
        <f aca="false">MAX($I104)</f>
        <v>14.133</v>
      </c>
      <c r="BE104" s="1" t="n">
        <f aca="false">MAX($J104)</f>
        <v>14.47</v>
      </c>
      <c r="BF104" s="1" t="n">
        <f aca="false">MAX($K104)</f>
        <v>2</v>
      </c>
      <c r="BG104" s="1" t="n">
        <f aca="false">MAX($M104)</f>
        <v>3151913</v>
      </c>
      <c r="BH104" s="1" t="n">
        <f aca="false">MAX($N104)</f>
        <v>1.06</v>
      </c>
      <c r="BI104" s="1" t="n">
        <f aca="false">MAX($P104)</f>
        <v>14.47</v>
      </c>
      <c r="BJ104" s="1" t="n">
        <f aca="false">MAX($Q104)</f>
        <v>0</v>
      </c>
      <c r="BK104" s="1" t="n">
        <f aca="false">MAX($R104)</f>
        <v>853350</v>
      </c>
    </row>
    <row r="105" customFormat="false" ht="15" hidden="false" customHeight="false" outlineLevel="0" collapsed="false">
      <c r="A105" s="1" t="s">
        <v>122</v>
      </c>
      <c r="B105" s="1" t="n">
        <f aca="false" t="array" ref="B105:B105">_xlfn.SWITCH($A$2,"average", AVERAGE(Instances!B105:B105),"median", MEDIAN(Instances!B105:B105),"min", MIN(Instances!B105:B105),"max", MAX(Instances!B105:B105),"diff", MAX(Instances!B105:B105)-MIN(Instances!B105:B105))</f>
        <v>103046</v>
      </c>
      <c r="C105" s="1" t="n">
        <f aca="false" t="array" ref="C105:C105">_xlfn.SWITCH($A$2,"average", AVERAGE(Instances!C105:C105),"median", MEDIAN(Instances!C105:C105),"min", MIN(Instances!C105:C105),"max", MAX(Instances!C105:C105),"diff", MAX(Instances!C105:C105)-MIN(Instances!C105:C105))</f>
        <v>1606</v>
      </c>
      <c r="D105" s="1" t="n">
        <f aca="false" t="array" ref="D105:D105">_xlfn.SWITCH($A$2,"average", AVERAGE(Instances!D105:D105),"median", MEDIAN(Instances!D105:D105),"min", MIN(Instances!D105:D105),"max", MAX(Instances!D105:D105),"diff", MAX(Instances!D105:D105)-MIN(Instances!D105:D105))</f>
        <v>2034625</v>
      </c>
      <c r="E105" s="1" t="n">
        <f aca="false" t="array" ref="E105:E105">_xlfn.SWITCH($A$2,"average", AVERAGE(Instances!E105:E105),"median", MEDIAN(Instances!E105:E105),"min", MIN(Instances!E105:E105),"max", MAX(Instances!E105:E105),"diff", MAX(Instances!E105:E105)-MIN(Instances!E105:E105))</f>
        <v>0</v>
      </c>
      <c r="F105" s="1" t="n">
        <f aca="false" t="array" ref="F105:F105">_xlfn.SWITCH($A$2,"average", AVERAGE(Instances!F105:F105),"median", MEDIAN(Instances!F105:F105),"min", MIN(Instances!F105:F105),"max", MAX(Instances!F105:F105),"diff", MAX(Instances!F105:F105)-MIN(Instances!F105:F105))</f>
        <v>850</v>
      </c>
      <c r="G105" s="1" t="n">
        <f aca="false" t="array" ref="G105:G105">_xlfn.SWITCH($A$2,"average", AVERAGE(Instances!G105:G105),"median", MEDIAN(Instances!G105:G105),"min", MIN(Instances!G105:G105),"max", MAX(Instances!G105:G105),"diff", MAX(Instances!G105:G105)-MIN(Instances!G105:G105))</f>
        <v>0</v>
      </c>
      <c r="H105" s="1" t="n">
        <f aca="false" t="array" ref="H105:H105">_xlfn.SWITCH($A$2,"average", AVERAGE(Instances!H105:H105),"median", MEDIAN(Instances!H105:H105),"min", MIN(Instances!H105:H105),"max", MAX(Instances!H105:H105),"diff", MAX(Instances!H105:H105)-MIN(Instances!H105:H105))</f>
        <v>1</v>
      </c>
      <c r="I105" s="1" t="n">
        <f aca="false" t="array" ref="I105:I105">_xlfn.SWITCH($A$2,"average", AVERAGE(Instances!I105:I105),"median", MEDIAN(Instances!I105:I105),"min", MIN(Instances!I105:I105),"max", MAX(Instances!I105:I105),"diff", MAX(Instances!I105:I105)-MIN(Instances!I105:I105))</f>
        <v>19.787</v>
      </c>
      <c r="J105" s="1" t="n">
        <f aca="false" t="array" ref="J105:J105">_xlfn.SWITCH($A$2,"average", AVERAGE(Instances!J105:J105),"median", MEDIAN(Instances!J105:J105),"min", MIN(Instances!J105:J105),"max", MAX(Instances!J105:J105),"diff", MAX(Instances!J105:J105)-MIN(Instances!J105:J105))</f>
        <v>20.07</v>
      </c>
      <c r="K105" s="1" t="n">
        <f aca="false" t="array" ref="K105:K105">_xlfn.SWITCH($A$2,"average", AVERAGE(Instances!K105:K105),"median", MEDIAN(Instances!K105:K105),"min", MIN(Instances!K105:K105),"max", MAX(Instances!K105:K105),"diff", MAX(Instances!K105:K105)-MIN(Instances!K105:K105))</f>
        <v>10</v>
      </c>
      <c r="L105" s="1"/>
      <c r="M105" s="1" t="n">
        <f aca="false" t="array" ref="M105:M105">_xlfn.SWITCH($A$2,"average", AVERAGE(Instances!M105:M105),"median", MEDIAN(Instances!M105:M105),"min", MIN(Instances!M105:M105),"max", MAX(Instances!M105:M105),"diff", MAX(Instances!M105:M105)-MIN(Instances!M105:M105))</f>
        <v>3183985</v>
      </c>
      <c r="N105" s="1" t="n">
        <f aca="false" t="array" ref="N105:N105">_xlfn.SWITCH($A$2,"average", AVERAGE(Instances!N105:N105),"median", MEDIAN(Instances!N105:N105),"min", MIN(Instances!N105:N105),"max", MAX(Instances!N105:N105),"diff", MAX(Instances!N105:N105)-MIN(Instances!N105:N105))</f>
        <v>6.42</v>
      </c>
      <c r="O105" s="1"/>
      <c r="P105" s="1" t="n">
        <f aca="false" t="array" ref="P105:P105">_xlfn.SWITCH($A$2,"average", AVERAGE(Instances!P105:P105),"median", MEDIAN(Instances!P105:P105),"min", MIN(Instances!P105:P105),"max", MAX(Instances!P105:P105),"diff", MAX(Instances!P105:P105)-MIN(Instances!P105:P105))</f>
        <v>20.07</v>
      </c>
      <c r="Q105" s="1" t="n">
        <f aca="false" t="array" ref="Q105:Q105">_xlfn.SWITCH($A$2,"average", AVERAGE(Instances!Q105:Q105),"median", MEDIAN(Instances!Q105:Q105),"min", MIN(Instances!Q105:Q105),"max", MAX(Instances!Q105:Q105),"diff", MAX(Instances!Q105:Q105)-MIN(Instances!Q105:Q105))</f>
        <v>0</v>
      </c>
      <c r="R105" s="1" t="n">
        <f aca="false" t="array" ref="R105:R105">_xlfn.SWITCH($A$2,"average", AVERAGE(Instances!R105:R105),"median", MEDIAN(Instances!R105:R105),"min", MIN(Instances!R105:R105),"max", MAX(Instances!R105:R105),"diff", MAX(Instances!R105:R105)-MIN(Instances!R105:R105))</f>
        <v>861340</v>
      </c>
      <c r="S105" s="1" t="n">
        <f aca="false">MIN($B105)</f>
        <v>103046</v>
      </c>
      <c r="T105" s="1" t="n">
        <f aca="false">MIN($C105)</f>
        <v>1606</v>
      </c>
      <c r="U105" s="1" t="n">
        <f aca="false">MIN($D105)</f>
        <v>2034625</v>
      </c>
      <c r="V105" s="1" t="n">
        <f aca="false">MIN($E105)</f>
        <v>0</v>
      </c>
      <c r="W105" s="1" t="n">
        <f aca="false">MIN($F105)</f>
        <v>850</v>
      </c>
      <c r="X105" s="1" t="n">
        <f aca="false">MIN($G105)</f>
        <v>0</v>
      </c>
      <c r="Y105" s="1" t="n">
        <f aca="false">MIN($H105)</f>
        <v>1</v>
      </c>
      <c r="Z105" s="1" t="n">
        <f aca="false">MIN($I105)</f>
        <v>19.787</v>
      </c>
      <c r="AA105" s="1" t="n">
        <f aca="false">MIN($J105)</f>
        <v>20.07</v>
      </c>
      <c r="AB105" s="1" t="n">
        <f aca="false">MIN($K105)</f>
        <v>10</v>
      </c>
      <c r="AC105" s="1" t="n">
        <f aca="false">MIN($M105)</f>
        <v>3183985</v>
      </c>
      <c r="AD105" s="1" t="n">
        <f aca="false">MIN($N105)</f>
        <v>6.42</v>
      </c>
      <c r="AE105" s="1" t="n">
        <f aca="false">MIN($P105)</f>
        <v>20.07</v>
      </c>
      <c r="AF105" s="1" t="n">
        <f aca="false">MIN($Q105)</f>
        <v>0</v>
      </c>
      <c r="AG105" s="1" t="n">
        <f aca="false">MIN($R105)</f>
        <v>861340</v>
      </c>
      <c r="AH105" s="1" t="n">
        <f aca="false">MEDIAN($B105)</f>
        <v>103046</v>
      </c>
      <c r="AI105" s="1" t="n">
        <f aca="false">MEDIAN($C105)</f>
        <v>1606</v>
      </c>
      <c r="AJ105" s="1" t="n">
        <f aca="false">MEDIAN($D105)</f>
        <v>2034625</v>
      </c>
      <c r="AK105" s="1" t="n">
        <f aca="false">MEDIAN($E105)</f>
        <v>0</v>
      </c>
      <c r="AL105" s="1" t="n">
        <f aca="false">MEDIAN($F105)</f>
        <v>850</v>
      </c>
      <c r="AM105" s="1" t="n">
        <f aca="false">MEDIAN($G105)</f>
        <v>0</v>
      </c>
      <c r="AN105" s="1" t="n">
        <f aca="false">MEDIAN($H105)</f>
        <v>1</v>
      </c>
      <c r="AO105" s="1" t="n">
        <f aca="false">MEDIAN($I105)</f>
        <v>19.787</v>
      </c>
      <c r="AP105" s="1" t="n">
        <f aca="false">MEDIAN($J105)</f>
        <v>20.07</v>
      </c>
      <c r="AQ105" s="1" t="n">
        <f aca="false">MEDIAN($K105)</f>
        <v>10</v>
      </c>
      <c r="AR105" s="1" t="n">
        <f aca="false">MEDIAN($M105)</f>
        <v>3183985</v>
      </c>
      <c r="AS105" s="1" t="n">
        <f aca="false">MEDIAN($N105)</f>
        <v>6.42</v>
      </c>
      <c r="AT105" s="1" t="n">
        <f aca="false">MEDIAN($P105)</f>
        <v>20.07</v>
      </c>
      <c r="AU105" s="1" t="n">
        <f aca="false">MEDIAN($Q105)</f>
        <v>0</v>
      </c>
      <c r="AV105" s="1" t="n">
        <f aca="false">MEDIAN($R105)</f>
        <v>861340</v>
      </c>
      <c r="AW105" s="1" t="n">
        <f aca="false">MAX($B105)</f>
        <v>103046</v>
      </c>
      <c r="AX105" s="1" t="n">
        <f aca="false">MAX($C105)</f>
        <v>1606</v>
      </c>
      <c r="AY105" s="1" t="n">
        <f aca="false">MAX($D105)</f>
        <v>2034625</v>
      </c>
      <c r="AZ105" s="1" t="n">
        <f aca="false">MAX($E105)</f>
        <v>0</v>
      </c>
      <c r="BA105" s="1" t="n">
        <f aca="false">MAX($F105)</f>
        <v>850</v>
      </c>
      <c r="BB105" s="1" t="n">
        <f aca="false">MAX($G105)</f>
        <v>0</v>
      </c>
      <c r="BC105" s="1" t="n">
        <f aca="false">MAX($H105)</f>
        <v>1</v>
      </c>
      <c r="BD105" s="1" t="n">
        <f aca="false">MAX($I105)</f>
        <v>19.787</v>
      </c>
      <c r="BE105" s="1" t="n">
        <f aca="false">MAX($J105)</f>
        <v>20.07</v>
      </c>
      <c r="BF105" s="1" t="n">
        <f aca="false">MAX($K105)</f>
        <v>10</v>
      </c>
      <c r="BG105" s="1" t="n">
        <f aca="false">MAX($M105)</f>
        <v>3183985</v>
      </c>
      <c r="BH105" s="1" t="n">
        <f aca="false">MAX($N105)</f>
        <v>6.42</v>
      </c>
      <c r="BI105" s="1" t="n">
        <f aca="false">MAX($P105)</f>
        <v>20.07</v>
      </c>
      <c r="BJ105" s="1" t="n">
        <f aca="false">MAX($Q105)</f>
        <v>0</v>
      </c>
      <c r="BK105" s="1" t="n">
        <f aca="false">MAX($R105)</f>
        <v>861340</v>
      </c>
    </row>
    <row r="106" customFormat="false" ht="15" hidden="false" customHeight="false" outlineLevel="0" collapsed="false">
      <c r="A106" s="1" t="s">
        <v>123</v>
      </c>
      <c r="B106" s="1" t="n">
        <f aca="false" t="array" ref="B106:B106">_xlfn.SWITCH($A$2,"average", AVERAGE(Instances!B106:B106),"median", MEDIAN(Instances!B106:B106),"min", MIN(Instances!B106:B106),"max", MAX(Instances!B106:B106),"diff", MAX(Instances!B106:B106)-MIN(Instances!B106:B106))</f>
        <v>3708</v>
      </c>
      <c r="C106" s="1" t="n">
        <f aca="false" t="array" ref="C106:C106">_xlfn.SWITCH($A$2,"average", AVERAGE(Instances!C106:C106),"median", MEDIAN(Instances!C106:C106),"min", MIN(Instances!C106:C106),"max", MAX(Instances!C106:C106),"diff", MAX(Instances!C106:C106)-MIN(Instances!C106:C106))</f>
        <v>2</v>
      </c>
      <c r="D106" s="1" t="n">
        <f aca="false" t="array" ref="D106:D106">_xlfn.SWITCH($A$2,"average", AVERAGE(Instances!D106:D106),"median", MEDIAN(Instances!D106:D106),"min", MIN(Instances!D106:D106),"max", MAX(Instances!D106:D106),"diff", MAX(Instances!D106:D106)-MIN(Instances!D106:D106))</f>
        <v>2007019</v>
      </c>
      <c r="E106" s="1" t="n">
        <f aca="false" t="array" ref="E106:E106">_xlfn.SWITCH($A$2,"average", AVERAGE(Instances!E106:E106),"median", MEDIAN(Instances!E106:E106),"min", MIN(Instances!E106:E106),"max", MAX(Instances!E106:E106),"diff", MAX(Instances!E106:E106)-MIN(Instances!E106:E106))</f>
        <v>0</v>
      </c>
      <c r="F106" s="1" t="n">
        <f aca="false" t="array" ref="F106:F106">_xlfn.SWITCH($A$2,"average", AVERAGE(Instances!F106:F106),"median", MEDIAN(Instances!F106:F106),"min", MIN(Instances!F106:F106),"max", MAX(Instances!F106:F106),"diff", MAX(Instances!F106:F106)-MIN(Instances!F106:F106))</f>
        <v>849</v>
      </c>
      <c r="G106" s="1" t="n">
        <f aca="false" t="array" ref="G106:G106">_xlfn.SWITCH($A$2,"average", AVERAGE(Instances!G106:G106),"median", MEDIAN(Instances!G106:G106),"min", MIN(Instances!G106:G106),"max", MAX(Instances!G106:G106),"diff", MAX(Instances!G106:G106)-MIN(Instances!G106:G106))</f>
        <v>0</v>
      </c>
      <c r="H106" s="1" t="n">
        <f aca="false" t="array" ref="H106:H106">_xlfn.SWITCH($A$2,"average", AVERAGE(Instances!H106:H106),"median", MEDIAN(Instances!H106:H106),"min", MIN(Instances!H106:H106),"max", MAX(Instances!H106:H106),"diff", MAX(Instances!H106:H106)-MIN(Instances!H106:H106))</f>
        <v>1</v>
      </c>
      <c r="I106" s="1" t="n">
        <f aca="false" t="array" ref="I106:I106">_xlfn.SWITCH($A$2,"average", AVERAGE(Instances!I106:I106),"median", MEDIAN(Instances!I106:I106),"min", MIN(Instances!I106:I106),"max", MAX(Instances!I106:I106),"diff", MAX(Instances!I106:I106)-MIN(Instances!I106:I106))</f>
        <v>13.083</v>
      </c>
      <c r="J106" s="1" t="n">
        <f aca="false" t="array" ref="J106:J106">_xlfn.SWITCH($A$2,"average", AVERAGE(Instances!J106:J106),"median", MEDIAN(Instances!J106:J106),"min", MIN(Instances!J106:J106),"max", MAX(Instances!J106:J106),"diff", MAX(Instances!J106:J106)-MIN(Instances!J106:J106))</f>
        <v>13.39</v>
      </c>
      <c r="K106" s="1" t="n">
        <f aca="false" t="array" ref="K106:K106">_xlfn.SWITCH($A$2,"average", AVERAGE(Instances!K106:K106),"median", MEDIAN(Instances!K106:K106),"min", MIN(Instances!K106:K106),"max", MAX(Instances!K106:K106),"diff", MAX(Instances!K106:K106)-MIN(Instances!K106:K106))</f>
        <v>0</v>
      </c>
      <c r="L106" s="1"/>
      <c r="M106" s="1" t="n">
        <f aca="false" t="array" ref="M106:M106">_xlfn.SWITCH($A$2,"average", AVERAGE(Instances!M106:M106),"median", MEDIAN(Instances!M106:M106),"min", MIN(Instances!M106:M106),"max", MAX(Instances!M106:M106),"diff", MAX(Instances!M106:M106)-MIN(Instances!M106:M106))</f>
        <v>3184053</v>
      </c>
      <c r="N106" s="1" t="n">
        <f aca="false" t="array" ref="N106:N106">_xlfn.SWITCH($A$2,"average", AVERAGE(Instances!N106:N106),"median", MEDIAN(Instances!N106:N106),"min", MIN(Instances!N106:N106),"max", MAX(Instances!N106:N106),"diff", MAX(Instances!N106:N106)-MIN(Instances!N106:N106))</f>
        <v>0.15</v>
      </c>
      <c r="O106" s="1"/>
      <c r="P106" s="1" t="n">
        <f aca="false" t="array" ref="P106:P106">_xlfn.SWITCH($A$2,"average", AVERAGE(Instances!P106:P106),"median", MEDIAN(Instances!P106:P106),"min", MIN(Instances!P106:P106),"max", MAX(Instances!P106:P106),"diff", MAX(Instances!P106:P106)-MIN(Instances!P106:P106))</f>
        <v>13.39</v>
      </c>
      <c r="Q106" s="1" t="n">
        <f aca="false" t="array" ref="Q106:Q106">_xlfn.SWITCH($A$2,"average", AVERAGE(Instances!Q106:Q106),"median", MEDIAN(Instances!Q106:Q106),"min", MIN(Instances!Q106:Q106),"max", MAX(Instances!Q106:Q106),"diff", MAX(Instances!Q106:Q106)-MIN(Instances!Q106:Q106))</f>
        <v>0</v>
      </c>
      <c r="R106" s="1" t="n">
        <f aca="false" t="array" ref="R106:R106">_xlfn.SWITCH($A$2,"average", AVERAGE(Instances!R106:R106),"median", MEDIAN(Instances!R106:R106),"min", MIN(Instances!R106:R106),"max", MAX(Instances!R106:R106),"diff", MAX(Instances!R106:R106)-MIN(Instances!R106:R106))</f>
        <v>863457</v>
      </c>
      <c r="S106" s="1" t="n">
        <f aca="false">MIN($B106)</f>
        <v>3708</v>
      </c>
      <c r="T106" s="1" t="n">
        <f aca="false">MIN($C106)</f>
        <v>2</v>
      </c>
      <c r="U106" s="1" t="n">
        <f aca="false">MIN($D106)</f>
        <v>2007019</v>
      </c>
      <c r="V106" s="1" t="n">
        <f aca="false">MIN($E106)</f>
        <v>0</v>
      </c>
      <c r="W106" s="1" t="n">
        <f aca="false">MIN($F106)</f>
        <v>849</v>
      </c>
      <c r="X106" s="1" t="n">
        <f aca="false">MIN($G106)</f>
        <v>0</v>
      </c>
      <c r="Y106" s="1" t="n">
        <f aca="false">MIN($H106)</f>
        <v>1</v>
      </c>
      <c r="Z106" s="1" t="n">
        <f aca="false">MIN($I106)</f>
        <v>13.083</v>
      </c>
      <c r="AA106" s="1" t="n">
        <f aca="false">MIN($J106)</f>
        <v>13.39</v>
      </c>
      <c r="AB106" s="1" t="n">
        <f aca="false">MIN($K106)</f>
        <v>0</v>
      </c>
      <c r="AC106" s="1" t="n">
        <f aca="false">MIN($M106)</f>
        <v>3184053</v>
      </c>
      <c r="AD106" s="1" t="n">
        <f aca="false">MIN($N106)</f>
        <v>0.15</v>
      </c>
      <c r="AE106" s="1" t="n">
        <f aca="false">MIN($P106)</f>
        <v>13.39</v>
      </c>
      <c r="AF106" s="1" t="n">
        <f aca="false">MIN($Q106)</f>
        <v>0</v>
      </c>
      <c r="AG106" s="1" t="n">
        <f aca="false">MIN($R106)</f>
        <v>863457</v>
      </c>
      <c r="AH106" s="1" t="n">
        <f aca="false">MEDIAN($B106)</f>
        <v>3708</v>
      </c>
      <c r="AI106" s="1" t="n">
        <f aca="false">MEDIAN($C106)</f>
        <v>2</v>
      </c>
      <c r="AJ106" s="1" t="n">
        <f aca="false">MEDIAN($D106)</f>
        <v>2007019</v>
      </c>
      <c r="AK106" s="1" t="n">
        <f aca="false">MEDIAN($E106)</f>
        <v>0</v>
      </c>
      <c r="AL106" s="1" t="n">
        <f aca="false">MEDIAN($F106)</f>
        <v>849</v>
      </c>
      <c r="AM106" s="1" t="n">
        <f aca="false">MEDIAN($G106)</f>
        <v>0</v>
      </c>
      <c r="AN106" s="1" t="n">
        <f aca="false">MEDIAN($H106)</f>
        <v>1</v>
      </c>
      <c r="AO106" s="1" t="n">
        <f aca="false">MEDIAN($I106)</f>
        <v>13.083</v>
      </c>
      <c r="AP106" s="1" t="n">
        <f aca="false">MEDIAN($J106)</f>
        <v>13.39</v>
      </c>
      <c r="AQ106" s="1" t="n">
        <f aca="false">MEDIAN($K106)</f>
        <v>0</v>
      </c>
      <c r="AR106" s="1" t="n">
        <f aca="false">MEDIAN($M106)</f>
        <v>3184053</v>
      </c>
      <c r="AS106" s="1" t="n">
        <f aca="false">MEDIAN($N106)</f>
        <v>0.15</v>
      </c>
      <c r="AT106" s="1" t="n">
        <f aca="false">MEDIAN($P106)</f>
        <v>13.39</v>
      </c>
      <c r="AU106" s="1" t="n">
        <f aca="false">MEDIAN($Q106)</f>
        <v>0</v>
      </c>
      <c r="AV106" s="1" t="n">
        <f aca="false">MEDIAN($R106)</f>
        <v>863457</v>
      </c>
      <c r="AW106" s="1" t="n">
        <f aca="false">MAX($B106)</f>
        <v>3708</v>
      </c>
      <c r="AX106" s="1" t="n">
        <f aca="false">MAX($C106)</f>
        <v>2</v>
      </c>
      <c r="AY106" s="1" t="n">
        <f aca="false">MAX($D106)</f>
        <v>2007019</v>
      </c>
      <c r="AZ106" s="1" t="n">
        <f aca="false">MAX($E106)</f>
        <v>0</v>
      </c>
      <c r="BA106" s="1" t="n">
        <f aca="false">MAX($F106)</f>
        <v>849</v>
      </c>
      <c r="BB106" s="1" t="n">
        <f aca="false">MAX($G106)</f>
        <v>0</v>
      </c>
      <c r="BC106" s="1" t="n">
        <f aca="false">MAX($H106)</f>
        <v>1</v>
      </c>
      <c r="BD106" s="1" t="n">
        <f aca="false">MAX($I106)</f>
        <v>13.083</v>
      </c>
      <c r="BE106" s="1" t="n">
        <f aca="false">MAX($J106)</f>
        <v>13.39</v>
      </c>
      <c r="BF106" s="1" t="n">
        <f aca="false">MAX($K106)</f>
        <v>0</v>
      </c>
      <c r="BG106" s="1" t="n">
        <f aca="false">MAX($M106)</f>
        <v>3184053</v>
      </c>
      <c r="BH106" s="1" t="n">
        <f aca="false">MAX($N106)</f>
        <v>0.15</v>
      </c>
      <c r="BI106" s="1" t="n">
        <f aca="false">MAX($P106)</f>
        <v>13.39</v>
      </c>
      <c r="BJ106" s="1" t="n">
        <f aca="false">MAX($Q106)</f>
        <v>0</v>
      </c>
      <c r="BK106" s="1" t="n">
        <f aca="false">MAX($R106)</f>
        <v>863457</v>
      </c>
    </row>
    <row r="107" customFormat="false" ht="15" hidden="false" customHeight="false" outlineLevel="0" collapsed="false">
      <c r="A107" s="1" t="s">
        <v>124</v>
      </c>
      <c r="B107" s="1" t="n">
        <f aca="false" t="array" ref="B107:B107">_xlfn.SWITCH($A$2,"average", AVERAGE(Instances!B107:B107),"median", MEDIAN(Instances!B107:B107),"min", MIN(Instances!B107:B107),"max", MAX(Instances!B107:B107),"diff", MAX(Instances!B107:B107)-MIN(Instances!B107:B107))</f>
        <v>93010</v>
      </c>
      <c r="C107" s="1" t="n">
        <f aca="false" t="array" ref="C107:C107">_xlfn.SWITCH($A$2,"average", AVERAGE(Instances!C107:C107),"median", MEDIAN(Instances!C107:C107),"min", MIN(Instances!C107:C107),"max", MAX(Instances!C107:C107),"diff", MAX(Instances!C107:C107)-MIN(Instances!C107:C107))</f>
        <v>825</v>
      </c>
      <c r="D107" s="1" t="n">
        <f aca="false" t="array" ref="D107:D107">_xlfn.SWITCH($A$2,"average", AVERAGE(Instances!D107:D107),"median", MEDIAN(Instances!D107:D107),"min", MIN(Instances!D107:D107),"max", MAX(Instances!D107:D107),"diff", MAX(Instances!D107:D107)-MIN(Instances!D107:D107))</f>
        <v>2045826</v>
      </c>
      <c r="E107" s="1" t="n">
        <f aca="false" t="array" ref="E107:E107">_xlfn.SWITCH($A$2,"average", AVERAGE(Instances!E107:E107),"median", MEDIAN(Instances!E107:E107),"min", MIN(Instances!E107:E107),"max", MAX(Instances!E107:E107),"diff", MAX(Instances!E107:E107)-MIN(Instances!E107:E107))</f>
        <v>0</v>
      </c>
      <c r="F107" s="1" t="n">
        <f aca="false" t="array" ref="F107:F107">_xlfn.SWITCH($A$2,"average", AVERAGE(Instances!F107:F107),"median", MEDIAN(Instances!F107:F107),"min", MIN(Instances!F107:F107),"max", MAX(Instances!F107:F107),"diff", MAX(Instances!F107:F107)-MIN(Instances!F107:F107))</f>
        <v>850</v>
      </c>
      <c r="G107" s="1" t="n">
        <f aca="false" t="array" ref="G107:G107">_xlfn.SWITCH($A$2,"average", AVERAGE(Instances!G107:G107),"median", MEDIAN(Instances!G107:G107),"min", MIN(Instances!G107:G107),"max", MAX(Instances!G107:G107),"diff", MAX(Instances!G107:G107)-MIN(Instances!G107:G107))</f>
        <v>0</v>
      </c>
      <c r="H107" s="1" t="n">
        <f aca="false" t="array" ref="H107:H107">_xlfn.SWITCH($A$2,"average", AVERAGE(Instances!H107:H107),"median", MEDIAN(Instances!H107:H107),"min", MIN(Instances!H107:H107),"max", MAX(Instances!H107:H107),"diff", MAX(Instances!H107:H107)-MIN(Instances!H107:H107))</f>
        <v>1</v>
      </c>
      <c r="I107" s="1" t="n">
        <f aca="false" t="array" ref="I107:I107">_xlfn.SWITCH($A$2,"average", AVERAGE(Instances!I107:I107),"median", MEDIAN(Instances!I107:I107),"min", MIN(Instances!I107:I107),"max", MAX(Instances!I107:I107),"diff", MAX(Instances!I107:I107)-MIN(Instances!I107:I107))</f>
        <v>16.713</v>
      </c>
      <c r="J107" s="1" t="n">
        <f aca="false" t="array" ref="J107:J107">_xlfn.SWITCH($A$2,"average", AVERAGE(Instances!J107:J107),"median", MEDIAN(Instances!J107:J107),"min", MIN(Instances!J107:J107),"max", MAX(Instances!J107:J107),"diff", MAX(Instances!J107:J107)-MIN(Instances!J107:J107))</f>
        <v>17.05</v>
      </c>
      <c r="K107" s="1" t="n">
        <f aca="false" t="array" ref="K107:K107">_xlfn.SWITCH($A$2,"average", AVERAGE(Instances!K107:K107),"median", MEDIAN(Instances!K107:K107),"min", MIN(Instances!K107:K107),"max", MAX(Instances!K107:K107),"diff", MAX(Instances!K107:K107)-MIN(Instances!K107:K107))</f>
        <v>6</v>
      </c>
      <c r="L107" s="1"/>
      <c r="M107" s="1" t="n">
        <f aca="false" t="array" ref="M107:M107">_xlfn.SWITCH($A$2,"average", AVERAGE(Instances!M107:M107),"median", MEDIAN(Instances!M107:M107),"min", MIN(Instances!M107:M107),"max", MAX(Instances!M107:M107),"diff", MAX(Instances!M107:M107)-MIN(Instances!M107:M107))</f>
        <v>3187909</v>
      </c>
      <c r="N107" s="1" t="n">
        <f aca="false" t="array" ref="N107:N107">_xlfn.SWITCH($A$2,"average", AVERAGE(Instances!N107:N107),"median", MEDIAN(Instances!N107:N107),"min", MIN(Instances!N107:N107),"max", MAX(Instances!N107:N107),"diff", MAX(Instances!N107:N107)-MIN(Instances!N107:N107))</f>
        <v>3.36</v>
      </c>
      <c r="O107" s="1"/>
      <c r="P107" s="1" t="n">
        <f aca="false" t="array" ref="P107:P107">_xlfn.SWITCH($A$2,"average", AVERAGE(Instances!P107:P107),"median", MEDIAN(Instances!P107:P107),"min", MIN(Instances!P107:P107),"max", MAX(Instances!P107:P107),"diff", MAX(Instances!P107:P107)-MIN(Instances!P107:P107))</f>
        <v>17.05</v>
      </c>
      <c r="Q107" s="1" t="n">
        <f aca="false" t="array" ref="Q107:Q107">_xlfn.SWITCH($A$2,"average", AVERAGE(Instances!Q107:Q107),"median", MEDIAN(Instances!Q107:Q107),"min", MIN(Instances!Q107:Q107),"max", MAX(Instances!Q107:Q107),"diff", MAX(Instances!Q107:Q107)-MIN(Instances!Q107:Q107))</f>
        <v>0</v>
      </c>
      <c r="R107" s="1" t="n">
        <f aca="false" t="array" ref="R107:R107">_xlfn.SWITCH($A$2,"average", AVERAGE(Instances!R107:R107),"median", MEDIAN(Instances!R107:R107),"min", MIN(Instances!R107:R107),"max", MAX(Instances!R107:R107),"diff", MAX(Instances!R107:R107)-MIN(Instances!R107:R107))</f>
        <v>864194</v>
      </c>
      <c r="S107" s="1" t="n">
        <f aca="false">MIN($B107)</f>
        <v>93010</v>
      </c>
      <c r="T107" s="1" t="n">
        <f aca="false">MIN($C107)</f>
        <v>825</v>
      </c>
      <c r="U107" s="1" t="n">
        <f aca="false">MIN($D107)</f>
        <v>2045826</v>
      </c>
      <c r="V107" s="1" t="n">
        <f aca="false">MIN($E107)</f>
        <v>0</v>
      </c>
      <c r="W107" s="1" t="n">
        <f aca="false">MIN($F107)</f>
        <v>850</v>
      </c>
      <c r="X107" s="1" t="n">
        <f aca="false">MIN($G107)</f>
        <v>0</v>
      </c>
      <c r="Y107" s="1" t="n">
        <f aca="false">MIN($H107)</f>
        <v>1</v>
      </c>
      <c r="Z107" s="1" t="n">
        <f aca="false">MIN($I107)</f>
        <v>16.713</v>
      </c>
      <c r="AA107" s="1" t="n">
        <f aca="false">MIN($J107)</f>
        <v>17.05</v>
      </c>
      <c r="AB107" s="1" t="n">
        <f aca="false">MIN($K107)</f>
        <v>6</v>
      </c>
      <c r="AC107" s="1" t="n">
        <f aca="false">MIN($M107)</f>
        <v>3187909</v>
      </c>
      <c r="AD107" s="1" t="n">
        <f aca="false">MIN($N107)</f>
        <v>3.36</v>
      </c>
      <c r="AE107" s="1" t="n">
        <f aca="false">MIN($P107)</f>
        <v>17.05</v>
      </c>
      <c r="AF107" s="1" t="n">
        <f aca="false">MIN($Q107)</f>
        <v>0</v>
      </c>
      <c r="AG107" s="1" t="n">
        <f aca="false">MIN($R107)</f>
        <v>864194</v>
      </c>
      <c r="AH107" s="1" t="n">
        <f aca="false">MEDIAN($B107)</f>
        <v>93010</v>
      </c>
      <c r="AI107" s="1" t="n">
        <f aca="false">MEDIAN($C107)</f>
        <v>825</v>
      </c>
      <c r="AJ107" s="1" t="n">
        <f aca="false">MEDIAN($D107)</f>
        <v>2045826</v>
      </c>
      <c r="AK107" s="1" t="n">
        <f aca="false">MEDIAN($E107)</f>
        <v>0</v>
      </c>
      <c r="AL107" s="1" t="n">
        <f aca="false">MEDIAN($F107)</f>
        <v>850</v>
      </c>
      <c r="AM107" s="1" t="n">
        <f aca="false">MEDIAN($G107)</f>
        <v>0</v>
      </c>
      <c r="AN107" s="1" t="n">
        <f aca="false">MEDIAN($H107)</f>
        <v>1</v>
      </c>
      <c r="AO107" s="1" t="n">
        <f aca="false">MEDIAN($I107)</f>
        <v>16.713</v>
      </c>
      <c r="AP107" s="1" t="n">
        <f aca="false">MEDIAN($J107)</f>
        <v>17.05</v>
      </c>
      <c r="AQ107" s="1" t="n">
        <f aca="false">MEDIAN($K107)</f>
        <v>6</v>
      </c>
      <c r="AR107" s="1" t="n">
        <f aca="false">MEDIAN($M107)</f>
        <v>3187909</v>
      </c>
      <c r="AS107" s="1" t="n">
        <f aca="false">MEDIAN($N107)</f>
        <v>3.36</v>
      </c>
      <c r="AT107" s="1" t="n">
        <f aca="false">MEDIAN($P107)</f>
        <v>17.05</v>
      </c>
      <c r="AU107" s="1" t="n">
        <f aca="false">MEDIAN($Q107)</f>
        <v>0</v>
      </c>
      <c r="AV107" s="1" t="n">
        <f aca="false">MEDIAN($R107)</f>
        <v>864194</v>
      </c>
      <c r="AW107" s="1" t="n">
        <f aca="false">MAX($B107)</f>
        <v>93010</v>
      </c>
      <c r="AX107" s="1" t="n">
        <f aca="false">MAX($C107)</f>
        <v>825</v>
      </c>
      <c r="AY107" s="1" t="n">
        <f aca="false">MAX($D107)</f>
        <v>2045826</v>
      </c>
      <c r="AZ107" s="1" t="n">
        <f aca="false">MAX($E107)</f>
        <v>0</v>
      </c>
      <c r="BA107" s="1" t="n">
        <f aca="false">MAX($F107)</f>
        <v>850</v>
      </c>
      <c r="BB107" s="1" t="n">
        <f aca="false">MAX($G107)</f>
        <v>0</v>
      </c>
      <c r="BC107" s="1" t="n">
        <f aca="false">MAX($H107)</f>
        <v>1</v>
      </c>
      <c r="BD107" s="1" t="n">
        <f aca="false">MAX($I107)</f>
        <v>16.713</v>
      </c>
      <c r="BE107" s="1" t="n">
        <f aca="false">MAX($J107)</f>
        <v>17.05</v>
      </c>
      <c r="BF107" s="1" t="n">
        <f aca="false">MAX($K107)</f>
        <v>6</v>
      </c>
      <c r="BG107" s="1" t="n">
        <f aca="false">MAX($M107)</f>
        <v>3187909</v>
      </c>
      <c r="BH107" s="1" t="n">
        <f aca="false">MAX($N107)</f>
        <v>3.36</v>
      </c>
      <c r="BI107" s="1" t="n">
        <f aca="false">MAX($P107)</f>
        <v>17.05</v>
      </c>
      <c r="BJ107" s="1" t="n">
        <f aca="false">MAX($Q107)</f>
        <v>0</v>
      </c>
      <c r="BK107" s="1" t="n">
        <f aca="false">MAX($R107)</f>
        <v>864194</v>
      </c>
    </row>
    <row r="108" customFormat="false" ht="15" hidden="false" customHeight="false" outlineLevel="0" collapsed="false">
      <c r="A108" s="1" t="s">
        <v>125</v>
      </c>
      <c r="B108" s="1" t="n">
        <f aca="false" t="array" ref="B108:B108">_xlfn.SWITCH($A$2,"average", AVERAGE(Instances!B108:B108),"median", MEDIAN(Instances!B108:B108),"min", MIN(Instances!B108:B108),"max", MAX(Instances!B108:B108),"diff", MAX(Instances!B108:B108)-MIN(Instances!B108:B108))</f>
        <v>3698</v>
      </c>
      <c r="C108" s="1" t="n">
        <f aca="false" t="array" ref="C108:C108">_xlfn.SWITCH($A$2,"average", AVERAGE(Instances!C108:C108),"median", MEDIAN(Instances!C108:C108),"min", MIN(Instances!C108:C108),"max", MAX(Instances!C108:C108),"diff", MAX(Instances!C108:C108)-MIN(Instances!C108:C108))</f>
        <v>1</v>
      </c>
      <c r="D108" s="1" t="n">
        <f aca="false" t="array" ref="D108:D108">_xlfn.SWITCH($A$2,"average", AVERAGE(Instances!D108:D108),"median", MEDIAN(Instances!D108:D108),"min", MIN(Instances!D108:D108),"max", MAX(Instances!D108:D108),"diff", MAX(Instances!D108:D108)-MIN(Instances!D108:D108))</f>
        <v>2180657</v>
      </c>
      <c r="E108" s="1" t="n">
        <f aca="false" t="array" ref="E108:E108">_xlfn.SWITCH($A$2,"average", AVERAGE(Instances!E108:E108),"median", MEDIAN(Instances!E108:E108),"min", MIN(Instances!E108:E108),"max", MAX(Instances!E108:E108),"diff", MAX(Instances!E108:E108)-MIN(Instances!E108:E108))</f>
        <v>0</v>
      </c>
      <c r="F108" s="1" t="n">
        <f aca="false" t="array" ref="F108:F108">_xlfn.SWITCH($A$2,"average", AVERAGE(Instances!F108:F108),"median", MEDIAN(Instances!F108:F108),"min", MIN(Instances!F108:F108),"max", MAX(Instances!F108:F108),"diff", MAX(Instances!F108:F108)-MIN(Instances!F108:F108))</f>
        <v>891</v>
      </c>
      <c r="G108" s="1" t="n">
        <f aca="false" t="array" ref="G108:G108">_xlfn.SWITCH($A$2,"average", AVERAGE(Instances!G108:G108),"median", MEDIAN(Instances!G108:G108),"min", MIN(Instances!G108:G108),"max", MAX(Instances!G108:G108),"diff", MAX(Instances!G108:G108)-MIN(Instances!G108:G108))</f>
        <v>0</v>
      </c>
      <c r="H108" s="1" t="n">
        <f aca="false" t="array" ref="H108:H108">_xlfn.SWITCH($A$2,"average", AVERAGE(Instances!H108:H108),"median", MEDIAN(Instances!H108:H108),"min", MIN(Instances!H108:H108),"max", MAX(Instances!H108:H108),"diff", MAX(Instances!H108:H108)-MIN(Instances!H108:H108))</f>
        <v>1</v>
      </c>
      <c r="I108" s="1" t="n">
        <f aca="false" t="array" ref="I108:I108">_xlfn.SWITCH($A$2,"average", AVERAGE(Instances!I108:I108),"median", MEDIAN(Instances!I108:I108),"min", MIN(Instances!I108:I108),"max", MAX(Instances!I108:I108),"diff", MAX(Instances!I108:I108)-MIN(Instances!I108:I108))</f>
        <v>14.153</v>
      </c>
      <c r="J108" s="1" t="n">
        <f aca="false" t="array" ref="J108:J108">_xlfn.SWITCH($A$2,"average", AVERAGE(Instances!J108:J108),"median", MEDIAN(Instances!J108:J108),"min", MIN(Instances!J108:J108),"max", MAX(Instances!J108:J108),"diff", MAX(Instances!J108:J108)-MIN(Instances!J108:J108))</f>
        <v>14.51</v>
      </c>
      <c r="K108" s="1" t="n">
        <f aca="false" t="array" ref="K108:K108">_xlfn.SWITCH($A$2,"average", AVERAGE(Instances!K108:K108),"median", MEDIAN(Instances!K108:K108),"min", MIN(Instances!K108:K108),"max", MAX(Instances!K108:K108),"diff", MAX(Instances!K108:K108)-MIN(Instances!K108:K108))</f>
        <v>0</v>
      </c>
      <c r="L108" s="1"/>
      <c r="M108" s="1" t="n">
        <f aca="false" t="array" ref="M108:M108">_xlfn.SWITCH($A$2,"average", AVERAGE(Instances!M108:M108),"median", MEDIAN(Instances!M108:M108),"min", MIN(Instances!M108:M108),"max", MAX(Instances!M108:M108),"diff", MAX(Instances!M108:M108)-MIN(Instances!M108:M108))</f>
        <v>3421358</v>
      </c>
      <c r="N108" s="1" t="n">
        <f aca="false" t="array" ref="N108:N108">_xlfn.SWITCH($A$2,"average", AVERAGE(Instances!N108:N108),"median", MEDIAN(Instances!N108:N108),"min", MIN(Instances!N108:N108),"max", MAX(Instances!N108:N108),"diff", MAX(Instances!N108:N108)-MIN(Instances!N108:N108))</f>
        <v>0.14</v>
      </c>
      <c r="O108" s="1"/>
      <c r="P108" s="1" t="n">
        <f aca="false" t="array" ref="P108:P108">_xlfn.SWITCH($A$2,"average", AVERAGE(Instances!P108:P108),"median", MEDIAN(Instances!P108:P108),"min", MIN(Instances!P108:P108),"max", MAX(Instances!P108:P108),"diff", MAX(Instances!P108:P108)-MIN(Instances!P108:P108))</f>
        <v>14.51</v>
      </c>
      <c r="Q108" s="1" t="n">
        <f aca="false" t="array" ref="Q108:Q108">_xlfn.SWITCH($A$2,"average", AVERAGE(Instances!Q108:Q108),"median", MEDIAN(Instances!Q108:Q108),"min", MIN(Instances!Q108:Q108),"max", MAX(Instances!Q108:Q108),"diff", MAX(Instances!Q108:Q108)-MIN(Instances!Q108:Q108))</f>
        <v>0</v>
      </c>
      <c r="R108" s="1" t="n">
        <f aca="false" t="array" ref="R108:R108">_xlfn.SWITCH($A$2,"average", AVERAGE(Instances!R108:R108),"median", MEDIAN(Instances!R108:R108),"min", MIN(Instances!R108:R108),"max", MAX(Instances!R108:R108),"diff", MAX(Instances!R108:R108)-MIN(Instances!R108:R108))</f>
        <v>903518</v>
      </c>
      <c r="S108" s="1" t="n">
        <f aca="false">MIN($B108)</f>
        <v>3698</v>
      </c>
      <c r="T108" s="1" t="n">
        <f aca="false">MIN($C108)</f>
        <v>1</v>
      </c>
      <c r="U108" s="1" t="n">
        <f aca="false">MIN($D108)</f>
        <v>2180657</v>
      </c>
      <c r="V108" s="1" t="n">
        <f aca="false">MIN($E108)</f>
        <v>0</v>
      </c>
      <c r="W108" s="1" t="n">
        <f aca="false">MIN($F108)</f>
        <v>891</v>
      </c>
      <c r="X108" s="1" t="n">
        <f aca="false">MIN($G108)</f>
        <v>0</v>
      </c>
      <c r="Y108" s="1" t="n">
        <f aca="false">MIN($H108)</f>
        <v>1</v>
      </c>
      <c r="Z108" s="1" t="n">
        <f aca="false">MIN($I108)</f>
        <v>14.153</v>
      </c>
      <c r="AA108" s="1" t="n">
        <f aca="false">MIN($J108)</f>
        <v>14.51</v>
      </c>
      <c r="AB108" s="1" t="n">
        <f aca="false">MIN($K108)</f>
        <v>0</v>
      </c>
      <c r="AC108" s="1" t="n">
        <f aca="false">MIN($M108)</f>
        <v>3421358</v>
      </c>
      <c r="AD108" s="1" t="n">
        <f aca="false">MIN($N108)</f>
        <v>0.14</v>
      </c>
      <c r="AE108" s="1" t="n">
        <f aca="false">MIN($P108)</f>
        <v>14.51</v>
      </c>
      <c r="AF108" s="1" t="n">
        <f aca="false">MIN($Q108)</f>
        <v>0</v>
      </c>
      <c r="AG108" s="1" t="n">
        <f aca="false">MIN($R108)</f>
        <v>903518</v>
      </c>
      <c r="AH108" s="1" t="n">
        <f aca="false">MEDIAN($B108)</f>
        <v>3698</v>
      </c>
      <c r="AI108" s="1" t="n">
        <f aca="false">MEDIAN($C108)</f>
        <v>1</v>
      </c>
      <c r="AJ108" s="1" t="n">
        <f aca="false">MEDIAN($D108)</f>
        <v>2180657</v>
      </c>
      <c r="AK108" s="1" t="n">
        <f aca="false">MEDIAN($E108)</f>
        <v>0</v>
      </c>
      <c r="AL108" s="1" t="n">
        <f aca="false">MEDIAN($F108)</f>
        <v>891</v>
      </c>
      <c r="AM108" s="1" t="n">
        <f aca="false">MEDIAN($G108)</f>
        <v>0</v>
      </c>
      <c r="AN108" s="1" t="n">
        <f aca="false">MEDIAN($H108)</f>
        <v>1</v>
      </c>
      <c r="AO108" s="1" t="n">
        <f aca="false">MEDIAN($I108)</f>
        <v>14.153</v>
      </c>
      <c r="AP108" s="1" t="n">
        <f aca="false">MEDIAN($J108)</f>
        <v>14.51</v>
      </c>
      <c r="AQ108" s="1" t="n">
        <f aca="false">MEDIAN($K108)</f>
        <v>0</v>
      </c>
      <c r="AR108" s="1" t="n">
        <f aca="false">MEDIAN($M108)</f>
        <v>3421358</v>
      </c>
      <c r="AS108" s="1" t="n">
        <f aca="false">MEDIAN($N108)</f>
        <v>0.14</v>
      </c>
      <c r="AT108" s="1" t="n">
        <f aca="false">MEDIAN($P108)</f>
        <v>14.51</v>
      </c>
      <c r="AU108" s="1" t="n">
        <f aca="false">MEDIAN($Q108)</f>
        <v>0</v>
      </c>
      <c r="AV108" s="1" t="n">
        <f aca="false">MEDIAN($R108)</f>
        <v>903518</v>
      </c>
      <c r="AW108" s="1" t="n">
        <f aca="false">MAX($B108)</f>
        <v>3698</v>
      </c>
      <c r="AX108" s="1" t="n">
        <f aca="false">MAX($C108)</f>
        <v>1</v>
      </c>
      <c r="AY108" s="1" t="n">
        <f aca="false">MAX($D108)</f>
        <v>2180657</v>
      </c>
      <c r="AZ108" s="1" t="n">
        <f aca="false">MAX($E108)</f>
        <v>0</v>
      </c>
      <c r="BA108" s="1" t="n">
        <f aca="false">MAX($F108)</f>
        <v>891</v>
      </c>
      <c r="BB108" s="1" t="n">
        <f aca="false">MAX($G108)</f>
        <v>0</v>
      </c>
      <c r="BC108" s="1" t="n">
        <f aca="false">MAX($H108)</f>
        <v>1</v>
      </c>
      <c r="BD108" s="1" t="n">
        <f aca="false">MAX($I108)</f>
        <v>14.153</v>
      </c>
      <c r="BE108" s="1" t="n">
        <f aca="false">MAX($J108)</f>
        <v>14.51</v>
      </c>
      <c r="BF108" s="1" t="n">
        <f aca="false">MAX($K108)</f>
        <v>0</v>
      </c>
      <c r="BG108" s="1" t="n">
        <f aca="false">MAX($M108)</f>
        <v>3421358</v>
      </c>
      <c r="BH108" s="1" t="n">
        <f aca="false">MAX($N108)</f>
        <v>0.14</v>
      </c>
      <c r="BI108" s="1" t="n">
        <f aca="false">MAX($P108)</f>
        <v>14.51</v>
      </c>
      <c r="BJ108" s="1" t="n">
        <f aca="false">MAX($Q108)</f>
        <v>0</v>
      </c>
      <c r="BK108" s="1" t="n">
        <f aca="false">MAX($R108)</f>
        <v>903518</v>
      </c>
    </row>
    <row r="109" customFormat="false" ht="15" hidden="false" customHeight="false" outlineLevel="0" collapsed="false">
      <c r="A109" s="1" t="s">
        <v>126</v>
      </c>
      <c r="B109" s="1" t="n">
        <f aca="false" t="array" ref="B109:B109">_xlfn.SWITCH($A$2,"average", AVERAGE(Instances!B109:B109),"median", MEDIAN(Instances!B109:B109),"min", MIN(Instances!B109:B109),"max", MAX(Instances!B109:B109),"diff", MAX(Instances!B109:B109)-MIN(Instances!B109:B109))</f>
        <v>21857</v>
      </c>
      <c r="C109" s="1" t="n">
        <f aca="false" t="array" ref="C109:C109">_xlfn.SWITCH($A$2,"average", AVERAGE(Instances!C109:C109),"median", MEDIAN(Instances!C109:C109),"min", MIN(Instances!C109:C109),"max", MAX(Instances!C109:C109),"diff", MAX(Instances!C109:C109)-MIN(Instances!C109:C109))</f>
        <v>348</v>
      </c>
      <c r="D109" s="1" t="n">
        <f aca="false" t="array" ref="D109:D109">_xlfn.SWITCH($A$2,"average", AVERAGE(Instances!D109:D109),"median", MEDIAN(Instances!D109:D109),"min", MIN(Instances!D109:D109),"max", MAX(Instances!D109:D109),"diff", MAX(Instances!D109:D109)-MIN(Instances!D109:D109))</f>
        <v>2028933</v>
      </c>
      <c r="E109" s="1" t="n">
        <f aca="false" t="array" ref="E109:E109">_xlfn.SWITCH($A$2,"average", AVERAGE(Instances!E109:E109),"median", MEDIAN(Instances!E109:E109),"min", MIN(Instances!E109:E109),"max", MAX(Instances!E109:E109),"diff", MAX(Instances!E109:E109)-MIN(Instances!E109:E109))</f>
        <v>0</v>
      </c>
      <c r="F109" s="1" t="n">
        <f aca="false" t="array" ref="F109:F109">_xlfn.SWITCH($A$2,"average", AVERAGE(Instances!F109:F109),"median", MEDIAN(Instances!F109:F109),"min", MIN(Instances!F109:F109),"max", MAX(Instances!F109:F109),"diff", MAX(Instances!F109:F109)-MIN(Instances!F109:F109))</f>
        <v>848</v>
      </c>
      <c r="G109" s="1" t="n">
        <f aca="false" t="array" ref="G109:G109">_xlfn.SWITCH($A$2,"average", AVERAGE(Instances!G109:G109),"median", MEDIAN(Instances!G109:G109),"min", MIN(Instances!G109:G109),"max", MAX(Instances!G109:G109),"diff", MAX(Instances!G109:G109)-MIN(Instances!G109:G109))</f>
        <v>0</v>
      </c>
      <c r="H109" s="1" t="n">
        <f aca="false" t="array" ref="H109:H109">_xlfn.SWITCH($A$2,"average", AVERAGE(Instances!H109:H109),"median", MEDIAN(Instances!H109:H109),"min", MIN(Instances!H109:H109),"max", MAX(Instances!H109:H109),"diff", MAX(Instances!H109:H109)-MIN(Instances!H109:H109))</f>
        <v>1</v>
      </c>
      <c r="I109" s="1" t="n">
        <f aca="false" t="array" ref="I109:I109">_xlfn.SWITCH($A$2,"average", AVERAGE(Instances!I109:I109),"median", MEDIAN(Instances!I109:I109),"min", MIN(Instances!I109:I109),"max", MAX(Instances!I109:I109),"diff", MAX(Instances!I109:I109)-MIN(Instances!I109:I109))</f>
        <v>13.844</v>
      </c>
      <c r="J109" s="1" t="n">
        <f aca="false" t="array" ref="J109:J109">_xlfn.SWITCH($A$2,"average", AVERAGE(Instances!J109:J109),"median", MEDIAN(Instances!J109:J109),"min", MIN(Instances!J109:J109),"max", MAX(Instances!J109:J109),"diff", MAX(Instances!J109:J109)-MIN(Instances!J109:J109))</f>
        <v>14.16</v>
      </c>
      <c r="K109" s="1" t="n">
        <f aca="false" t="array" ref="K109:K109">_xlfn.SWITCH($A$2,"average", AVERAGE(Instances!K109:K109),"median", MEDIAN(Instances!K109:K109),"min", MIN(Instances!K109:K109),"max", MAX(Instances!K109:K109),"diff", MAX(Instances!K109:K109)-MIN(Instances!K109:K109))</f>
        <v>4</v>
      </c>
      <c r="L109" s="1"/>
      <c r="M109" s="1" t="n">
        <f aca="false" t="array" ref="M109:M109">_xlfn.SWITCH($A$2,"average", AVERAGE(Instances!M109:M109),"median", MEDIAN(Instances!M109:M109),"min", MIN(Instances!M109:M109),"max", MAX(Instances!M109:M109),"diff", MAX(Instances!M109:M109)-MIN(Instances!M109:M109))</f>
        <v>3169497</v>
      </c>
      <c r="N109" s="1" t="n">
        <f aca="false" t="array" ref="N109:N109">_xlfn.SWITCH($A$2,"average", AVERAGE(Instances!N109:N109),"median", MEDIAN(Instances!N109:N109),"min", MIN(Instances!N109:N109),"max", MAX(Instances!N109:N109),"diff", MAX(Instances!N109:N109)-MIN(Instances!N109:N109))</f>
        <v>0.88</v>
      </c>
      <c r="O109" s="1"/>
      <c r="P109" s="1" t="n">
        <f aca="false" t="array" ref="P109:P109">_xlfn.SWITCH($A$2,"average", AVERAGE(Instances!P109:P109),"median", MEDIAN(Instances!P109:P109),"min", MIN(Instances!P109:P109),"max", MAX(Instances!P109:P109),"diff", MAX(Instances!P109:P109)-MIN(Instances!P109:P109))</f>
        <v>14.16</v>
      </c>
      <c r="Q109" s="1" t="n">
        <f aca="false" t="array" ref="Q109:Q109">_xlfn.SWITCH($A$2,"average", AVERAGE(Instances!Q109:Q109),"median", MEDIAN(Instances!Q109:Q109),"min", MIN(Instances!Q109:Q109),"max", MAX(Instances!Q109:Q109),"diff", MAX(Instances!Q109:Q109)-MIN(Instances!Q109:Q109))</f>
        <v>0</v>
      </c>
      <c r="R109" s="1" t="n">
        <f aca="false" t="array" ref="R109:R109">_xlfn.SWITCH($A$2,"average", AVERAGE(Instances!R109:R109),"median", MEDIAN(Instances!R109:R109),"min", MIN(Instances!R109:R109),"max", MAX(Instances!R109:R109),"diff", MAX(Instances!R109:R109)-MIN(Instances!R109:R109))</f>
        <v>859190</v>
      </c>
      <c r="S109" s="1" t="n">
        <f aca="false">MIN($B109)</f>
        <v>21857</v>
      </c>
      <c r="T109" s="1" t="n">
        <f aca="false">MIN($C109)</f>
        <v>348</v>
      </c>
      <c r="U109" s="1" t="n">
        <f aca="false">MIN($D109)</f>
        <v>2028933</v>
      </c>
      <c r="V109" s="1" t="n">
        <f aca="false">MIN($E109)</f>
        <v>0</v>
      </c>
      <c r="W109" s="1" t="n">
        <f aca="false">MIN($F109)</f>
        <v>848</v>
      </c>
      <c r="X109" s="1" t="n">
        <f aca="false">MIN($G109)</f>
        <v>0</v>
      </c>
      <c r="Y109" s="1" t="n">
        <f aca="false">MIN($H109)</f>
        <v>1</v>
      </c>
      <c r="Z109" s="1" t="n">
        <f aca="false">MIN($I109)</f>
        <v>13.844</v>
      </c>
      <c r="AA109" s="1" t="n">
        <f aca="false">MIN($J109)</f>
        <v>14.16</v>
      </c>
      <c r="AB109" s="1" t="n">
        <f aca="false">MIN($K109)</f>
        <v>4</v>
      </c>
      <c r="AC109" s="1" t="n">
        <f aca="false">MIN($M109)</f>
        <v>3169497</v>
      </c>
      <c r="AD109" s="1" t="n">
        <f aca="false">MIN($N109)</f>
        <v>0.88</v>
      </c>
      <c r="AE109" s="1" t="n">
        <f aca="false">MIN($P109)</f>
        <v>14.16</v>
      </c>
      <c r="AF109" s="1" t="n">
        <f aca="false">MIN($Q109)</f>
        <v>0</v>
      </c>
      <c r="AG109" s="1" t="n">
        <f aca="false">MIN($R109)</f>
        <v>859190</v>
      </c>
      <c r="AH109" s="1" t="n">
        <f aca="false">MEDIAN($B109)</f>
        <v>21857</v>
      </c>
      <c r="AI109" s="1" t="n">
        <f aca="false">MEDIAN($C109)</f>
        <v>348</v>
      </c>
      <c r="AJ109" s="1" t="n">
        <f aca="false">MEDIAN($D109)</f>
        <v>2028933</v>
      </c>
      <c r="AK109" s="1" t="n">
        <f aca="false">MEDIAN($E109)</f>
        <v>0</v>
      </c>
      <c r="AL109" s="1" t="n">
        <f aca="false">MEDIAN($F109)</f>
        <v>848</v>
      </c>
      <c r="AM109" s="1" t="n">
        <f aca="false">MEDIAN($G109)</f>
        <v>0</v>
      </c>
      <c r="AN109" s="1" t="n">
        <f aca="false">MEDIAN($H109)</f>
        <v>1</v>
      </c>
      <c r="AO109" s="1" t="n">
        <f aca="false">MEDIAN($I109)</f>
        <v>13.844</v>
      </c>
      <c r="AP109" s="1" t="n">
        <f aca="false">MEDIAN($J109)</f>
        <v>14.16</v>
      </c>
      <c r="AQ109" s="1" t="n">
        <f aca="false">MEDIAN($K109)</f>
        <v>4</v>
      </c>
      <c r="AR109" s="1" t="n">
        <f aca="false">MEDIAN($M109)</f>
        <v>3169497</v>
      </c>
      <c r="AS109" s="1" t="n">
        <f aca="false">MEDIAN($N109)</f>
        <v>0.88</v>
      </c>
      <c r="AT109" s="1" t="n">
        <f aca="false">MEDIAN($P109)</f>
        <v>14.16</v>
      </c>
      <c r="AU109" s="1" t="n">
        <f aca="false">MEDIAN($Q109)</f>
        <v>0</v>
      </c>
      <c r="AV109" s="1" t="n">
        <f aca="false">MEDIAN($R109)</f>
        <v>859190</v>
      </c>
      <c r="AW109" s="1" t="n">
        <f aca="false">MAX($B109)</f>
        <v>21857</v>
      </c>
      <c r="AX109" s="1" t="n">
        <f aca="false">MAX($C109)</f>
        <v>348</v>
      </c>
      <c r="AY109" s="1" t="n">
        <f aca="false">MAX($D109)</f>
        <v>2028933</v>
      </c>
      <c r="AZ109" s="1" t="n">
        <f aca="false">MAX($E109)</f>
        <v>0</v>
      </c>
      <c r="BA109" s="1" t="n">
        <f aca="false">MAX($F109)</f>
        <v>848</v>
      </c>
      <c r="BB109" s="1" t="n">
        <f aca="false">MAX($G109)</f>
        <v>0</v>
      </c>
      <c r="BC109" s="1" t="n">
        <f aca="false">MAX($H109)</f>
        <v>1</v>
      </c>
      <c r="BD109" s="1" t="n">
        <f aca="false">MAX($I109)</f>
        <v>13.844</v>
      </c>
      <c r="BE109" s="1" t="n">
        <f aca="false">MAX($J109)</f>
        <v>14.16</v>
      </c>
      <c r="BF109" s="1" t="n">
        <f aca="false">MAX($K109)</f>
        <v>4</v>
      </c>
      <c r="BG109" s="1" t="n">
        <f aca="false">MAX($M109)</f>
        <v>3169497</v>
      </c>
      <c r="BH109" s="1" t="n">
        <f aca="false">MAX($N109)</f>
        <v>0.88</v>
      </c>
      <c r="BI109" s="1" t="n">
        <f aca="false">MAX($P109)</f>
        <v>14.16</v>
      </c>
      <c r="BJ109" s="1" t="n">
        <f aca="false">MAX($Q109)</f>
        <v>0</v>
      </c>
      <c r="BK109" s="1" t="n">
        <f aca="false">MAX($R109)</f>
        <v>859190</v>
      </c>
    </row>
    <row r="110" customFormat="false" ht="15" hidden="false" customHeight="false" outlineLevel="0" collapsed="false">
      <c r="A110" s="1" t="s">
        <v>127</v>
      </c>
      <c r="B110" s="1" t="n">
        <f aca="false" t="array" ref="B110:B110">_xlfn.SWITCH($A$2,"average", AVERAGE(Instances!B110:B110),"median", MEDIAN(Instances!B110:B110),"min", MIN(Instances!B110:B110),"max", MAX(Instances!B110:B110),"diff", MAX(Instances!B110:B110)-MIN(Instances!B110:B110))</f>
        <v>25414</v>
      </c>
      <c r="C110" s="1" t="n">
        <f aca="false" t="array" ref="C110:C110">_xlfn.SWITCH($A$2,"average", AVERAGE(Instances!C110:C110),"median", MEDIAN(Instances!C110:C110),"min", MIN(Instances!C110:C110),"max", MAX(Instances!C110:C110),"diff", MAX(Instances!C110:C110)-MIN(Instances!C110:C110))</f>
        <v>125</v>
      </c>
      <c r="D110" s="1" t="n">
        <f aca="false" t="array" ref="D110:D110">_xlfn.SWITCH($A$2,"average", AVERAGE(Instances!D110:D110),"median", MEDIAN(Instances!D110:D110),"min", MIN(Instances!D110:D110),"max", MAX(Instances!D110:D110),"diff", MAX(Instances!D110:D110)-MIN(Instances!D110:D110))</f>
        <v>2341109</v>
      </c>
      <c r="E110" s="1" t="n">
        <f aca="false" t="array" ref="E110:E110">_xlfn.SWITCH($A$2,"average", AVERAGE(Instances!E110:E110),"median", MEDIAN(Instances!E110:E110),"min", MIN(Instances!E110:E110),"max", MAX(Instances!E110:E110),"diff", MAX(Instances!E110:E110)-MIN(Instances!E110:E110))</f>
        <v>0</v>
      </c>
      <c r="F110" s="1" t="n">
        <f aca="false" t="array" ref="F110:F110">_xlfn.SWITCH($A$2,"average", AVERAGE(Instances!F110:F110),"median", MEDIAN(Instances!F110:F110),"min", MIN(Instances!F110:F110),"max", MAX(Instances!F110:F110),"diff", MAX(Instances!F110:F110)-MIN(Instances!F110:F110))</f>
        <v>982</v>
      </c>
      <c r="G110" s="1" t="n">
        <f aca="false" t="array" ref="G110:G110">_xlfn.SWITCH($A$2,"average", AVERAGE(Instances!G110:G110),"median", MEDIAN(Instances!G110:G110),"min", MIN(Instances!G110:G110),"max", MAX(Instances!G110:G110),"diff", MAX(Instances!G110:G110)-MIN(Instances!G110:G110))</f>
        <v>0</v>
      </c>
      <c r="H110" s="1" t="n">
        <f aca="false" t="array" ref="H110:H110">_xlfn.SWITCH($A$2,"average", AVERAGE(Instances!H110:H110),"median", MEDIAN(Instances!H110:H110),"min", MIN(Instances!H110:H110),"max", MAX(Instances!H110:H110),"diff", MAX(Instances!H110:H110)-MIN(Instances!H110:H110))</f>
        <v>1</v>
      </c>
      <c r="I110" s="1" t="n">
        <f aca="false" t="array" ref="I110:I110">_xlfn.SWITCH($A$2,"average", AVERAGE(Instances!I110:I110),"median", MEDIAN(Instances!I110:I110),"min", MIN(Instances!I110:I110),"max", MAX(Instances!I110:I110),"diff", MAX(Instances!I110:I110)-MIN(Instances!I110:I110))</f>
        <v>15.388</v>
      </c>
      <c r="J110" s="1" t="n">
        <f aca="false" t="array" ref="J110:J110">_xlfn.SWITCH($A$2,"average", AVERAGE(Instances!J110:J110),"median", MEDIAN(Instances!J110:J110),"min", MIN(Instances!J110:J110),"max", MAX(Instances!J110:J110),"diff", MAX(Instances!J110:J110)-MIN(Instances!J110:J110))</f>
        <v>15.76</v>
      </c>
      <c r="K110" s="1" t="n">
        <f aca="false" t="array" ref="K110:K110">_xlfn.SWITCH($A$2,"average", AVERAGE(Instances!K110:K110),"median", MEDIAN(Instances!K110:K110),"min", MIN(Instances!K110:K110),"max", MAX(Instances!K110:K110),"diff", MAX(Instances!K110:K110)-MIN(Instances!K110:K110))</f>
        <v>2</v>
      </c>
      <c r="L110" s="1"/>
      <c r="M110" s="1" t="n">
        <f aca="false" t="array" ref="M110:M110">_xlfn.SWITCH($A$2,"average", AVERAGE(Instances!M110:M110),"median", MEDIAN(Instances!M110:M110),"min", MIN(Instances!M110:M110),"max", MAX(Instances!M110:M110),"diff", MAX(Instances!M110:M110)-MIN(Instances!M110:M110))</f>
        <v>3842144</v>
      </c>
      <c r="N110" s="1" t="n">
        <f aca="false" t="array" ref="N110:N110">_xlfn.SWITCH($A$2,"average", AVERAGE(Instances!N110:N110),"median", MEDIAN(Instances!N110:N110),"min", MIN(Instances!N110:N110),"max", MAX(Instances!N110:N110),"diff", MAX(Instances!N110:N110)-MIN(Instances!N110:N110))</f>
        <v>0.48</v>
      </c>
      <c r="O110" s="1"/>
      <c r="P110" s="1" t="n">
        <f aca="false" t="array" ref="P110:P110">_xlfn.SWITCH($A$2,"average", AVERAGE(Instances!P110:P110),"median", MEDIAN(Instances!P110:P110),"min", MIN(Instances!P110:P110),"max", MAX(Instances!P110:P110),"diff", MAX(Instances!P110:P110)-MIN(Instances!P110:P110))</f>
        <v>15.76</v>
      </c>
      <c r="Q110" s="1" t="n">
        <f aca="false" t="array" ref="Q110:Q110">_xlfn.SWITCH($A$2,"average", AVERAGE(Instances!Q110:Q110),"median", MEDIAN(Instances!Q110:Q110),"min", MIN(Instances!Q110:Q110),"max", MAX(Instances!Q110:Q110),"diff", MAX(Instances!Q110:Q110)-MIN(Instances!Q110:Q110))</f>
        <v>0</v>
      </c>
      <c r="R110" s="1" t="n">
        <f aca="false" t="array" ref="R110:R110">_xlfn.SWITCH($A$2,"average", AVERAGE(Instances!R110:R110),"median", MEDIAN(Instances!R110:R110),"min", MIN(Instances!R110:R110),"max", MAX(Instances!R110:R110),"diff", MAX(Instances!R110:R110)-MIN(Instances!R110:R110))</f>
        <v>1015585</v>
      </c>
      <c r="S110" s="1" t="n">
        <f aca="false">MIN($B110)</f>
        <v>25414</v>
      </c>
      <c r="T110" s="1" t="n">
        <f aca="false">MIN($C110)</f>
        <v>125</v>
      </c>
      <c r="U110" s="1" t="n">
        <f aca="false">MIN($D110)</f>
        <v>2341109</v>
      </c>
      <c r="V110" s="1" t="n">
        <f aca="false">MIN($E110)</f>
        <v>0</v>
      </c>
      <c r="W110" s="1" t="n">
        <f aca="false">MIN($F110)</f>
        <v>982</v>
      </c>
      <c r="X110" s="1" t="n">
        <f aca="false">MIN($G110)</f>
        <v>0</v>
      </c>
      <c r="Y110" s="1" t="n">
        <f aca="false">MIN($H110)</f>
        <v>1</v>
      </c>
      <c r="Z110" s="1" t="n">
        <f aca="false">MIN($I110)</f>
        <v>15.388</v>
      </c>
      <c r="AA110" s="1" t="n">
        <f aca="false">MIN($J110)</f>
        <v>15.76</v>
      </c>
      <c r="AB110" s="1" t="n">
        <f aca="false">MIN($K110)</f>
        <v>2</v>
      </c>
      <c r="AC110" s="1" t="n">
        <f aca="false">MIN($M110)</f>
        <v>3842144</v>
      </c>
      <c r="AD110" s="1" t="n">
        <f aca="false">MIN($N110)</f>
        <v>0.48</v>
      </c>
      <c r="AE110" s="1" t="n">
        <f aca="false">MIN($P110)</f>
        <v>15.76</v>
      </c>
      <c r="AF110" s="1" t="n">
        <f aca="false">MIN($Q110)</f>
        <v>0</v>
      </c>
      <c r="AG110" s="1" t="n">
        <f aca="false">MIN($R110)</f>
        <v>1015585</v>
      </c>
      <c r="AH110" s="1" t="n">
        <f aca="false">MEDIAN($B110)</f>
        <v>25414</v>
      </c>
      <c r="AI110" s="1" t="n">
        <f aca="false">MEDIAN($C110)</f>
        <v>125</v>
      </c>
      <c r="AJ110" s="1" t="n">
        <f aca="false">MEDIAN($D110)</f>
        <v>2341109</v>
      </c>
      <c r="AK110" s="1" t="n">
        <f aca="false">MEDIAN($E110)</f>
        <v>0</v>
      </c>
      <c r="AL110" s="1" t="n">
        <f aca="false">MEDIAN($F110)</f>
        <v>982</v>
      </c>
      <c r="AM110" s="1" t="n">
        <f aca="false">MEDIAN($G110)</f>
        <v>0</v>
      </c>
      <c r="AN110" s="1" t="n">
        <f aca="false">MEDIAN($H110)</f>
        <v>1</v>
      </c>
      <c r="AO110" s="1" t="n">
        <f aca="false">MEDIAN($I110)</f>
        <v>15.388</v>
      </c>
      <c r="AP110" s="1" t="n">
        <f aca="false">MEDIAN($J110)</f>
        <v>15.76</v>
      </c>
      <c r="AQ110" s="1" t="n">
        <f aca="false">MEDIAN($K110)</f>
        <v>2</v>
      </c>
      <c r="AR110" s="1" t="n">
        <f aca="false">MEDIAN($M110)</f>
        <v>3842144</v>
      </c>
      <c r="AS110" s="1" t="n">
        <f aca="false">MEDIAN($N110)</f>
        <v>0.48</v>
      </c>
      <c r="AT110" s="1" t="n">
        <f aca="false">MEDIAN($P110)</f>
        <v>15.76</v>
      </c>
      <c r="AU110" s="1" t="n">
        <f aca="false">MEDIAN($Q110)</f>
        <v>0</v>
      </c>
      <c r="AV110" s="1" t="n">
        <f aca="false">MEDIAN($R110)</f>
        <v>1015585</v>
      </c>
      <c r="AW110" s="1" t="n">
        <f aca="false">MAX($B110)</f>
        <v>25414</v>
      </c>
      <c r="AX110" s="1" t="n">
        <f aca="false">MAX($C110)</f>
        <v>125</v>
      </c>
      <c r="AY110" s="1" t="n">
        <f aca="false">MAX($D110)</f>
        <v>2341109</v>
      </c>
      <c r="AZ110" s="1" t="n">
        <f aca="false">MAX($E110)</f>
        <v>0</v>
      </c>
      <c r="BA110" s="1" t="n">
        <f aca="false">MAX($F110)</f>
        <v>982</v>
      </c>
      <c r="BB110" s="1" t="n">
        <f aca="false">MAX($G110)</f>
        <v>0</v>
      </c>
      <c r="BC110" s="1" t="n">
        <f aca="false">MAX($H110)</f>
        <v>1</v>
      </c>
      <c r="BD110" s="1" t="n">
        <f aca="false">MAX($I110)</f>
        <v>15.388</v>
      </c>
      <c r="BE110" s="1" t="n">
        <f aca="false">MAX($J110)</f>
        <v>15.76</v>
      </c>
      <c r="BF110" s="1" t="n">
        <f aca="false">MAX($K110)</f>
        <v>2</v>
      </c>
      <c r="BG110" s="1" t="n">
        <f aca="false">MAX($M110)</f>
        <v>3842144</v>
      </c>
      <c r="BH110" s="1" t="n">
        <f aca="false">MAX($N110)</f>
        <v>0.48</v>
      </c>
      <c r="BI110" s="1" t="n">
        <f aca="false">MAX($P110)</f>
        <v>15.76</v>
      </c>
      <c r="BJ110" s="1" t="n">
        <f aca="false">MAX($Q110)</f>
        <v>0</v>
      </c>
      <c r="BK110" s="1" t="n">
        <f aca="false">MAX($R110)</f>
        <v>1015585</v>
      </c>
    </row>
    <row r="111" customFormat="false" ht="15" hidden="false" customHeight="false" outlineLevel="0" collapsed="false">
      <c r="A111" s="1" t="s">
        <v>128</v>
      </c>
      <c r="B111" s="1" t="n">
        <f aca="false" t="array" ref="B111:B111">_xlfn.SWITCH($A$2,"average", AVERAGE(Instances!B111:B111),"median", MEDIAN(Instances!B111:B111),"min", MIN(Instances!B111:B111),"max", MAX(Instances!B111:B111),"diff", MAX(Instances!B111:B111)-MIN(Instances!B111:B111))</f>
        <v>776</v>
      </c>
      <c r="C111" s="1" t="n">
        <f aca="false" t="array" ref="C111:C111">_xlfn.SWITCH($A$2,"average", AVERAGE(Instances!C111:C111),"median", MEDIAN(Instances!C111:C111),"min", MIN(Instances!C111:C111),"max", MAX(Instances!C111:C111),"diff", MAX(Instances!C111:C111)-MIN(Instances!C111:C111))</f>
        <v>0</v>
      </c>
      <c r="D111" s="1" t="n">
        <f aca="false" t="array" ref="D111:D111">_xlfn.SWITCH($A$2,"average", AVERAGE(Instances!D111:D111),"median", MEDIAN(Instances!D111:D111),"min", MIN(Instances!D111:D111),"max", MAX(Instances!D111:D111),"diff", MAX(Instances!D111:D111)-MIN(Instances!D111:D111))</f>
        <v>500309</v>
      </c>
      <c r="E111" s="1" t="n">
        <f aca="false" t="array" ref="E111:E111">_xlfn.SWITCH($A$2,"average", AVERAGE(Instances!E111:E111),"median", MEDIAN(Instances!E111:E111),"min", MIN(Instances!E111:E111),"max", MAX(Instances!E111:E111),"diff", MAX(Instances!E111:E111)-MIN(Instances!E111:E111))</f>
        <v>0</v>
      </c>
      <c r="F111" s="1" t="n">
        <f aca="false" t="array" ref="F111:F111">_xlfn.SWITCH($A$2,"average", AVERAGE(Instances!F111:F111),"median", MEDIAN(Instances!F111:F111),"min", MIN(Instances!F111:F111),"max", MAX(Instances!F111:F111),"diff", MAX(Instances!F111:F111)-MIN(Instances!F111:F111))</f>
        <v>259</v>
      </c>
      <c r="G111" s="1" t="n">
        <f aca="false" t="array" ref="G111:G111">_xlfn.SWITCH($A$2,"average", AVERAGE(Instances!G111:G111),"median", MEDIAN(Instances!G111:G111),"min", MIN(Instances!G111:G111),"max", MAX(Instances!G111:G111),"diff", MAX(Instances!G111:G111)-MIN(Instances!G111:G111))</f>
        <v>0</v>
      </c>
      <c r="H111" s="1" t="n">
        <f aca="false" t="array" ref="H111:H111">_xlfn.SWITCH($A$2,"average", AVERAGE(Instances!H111:H111),"median", MEDIAN(Instances!H111:H111),"min", MIN(Instances!H111:H111),"max", MAX(Instances!H111:H111),"diff", MAX(Instances!H111:H111)-MIN(Instances!H111:H111))</f>
        <v>1</v>
      </c>
      <c r="I111" s="1" t="n">
        <f aca="false" t="array" ref="I111:I111">_xlfn.SWITCH($A$2,"average", AVERAGE(Instances!I111:I111),"median", MEDIAN(Instances!I111:I111),"min", MIN(Instances!I111:I111),"max", MAX(Instances!I111:I111),"diff", MAX(Instances!I111:I111)-MIN(Instances!I111:I111))</f>
        <v>3.256</v>
      </c>
      <c r="J111" s="1" t="n">
        <f aca="false" t="array" ref="J111:J111">_xlfn.SWITCH($A$2,"average", AVERAGE(Instances!J111:J111),"median", MEDIAN(Instances!J111:J111),"min", MIN(Instances!J111:J111),"max", MAX(Instances!J111:J111),"diff", MAX(Instances!J111:J111)-MIN(Instances!J111:J111))</f>
        <v>3.35</v>
      </c>
      <c r="K111" s="1" t="n">
        <f aca="false" t="array" ref="K111:K111">_xlfn.SWITCH($A$2,"average", AVERAGE(Instances!K111:K111),"median", MEDIAN(Instances!K111:K111),"min", MIN(Instances!K111:K111),"max", MAX(Instances!K111:K111),"diff", MAX(Instances!K111:K111)-MIN(Instances!K111:K111))</f>
        <v>0</v>
      </c>
      <c r="L111" s="1"/>
      <c r="M111" s="1" t="n">
        <f aca="false" t="array" ref="M111:M111">_xlfn.SWITCH($A$2,"average", AVERAGE(Instances!M111:M111),"median", MEDIAN(Instances!M111:M111),"min", MIN(Instances!M111:M111),"max", MAX(Instances!M111:M111),"diff", MAX(Instances!M111:M111)-MIN(Instances!M111:M111))</f>
        <v>685827</v>
      </c>
      <c r="N111" s="1" t="n">
        <f aca="false" t="array" ref="N111:N111">_xlfn.SWITCH($A$2,"average", AVERAGE(Instances!N111:N111),"median", MEDIAN(Instances!N111:N111),"min", MIN(Instances!N111:N111),"max", MAX(Instances!N111:N111),"diff", MAX(Instances!N111:N111)-MIN(Instances!N111:N111))</f>
        <v>0.04</v>
      </c>
      <c r="O111" s="1"/>
      <c r="P111" s="1" t="n">
        <f aca="false" t="array" ref="P111:P111">_xlfn.SWITCH($A$2,"average", AVERAGE(Instances!P111:P111),"median", MEDIAN(Instances!P111:P111),"min", MIN(Instances!P111:P111),"max", MAX(Instances!P111:P111),"diff", MAX(Instances!P111:P111)-MIN(Instances!P111:P111))</f>
        <v>3.35</v>
      </c>
      <c r="Q111" s="1" t="n">
        <f aca="false" t="array" ref="Q111:Q111">_xlfn.SWITCH($A$2,"average", AVERAGE(Instances!Q111:Q111),"median", MEDIAN(Instances!Q111:Q111),"min", MIN(Instances!Q111:Q111),"max", MAX(Instances!Q111:Q111),"diff", MAX(Instances!Q111:Q111)-MIN(Instances!Q111:Q111))</f>
        <v>0</v>
      </c>
      <c r="R111" s="1" t="n">
        <f aca="false" t="array" ref="R111:R111">_xlfn.SWITCH($A$2,"average", AVERAGE(Instances!R111:R111),"median", MEDIAN(Instances!R111:R111),"min", MIN(Instances!R111:R111),"max", MAX(Instances!R111:R111),"diff", MAX(Instances!R111:R111)-MIN(Instances!R111:R111))</f>
        <v>266937</v>
      </c>
      <c r="S111" s="1" t="n">
        <f aca="false">MIN($B111)</f>
        <v>776</v>
      </c>
      <c r="T111" s="1" t="n">
        <f aca="false">MIN($C111)</f>
        <v>0</v>
      </c>
      <c r="U111" s="1" t="n">
        <f aca="false">MIN($D111)</f>
        <v>500309</v>
      </c>
      <c r="V111" s="1" t="n">
        <f aca="false">MIN($E111)</f>
        <v>0</v>
      </c>
      <c r="W111" s="1" t="n">
        <f aca="false">MIN($F111)</f>
        <v>259</v>
      </c>
      <c r="X111" s="1" t="n">
        <f aca="false">MIN($G111)</f>
        <v>0</v>
      </c>
      <c r="Y111" s="1" t="n">
        <f aca="false">MIN($H111)</f>
        <v>1</v>
      </c>
      <c r="Z111" s="1" t="n">
        <f aca="false">MIN($I111)</f>
        <v>3.256</v>
      </c>
      <c r="AA111" s="1" t="n">
        <f aca="false">MIN($J111)</f>
        <v>3.35</v>
      </c>
      <c r="AB111" s="1" t="n">
        <f aca="false">MIN($K111)</f>
        <v>0</v>
      </c>
      <c r="AC111" s="1" t="n">
        <f aca="false">MIN($M111)</f>
        <v>685827</v>
      </c>
      <c r="AD111" s="1" t="n">
        <f aca="false">MIN($N111)</f>
        <v>0.04</v>
      </c>
      <c r="AE111" s="1" t="n">
        <f aca="false">MIN($P111)</f>
        <v>3.35</v>
      </c>
      <c r="AF111" s="1" t="n">
        <f aca="false">MIN($Q111)</f>
        <v>0</v>
      </c>
      <c r="AG111" s="1" t="n">
        <f aca="false">MIN($R111)</f>
        <v>266937</v>
      </c>
      <c r="AH111" s="1" t="n">
        <f aca="false">MEDIAN($B111)</f>
        <v>776</v>
      </c>
      <c r="AI111" s="1" t="n">
        <f aca="false">MEDIAN($C111)</f>
        <v>0</v>
      </c>
      <c r="AJ111" s="1" t="n">
        <f aca="false">MEDIAN($D111)</f>
        <v>500309</v>
      </c>
      <c r="AK111" s="1" t="n">
        <f aca="false">MEDIAN($E111)</f>
        <v>0</v>
      </c>
      <c r="AL111" s="1" t="n">
        <f aca="false">MEDIAN($F111)</f>
        <v>259</v>
      </c>
      <c r="AM111" s="1" t="n">
        <f aca="false">MEDIAN($G111)</f>
        <v>0</v>
      </c>
      <c r="AN111" s="1" t="n">
        <f aca="false">MEDIAN($H111)</f>
        <v>1</v>
      </c>
      <c r="AO111" s="1" t="n">
        <f aca="false">MEDIAN($I111)</f>
        <v>3.256</v>
      </c>
      <c r="AP111" s="1" t="n">
        <f aca="false">MEDIAN($J111)</f>
        <v>3.35</v>
      </c>
      <c r="AQ111" s="1" t="n">
        <f aca="false">MEDIAN($K111)</f>
        <v>0</v>
      </c>
      <c r="AR111" s="1" t="n">
        <f aca="false">MEDIAN($M111)</f>
        <v>685827</v>
      </c>
      <c r="AS111" s="1" t="n">
        <f aca="false">MEDIAN($N111)</f>
        <v>0.04</v>
      </c>
      <c r="AT111" s="1" t="n">
        <f aca="false">MEDIAN($P111)</f>
        <v>3.35</v>
      </c>
      <c r="AU111" s="1" t="n">
        <f aca="false">MEDIAN($Q111)</f>
        <v>0</v>
      </c>
      <c r="AV111" s="1" t="n">
        <f aca="false">MEDIAN($R111)</f>
        <v>266937</v>
      </c>
      <c r="AW111" s="1" t="n">
        <f aca="false">MAX($B111)</f>
        <v>776</v>
      </c>
      <c r="AX111" s="1" t="n">
        <f aca="false">MAX($C111)</f>
        <v>0</v>
      </c>
      <c r="AY111" s="1" t="n">
        <f aca="false">MAX($D111)</f>
        <v>500309</v>
      </c>
      <c r="AZ111" s="1" t="n">
        <f aca="false">MAX($E111)</f>
        <v>0</v>
      </c>
      <c r="BA111" s="1" t="n">
        <f aca="false">MAX($F111)</f>
        <v>259</v>
      </c>
      <c r="BB111" s="1" t="n">
        <f aca="false">MAX($G111)</f>
        <v>0</v>
      </c>
      <c r="BC111" s="1" t="n">
        <f aca="false">MAX($H111)</f>
        <v>1</v>
      </c>
      <c r="BD111" s="1" t="n">
        <f aca="false">MAX($I111)</f>
        <v>3.256</v>
      </c>
      <c r="BE111" s="1" t="n">
        <f aca="false">MAX($J111)</f>
        <v>3.35</v>
      </c>
      <c r="BF111" s="1" t="n">
        <f aca="false">MAX($K111)</f>
        <v>0</v>
      </c>
      <c r="BG111" s="1" t="n">
        <f aca="false">MAX($M111)</f>
        <v>685827</v>
      </c>
      <c r="BH111" s="1" t="n">
        <f aca="false">MAX($N111)</f>
        <v>0.04</v>
      </c>
      <c r="BI111" s="1" t="n">
        <f aca="false">MAX($P111)</f>
        <v>3.35</v>
      </c>
      <c r="BJ111" s="1" t="n">
        <f aca="false">MAX($Q111)</f>
        <v>0</v>
      </c>
      <c r="BK111" s="1" t="n">
        <f aca="false">MAX($R111)</f>
        <v>266937</v>
      </c>
    </row>
    <row r="112" customFormat="false" ht="15" hidden="false" customHeight="false" outlineLevel="0" collapsed="false">
      <c r="A112" s="1" t="s">
        <v>129</v>
      </c>
      <c r="B112" s="1" t="n">
        <f aca="false" t="array" ref="B112:B112">_xlfn.SWITCH($A$2,"average", AVERAGE(Instances!B112:B112),"median", MEDIAN(Instances!B112:B112),"min", MIN(Instances!B112:B112),"max", MAX(Instances!B112:B112),"diff", MAX(Instances!B112:B112)-MIN(Instances!B112:B112))</f>
        <v>1085</v>
      </c>
      <c r="C112" s="1" t="n">
        <f aca="false" t="array" ref="C112:C112">_xlfn.SWITCH($A$2,"average", AVERAGE(Instances!C112:C112),"median", MEDIAN(Instances!C112:C112),"min", MIN(Instances!C112:C112),"max", MAX(Instances!C112:C112),"diff", MAX(Instances!C112:C112)-MIN(Instances!C112:C112))</f>
        <v>0</v>
      </c>
      <c r="D112" s="1" t="n">
        <f aca="false" t="array" ref="D112:D112">_xlfn.SWITCH($A$2,"average", AVERAGE(Instances!D112:D112),"median", MEDIAN(Instances!D112:D112),"min", MIN(Instances!D112:D112),"max", MAX(Instances!D112:D112),"diff", MAX(Instances!D112:D112)-MIN(Instances!D112:D112))</f>
        <v>474324</v>
      </c>
      <c r="E112" s="1" t="n">
        <f aca="false" t="array" ref="E112:E112">_xlfn.SWITCH($A$2,"average", AVERAGE(Instances!E112:E112),"median", MEDIAN(Instances!E112:E112),"min", MIN(Instances!E112:E112),"max", MAX(Instances!E112:E112),"diff", MAX(Instances!E112:E112)-MIN(Instances!E112:E112))</f>
        <v>0</v>
      </c>
      <c r="F112" s="1" t="n">
        <f aca="false" t="array" ref="F112:F112">_xlfn.SWITCH($A$2,"average", AVERAGE(Instances!F112:F112),"median", MEDIAN(Instances!F112:F112),"min", MIN(Instances!F112:F112),"max", MAX(Instances!F112:F112),"diff", MAX(Instances!F112:F112)-MIN(Instances!F112:F112))</f>
        <v>245</v>
      </c>
      <c r="G112" s="1" t="n">
        <f aca="false" t="array" ref="G112:G112">_xlfn.SWITCH($A$2,"average", AVERAGE(Instances!G112:G112),"median", MEDIAN(Instances!G112:G112),"min", MIN(Instances!G112:G112),"max", MAX(Instances!G112:G112),"diff", MAX(Instances!G112:G112)-MIN(Instances!G112:G112))</f>
        <v>0</v>
      </c>
      <c r="H112" s="1" t="n">
        <f aca="false" t="array" ref="H112:H112">_xlfn.SWITCH($A$2,"average", AVERAGE(Instances!H112:H112),"median", MEDIAN(Instances!H112:H112),"min", MIN(Instances!H112:H112),"max", MAX(Instances!H112:H112),"diff", MAX(Instances!H112:H112)-MIN(Instances!H112:H112))</f>
        <v>1</v>
      </c>
      <c r="I112" s="1" t="n">
        <f aca="false" t="array" ref="I112:I112">_xlfn.SWITCH($A$2,"average", AVERAGE(Instances!I112:I112),"median", MEDIAN(Instances!I112:I112),"min", MIN(Instances!I112:I112),"max", MAX(Instances!I112:I112),"diff", MAX(Instances!I112:I112)-MIN(Instances!I112:I112))</f>
        <v>3.133</v>
      </c>
      <c r="J112" s="1" t="n">
        <f aca="false" t="array" ref="J112:J112">_xlfn.SWITCH($A$2,"average", AVERAGE(Instances!J112:J112),"median", MEDIAN(Instances!J112:J112),"min", MIN(Instances!J112:J112),"max", MAX(Instances!J112:J112),"diff", MAX(Instances!J112:J112)-MIN(Instances!J112:J112))</f>
        <v>3.23</v>
      </c>
      <c r="K112" s="1" t="n">
        <f aca="false" t="array" ref="K112:K112">_xlfn.SWITCH($A$2,"average", AVERAGE(Instances!K112:K112),"median", MEDIAN(Instances!K112:K112),"min", MIN(Instances!K112:K112),"max", MAX(Instances!K112:K112),"diff", MAX(Instances!K112:K112)-MIN(Instances!K112:K112))</f>
        <v>0</v>
      </c>
      <c r="L112" s="1"/>
      <c r="M112" s="1" t="n">
        <f aca="false" t="array" ref="M112:M112">_xlfn.SWITCH($A$2,"average", AVERAGE(Instances!M112:M112),"median", MEDIAN(Instances!M112:M112),"min", MIN(Instances!M112:M112),"max", MAX(Instances!M112:M112),"diff", MAX(Instances!M112:M112)-MIN(Instances!M112:M112))</f>
        <v>663947</v>
      </c>
      <c r="N112" s="1" t="n">
        <f aca="false" t="array" ref="N112:N112">_xlfn.SWITCH($A$2,"average", AVERAGE(Instances!N112:N112),"median", MEDIAN(Instances!N112:N112),"min", MIN(Instances!N112:N112),"max", MAX(Instances!N112:N112),"diff", MAX(Instances!N112:N112)-MIN(Instances!N112:N112))</f>
        <v>0.03</v>
      </c>
      <c r="O112" s="1"/>
      <c r="P112" s="1" t="n">
        <f aca="false" t="array" ref="P112:P112">_xlfn.SWITCH($A$2,"average", AVERAGE(Instances!P112:P112),"median", MEDIAN(Instances!P112:P112),"min", MIN(Instances!P112:P112),"max", MAX(Instances!P112:P112),"diff", MAX(Instances!P112:P112)-MIN(Instances!P112:P112))</f>
        <v>3.23</v>
      </c>
      <c r="Q112" s="1" t="n">
        <f aca="false" t="array" ref="Q112:Q112">_xlfn.SWITCH($A$2,"average", AVERAGE(Instances!Q112:Q112),"median", MEDIAN(Instances!Q112:Q112),"min", MIN(Instances!Q112:Q112),"max", MAX(Instances!Q112:Q112),"diff", MAX(Instances!Q112:Q112)-MIN(Instances!Q112:Q112))</f>
        <v>0</v>
      </c>
      <c r="R112" s="1" t="n">
        <f aca="false" t="array" ref="R112:R112">_xlfn.SWITCH($A$2,"average", AVERAGE(Instances!R112:R112),"median", MEDIAN(Instances!R112:R112),"min", MIN(Instances!R112:R112),"max", MAX(Instances!R112:R112),"diff", MAX(Instances!R112:R112)-MIN(Instances!R112:R112))</f>
        <v>253960</v>
      </c>
      <c r="S112" s="1" t="n">
        <f aca="false">MIN($B112)</f>
        <v>1085</v>
      </c>
      <c r="T112" s="1" t="n">
        <f aca="false">MIN($C112)</f>
        <v>0</v>
      </c>
      <c r="U112" s="1" t="n">
        <f aca="false">MIN($D112)</f>
        <v>474324</v>
      </c>
      <c r="V112" s="1" t="n">
        <f aca="false">MIN($E112)</f>
        <v>0</v>
      </c>
      <c r="W112" s="1" t="n">
        <f aca="false">MIN($F112)</f>
        <v>245</v>
      </c>
      <c r="X112" s="1" t="n">
        <f aca="false">MIN($G112)</f>
        <v>0</v>
      </c>
      <c r="Y112" s="1" t="n">
        <f aca="false">MIN($H112)</f>
        <v>1</v>
      </c>
      <c r="Z112" s="1" t="n">
        <f aca="false">MIN($I112)</f>
        <v>3.133</v>
      </c>
      <c r="AA112" s="1" t="n">
        <f aca="false">MIN($J112)</f>
        <v>3.23</v>
      </c>
      <c r="AB112" s="1" t="n">
        <f aca="false">MIN($K112)</f>
        <v>0</v>
      </c>
      <c r="AC112" s="1" t="n">
        <f aca="false">MIN($M112)</f>
        <v>663947</v>
      </c>
      <c r="AD112" s="1" t="n">
        <f aca="false">MIN($N112)</f>
        <v>0.03</v>
      </c>
      <c r="AE112" s="1" t="n">
        <f aca="false">MIN($P112)</f>
        <v>3.23</v>
      </c>
      <c r="AF112" s="1" t="n">
        <f aca="false">MIN($Q112)</f>
        <v>0</v>
      </c>
      <c r="AG112" s="1" t="n">
        <f aca="false">MIN($R112)</f>
        <v>253960</v>
      </c>
      <c r="AH112" s="1" t="n">
        <f aca="false">MEDIAN($B112)</f>
        <v>1085</v>
      </c>
      <c r="AI112" s="1" t="n">
        <f aca="false">MEDIAN($C112)</f>
        <v>0</v>
      </c>
      <c r="AJ112" s="1" t="n">
        <f aca="false">MEDIAN($D112)</f>
        <v>474324</v>
      </c>
      <c r="AK112" s="1" t="n">
        <f aca="false">MEDIAN($E112)</f>
        <v>0</v>
      </c>
      <c r="AL112" s="1" t="n">
        <f aca="false">MEDIAN($F112)</f>
        <v>245</v>
      </c>
      <c r="AM112" s="1" t="n">
        <f aca="false">MEDIAN($G112)</f>
        <v>0</v>
      </c>
      <c r="AN112" s="1" t="n">
        <f aca="false">MEDIAN($H112)</f>
        <v>1</v>
      </c>
      <c r="AO112" s="1" t="n">
        <f aca="false">MEDIAN($I112)</f>
        <v>3.133</v>
      </c>
      <c r="AP112" s="1" t="n">
        <f aca="false">MEDIAN($J112)</f>
        <v>3.23</v>
      </c>
      <c r="AQ112" s="1" t="n">
        <f aca="false">MEDIAN($K112)</f>
        <v>0</v>
      </c>
      <c r="AR112" s="1" t="n">
        <f aca="false">MEDIAN($M112)</f>
        <v>663947</v>
      </c>
      <c r="AS112" s="1" t="n">
        <f aca="false">MEDIAN($N112)</f>
        <v>0.03</v>
      </c>
      <c r="AT112" s="1" t="n">
        <f aca="false">MEDIAN($P112)</f>
        <v>3.23</v>
      </c>
      <c r="AU112" s="1" t="n">
        <f aca="false">MEDIAN($Q112)</f>
        <v>0</v>
      </c>
      <c r="AV112" s="1" t="n">
        <f aca="false">MEDIAN($R112)</f>
        <v>253960</v>
      </c>
      <c r="AW112" s="1" t="n">
        <f aca="false">MAX($B112)</f>
        <v>1085</v>
      </c>
      <c r="AX112" s="1" t="n">
        <f aca="false">MAX($C112)</f>
        <v>0</v>
      </c>
      <c r="AY112" s="1" t="n">
        <f aca="false">MAX($D112)</f>
        <v>474324</v>
      </c>
      <c r="AZ112" s="1" t="n">
        <f aca="false">MAX($E112)</f>
        <v>0</v>
      </c>
      <c r="BA112" s="1" t="n">
        <f aca="false">MAX($F112)</f>
        <v>245</v>
      </c>
      <c r="BB112" s="1" t="n">
        <f aca="false">MAX($G112)</f>
        <v>0</v>
      </c>
      <c r="BC112" s="1" t="n">
        <f aca="false">MAX($H112)</f>
        <v>1</v>
      </c>
      <c r="BD112" s="1" t="n">
        <f aca="false">MAX($I112)</f>
        <v>3.133</v>
      </c>
      <c r="BE112" s="1" t="n">
        <f aca="false">MAX($J112)</f>
        <v>3.23</v>
      </c>
      <c r="BF112" s="1" t="n">
        <f aca="false">MAX($K112)</f>
        <v>0</v>
      </c>
      <c r="BG112" s="1" t="n">
        <f aca="false">MAX($M112)</f>
        <v>663947</v>
      </c>
      <c r="BH112" s="1" t="n">
        <f aca="false">MAX($N112)</f>
        <v>0.03</v>
      </c>
      <c r="BI112" s="1" t="n">
        <f aca="false">MAX($P112)</f>
        <v>3.23</v>
      </c>
      <c r="BJ112" s="1" t="n">
        <f aca="false">MAX($Q112)</f>
        <v>0</v>
      </c>
      <c r="BK112" s="1" t="n">
        <f aca="false">MAX($R112)</f>
        <v>253960</v>
      </c>
    </row>
    <row r="113" customFormat="false" ht="15" hidden="false" customHeight="false" outlineLevel="0" collapsed="false">
      <c r="A113" s="1" t="s">
        <v>130</v>
      </c>
      <c r="B113" s="1" t="n">
        <f aca="false" t="array" ref="B113:B113">_xlfn.SWITCH($A$2,"average", AVERAGE(Instances!B113:B113),"median", MEDIAN(Instances!B113:B113),"min", MIN(Instances!B113:B113),"max", MAX(Instances!B113:B113),"diff", MAX(Instances!B113:B113)-MIN(Instances!B113:B113))</f>
        <v>646</v>
      </c>
      <c r="C113" s="1" t="n">
        <f aca="false" t="array" ref="C113:C113">_xlfn.SWITCH($A$2,"average", AVERAGE(Instances!C113:C113),"median", MEDIAN(Instances!C113:C113),"min", MIN(Instances!C113:C113),"max", MAX(Instances!C113:C113),"diff", MAX(Instances!C113:C113)-MIN(Instances!C113:C113))</f>
        <v>0</v>
      </c>
      <c r="D113" s="1" t="n">
        <f aca="false" t="array" ref="D113:D113">_xlfn.SWITCH($A$2,"average", AVERAGE(Instances!D113:D113),"median", MEDIAN(Instances!D113:D113),"min", MIN(Instances!D113:D113),"max", MAX(Instances!D113:D113),"diff", MAX(Instances!D113:D113)-MIN(Instances!D113:D113))</f>
        <v>299022</v>
      </c>
      <c r="E113" s="1" t="n">
        <f aca="false" t="array" ref="E113:E113">_xlfn.SWITCH($A$2,"average", AVERAGE(Instances!E113:E113),"median", MEDIAN(Instances!E113:E113),"min", MIN(Instances!E113:E113),"max", MAX(Instances!E113:E113),"diff", MAX(Instances!E113:E113)-MIN(Instances!E113:E113))</f>
        <v>0</v>
      </c>
      <c r="F113" s="1" t="n">
        <f aca="false" t="array" ref="F113:F113">_xlfn.SWITCH($A$2,"average", AVERAGE(Instances!F113:F113),"median", MEDIAN(Instances!F113:F113),"min", MIN(Instances!F113:F113),"max", MAX(Instances!F113:F113),"diff", MAX(Instances!F113:F113)-MIN(Instances!F113:F113))</f>
        <v>198</v>
      </c>
      <c r="G113" s="1" t="n">
        <f aca="false" t="array" ref="G113:G113">_xlfn.SWITCH($A$2,"average", AVERAGE(Instances!G113:G113),"median", MEDIAN(Instances!G113:G113),"min", MIN(Instances!G113:G113),"max", MAX(Instances!G113:G113),"diff", MAX(Instances!G113:G113)-MIN(Instances!G113:G113))</f>
        <v>0</v>
      </c>
      <c r="H113" s="1" t="n">
        <f aca="false" t="array" ref="H113:H113">_xlfn.SWITCH($A$2,"average", AVERAGE(Instances!H113:H113),"median", MEDIAN(Instances!H113:H113),"min", MIN(Instances!H113:H113),"max", MAX(Instances!H113:H113),"diff", MAX(Instances!H113:H113)-MIN(Instances!H113:H113))</f>
        <v>1</v>
      </c>
      <c r="I113" s="1" t="n">
        <f aca="false" t="array" ref="I113:I113">_xlfn.SWITCH($A$2,"average", AVERAGE(Instances!I113:I113),"median", MEDIAN(Instances!I113:I113),"min", MIN(Instances!I113:I113),"max", MAX(Instances!I113:I113),"diff", MAX(Instances!I113:I113)-MIN(Instances!I113:I113))</f>
        <v>2.368</v>
      </c>
      <c r="J113" s="1" t="n">
        <f aca="false" t="array" ref="J113:J113">_xlfn.SWITCH($A$2,"average", AVERAGE(Instances!J113:J113),"median", MEDIAN(Instances!J113:J113),"min", MIN(Instances!J113:J113),"max", MAX(Instances!J113:J113),"diff", MAX(Instances!J113:J113)-MIN(Instances!J113:J113))</f>
        <v>2.44</v>
      </c>
      <c r="K113" s="1" t="n">
        <f aca="false" t="array" ref="K113:K113">_xlfn.SWITCH($A$2,"average", AVERAGE(Instances!K113:K113),"median", MEDIAN(Instances!K113:K113),"min", MIN(Instances!K113:K113),"max", MAX(Instances!K113:K113),"diff", MAX(Instances!K113:K113)-MIN(Instances!K113:K113))</f>
        <v>0</v>
      </c>
      <c r="L113" s="1"/>
      <c r="M113" s="1" t="n">
        <f aca="false" t="array" ref="M113:M113">_xlfn.SWITCH($A$2,"average", AVERAGE(Instances!M113:M113),"median", MEDIAN(Instances!M113:M113),"min", MIN(Instances!M113:M113),"max", MAX(Instances!M113:M113),"diff", MAX(Instances!M113:M113)-MIN(Instances!M113:M113))</f>
        <v>511481</v>
      </c>
      <c r="N113" s="1" t="n">
        <f aca="false" t="array" ref="N113:N113">_xlfn.SWITCH($A$2,"average", AVERAGE(Instances!N113:N113),"median", MEDIAN(Instances!N113:N113),"min", MIN(Instances!N113:N113),"max", MAX(Instances!N113:N113),"diff", MAX(Instances!N113:N113)-MIN(Instances!N113:N113))</f>
        <v>0.03</v>
      </c>
      <c r="O113" s="1"/>
      <c r="P113" s="1" t="n">
        <f aca="false" t="array" ref="P113:P113">_xlfn.SWITCH($A$2,"average", AVERAGE(Instances!P113:P113),"median", MEDIAN(Instances!P113:P113),"min", MIN(Instances!P113:P113),"max", MAX(Instances!P113:P113),"diff", MAX(Instances!P113:P113)-MIN(Instances!P113:P113))</f>
        <v>2.44</v>
      </c>
      <c r="Q113" s="1" t="n">
        <f aca="false" t="array" ref="Q113:Q113">_xlfn.SWITCH($A$2,"average", AVERAGE(Instances!Q113:Q113),"median", MEDIAN(Instances!Q113:Q113),"min", MIN(Instances!Q113:Q113),"max", MAX(Instances!Q113:Q113),"diff", MAX(Instances!Q113:Q113)-MIN(Instances!Q113:Q113))</f>
        <v>0</v>
      </c>
      <c r="R113" s="1" t="n">
        <f aca="false" t="array" ref="R113:R113">_xlfn.SWITCH($A$2,"average", AVERAGE(Instances!R113:R113),"median", MEDIAN(Instances!R113:R113),"min", MIN(Instances!R113:R113),"max", MAX(Instances!R113:R113),"diff", MAX(Instances!R113:R113)-MIN(Instances!R113:R113))</f>
        <v>201120</v>
      </c>
      <c r="S113" s="1" t="n">
        <f aca="false">MIN($B113)</f>
        <v>646</v>
      </c>
      <c r="T113" s="1" t="n">
        <f aca="false">MIN($C113)</f>
        <v>0</v>
      </c>
      <c r="U113" s="1" t="n">
        <f aca="false">MIN($D113)</f>
        <v>299022</v>
      </c>
      <c r="V113" s="1" t="n">
        <f aca="false">MIN($E113)</f>
        <v>0</v>
      </c>
      <c r="W113" s="1" t="n">
        <f aca="false">MIN($F113)</f>
        <v>198</v>
      </c>
      <c r="X113" s="1" t="n">
        <f aca="false">MIN($G113)</f>
        <v>0</v>
      </c>
      <c r="Y113" s="1" t="n">
        <f aca="false">MIN($H113)</f>
        <v>1</v>
      </c>
      <c r="Z113" s="1" t="n">
        <f aca="false">MIN($I113)</f>
        <v>2.368</v>
      </c>
      <c r="AA113" s="1" t="n">
        <f aca="false">MIN($J113)</f>
        <v>2.44</v>
      </c>
      <c r="AB113" s="1" t="n">
        <f aca="false">MIN($K113)</f>
        <v>0</v>
      </c>
      <c r="AC113" s="1" t="n">
        <f aca="false">MIN($M113)</f>
        <v>511481</v>
      </c>
      <c r="AD113" s="1" t="n">
        <f aca="false">MIN($N113)</f>
        <v>0.03</v>
      </c>
      <c r="AE113" s="1" t="n">
        <f aca="false">MIN($P113)</f>
        <v>2.44</v>
      </c>
      <c r="AF113" s="1" t="n">
        <f aca="false">MIN($Q113)</f>
        <v>0</v>
      </c>
      <c r="AG113" s="1" t="n">
        <f aca="false">MIN($R113)</f>
        <v>201120</v>
      </c>
      <c r="AH113" s="1" t="n">
        <f aca="false">MEDIAN($B113)</f>
        <v>646</v>
      </c>
      <c r="AI113" s="1" t="n">
        <f aca="false">MEDIAN($C113)</f>
        <v>0</v>
      </c>
      <c r="AJ113" s="1" t="n">
        <f aca="false">MEDIAN($D113)</f>
        <v>299022</v>
      </c>
      <c r="AK113" s="1" t="n">
        <f aca="false">MEDIAN($E113)</f>
        <v>0</v>
      </c>
      <c r="AL113" s="1" t="n">
        <f aca="false">MEDIAN($F113)</f>
        <v>198</v>
      </c>
      <c r="AM113" s="1" t="n">
        <f aca="false">MEDIAN($G113)</f>
        <v>0</v>
      </c>
      <c r="AN113" s="1" t="n">
        <f aca="false">MEDIAN($H113)</f>
        <v>1</v>
      </c>
      <c r="AO113" s="1" t="n">
        <f aca="false">MEDIAN($I113)</f>
        <v>2.368</v>
      </c>
      <c r="AP113" s="1" t="n">
        <f aca="false">MEDIAN($J113)</f>
        <v>2.44</v>
      </c>
      <c r="AQ113" s="1" t="n">
        <f aca="false">MEDIAN($K113)</f>
        <v>0</v>
      </c>
      <c r="AR113" s="1" t="n">
        <f aca="false">MEDIAN($M113)</f>
        <v>511481</v>
      </c>
      <c r="AS113" s="1" t="n">
        <f aca="false">MEDIAN($N113)</f>
        <v>0.03</v>
      </c>
      <c r="AT113" s="1" t="n">
        <f aca="false">MEDIAN($P113)</f>
        <v>2.44</v>
      </c>
      <c r="AU113" s="1" t="n">
        <f aca="false">MEDIAN($Q113)</f>
        <v>0</v>
      </c>
      <c r="AV113" s="1" t="n">
        <f aca="false">MEDIAN($R113)</f>
        <v>201120</v>
      </c>
      <c r="AW113" s="1" t="n">
        <f aca="false">MAX($B113)</f>
        <v>646</v>
      </c>
      <c r="AX113" s="1" t="n">
        <f aca="false">MAX($C113)</f>
        <v>0</v>
      </c>
      <c r="AY113" s="1" t="n">
        <f aca="false">MAX($D113)</f>
        <v>299022</v>
      </c>
      <c r="AZ113" s="1" t="n">
        <f aca="false">MAX($E113)</f>
        <v>0</v>
      </c>
      <c r="BA113" s="1" t="n">
        <f aca="false">MAX($F113)</f>
        <v>198</v>
      </c>
      <c r="BB113" s="1" t="n">
        <f aca="false">MAX($G113)</f>
        <v>0</v>
      </c>
      <c r="BC113" s="1" t="n">
        <f aca="false">MAX($H113)</f>
        <v>1</v>
      </c>
      <c r="BD113" s="1" t="n">
        <f aca="false">MAX($I113)</f>
        <v>2.368</v>
      </c>
      <c r="BE113" s="1" t="n">
        <f aca="false">MAX($J113)</f>
        <v>2.44</v>
      </c>
      <c r="BF113" s="1" t="n">
        <f aca="false">MAX($K113)</f>
        <v>0</v>
      </c>
      <c r="BG113" s="1" t="n">
        <f aca="false">MAX($M113)</f>
        <v>511481</v>
      </c>
      <c r="BH113" s="1" t="n">
        <f aca="false">MAX($N113)</f>
        <v>0.03</v>
      </c>
      <c r="BI113" s="1" t="n">
        <f aca="false">MAX($P113)</f>
        <v>2.44</v>
      </c>
      <c r="BJ113" s="1" t="n">
        <f aca="false">MAX($Q113)</f>
        <v>0</v>
      </c>
      <c r="BK113" s="1" t="n">
        <f aca="false">MAX($R113)</f>
        <v>201120</v>
      </c>
    </row>
    <row r="114" customFormat="false" ht="15" hidden="false" customHeight="false" outlineLevel="0" collapsed="false">
      <c r="A114" s="1" t="s">
        <v>131</v>
      </c>
      <c r="B114" s="1" t="n">
        <f aca="false" t="array" ref="B114:B114">_xlfn.SWITCH($A$2,"average", AVERAGE(Instances!B114:B114),"median", MEDIAN(Instances!B114:B114),"min", MIN(Instances!B114:B114),"max", MAX(Instances!B114:B114),"diff", MAX(Instances!B114:B114)-MIN(Instances!B114:B114))</f>
        <v>621</v>
      </c>
      <c r="C114" s="1" t="n">
        <f aca="false" t="array" ref="C114:C114">_xlfn.SWITCH($A$2,"average", AVERAGE(Instances!C114:C114),"median", MEDIAN(Instances!C114:C114),"min", MIN(Instances!C114:C114),"max", MAX(Instances!C114:C114),"diff", MAX(Instances!C114:C114)-MIN(Instances!C114:C114))</f>
        <v>0</v>
      </c>
      <c r="D114" s="1" t="n">
        <f aca="false" t="array" ref="D114:D114">_xlfn.SWITCH($A$2,"average", AVERAGE(Instances!D114:D114),"median", MEDIAN(Instances!D114:D114),"min", MIN(Instances!D114:D114),"max", MAX(Instances!D114:D114),"diff", MAX(Instances!D114:D114)-MIN(Instances!D114:D114))</f>
        <v>377548</v>
      </c>
      <c r="E114" s="1" t="n">
        <f aca="false" t="array" ref="E114:E114">_xlfn.SWITCH($A$2,"average", AVERAGE(Instances!E114:E114),"median", MEDIAN(Instances!E114:E114),"min", MIN(Instances!E114:E114),"max", MAX(Instances!E114:E114),"diff", MAX(Instances!E114:E114)-MIN(Instances!E114:E114))</f>
        <v>0</v>
      </c>
      <c r="F114" s="1" t="n">
        <f aca="false" t="array" ref="F114:F114">_xlfn.SWITCH($A$2,"average", AVERAGE(Instances!F114:F114),"median", MEDIAN(Instances!F114:F114),"min", MIN(Instances!F114:F114),"max", MAX(Instances!F114:F114),"diff", MAX(Instances!F114:F114)-MIN(Instances!F114:F114))</f>
        <v>257</v>
      </c>
      <c r="G114" s="1" t="n">
        <f aca="false" t="array" ref="G114:G114">_xlfn.SWITCH($A$2,"average", AVERAGE(Instances!G114:G114),"median", MEDIAN(Instances!G114:G114),"min", MIN(Instances!G114:G114),"max", MAX(Instances!G114:G114),"diff", MAX(Instances!G114:G114)-MIN(Instances!G114:G114))</f>
        <v>0</v>
      </c>
      <c r="H114" s="1" t="n">
        <f aca="false" t="array" ref="H114:H114">_xlfn.SWITCH($A$2,"average", AVERAGE(Instances!H114:H114),"median", MEDIAN(Instances!H114:H114),"min", MIN(Instances!H114:H114),"max", MAX(Instances!H114:H114),"diff", MAX(Instances!H114:H114)-MIN(Instances!H114:H114))</f>
        <v>1</v>
      </c>
      <c r="I114" s="1" t="n">
        <f aca="false" t="array" ref="I114:I114">_xlfn.SWITCH($A$2,"average", AVERAGE(Instances!I114:I114),"median", MEDIAN(Instances!I114:I114),"min", MIN(Instances!I114:I114),"max", MAX(Instances!I114:I114),"diff", MAX(Instances!I114:I114)-MIN(Instances!I114:I114))</f>
        <v>3.281</v>
      </c>
      <c r="J114" s="1" t="n">
        <f aca="false" t="array" ref="J114:J114">_xlfn.SWITCH($A$2,"average", AVERAGE(Instances!J114:J114),"median", MEDIAN(Instances!J114:J114),"min", MIN(Instances!J114:J114),"max", MAX(Instances!J114:J114),"diff", MAX(Instances!J114:J114)-MIN(Instances!J114:J114))</f>
        <v>3.38</v>
      </c>
      <c r="K114" s="1" t="n">
        <f aca="false" t="array" ref="K114:K114">_xlfn.SWITCH($A$2,"average", AVERAGE(Instances!K114:K114),"median", MEDIAN(Instances!K114:K114),"min", MIN(Instances!K114:K114),"max", MAX(Instances!K114:K114),"diff", MAX(Instances!K114:K114)-MIN(Instances!K114:K114))</f>
        <v>0</v>
      </c>
      <c r="L114" s="1"/>
      <c r="M114" s="1" t="n">
        <f aca="false" t="array" ref="M114:M114">_xlfn.SWITCH($A$2,"average", AVERAGE(Instances!M114:M114),"median", MEDIAN(Instances!M114:M114),"min", MIN(Instances!M114:M114),"max", MAX(Instances!M114:M114),"diff", MAX(Instances!M114:M114)-MIN(Instances!M114:M114))</f>
        <v>678513</v>
      </c>
      <c r="N114" s="1" t="n">
        <f aca="false" t="array" ref="N114:N114">_xlfn.SWITCH($A$2,"average", AVERAGE(Instances!N114:N114),"median", MEDIAN(Instances!N114:N114),"min", MIN(Instances!N114:N114),"max", MAX(Instances!N114:N114),"diff", MAX(Instances!N114:N114)-MIN(Instances!N114:N114))</f>
        <v>0.03</v>
      </c>
      <c r="O114" s="1"/>
      <c r="P114" s="1" t="n">
        <f aca="false" t="array" ref="P114:P114">_xlfn.SWITCH($A$2,"average", AVERAGE(Instances!P114:P114),"median", MEDIAN(Instances!P114:P114),"min", MIN(Instances!P114:P114),"max", MAX(Instances!P114:P114),"diff", MAX(Instances!P114:P114)-MIN(Instances!P114:P114))</f>
        <v>3.38</v>
      </c>
      <c r="Q114" s="1" t="n">
        <f aca="false" t="array" ref="Q114:Q114">_xlfn.SWITCH($A$2,"average", AVERAGE(Instances!Q114:Q114),"median", MEDIAN(Instances!Q114:Q114),"min", MIN(Instances!Q114:Q114),"max", MAX(Instances!Q114:Q114),"diff", MAX(Instances!Q114:Q114)-MIN(Instances!Q114:Q114))</f>
        <v>0</v>
      </c>
      <c r="R114" s="1" t="n">
        <f aca="false" t="array" ref="R114:R114">_xlfn.SWITCH($A$2,"average", AVERAGE(Instances!R114:R114),"median", MEDIAN(Instances!R114:R114),"min", MIN(Instances!R114:R114),"max", MAX(Instances!R114:R114),"diff", MAX(Instances!R114:R114)-MIN(Instances!R114:R114))</f>
        <v>263228</v>
      </c>
      <c r="S114" s="1" t="n">
        <f aca="false">MIN($B114)</f>
        <v>621</v>
      </c>
      <c r="T114" s="1" t="n">
        <f aca="false">MIN($C114)</f>
        <v>0</v>
      </c>
      <c r="U114" s="1" t="n">
        <f aca="false">MIN($D114)</f>
        <v>377548</v>
      </c>
      <c r="V114" s="1" t="n">
        <f aca="false">MIN($E114)</f>
        <v>0</v>
      </c>
      <c r="W114" s="1" t="n">
        <f aca="false">MIN($F114)</f>
        <v>257</v>
      </c>
      <c r="X114" s="1" t="n">
        <f aca="false">MIN($G114)</f>
        <v>0</v>
      </c>
      <c r="Y114" s="1" t="n">
        <f aca="false">MIN($H114)</f>
        <v>1</v>
      </c>
      <c r="Z114" s="1" t="n">
        <f aca="false">MIN($I114)</f>
        <v>3.281</v>
      </c>
      <c r="AA114" s="1" t="n">
        <f aca="false">MIN($J114)</f>
        <v>3.38</v>
      </c>
      <c r="AB114" s="1" t="n">
        <f aca="false">MIN($K114)</f>
        <v>0</v>
      </c>
      <c r="AC114" s="1" t="n">
        <f aca="false">MIN($M114)</f>
        <v>678513</v>
      </c>
      <c r="AD114" s="1" t="n">
        <f aca="false">MIN($N114)</f>
        <v>0.03</v>
      </c>
      <c r="AE114" s="1" t="n">
        <f aca="false">MIN($P114)</f>
        <v>3.38</v>
      </c>
      <c r="AF114" s="1" t="n">
        <f aca="false">MIN($Q114)</f>
        <v>0</v>
      </c>
      <c r="AG114" s="1" t="n">
        <f aca="false">MIN($R114)</f>
        <v>263228</v>
      </c>
      <c r="AH114" s="1" t="n">
        <f aca="false">MEDIAN($B114)</f>
        <v>621</v>
      </c>
      <c r="AI114" s="1" t="n">
        <f aca="false">MEDIAN($C114)</f>
        <v>0</v>
      </c>
      <c r="AJ114" s="1" t="n">
        <f aca="false">MEDIAN($D114)</f>
        <v>377548</v>
      </c>
      <c r="AK114" s="1" t="n">
        <f aca="false">MEDIAN($E114)</f>
        <v>0</v>
      </c>
      <c r="AL114" s="1" t="n">
        <f aca="false">MEDIAN($F114)</f>
        <v>257</v>
      </c>
      <c r="AM114" s="1" t="n">
        <f aca="false">MEDIAN($G114)</f>
        <v>0</v>
      </c>
      <c r="AN114" s="1" t="n">
        <f aca="false">MEDIAN($H114)</f>
        <v>1</v>
      </c>
      <c r="AO114" s="1" t="n">
        <f aca="false">MEDIAN($I114)</f>
        <v>3.281</v>
      </c>
      <c r="AP114" s="1" t="n">
        <f aca="false">MEDIAN($J114)</f>
        <v>3.38</v>
      </c>
      <c r="AQ114" s="1" t="n">
        <f aca="false">MEDIAN($K114)</f>
        <v>0</v>
      </c>
      <c r="AR114" s="1" t="n">
        <f aca="false">MEDIAN($M114)</f>
        <v>678513</v>
      </c>
      <c r="AS114" s="1" t="n">
        <f aca="false">MEDIAN($N114)</f>
        <v>0.03</v>
      </c>
      <c r="AT114" s="1" t="n">
        <f aca="false">MEDIAN($P114)</f>
        <v>3.38</v>
      </c>
      <c r="AU114" s="1" t="n">
        <f aca="false">MEDIAN($Q114)</f>
        <v>0</v>
      </c>
      <c r="AV114" s="1" t="n">
        <f aca="false">MEDIAN($R114)</f>
        <v>263228</v>
      </c>
      <c r="AW114" s="1" t="n">
        <f aca="false">MAX($B114)</f>
        <v>621</v>
      </c>
      <c r="AX114" s="1" t="n">
        <f aca="false">MAX($C114)</f>
        <v>0</v>
      </c>
      <c r="AY114" s="1" t="n">
        <f aca="false">MAX($D114)</f>
        <v>377548</v>
      </c>
      <c r="AZ114" s="1" t="n">
        <f aca="false">MAX($E114)</f>
        <v>0</v>
      </c>
      <c r="BA114" s="1" t="n">
        <f aca="false">MAX($F114)</f>
        <v>257</v>
      </c>
      <c r="BB114" s="1" t="n">
        <f aca="false">MAX($G114)</f>
        <v>0</v>
      </c>
      <c r="BC114" s="1" t="n">
        <f aca="false">MAX($H114)</f>
        <v>1</v>
      </c>
      <c r="BD114" s="1" t="n">
        <f aca="false">MAX($I114)</f>
        <v>3.281</v>
      </c>
      <c r="BE114" s="1" t="n">
        <f aca="false">MAX($J114)</f>
        <v>3.38</v>
      </c>
      <c r="BF114" s="1" t="n">
        <f aca="false">MAX($K114)</f>
        <v>0</v>
      </c>
      <c r="BG114" s="1" t="n">
        <f aca="false">MAX($M114)</f>
        <v>678513</v>
      </c>
      <c r="BH114" s="1" t="n">
        <f aca="false">MAX($N114)</f>
        <v>0.03</v>
      </c>
      <c r="BI114" s="1" t="n">
        <f aca="false">MAX($P114)</f>
        <v>3.38</v>
      </c>
      <c r="BJ114" s="1" t="n">
        <f aca="false">MAX($Q114)</f>
        <v>0</v>
      </c>
      <c r="BK114" s="1" t="n">
        <f aca="false">MAX($R114)</f>
        <v>263228</v>
      </c>
    </row>
    <row r="115" customFormat="false" ht="15" hidden="false" customHeight="false" outlineLevel="0" collapsed="false">
      <c r="A115" s="1" t="s">
        <v>132</v>
      </c>
      <c r="B115" s="1" t="n">
        <f aca="false" t="array" ref="B115:B115">_xlfn.SWITCH($A$2,"average", AVERAGE(Instances!B115:B115),"median", MEDIAN(Instances!B115:B115),"min", MIN(Instances!B115:B115),"max", MAX(Instances!B115:B115),"diff", MAX(Instances!B115:B115)-MIN(Instances!B115:B115))</f>
        <v>2069</v>
      </c>
      <c r="C115" s="1" t="n">
        <f aca="false" t="array" ref="C115:C115">_xlfn.SWITCH($A$2,"average", AVERAGE(Instances!C115:C115),"median", MEDIAN(Instances!C115:C115),"min", MIN(Instances!C115:C115),"max", MAX(Instances!C115:C115),"diff", MAX(Instances!C115:C115)-MIN(Instances!C115:C115))</f>
        <v>0</v>
      </c>
      <c r="D115" s="1" t="n">
        <f aca="false" t="array" ref="D115:D115">_xlfn.SWITCH($A$2,"average", AVERAGE(Instances!D115:D115),"median", MEDIAN(Instances!D115:D115),"min", MIN(Instances!D115:D115),"max", MAX(Instances!D115:D115),"diff", MAX(Instances!D115:D115)-MIN(Instances!D115:D115))</f>
        <v>435080</v>
      </c>
      <c r="E115" s="1" t="n">
        <f aca="false" t="array" ref="E115:E115">_xlfn.SWITCH($A$2,"average", AVERAGE(Instances!E115:E115),"median", MEDIAN(Instances!E115:E115),"min", MIN(Instances!E115:E115),"max", MAX(Instances!E115:E115),"diff", MAX(Instances!E115:E115)-MIN(Instances!E115:E115))</f>
        <v>0</v>
      </c>
      <c r="F115" s="1" t="n">
        <f aca="false" t="array" ref="F115:F115">_xlfn.SWITCH($A$2,"average", AVERAGE(Instances!F115:F115),"median", MEDIAN(Instances!F115:F115),"min", MIN(Instances!F115:F115),"max", MAX(Instances!F115:F115),"diff", MAX(Instances!F115:F115)-MIN(Instances!F115:F115))</f>
        <v>266</v>
      </c>
      <c r="G115" s="1" t="n">
        <f aca="false" t="array" ref="G115:G115">_xlfn.SWITCH($A$2,"average", AVERAGE(Instances!G115:G115),"median", MEDIAN(Instances!G115:G115),"min", MIN(Instances!G115:G115),"max", MAX(Instances!G115:G115),"diff", MAX(Instances!G115:G115)-MIN(Instances!G115:G115))</f>
        <v>0</v>
      </c>
      <c r="H115" s="1" t="n">
        <f aca="false" t="array" ref="H115:H115">_xlfn.SWITCH($A$2,"average", AVERAGE(Instances!H115:H115),"median", MEDIAN(Instances!H115:H115),"min", MIN(Instances!H115:H115),"max", MAX(Instances!H115:H115),"diff", MAX(Instances!H115:H115)-MIN(Instances!H115:H115))</f>
        <v>1</v>
      </c>
      <c r="I115" s="1" t="n">
        <f aca="false" t="array" ref="I115:I115">_xlfn.SWITCH($A$2,"average", AVERAGE(Instances!I115:I115),"median", MEDIAN(Instances!I115:I115),"min", MIN(Instances!I115:I115),"max", MAX(Instances!I115:I115),"diff", MAX(Instances!I115:I115)-MIN(Instances!I115:I115))</f>
        <v>3.423</v>
      </c>
      <c r="J115" s="1" t="n">
        <f aca="false" t="array" ref="J115:J115">_xlfn.SWITCH($A$2,"average", AVERAGE(Instances!J115:J115),"median", MEDIAN(Instances!J115:J115),"min", MIN(Instances!J115:J115),"max", MAX(Instances!J115:J115),"diff", MAX(Instances!J115:J115)-MIN(Instances!J115:J115))</f>
        <v>3.52</v>
      </c>
      <c r="K115" s="1" t="n">
        <f aca="false" t="array" ref="K115:K115">_xlfn.SWITCH($A$2,"average", AVERAGE(Instances!K115:K115),"median", MEDIAN(Instances!K115:K115),"min", MIN(Instances!K115:K115),"max", MAX(Instances!K115:K115),"diff", MAX(Instances!K115:K115)-MIN(Instances!K115:K115))</f>
        <v>0</v>
      </c>
      <c r="L115" s="1"/>
      <c r="M115" s="1" t="n">
        <f aca="false" t="array" ref="M115:M115">_xlfn.SWITCH($A$2,"average", AVERAGE(Instances!M115:M115),"median", MEDIAN(Instances!M115:M115),"min", MIN(Instances!M115:M115),"max", MAX(Instances!M115:M115),"diff", MAX(Instances!M115:M115)-MIN(Instances!M115:M115))</f>
        <v>736354</v>
      </c>
      <c r="N115" s="1" t="n">
        <f aca="false" t="array" ref="N115:N115">_xlfn.SWITCH($A$2,"average", AVERAGE(Instances!N115:N115),"median", MEDIAN(Instances!N115:N115),"min", MIN(Instances!N115:N115),"max", MAX(Instances!N115:N115),"diff", MAX(Instances!N115:N115)-MIN(Instances!N115:N115))</f>
        <v>0.04</v>
      </c>
      <c r="O115" s="1"/>
      <c r="P115" s="1" t="n">
        <f aca="false" t="array" ref="P115:P115">_xlfn.SWITCH($A$2,"average", AVERAGE(Instances!P115:P115),"median", MEDIAN(Instances!P115:P115),"min", MIN(Instances!P115:P115),"max", MAX(Instances!P115:P115),"diff", MAX(Instances!P115:P115)-MIN(Instances!P115:P115))</f>
        <v>3.52</v>
      </c>
      <c r="Q115" s="1" t="n">
        <f aca="false" t="array" ref="Q115:Q115">_xlfn.SWITCH($A$2,"average", AVERAGE(Instances!Q115:Q115),"median", MEDIAN(Instances!Q115:Q115),"min", MIN(Instances!Q115:Q115),"max", MAX(Instances!Q115:Q115),"diff", MAX(Instances!Q115:Q115)-MIN(Instances!Q115:Q115))</f>
        <v>0</v>
      </c>
      <c r="R115" s="1" t="n">
        <f aca="false" t="array" ref="R115:R115">_xlfn.SWITCH($A$2,"average", AVERAGE(Instances!R115:R115),"median", MEDIAN(Instances!R115:R115),"min", MIN(Instances!R115:R115),"max", MAX(Instances!R115:R115),"diff", MAX(Instances!R115:R115)-MIN(Instances!R115:R115))</f>
        <v>278123</v>
      </c>
      <c r="S115" s="1" t="n">
        <f aca="false">MIN($B115)</f>
        <v>2069</v>
      </c>
      <c r="T115" s="1" t="n">
        <f aca="false">MIN($C115)</f>
        <v>0</v>
      </c>
      <c r="U115" s="1" t="n">
        <f aca="false">MIN($D115)</f>
        <v>435080</v>
      </c>
      <c r="V115" s="1" t="n">
        <f aca="false">MIN($E115)</f>
        <v>0</v>
      </c>
      <c r="W115" s="1" t="n">
        <f aca="false">MIN($F115)</f>
        <v>266</v>
      </c>
      <c r="X115" s="1" t="n">
        <f aca="false">MIN($G115)</f>
        <v>0</v>
      </c>
      <c r="Y115" s="1" t="n">
        <f aca="false">MIN($H115)</f>
        <v>1</v>
      </c>
      <c r="Z115" s="1" t="n">
        <f aca="false">MIN($I115)</f>
        <v>3.423</v>
      </c>
      <c r="AA115" s="1" t="n">
        <f aca="false">MIN($J115)</f>
        <v>3.52</v>
      </c>
      <c r="AB115" s="1" t="n">
        <f aca="false">MIN($K115)</f>
        <v>0</v>
      </c>
      <c r="AC115" s="1" t="n">
        <f aca="false">MIN($M115)</f>
        <v>736354</v>
      </c>
      <c r="AD115" s="1" t="n">
        <f aca="false">MIN($N115)</f>
        <v>0.04</v>
      </c>
      <c r="AE115" s="1" t="n">
        <f aca="false">MIN($P115)</f>
        <v>3.52</v>
      </c>
      <c r="AF115" s="1" t="n">
        <f aca="false">MIN($Q115)</f>
        <v>0</v>
      </c>
      <c r="AG115" s="1" t="n">
        <f aca="false">MIN($R115)</f>
        <v>278123</v>
      </c>
      <c r="AH115" s="1" t="n">
        <f aca="false">MEDIAN($B115)</f>
        <v>2069</v>
      </c>
      <c r="AI115" s="1" t="n">
        <f aca="false">MEDIAN($C115)</f>
        <v>0</v>
      </c>
      <c r="AJ115" s="1" t="n">
        <f aca="false">MEDIAN($D115)</f>
        <v>435080</v>
      </c>
      <c r="AK115" s="1" t="n">
        <f aca="false">MEDIAN($E115)</f>
        <v>0</v>
      </c>
      <c r="AL115" s="1" t="n">
        <f aca="false">MEDIAN($F115)</f>
        <v>266</v>
      </c>
      <c r="AM115" s="1" t="n">
        <f aca="false">MEDIAN($G115)</f>
        <v>0</v>
      </c>
      <c r="AN115" s="1" t="n">
        <f aca="false">MEDIAN($H115)</f>
        <v>1</v>
      </c>
      <c r="AO115" s="1" t="n">
        <f aca="false">MEDIAN($I115)</f>
        <v>3.423</v>
      </c>
      <c r="AP115" s="1" t="n">
        <f aca="false">MEDIAN($J115)</f>
        <v>3.52</v>
      </c>
      <c r="AQ115" s="1" t="n">
        <f aca="false">MEDIAN($K115)</f>
        <v>0</v>
      </c>
      <c r="AR115" s="1" t="n">
        <f aca="false">MEDIAN($M115)</f>
        <v>736354</v>
      </c>
      <c r="AS115" s="1" t="n">
        <f aca="false">MEDIAN($N115)</f>
        <v>0.04</v>
      </c>
      <c r="AT115" s="1" t="n">
        <f aca="false">MEDIAN($P115)</f>
        <v>3.52</v>
      </c>
      <c r="AU115" s="1" t="n">
        <f aca="false">MEDIAN($Q115)</f>
        <v>0</v>
      </c>
      <c r="AV115" s="1" t="n">
        <f aca="false">MEDIAN($R115)</f>
        <v>278123</v>
      </c>
      <c r="AW115" s="1" t="n">
        <f aca="false">MAX($B115)</f>
        <v>2069</v>
      </c>
      <c r="AX115" s="1" t="n">
        <f aca="false">MAX($C115)</f>
        <v>0</v>
      </c>
      <c r="AY115" s="1" t="n">
        <f aca="false">MAX($D115)</f>
        <v>435080</v>
      </c>
      <c r="AZ115" s="1" t="n">
        <f aca="false">MAX($E115)</f>
        <v>0</v>
      </c>
      <c r="BA115" s="1" t="n">
        <f aca="false">MAX($F115)</f>
        <v>266</v>
      </c>
      <c r="BB115" s="1" t="n">
        <f aca="false">MAX($G115)</f>
        <v>0</v>
      </c>
      <c r="BC115" s="1" t="n">
        <f aca="false">MAX($H115)</f>
        <v>1</v>
      </c>
      <c r="BD115" s="1" t="n">
        <f aca="false">MAX($I115)</f>
        <v>3.423</v>
      </c>
      <c r="BE115" s="1" t="n">
        <f aca="false">MAX($J115)</f>
        <v>3.52</v>
      </c>
      <c r="BF115" s="1" t="n">
        <f aca="false">MAX($K115)</f>
        <v>0</v>
      </c>
      <c r="BG115" s="1" t="n">
        <f aca="false">MAX($M115)</f>
        <v>736354</v>
      </c>
      <c r="BH115" s="1" t="n">
        <f aca="false">MAX($N115)</f>
        <v>0.04</v>
      </c>
      <c r="BI115" s="1" t="n">
        <f aca="false">MAX($P115)</f>
        <v>3.52</v>
      </c>
      <c r="BJ115" s="1" t="n">
        <f aca="false">MAX($Q115)</f>
        <v>0</v>
      </c>
      <c r="BK115" s="1" t="n">
        <f aca="false">MAX($R115)</f>
        <v>278123</v>
      </c>
    </row>
    <row r="116" customFormat="false" ht="15" hidden="false" customHeight="false" outlineLevel="0" collapsed="false">
      <c r="A116" s="1" t="s">
        <v>133</v>
      </c>
      <c r="B116" s="1" t="n">
        <f aca="false" t="array" ref="B116:B116">_xlfn.SWITCH($A$2,"average", AVERAGE(Instances!B116:B116),"median", MEDIAN(Instances!B116:B116),"min", MIN(Instances!B116:B116),"max", MAX(Instances!B116:B116),"diff", MAX(Instances!B116:B116)-MIN(Instances!B116:B116))</f>
        <v>758</v>
      </c>
      <c r="C116" s="1" t="n">
        <f aca="false" t="array" ref="C116:C116">_xlfn.SWITCH($A$2,"average", AVERAGE(Instances!C116:C116),"median", MEDIAN(Instances!C116:C116),"min", MIN(Instances!C116:C116),"max", MAX(Instances!C116:C116),"diff", MAX(Instances!C116:C116)-MIN(Instances!C116:C116))</f>
        <v>0</v>
      </c>
      <c r="D116" s="1" t="n">
        <f aca="false" t="array" ref="D116:D116">_xlfn.SWITCH($A$2,"average", AVERAGE(Instances!D116:D116),"median", MEDIAN(Instances!D116:D116),"min", MIN(Instances!D116:D116),"max", MAX(Instances!D116:D116),"diff", MAX(Instances!D116:D116)-MIN(Instances!D116:D116))</f>
        <v>344151</v>
      </c>
      <c r="E116" s="1" t="n">
        <f aca="false" t="array" ref="E116:E116">_xlfn.SWITCH($A$2,"average", AVERAGE(Instances!E116:E116),"median", MEDIAN(Instances!E116:E116),"min", MIN(Instances!E116:E116),"max", MAX(Instances!E116:E116),"diff", MAX(Instances!E116:E116)-MIN(Instances!E116:E116))</f>
        <v>0</v>
      </c>
      <c r="F116" s="1" t="n">
        <f aca="false" t="array" ref="F116:F116">_xlfn.SWITCH($A$2,"average", AVERAGE(Instances!F116:F116),"median", MEDIAN(Instances!F116:F116),"min", MIN(Instances!F116:F116),"max", MAX(Instances!F116:F116),"diff", MAX(Instances!F116:F116)-MIN(Instances!F116:F116))</f>
        <v>218</v>
      </c>
      <c r="G116" s="1" t="n">
        <f aca="false" t="array" ref="G116:G116">_xlfn.SWITCH($A$2,"average", AVERAGE(Instances!G116:G116),"median", MEDIAN(Instances!G116:G116),"min", MIN(Instances!G116:G116),"max", MAX(Instances!G116:G116),"diff", MAX(Instances!G116:G116)-MIN(Instances!G116:G116))</f>
        <v>0</v>
      </c>
      <c r="H116" s="1" t="n">
        <f aca="false" t="array" ref="H116:H116">_xlfn.SWITCH($A$2,"average", AVERAGE(Instances!H116:H116),"median", MEDIAN(Instances!H116:H116),"min", MIN(Instances!H116:H116),"max", MAX(Instances!H116:H116),"diff", MAX(Instances!H116:H116)-MIN(Instances!H116:H116))</f>
        <v>1</v>
      </c>
      <c r="I116" s="1" t="n">
        <f aca="false" t="array" ref="I116:I116">_xlfn.SWITCH($A$2,"average", AVERAGE(Instances!I116:I116),"median", MEDIAN(Instances!I116:I116),"min", MIN(Instances!I116:I116),"max", MAX(Instances!I116:I116),"diff", MAX(Instances!I116:I116)-MIN(Instances!I116:I116))</f>
        <v>2.869</v>
      </c>
      <c r="J116" s="1" t="n">
        <f aca="false" t="array" ref="J116:J116">_xlfn.SWITCH($A$2,"average", AVERAGE(Instances!J116:J116),"median", MEDIAN(Instances!J116:J116),"min", MIN(Instances!J116:J116),"max", MAX(Instances!J116:J116),"diff", MAX(Instances!J116:J116)-MIN(Instances!J116:J116))</f>
        <v>2.95</v>
      </c>
      <c r="K116" s="1" t="n">
        <f aca="false" t="array" ref="K116:K116">_xlfn.SWITCH($A$2,"average", AVERAGE(Instances!K116:K116),"median", MEDIAN(Instances!K116:K116),"min", MIN(Instances!K116:K116),"max", MAX(Instances!K116:K116),"diff", MAX(Instances!K116:K116)-MIN(Instances!K116:K116))</f>
        <v>0</v>
      </c>
      <c r="L116" s="1"/>
      <c r="M116" s="1" t="n">
        <f aca="false" t="array" ref="M116:M116">_xlfn.SWITCH($A$2,"average", AVERAGE(Instances!M116:M116),"median", MEDIAN(Instances!M116:M116),"min", MIN(Instances!M116:M116),"max", MAX(Instances!M116:M116),"diff", MAX(Instances!M116:M116)-MIN(Instances!M116:M116))</f>
        <v>601202</v>
      </c>
      <c r="N116" s="1" t="n">
        <f aca="false" t="array" ref="N116:N116">_xlfn.SWITCH($A$2,"average", AVERAGE(Instances!N116:N116),"median", MEDIAN(Instances!N116:N116),"min", MIN(Instances!N116:N116),"max", MAX(Instances!N116:N116),"diff", MAX(Instances!N116:N116)-MIN(Instances!N116:N116))</f>
        <v>0.03</v>
      </c>
      <c r="O116" s="1"/>
      <c r="P116" s="1" t="n">
        <f aca="false" t="array" ref="P116:P116">_xlfn.SWITCH($A$2,"average", AVERAGE(Instances!P116:P116),"median", MEDIAN(Instances!P116:P116),"min", MIN(Instances!P116:P116),"max", MAX(Instances!P116:P116),"diff", MAX(Instances!P116:P116)-MIN(Instances!P116:P116))</f>
        <v>2.95</v>
      </c>
      <c r="Q116" s="1" t="n">
        <f aca="false" t="array" ref="Q116:Q116">_xlfn.SWITCH($A$2,"average", AVERAGE(Instances!Q116:Q116),"median", MEDIAN(Instances!Q116:Q116),"min", MIN(Instances!Q116:Q116),"max", MAX(Instances!Q116:Q116),"diff", MAX(Instances!Q116:Q116)-MIN(Instances!Q116:Q116))</f>
        <v>0</v>
      </c>
      <c r="R116" s="1" t="n">
        <f aca="false" t="array" ref="R116:R116">_xlfn.SWITCH($A$2,"average", AVERAGE(Instances!R116:R116),"median", MEDIAN(Instances!R116:R116),"min", MIN(Instances!R116:R116),"max", MAX(Instances!R116:R116),"diff", MAX(Instances!R116:R116)-MIN(Instances!R116:R116))</f>
        <v>224348</v>
      </c>
      <c r="S116" s="1" t="n">
        <f aca="false">MIN($B116)</f>
        <v>758</v>
      </c>
      <c r="T116" s="1" t="n">
        <f aca="false">MIN($C116)</f>
        <v>0</v>
      </c>
      <c r="U116" s="1" t="n">
        <f aca="false">MIN($D116)</f>
        <v>344151</v>
      </c>
      <c r="V116" s="1" t="n">
        <f aca="false">MIN($E116)</f>
        <v>0</v>
      </c>
      <c r="W116" s="1" t="n">
        <f aca="false">MIN($F116)</f>
        <v>218</v>
      </c>
      <c r="X116" s="1" t="n">
        <f aca="false">MIN($G116)</f>
        <v>0</v>
      </c>
      <c r="Y116" s="1" t="n">
        <f aca="false">MIN($H116)</f>
        <v>1</v>
      </c>
      <c r="Z116" s="1" t="n">
        <f aca="false">MIN($I116)</f>
        <v>2.869</v>
      </c>
      <c r="AA116" s="1" t="n">
        <f aca="false">MIN($J116)</f>
        <v>2.95</v>
      </c>
      <c r="AB116" s="1" t="n">
        <f aca="false">MIN($K116)</f>
        <v>0</v>
      </c>
      <c r="AC116" s="1" t="n">
        <f aca="false">MIN($M116)</f>
        <v>601202</v>
      </c>
      <c r="AD116" s="1" t="n">
        <f aca="false">MIN($N116)</f>
        <v>0.03</v>
      </c>
      <c r="AE116" s="1" t="n">
        <f aca="false">MIN($P116)</f>
        <v>2.95</v>
      </c>
      <c r="AF116" s="1" t="n">
        <f aca="false">MIN($Q116)</f>
        <v>0</v>
      </c>
      <c r="AG116" s="1" t="n">
        <f aca="false">MIN($R116)</f>
        <v>224348</v>
      </c>
      <c r="AH116" s="1" t="n">
        <f aca="false">MEDIAN($B116)</f>
        <v>758</v>
      </c>
      <c r="AI116" s="1" t="n">
        <f aca="false">MEDIAN($C116)</f>
        <v>0</v>
      </c>
      <c r="AJ116" s="1" t="n">
        <f aca="false">MEDIAN($D116)</f>
        <v>344151</v>
      </c>
      <c r="AK116" s="1" t="n">
        <f aca="false">MEDIAN($E116)</f>
        <v>0</v>
      </c>
      <c r="AL116" s="1" t="n">
        <f aca="false">MEDIAN($F116)</f>
        <v>218</v>
      </c>
      <c r="AM116" s="1" t="n">
        <f aca="false">MEDIAN($G116)</f>
        <v>0</v>
      </c>
      <c r="AN116" s="1" t="n">
        <f aca="false">MEDIAN($H116)</f>
        <v>1</v>
      </c>
      <c r="AO116" s="1" t="n">
        <f aca="false">MEDIAN($I116)</f>
        <v>2.869</v>
      </c>
      <c r="AP116" s="1" t="n">
        <f aca="false">MEDIAN($J116)</f>
        <v>2.95</v>
      </c>
      <c r="AQ116" s="1" t="n">
        <f aca="false">MEDIAN($K116)</f>
        <v>0</v>
      </c>
      <c r="AR116" s="1" t="n">
        <f aca="false">MEDIAN($M116)</f>
        <v>601202</v>
      </c>
      <c r="AS116" s="1" t="n">
        <f aca="false">MEDIAN($N116)</f>
        <v>0.03</v>
      </c>
      <c r="AT116" s="1" t="n">
        <f aca="false">MEDIAN($P116)</f>
        <v>2.95</v>
      </c>
      <c r="AU116" s="1" t="n">
        <f aca="false">MEDIAN($Q116)</f>
        <v>0</v>
      </c>
      <c r="AV116" s="1" t="n">
        <f aca="false">MEDIAN($R116)</f>
        <v>224348</v>
      </c>
      <c r="AW116" s="1" t="n">
        <f aca="false">MAX($B116)</f>
        <v>758</v>
      </c>
      <c r="AX116" s="1" t="n">
        <f aca="false">MAX($C116)</f>
        <v>0</v>
      </c>
      <c r="AY116" s="1" t="n">
        <f aca="false">MAX($D116)</f>
        <v>344151</v>
      </c>
      <c r="AZ116" s="1" t="n">
        <f aca="false">MAX($E116)</f>
        <v>0</v>
      </c>
      <c r="BA116" s="1" t="n">
        <f aca="false">MAX($F116)</f>
        <v>218</v>
      </c>
      <c r="BB116" s="1" t="n">
        <f aca="false">MAX($G116)</f>
        <v>0</v>
      </c>
      <c r="BC116" s="1" t="n">
        <f aca="false">MAX($H116)</f>
        <v>1</v>
      </c>
      <c r="BD116" s="1" t="n">
        <f aca="false">MAX($I116)</f>
        <v>2.869</v>
      </c>
      <c r="BE116" s="1" t="n">
        <f aca="false">MAX($J116)</f>
        <v>2.95</v>
      </c>
      <c r="BF116" s="1" t="n">
        <f aca="false">MAX($K116)</f>
        <v>0</v>
      </c>
      <c r="BG116" s="1" t="n">
        <f aca="false">MAX($M116)</f>
        <v>601202</v>
      </c>
      <c r="BH116" s="1" t="n">
        <f aca="false">MAX($N116)</f>
        <v>0.03</v>
      </c>
      <c r="BI116" s="1" t="n">
        <f aca="false">MAX($P116)</f>
        <v>2.95</v>
      </c>
      <c r="BJ116" s="1" t="n">
        <f aca="false">MAX($Q116)</f>
        <v>0</v>
      </c>
      <c r="BK116" s="1" t="n">
        <f aca="false">MAX($R116)</f>
        <v>224348</v>
      </c>
    </row>
    <row r="117" customFormat="false" ht="15" hidden="false" customHeight="false" outlineLevel="0" collapsed="false">
      <c r="A117" s="1" t="s">
        <v>134</v>
      </c>
      <c r="B117" s="1" t="n">
        <f aca="false" t="array" ref="B117:B117">_xlfn.SWITCH($A$2,"average", AVERAGE(Instances!B117:B117),"median", MEDIAN(Instances!B117:B117),"min", MIN(Instances!B117:B117),"max", MAX(Instances!B117:B117),"diff", MAX(Instances!B117:B117)-MIN(Instances!B117:B117))</f>
        <v>1172</v>
      </c>
      <c r="C117" s="1" t="n">
        <f aca="false" t="array" ref="C117:C117">_xlfn.SWITCH($A$2,"average", AVERAGE(Instances!C117:C117),"median", MEDIAN(Instances!C117:C117),"min", MIN(Instances!C117:C117),"max", MAX(Instances!C117:C117),"diff", MAX(Instances!C117:C117)-MIN(Instances!C117:C117))</f>
        <v>0</v>
      </c>
      <c r="D117" s="1" t="n">
        <f aca="false" t="array" ref="D117:D117">_xlfn.SWITCH($A$2,"average", AVERAGE(Instances!D117:D117),"median", MEDIAN(Instances!D117:D117),"min", MIN(Instances!D117:D117),"max", MAX(Instances!D117:D117),"diff", MAX(Instances!D117:D117)-MIN(Instances!D117:D117))</f>
        <v>614489</v>
      </c>
      <c r="E117" s="1" t="n">
        <f aca="false" t="array" ref="E117:E117">_xlfn.SWITCH($A$2,"average", AVERAGE(Instances!E117:E117),"median", MEDIAN(Instances!E117:E117),"min", MIN(Instances!E117:E117),"max", MAX(Instances!E117:E117),"diff", MAX(Instances!E117:E117)-MIN(Instances!E117:E117))</f>
        <v>0</v>
      </c>
      <c r="F117" s="1" t="n">
        <f aca="false" t="array" ref="F117:F117">_xlfn.SWITCH($A$2,"average", AVERAGE(Instances!F117:F117),"median", MEDIAN(Instances!F117:F117),"min", MIN(Instances!F117:F117),"max", MAX(Instances!F117:F117),"diff", MAX(Instances!F117:F117)-MIN(Instances!F117:F117))</f>
        <v>331</v>
      </c>
      <c r="G117" s="1" t="n">
        <f aca="false" t="array" ref="G117:G117">_xlfn.SWITCH($A$2,"average", AVERAGE(Instances!G117:G117),"median", MEDIAN(Instances!G117:G117),"min", MIN(Instances!G117:G117),"max", MAX(Instances!G117:G117),"diff", MAX(Instances!G117:G117)-MIN(Instances!G117:G117))</f>
        <v>0</v>
      </c>
      <c r="H117" s="1" t="n">
        <f aca="false" t="array" ref="H117:H117">_xlfn.SWITCH($A$2,"average", AVERAGE(Instances!H117:H117),"median", MEDIAN(Instances!H117:H117),"min", MIN(Instances!H117:H117),"max", MAX(Instances!H117:H117),"diff", MAX(Instances!H117:H117)-MIN(Instances!H117:H117))</f>
        <v>1</v>
      </c>
      <c r="I117" s="1" t="n">
        <f aca="false" t="array" ref="I117:I117">_xlfn.SWITCH($A$2,"average", AVERAGE(Instances!I117:I117),"median", MEDIAN(Instances!I117:I117),"min", MIN(Instances!I117:I117),"max", MAX(Instances!I117:I117),"diff", MAX(Instances!I117:I117)-MIN(Instances!I117:I117))</f>
        <v>4.312</v>
      </c>
      <c r="J117" s="1" t="n">
        <f aca="false" t="array" ref="J117:J117">_xlfn.SWITCH($A$2,"average", AVERAGE(Instances!J117:J117),"median", MEDIAN(Instances!J117:J117),"min", MIN(Instances!J117:J117),"max", MAX(Instances!J117:J117),"diff", MAX(Instances!J117:J117)-MIN(Instances!J117:J117))</f>
        <v>4.43</v>
      </c>
      <c r="K117" s="1" t="n">
        <f aca="false" t="array" ref="K117:K117">_xlfn.SWITCH($A$2,"average", AVERAGE(Instances!K117:K117),"median", MEDIAN(Instances!K117:K117),"min", MIN(Instances!K117:K117),"max", MAX(Instances!K117:K117),"diff", MAX(Instances!K117:K117)-MIN(Instances!K117:K117))</f>
        <v>0</v>
      </c>
      <c r="L117" s="1"/>
      <c r="M117" s="1" t="n">
        <f aca="false" t="array" ref="M117:M117">_xlfn.SWITCH($A$2,"average", AVERAGE(Instances!M117:M117),"median", MEDIAN(Instances!M117:M117),"min", MIN(Instances!M117:M117),"max", MAX(Instances!M117:M117),"diff", MAX(Instances!M117:M117)-MIN(Instances!M117:M117))</f>
        <v>922528</v>
      </c>
      <c r="N117" s="1" t="n">
        <f aca="false" t="array" ref="N117:N117">_xlfn.SWITCH($A$2,"average", AVERAGE(Instances!N117:N117),"median", MEDIAN(Instances!N117:N117),"min", MIN(Instances!N117:N117),"max", MAX(Instances!N117:N117),"diff", MAX(Instances!N117:N117)-MIN(Instances!N117:N117))</f>
        <v>0.05</v>
      </c>
      <c r="O117" s="1"/>
      <c r="P117" s="1" t="n">
        <f aca="false" t="array" ref="P117:P117">_xlfn.SWITCH($A$2,"average", AVERAGE(Instances!P117:P117),"median", MEDIAN(Instances!P117:P117),"min", MIN(Instances!P117:P117),"max", MAX(Instances!P117:P117),"diff", MAX(Instances!P117:P117)-MIN(Instances!P117:P117))</f>
        <v>4.43</v>
      </c>
      <c r="Q117" s="1" t="n">
        <f aca="false" t="array" ref="Q117:Q117">_xlfn.SWITCH($A$2,"average", AVERAGE(Instances!Q117:Q117),"median", MEDIAN(Instances!Q117:Q117),"min", MIN(Instances!Q117:Q117),"max", MAX(Instances!Q117:Q117),"diff", MAX(Instances!Q117:Q117)-MIN(Instances!Q117:Q117))</f>
        <v>0</v>
      </c>
      <c r="R117" s="1" t="n">
        <f aca="false" t="array" ref="R117:R117">_xlfn.SWITCH($A$2,"average", AVERAGE(Instances!R117:R117),"median", MEDIAN(Instances!R117:R117),"min", MIN(Instances!R117:R117),"max", MAX(Instances!R117:R117),"diff", MAX(Instances!R117:R117)-MIN(Instances!R117:R117))</f>
        <v>345786</v>
      </c>
      <c r="S117" s="1" t="n">
        <f aca="false">MIN($B117)</f>
        <v>1172</v>
      </c>
      <c r="T117" s="1" t="n">
        <f aca="false">MIN($C117)</f>
        <v>0</v>
      </c>
      <c r="U117" s="1" t="n">
        <f aca="false">MIN($D117)</f>
        <v>614489</v>
      </c>
      <c r="V117" s="1" t="n">
        <f aca="false">MIN($E117)</f>
        <v>0</v>
      </c>
      <c r="W117" s="1" t="n">
        <f aca="false">MIN($F117)</f>
        <v>331</v>
      </c>
      <c r="X117" s="1" t="n">
        <f aca="false">MIN($G117)</f>
        <v>0</v>
      </c>
      <c r="Y117" s="1" t="n">
        <f aca="false">MIN($H117)</f>
        <v>1</v>
      </c>
      <c r="Z117" s="1" t="n">
        <f aca="false">MIN($I117)</f>
        <v>4.312</v>
      </c>
      <c r="AA117" s="1" t="n">
        <f aca="false">MIN($J117)</f>
        <v>4.43</v>
      </c>
      <c r="AB117" s="1" t="n">
        <f aca="false">MIN($K117)</f>
        <v>0</v>
      </c>
      <c r="AC117" s="1" t="n">
        <f aca="false">MIN($M117)</f>
        <v>922528</v>
      </c>
      <c r="AD117" s="1" t="n">
        <f aca="false">MIN($N117)</f>
        <v>0.05</v>
      </c>
      <c r="AE117" s="1" t="n">
        <f aca="false">MIN($P117)</f>
        <v>4.43</v>
      </c>
      <c r="AF117" s="1" t="n">
        <f aca="false">MIN($Q117)</f>
        <v>0</v>
      </c>
      <c r="AG117" s="1" t="n">
        <f aca="false">MIN($R117)</f>
        <v>345786</v>
      </c>
      <c r="AH117" s="1" t="n">
        <f aca="false">MEDIAN($B117)</f>
        <v>1172</v>
      </c>
      <c r="AI117" s="1" t="n">
        <f aca="false">MEDIAN($C117)</f>
        <v>0</v>
      </c>
      <c r="AJ117" s="1" t="n">
        <f aca="false">MEDIAN($D117)</f>
        <v>614489</v>
      </c>
      <c r="AK117" s="1" t="n">
        <f aca="false">MEDIAN($E117)</f>
        <v>0</v>
      </c>
      <c r="AL117" s="1" t="n">
        <f aca="false">MEDIAN($F117)</f>
        <v>331</v>
      </c>
      <c r="AM117" s="1" t="n">
        <f aca="false">MEDIAN($G117)</f>
        <v>0</v>
      </c>
      <c r="AN117" s="1" t="n">
        <f aca="false">MEDIAN($H117)</f>
        <v>1</v>
      </c>
      <c r="AO117" s="1" t="n">
        <f aca="false">MEDIAN($I117)</f>
        <v>4.312</v>
      </c>
      <c r="AP117" s="1" t="n">
        <f aca="false">MEDIAN($J117)</f>
        <v>4.43</v>
      </c>
      <c r="AQ117" s="1" t="n">
        <f aca="false">MEDIAN($K117)</f>
        <v>0</v>
      </c>
      <c r="AR117" s="1" t="n">
        <f aca="false">MEDIAN($M117)</f>
        <v>922528</v>
      </c>
      <c r="AS117" s="1" t="n">
        <f aca="false">MEDIAN($N117)</f>
        <v>0.05</v>
      </c>
      <c r="AT117" s="1" t="n">
        <f aca="false">MEDIAN($P117)</f>
        <v>4.43</v>
      </c>
      <c r="AU117" s="1" t="n">
        <f aca="false">MEDIAN($Q117)</f>
        <v>0</v>
      </c>
      <c r="AV117" s="1" t="n">
        <f aca="false">MEDIAN($R117)</f>
        <v>345786</v>
      </c>
      <c r="AW117" s="1" t="n">
        <f aca="false">MAX($B117)</f>
        <v>1172</v>
      </c>
      <c r="AX117" s="1" t="n">
        <f aca="false">MAX($C117)</f>
        <v>0</v>
      </c>
      <c r="AY117" s="1" t="n">
        <f aca="false">MAX($D117)</f>
        <v>614489</v>
      </c>
      <c r="AZ117" s="1" t="n">
        <f aca="false">MAX($E117)</f>
        <v>0</v>
      </c>
      <c r="BA117" s="1" t="n">
        <f aca="false">MAX($F117)</f>
        <v>331</v>
      </c>
      <c r="BB117" s="1" t="n">
        <f aca="false">MAX($G117)</f>
        <v>0</v>
      </c>
      <c r="BC117" s="1" t="n">
        <f aca="false">MAX($H117)</f>
        <v>1</v>
      </c>
      <c r="BD117" s="1" t="n">
        <f aca="false">MAX($I117)</f>
        <v>4.312</v>
      </c>
      <c r="BE117" s="1" t="n">
        <f aca="false">MAX($J117)</f>
        <v>4.43</v>
      </c>
      <c r="BF117" s="1" t="n">
        <f aca="false">MAX($K117)</f>
        <v>0</v>
      </c>
      <c r="BG117" s="1" t="n">
        <f aca="false">MAX($M117)</f>
        <v>922528</v>
      </c>
      <c r="BH117" s="1" t="n">
        <f aca="false">MAX($N117)</f>
        <v>0.05</v>
      </c>
      <c r="BI117" s="1" t="n">
        <f aca="false">MAX($P117)</f>
        <v>4.43</v>
      </c>
      <c r="BJ117" s="1" t="n">
        <f aca="false">MAX($Q117)</f>
        <v>0</v>
      </c>
      <c r="BK117" s="1" t="n">
        <f aca="false">MAX($R117)</f>
        <v>345786</v>
      </c>
    </row>
    <row r="118" customFormat="false" ht="15" hidden="false" customHeight="false" outlineLevel="0" collapsed="false">
      <c r="A118" s="1" t="s">
        <v>135</v>
      </c>
      <c r="B118" s="1" t="n">
        <f aca="false" t="array" ref="B118:B118">_xlfn.SWITCH($A$2,"average", AVERAGE(Instances!B118:B118),"median", MEDIAN(Instances!B118:B118),"min", MIN(Instances!B118:B118),"max", MAX(Instances!B118:B118),"diff", MAX(Instances!B118:B118)-MIN(Instances!B118:B118))</f>
        <v>1770</v>
      </c>
      <c r="C118" s="1" t="n">
        <f aca="false" t="array" ref="C118:C118">_xlfn.SWITCH($A$2,"average", AVERAGE(Instances!C118:C118),"median", MEDIAN(Instances!C118:C118),"min", MIN(Instances!C118:C118),"max", MAX(Instances!C118:C118),"diff", MAX(Instances!C118:C118)-MIN(Instances!C118:C118))</f>
        <v>55</v>
      </c>
      <c r="D118" s="1" t="n">
        <f aca="false" t="array" ref="D118:D118">_xlfn.SWITCH($A$2,"average", AVERAGE(Instances!D118:D118),"median", MEDIAN(Instances!D118:D118),"min", MIN(Instances!D118:D118),"max", MAX(Instances!D118:D118),"diff", MAX(Instances!D118:D118)-MIN(Instances!D118:D118))</f>
        <v>755354</v>
      </c>
      <c r="E118" s="1" t="n">
        <f aca="false" t="array" ref="E118:E118">_xlfn.SWITCH($A$2,"average", AVERAGE(Instances!E118:E118),"median", MEDIAN(Instances!E118:E118),"min", MIN(Instances!E118:E118),"max", MAX(Instances!E118:E118),"diff", MAX(Instances!E118:E118)-MIN(Instances!E118:E118))</f>
        <v>0</v>
      </c>
      <c r="F118" s="1" t="n">
        <f aca="false" t="array" ref="F118:F118">_xlfn.SWITCH($A$2,"average", AVERAGE(Instances!F118:F118),"median", MEDIAN(Instances!F118:F118),"min", MIN(Instances!F118:F118),"max", MAX(Instances!F118:F118),"diff", MAX(Instances!F118:F118)-MIN(Instances!F118:F118))</f>
        <v>376</v>
      </c>
      <c r="G118" s="1" t="n">
        <f aca="false" t="array" ref="G118:G118">_xlfn.SWITCH($A$2,"average", AVERAGE(Instances!G118:G118),"median", MEDIAN(Instances!G118:G118),"min", MIN(Instances!G118:G118),"max", MAX(Instances!G118:G118),"diff", MAX(Instances!G118:G118)-MIN(Instances!G118:G118))</f>
        <v>0</v>
      </c>
      <c r="H118" s="1" t="n">
        <f aca="false" t="array" ref="H118:H118">_xlfn.SWITCH($A$2,"average", AVERAGE(Instances!H118:H118),"median", MEDIAN(Instances!H118:H118),"min", MIN(Instances!H118:H118),"max", MAX(Instances!H118:H118),"diff", MAX(Instances!H118:H118)-MIN(Instances!H118:H118))</f>
        <v>1</v>
      </c>
      <c r="I118" s="1" t="n">
        <f aca="false" t="array" ref="I118:I118">_xlfn.SWITCH($A$2,"average", AVERAGE(Instances!I118:I118),"median", MEDIAN(Instances!I118:I118),"min", MIN(Instances!I118:I118),"max", MAX(Instances!I118:I118),"diff", MAX(Instances!I118:I118)-MIN(Instances!I118:I118))</f>
        <v>5.039</v>
      </c>
      <c r="J118" s="1" t="n">
        <f aca="false" t="array" ref="J118:J118">_xlfn.SWITCH($A$2,"average", AVERAGE(Instances!J118:J118),"median", MEDIAN(Instances!J118:J118),"min", MIN(Instances!J118:J118),"max", MAX(Instances!J118:J118),"diff", MAX(Instances!J118:J118)-MIN(Instances!J118:J118))</f>
        <v>5.17</v>
      </c>
      <c r="K118" s="1" t="n">
        <f aca="false" t="array" ref="K118:K118">_xlfn.SWITCH($A$2,"average", AVERAGE(Instances!K118:K118),"median", MEDIAN(Instances!K118:K118),"min", MIN(Instances!K118:K118),"max", MAX(Instances!K118:K118),"diff", MAX(Instances!K118:K118)-MIN(Instances!K118:K118))</f>
        <v>0</v>
      </c>
      <c r="L118" s="1"/>
      <c r="M118" s="1" t="n">
        <f aca="false" t="array" ref="M118:M118">_xlfn.SWITCH($A$2,"average", AVERAGE(Instances!M118:M118),"median", MEDIAN(Instances!M118:M118),"min", MIN(Instances!M118:M118),"max", MAX(Instances!M118:M118),"diff", MAX(Instances!M118:M118)-MIN(Instances!M118:M118))</f>
        <v>1097032</v>
      </c>
      <c r="N118" s="1" t="n">
        <f aca="false" t="array" ref="N118:N118">_xlfn.SWITCH($A$2,"average", AVERAGE(Instances!N118:N118),"median", MEDIAN(Instances!N118:N118),"min", MIN(Instances!N118:N118),"max", MAX(Instances!N118:N118),"diff", MAX(Instances!N118:N118)-MIN(Instances!N118:N118))</f>
        <v>0.08</v>
      </c>
      <c r="O118" s="1"/>
      <c r="P118" s="1" t="n">
        <f aca="false" t="array" ref="P118:P118">_xlfn.SWITCH($A$2,"average", AVERAGE(Instances!P118:P118),"median", MEDIAN(Instances!P118:P118),"min", MIN(Instances!P118:P118),"max", MAX(Instances!P118:P118),"diff", MAX(Instances!P118:P118)-MIN(Instances!P118:P118))</f>
        <v>5.17</v>
      </c>
      <c r="Q118" s="1" t="n">
        <f aca="false" t="array" ref="Q118:Q118">_xlfn.SWITCH($A$2,"average", AVERAGE(Instances!Q118:Q118),"median", MEDIAN(Instances!Q118:Q118),"min", MIN(Instances!Q118:Q118),"max", MAX(Instances!Q118:Q118),"diff", MAX(Instances!Q118:Q118)-MIN(Instances!Q118:Q118))</f>
        <v>0</v>
      </c>
      <c r="R118" s="1" t="n">
        <f aca="false" t="array" ref="R118:R118">_xlfn.SWITCH($A$2,"average", AVERAGE(Instances!R118:R118),"median", MEDIAN(Instances!R118:R118),"min", MIN(Instances!R118:R118),"max", MAX(Instances!R118:R118),"diff", MAX(Instances!R118:R118)-MIN(Instances!R118:R118))</f>
        <v>389155</v>
      </c>
      <c r="S118" s="1" t="n">
        <f aca="false">MIN($B118)</f>
        <v>1770</v>
      </c>
      <c r="T118" s="1" t="n">
        <f aca="false">MIN($C118)</f>
        <v>55</v>
      </c>
      <c r="U118" s="1" t="n">
        <f aca="false">MIN($D118)</f>
        <v>755354</v>
      </c>
      <c r="V118" s="1" t="n">
        <f aca="false">MIN($E118)</f>
        <v>0</v>
      </c>
      <c r="W118" s="1" t="n">
        <f aca="false">MIN($F118)</f>
        <v>376</v>
      </c>
      <c r="X118" s="1" t="n">
        <f aca="false">MIN($G118)</f>
        <v>0</v>
      </c>
      <c r="Y118" s="1" t="n">
        <f aca="false">MIN($H118)</f>
        <v>1</v>
      </c>
      <c r="Z118" s="1" t="n">
        <f aca="false">MIN($I118)</f>
        <v>5.039</v>
      </c>
      <c r="AA118" s="1" t="n">
        <f aca="false">MIN($J118)</f>
        <v>5.17</v>
      </c>
      <c r="AB118" s="1" t="n">
        <f aca="false">MIN($K118)</f>
        <v>0</v>
      </c>
      <c r="AC118" s="1" t="n">
        <f aca="false">MIN($M118)</f>
        <v>1097032</v>
      </c>
      <c r="AD118" s="1" t="n">
        <f aca="false">MIN($N118)</f>
        <v>0.08</v>
      </c>
      <c r="AE118" s="1" t="n">
        <f aca="false">MIN($P118)</f>
        <v>5.17</v>
      </c>
      <c r="AF118" s="1" t="n">
        <f aca="false">MIN($Q118)</f>
        <v>0</v>
      </c>
      <c r="AG118" s="1" t="n">
        <f aca="false">MIN($R118)</f>
        <v>389155</v>
      </c>
      <c r="AH118" s="1" t="n">
        <f aca="false">MEDIAN($B118)</f>
        <v>1770</v>
      </c>
      <c r="AI118" s="1" t="n">
        <f aca="false">MEDIAN($C118)</f>
        <v>55</v>
      </c>
      <c r="AJ118" s="1" t="n">
        <f aca="false">MEDIAN($D118)</f>
        <v>755354</v>
      </c>
      <c r="AK118" s="1" t="n">
        <f aca="false">MEDIAN($E118)</f>
        <v>0</v>
      </c>
      <c r="AL118" s="1" t="n">
        <f aca="false">MEDIAN($F118)</f>
        <v>376</v>
      </c>
      <c r="AM118" s="1" t="n">
        <f aca="false">MEDIAN($G118)</f>
        <v>0</v>
      </c>
      <c r="AN118" s="1" t="n">
        <f aca="false">MEDIAN($H118)</f>
        <v>1</v>
      </c>
      <c r="AO118" s="1" t="n">
        <f aca="false">MEDIAN($I118)</f>
        <v>5.039</v>
      </c>
      <c r="AP118" s="1" t="n">
        <f aca="false">MEDIAN($J118)</f>
        <v>5.17</v>
      </c>
      <c r="AQ118" s="1" t="n">
        <f aca="false">MEDIAN($K118)</f>
        <v>0</v>
      </c>
      <c r="AR118" s="1" t="n">
        <f aca="false">MEDIAN($M118)</f>
        <v>1097032</v>
      </c>
      <c r="AS118" s="1" t="n">
        <f aca="false">MEDIAN($N118)</f>
        <v>0.08</v>
      </c>
      <c r="AT118" s="1" t="n">
        <f aca="false">MEDIAN($P118)</f>
        <v>5.17</v>
      </c>
      <c r="AU118" s="1" t="n">
        <f aca="false">MEDIAN($Q118)</f>
        <v>0</v>
      </c>
      <c r="AV118" s="1" t="n">
        <f aca="false">MEDIAN($R118)</f>
        <v>389155</v>
      </c>
      <c r="AW118" s="1" t="n">
        <f aca="false">MAX($B118)</f>
        <v>1770</v>
      </c>
      <c r="AX118" s="1" t="n">
        <f aca="false">MAX($C118)</f>
        <v>55</v>
      </c>
      <c r="AY118" s="1" t="n">
        <f aca="false">MAX($D118)</f>
        <v>755354</v>
      </c>
      <c r="AZ118" s="1" t="n">
        <f aca="false">MAX($E118)</f>
        <v>0</v>
      </c>
      <c r="BA118" s="1" t="n">
        <f aca="false">MAX($F118)</f>
        <v>376</v>
      </c>
      <c r="BB118" s="1" t="n">
        <f aca="false">MAX($G118)</f>
        <v>0</v>
      </c>
      <c r="BC118" s="1" t="n">
        <f aca="false">MAX($H118)</f>
        <v>1</v>
      </c>
      <c r="BD118" s="1" t="n">
        <f aca="false">MAX($I118)</f>
        <v>5.039</v>
      </c>
      <c r="BE118" s="1" t="n">
        <f aca="false">MAX($J118)</f>
        <v>5.17</v>
      </c>
      <c r="BF118" s="1" t="n">
        <f aca="false">MAX($K118)</f>
        <v>0</v>
      </c>
      <c r="BG118" s="1" t="n">
        <f aca="false">MAX($M118)</f>
        <v>1097032</v>
      </c>
      <c r="BH118" s="1" t="n">
        <f aca="false">MAX($N118)</f>
        <v>0.08</v>
      </c>
      <c r="BI118" s="1" t="n">
        <f aca="false">MAX($P118)</f>
        <v>5.17</v>
      </c>
      <c r="BJ118" s="1" t="n">
        <f aca="false">MAX($Q118)</f>
        <v>0</v>
      </c>
      <c r="BK118" s="1" t="n">
        <f aca="false">MAX($R118)</f>
        <v>389155</v>
      </c>
    </row>
    <row r="119" customFormat="false" ht="15" hidden="false" customHeight="false" outlineLevel="0" collapsed="false">
      <c r="A119" s="1" t="s">
        <v>136</v>
      </c>
      <c r="B119" s="1" t="n">
        <f aca="false" t="array" ref="B119:B119">_xlfn.SWITCH($A$2,"average", AVERAGE(Instances!B119:B119),"median", MEDIAN(Instances!B119:B119),"min", MIN(Instances!B119:B119),"max", MAX(Instances!B119:B119),"diff", MAX(Instances!B119:B119)-MIN(Instances!B119:B119))</f>
        <v>26027</v>
      </c>
      <c r="C119" s="1" t="n">
        <f aca="false" t="array" ref="C119:C119">_xlfn.SWITCH($A$2,"average", AVERAGE(Instances!C119:C119),"median", MEDIAN(Instances!C119:C119),"min", MIN(Instances!C119:C119),"max", MAX(Instances!C119:C119),"diff", MAX(Instances!C119:C119)-MIN(Instances!C119:C119))</f>
        <v>514</v>
      </c>
      <c r="D119" s="1" t="n">
        <f aca="false" t="array" ref="D119:D119">_xlfn.SWITCH($A$2,"average", AVERAGE(Instances!D119:D119),"median", MEDIAN(Instances!D119:D119),"min", MIN(Instances!D119:D119),"max", MAX(Instances!D119:D119),"diff", MAX(Instances!D119:D119)-MIN(Instances!D119:D119))</f>
        <v>949484</v>
      </c>
      <c r="E119" s="1" t="n">
        <f aca="false" t="array" ref="E119:E119">_xlfn.SWITCH($A$2,"average", AVERAGE(Instances!E119:E119),"median", MEDIAN(Instances!E119:E119),"min", MIN(Instances!E119:E119),"max", MAX(Instances!E119:E119),"diff", MAX(Instances!E119:E119)-MIN(Instances!E119:E119))</f>
        <v>0</v>
      </c>
      <c r="F119" s="1" t="n">
        <f aca="false" t="array" ref="F119:F119">_xlfn.SWITCH($A$2,"average", AVERAGE(Instances!F119:F119),"median", MEDIAN(Instances!F119:F119),"min", MIN(Instances!F119:F119),"max", MAX(Instances!F119:F119),"diff", MAX(Instances!F119:F119)-MIN(Instances!F119:F119))</f>
        <v>476</v>
      </c>
      <c r="G119" s="1" t="n">
        <f aca="false" t="array" ref="G119:G119">_xlfn.SWITCH($A$2,"average", AVERAGE(Instances!G119:G119),"median", MEDIAN(Instances!G119:G119),"min", MIN(Instances!G119:G119),"max", MAX(Instances!G119:G119),"diff", MAX(Instances!G119:G119)-MIN(Instances!G119:G119))</f>
        <v>0</v>
      </c>
      <c r="H119" s="1" t="n">
        <f aca="false" t="array" ref="H119:H119">_xlfn.SWITCH($A$2,"average", AVERAGE(Instances!H119:H119),"median", MEDIAN(Instances!H119:H119),"min", MIN(Instances!H119:H119),"max", MAX(Instances!H119:H119),"diff", MAX(Instances!H119:H119)-MIN(Instances!H119:H119))</f>
        <v>1</v>
      </c>
      <c r="I119" s="1" t="n">
        <f aca="false" t="array" ref="I119:I119">_xlfn.SWITCH($A$2,"average", AVERAGE(Instances!I119:I119),"median", MEDIAN(Instances!I119:I119),"min", MIN(Instances!I119:I119),"max", MAX(Instances!I119:I119),"diff", MAX(Instances!I119:I119)-MIN(Instances!I119:I119))</f>
        <v>7.451</v>
      </c>
      <c r="J119" s="1" t="n">
        <f aca="false" t="array" ref="J119:J119">_xlfn.SWITCH($A$2,"average", AVERAGE(Instances!J119:J119),"median", MEDIAN(Instances!J119:J119),"min", MIN(Instances!J119:J119),"max", MAX(Instances!J119:J119),"diff", MAX(Instances!J119:J119)-MIN(Instances!J119:J119))</f>
        <v>7.64</v>
      </c>
      <c r="K119" s="1" t="n">
        <f aca="false" t="array" ref="K119:K119">_xlfn.SWITCH($A$2,"average", AVERAGE(Instances!K119:K119),"median", MEDIAN(Instances!K119:K119),"min", MIN(Instances!K119:K119),"max", MAX(Instances!K119:K119),"diff", MAX(Instances!K119:K119)-MIN(Instances!K119:K119))</f>
        <v>5</v>
      </c>
      <c r="L119" s="1"/>
      <c r="M119" s="1" t="n">
        <f aca="false" t="array" ref="M119:M119">_xlfn.SWITCH($A$2,"average", AVERAGE(Instances!M119:M119),"median", MEDIAN(Instances!M119:M119),"min", MIN(Instances!M119:M119),"max", MAX(Instances!M119:M119),"diff", MAX(Instances!M119:M119)-MIN(Instances!M119:M119))</f>
        <v>1436457</v>
      </c>
      <c r="N119" s="1" t="n">
        <f aca="false" t="array" ref="N119:N119">_xlfn.SWITCH($A$2,"average", AVERAGE(Instances!N119:N119),"median", MEDIAN(Instances!N119:N119),"min", MIN(Instances!N119:N119),"max", MAX(Instances!N119:N119),"diff", MAX(Instances!N119:N119)-MIN(Instances!N119:N119))</f>
        <v>1.12</v>
      </c>
      <c r="O119" s="1"/>
      <c r="P119" s="1" t="n">
        <f aca="false" t="array" ref="P119:P119">_xlfn.SWITCH($A$2,"average", AVERAGE(Instances!P119:P119),"median", MEDIAN(Instances!P119:P119),"min", MIN(Instances!P119:P119),"max", MAX(Instances!P119:P119),"diff", MAX(Instances!P119:P119)-MIN(Instances!P119:P119))</f>
        <v>7.64</v>
      </c>
      <c r="Q119" s="1" t="n">
        <f aca="false" t="array" ref="Q119:Q119">_xlfn.SWITCH($A$2,"average", AVERAGE(Instances!Q119:Q119),"median", MEDIAN(Instances!Q119:Q119),"min", MIN(Instances!Q119:Q119),"max", MAX(Instances!Q119:Q119),"diff", MAX(Instances!Q119:Q119)-MIN(Instances!Q119:Q119))</f>
        <v>0</v>
      </c>
      <c r="R119" s="1" t="n">
        <f aca="false" t="array" ref="R119:R119">_xlfn.SWITCH($A$2,"average", AVERAGE(Instances!R119:R119),"median", MEDIAN(Instances!R119:R119),"min", MIN(Instances!R119:R119),"max", MAX(Instances!R119:R119),"diff", MAX(Instances!R119:R119)-MIN(Instances!R119:R119))</f>
        <v>493043</v>
      </c>
      <c r="S119" s="1" t="n">
        <f aca="false">MIN($B119)</f>
        <v>26027</v>
      </c>
      <c r="T119" s="1" t="n">
        <f aca="false">MIN($C119)</f>
        <v>514</v>
      </c>
      <c r="U119" s="1" t="n">
        <f aca="false">MIN($D119)</f>
        <v>949484</v>
      </c>
      <c r="V119" s="1" t="n">
        <f aca="false">MIN($E119)</f>
        <v>0</v>
      </c>
      <c r="W119" s="1" t="n">
        <f aca="false">MIN($F119)</f>
        <v>476</v>
      </c>
      <c r="X119" s="1" t="n">
        <f aca="false">MIN($G119)</f>
        <v>0</v>
      </c>
      <c r="Y119" s="1" t="n">
        <f aca="false">MIN($H119)</f>
        <v>1</v>
      </c>
      <c r="Z119" s="1" t="n">
        <f aca="false">MIN($I119)</f>
        <v>7.451</v>
      </c>
      <c r="AA119" s="1" t="n">
        <f aca="false">MIN($J119)</f>
        <v>7.64</v>
      </c>
      <c r="AB119" s="1" t="n">
        <f aca="false">MIN($K119)</f>
        <v>5</v>
      </c>
      <c r="AC119" s="1" t="n">
        <f aca="false">MIN($M119)</f>
        <v>1436457</v>
      </c>
      <c r="AD119" s="1" t="n">
        <f aca="false">MIN($N119)</f>
        <v>1.12</v>
      </c>
      <c r="AE119" s="1" t="n">
        <f aca="false">MIN($P119)</f>
        <v>7.64</v>
      </c>
      <c r="AF119" s="1" t="n">
        <f aca="false">MIN($Q119)</f>
        <v>0</v>
      </c>
      <c r="AG119" s="1" t="n">
        <f aca="false">MIN($R119)</f>
        <v>493043</v>
      </c>
      <c r="AH119" s="1" t="n">
        <f aca="false">MEDIAN($B119)</f>
        <v>26027</v>
      </c>
      <c r="AI119" s="1" t="n">
        <f aca="false">MEDIAN($C119)</f>
        <v>514</v>
      </c>
      <c r="AJ119" s="1" t="n">
        <f aca="false">MEDIAN($D119)</f>
        <v>949484</v>
      </c>
      <c r="AK119" s="1" t="n">
        <f aca="false">MEDIAN($E119)</f>
        <v>0</v>
      </c>
      <c r="AL119" s="1" t="n">
        <f aca="false">MEDIAN($F119)</f>
        <v>476</v>
      </c>
      <c r="AM119" s="1" t="n">
        <f aca="false">MEDIAN($G119)</f>
        <v>0</v>
      </c>
      <c r="AN119" s="1" t="n">
        <f aca="false">MEDIAN($H119)</f>
        <v>1</v>
      </c>
      <c r="AO119" s="1" t="n">
        <f aca="false">MEDIAN($I119)</f>
        <v>7.451</v>
      </c>
      <c r="AP119" s="1" t="n">
        <f aca="false">MEDIAN($J119)</f>
        <v>7.64</v>
      </c>
      <c r="AQ119" s="1" t="n">
        <f aca="false">MEDIAN($K119)</f>
        <v>5</v>
      </c>
      <c r="AR119" s="1" t="n">
        <f aca="false">MEDIAN($M119)</f>
        <v>1436457</v>
      </c>
      <c r="AS119" s="1" t="n">
        <f aca="false">MEDIAN($N119)</f>
        <v>1.12</v>
      </c>
      <c r="AT119" s="1" t="n">
        <f aca="false">MEDIAN($P119)</f>
        <v>7.64</v>
      </c>
      <c r="AU119" s="1" t="n">
        <f aca="false">MEDIAN($Q119)</f>
        <v>0</v>
      </c>
      <c r="AV119" s="1" t="n">
        <f aca="false">MEDIAN($R119)</f>
        <v>493043</v>
      </c>
      <c r="AW119" s="1" t="n">
        <f aca="false">MAX($B119)</f>
        <v>26027</v>
      </c>
      <c r="AX119" s="1" t="n">
        <f aca="false">MAX($C119)</f>
        <v>514</v>
      </c>
      <c r="AY119" s="1" t="n">
        <f aca="false">MAX($D119)</f>
        <v>949484</v>
      </c>
      <c r="AZ119" s="1" t="n">
        <f aca="false">MAX($E119)</f>
        <v>0</v>
      </c>
      <c r="BA119" s="1" t="n">
        <f aca="false">MAX($F119)</f>
        <v>476</v>
      </c>
      <c r="BB119" s="1" t="n">
        <f aca="false">MAX($G119)</f>
        <v>0</v>
      </c>
      <c r="BC119" s="1" t="n">
        <f aca="false">MAX($H119)</f>
        <v>1</v>
      </c>
      <c r="BD119" s="1" t="n">
        <f aca="false">MAX($I119)</f>
        <v>7.451</v>
      </c>
      <c r="BE119" s="1" t="n">
        <f aca="false">MAX($J119)</f>
        <v>7.64</v>
      </c>
      <c r="BF119" s="1" t="n">
        <f aca="false">MAX($K119)</f>
        <v>5</v>
      </c>
      <c r="BG119" s="1" t="n">
        <f aca="false">MAX($M119)</f>
        <v>1436457</v>
      </c>
      <c r="BH119" s="1" t="n">
        <f aca="false">MAX($N119)</f>
        <v>1.12</v>
      </c>
      <c r="BI119" s="1" t="n">
        <f aca="false">MAX($P119)</f>
        <v>7.64</v>
      </c>
      <c r="BJ119" s="1" t="n">
        <f aca="false">MAX($Q119)</f>
        <v>0</v>
      </c>
      <c r="BK119" s="1" t="n">
        <f aca="false">MAX($R119)</f>
        <v>493043</v>
      </c>
    </row>
    <row r="120" customFormat="false" ht="15" hidden="false" customHeight="false" outlineLevel="0" collapsed="false">
      <c r="A120" s="1" t="s">
        <v>137</v>
      </c>
      <c r="B120" s="1" t="n">
        <f aca="false" t="array" ref="B120:B120">_xlfn.SWITCH($A$2,"average", AVERAGE(Instances!B120:B120),"median", MEDIAN(Instances!B120:B120),"min", MIN(Instances!B120:B120),"max", MAX(Instances!B120:B120),"diff", MAX(Instances!B120:B120)-MIN(Instances!B120:B120))</f>
        <v>1069</v>
      </c>
      <c r="C120" s="1" t="n">
        <f aca="false" t="array" ref="C120:C120">_xlfn.SWITCH($A$2,"average", AVERAGE(Instances!C120:C120),"median", MEDIAN(Instances!C120:C120),"min", MIN(Instances!C120:C120),"max", MAX(Instances!C120:C120),"diff", MAX(Instances!C120:C120)-MIN(Instances!C120:C120))</f>
        <v>3</v>
      </c>
      <c r="D120" s="1" t="n">
        <f aca="false" t="array" ref="D120:D120">_xlfn.SWITCH($A$2,"average", AVERAGE(Instances!D120:D120),"median", MEDIAN(Instances!D120:D120),"min", MIN(Instances!D120:D120),"max", MAX(Instances!D120:D120),"diff", MAX(Instances!D120:D120)-MIN(Instances!D120:D120))</f>
        <v>520340</v>
      </c>
      <c r="E120" s="1" t="n">
        <f aca="false" t="array" ref="E120:E120">_xlfn.SWITCH($A$2,"average", AVERAGE(Instances!E120:E120),"median", MEDIAN(Instances!E120:E120),"min", MIN(Instances!E120:E120),"max", MAX(Instances!E120:E120),"diff", MAX(Instances!E120:E120)-MIN(Instances!E120:E120))</f>
        <v>0</v>
      </c>
      <c r="F120" s="1" t="n">
        <f aca="false" t="array" ref="F120:F120">_xlfn.SWITCH($A$2,"average", AVERAGE(Instances!F120:F120),"median", MEDIAN(Instances!F120:F120),"min", MIN(Instances!F120:F120),"max", MAX(Instances!F120:F120),"diff", MAX(Instances!F120:F120)-MIN(Instances!F120:F120))</f>
        <v>336</v>
      </c>
      <c r="G120" s="1" t="n">
        <f aca="false" t="array" ref="G120:G120">_xlfn.SWITCH($A$2,"average", AVERAGE(Instances!G120:G120),"median", MEDIAN(Instances!G120:G120),"min", MIN(Instances!G120:G120),"max", MAX(Instances!G120:G120),"diff", MAX(Instances!G120:G120)-MIN(Instances!G120:G120))</f>
        <v>0</v>
      </c>
      <c r="H120" s="1" t="n">
        <f aca="false" t="array" ref="H120:H120">_xlfn.SWITCH($A$2,"average", AVERAGE(Instances!H120:H120),"median", MEDIAN(Instances!H120:H120),"min", MIN(Instances!H120:H120),"max", MAX(Instances!H120:H120),"diff", MAX(Instances!H120:H120)-MIN(Instances!H120:H120))</f>
        <v>1</v>
      </c>
      <c r="I120" s="1" t="n">
        <f aca="false" t="array" ref="I120:I120">_xlfn.SWITCH($A$2,"average", AVERAGE(Instances!I120:I120),"median", MEDIAN(Instances!I120:I120),"min", MIN(Instances!I120:I120),"max", MAX(Instances!I120:I120),"diff", MAX(Instances!I120:I120)-MIN(Instances!I120:I120))</f>
        <v>4.263</v>
      </c>
      <c r="J120" s="1" t="n">
        <f aca="false" t="array" ref="J120:J120">_xlfn.SWITCH($A$2,"average", AVERAGE(Instances!J120:J120),"median", MEDIAN(Instances!J120:J120),"min", MIN(Instances!J120:J120),"max", MAX(Instances!J120:J120),"diff", MAX(Instances!J120:J120)-MIN(Instances!J120:J120))</f>
        <v>4.38</v>
      </c>
      <c r="K120" s="1" t="n">
        <f aca="false" t="array" ref="K120:K120">_xlfn.SWITCH($A$2,"average", AVERAGE(Instances!K120:K120),"median", MEDIAN(Instances!K120:K120),"min", MIN(Instances!K120:K120),"max", MAX(Instances!K120:K120),"diff", MAX(Instances!K120:K120)-MIN(Instances!K120:K120))</f>
        <v>0</v>
      </c>
      <c r="L120" s="1"/>
      <c r="M120" s="1" t="n">
        <f aca="false" t="array" ref="M120:M120">_xlfn.SWITCH($A$2,"average", AVERAGE(Instances!M120:M120),"median", MEDIAN(Instances!M120:M120),"min", MIN(Instances!M120:M120),"max", MAX(Instances!M120:M120),"diff", MAX(Instances!M120:M120)-MIN(Instances!M120:M120))</f>
        <v>981559</v>
      </c>
      <c r="N120" s="1" t="n">
        <f aca="false" t="array" ref="N120:N120">_xlfn.SWITCH($A$2,"average", AVERAGE(Instances!N120:N120),"median", MEDIAN(Instances!N120:N120),"min", MIN(Instances!N120:N120),"max", MAX(Instances!N120:N120),"diff", MAX(Instances!N120:N120)-MIN(Instances!N120:N120))</f>
        <v>0.04</v>
      </c>
      <c r="O120" s="1"/>
      <c r="P120" s="1" t="n">
        <f aca="false" t="array" ref="P120:P120">_xlfn.SWITCH($A$2,"average", AVERAGE(Instances!P120:P120),"median", MEDIAN(Instances!P120:P120),"min", MIN(Instances!P120:P120),"max", MAX(Instances!P120:P120),"diff", MAX(Instances!P120:P120)-MIN(Instances!P120:P120))</f>
        <v>4.38</v>
      </c>
      <c r="Q120" s="1" t="n">
        <f aca="false" t="array" ref="Q120:Q120">_xlfn.SWITCH($A$2,"average", AVERAGE(Instances!Q120:Q120),"median", MEDIAN(Instances!Q120:Q120),"min", MIN(Instances!Q120:Q120),"max", MAX(Instances!Q120:Q120),"diff", MAX(Instances!Q120:Q120)-MIN(Instances!Q120:Q120))</f>
        <v>0</v>
      </c>
      <c r="R120" s="1" t="n">
        <f aca="false" t="array" ref="R120:R120">_xlfn.SWITCH($A$2,"average", AVERAGE(Instances!R120:R120),"median", MEDIAN(Instances!R120:R120),"min", MIN(Instances!R120:R120),"max", MAX(Instances!R120:R120),"diff", MAX(Instances!R120:R120)-MIN(Instances!R120:R120))</f>
        <v>349876</v>
      </c>
      <c r="S120" s="1" t="n">
        <f aca="false">MIN($B120)</f>
        <v>1069</v>
      </c>
      <c r="T120" s="1" t="n">
        <f aca="false">MIN($C120)</f>
        <v>3</v>
      </c>
      <c r="U120" s="1" t="n">
        <f aca="false">MIN($D120)</f>
        <v>520340</v>
      </c>
      <c r="V120" s="1" t="n">
        <f aca="false">MIN($E120)</f>
        <v>0</v>
      </c>
      <c r="W120" s="1" t="n">
        <f aca="false">MIN($F120)</f>
        <v>336</v>
      </c>
      <c r="X120" s="1" t="n">
        <f aca="false">MIN($G120)</f>
        <v>0</v>
      </c>
      <c r="Y120" s="1" t="n">
        <f aca="false">MIN($H120)</f>
        <v>1</v>
      </c>
      <c r="Z120" s="1" t="n">
        <f aca="false">MIN($I120)</f>
        <v>4.263</v>
      </c>
      <c r="AA120" s="1" t="n">
        <f aca="false">MIN($J120)</f>
        <v>4.38</v>
      </c>
      <c r="AB120" s="1" t="n">
        <f aca="false">MIN($K120)</f>
        <v>0</v>
      </c>
      <c r="AC120" s="1" t="n">
        <f aca="false">MIN($M120)</f>
        <v>981559</v>
      </c>
      <c r="AD120" s="1" t="n">
        <f aca="false">MIN($N120)</f>
        <v>0.04</v>
      </c>
      <c r="AE120" s="1" t="n">
        <f aca="false">MIN($P120)</f>
        <v>4.38</v>
      </c>
      <c r="AF120" s="1" t="n">
        <f aca="false">MIN($Q120)</f>
        <v>0</v>
      </c>
      <c r="AG120" s="1" t="n">
        <f aca="false">MIN($R120)</f>
        <v>349876</v>
      </c>
      <c r="AH120" s="1" t="n">
        <f aca="false">MEDIAN($B120)</f>
        <v>1069</v>
      </c>
      <c r="AI120" s="1" t="n">
        <f aca="false">MEDIAN($C120)</f>
        <v>3</v>
      </c>
      <c r="AJ120" s="1" t="n">
        <f aca="false">MEDIAN($D120)</f>
        <v>520340</v>
      </c>
      <c r="AK120" s="1" t="n">
        <f aca="false">MEDIAN($E120)</f>
        <v>0</v>
      </c>
      <c r="AL120" s="1" t="n">
        <f aca="false">MEDIAN($F120)</f>
        <v>336</v>
      </c>
      <c r="AM120" s="1" t="n">
        <f aca="false">MEDIAN($G120)</f>
        <v>0</v>
      </c>
      <c r="AN120" s="1" t="n">
        <f aca="false">MEDIAN($H120)</f>
        <v>1</v>
      </c>
      <c r="AO120" s="1" t="n">
        <f aca="false">MEDIAN($I120)</f>
        <v>4.263</v>
      </c>
      <c r="AP120" s="1" t="n">
        <f aca="false">MEDIAN($J120)</f>
        <v>4.38</v>
      </c>
      <c r="AQ120" s="1" t="n">
        <f aca="false">MEDIAN($K120)</f>
        <v>0</v>
      </c>
      <c r="AR120" s="1" t="n">
        <f aca="false">MEDIAN($M120)</f>
        <v>981559</v>
      </c>
      <c r="AS120" s="1" t="n">
        <f aca="false">MEDIAN($N120)</f>
        <v>0.04</v>
      </c>
      <c r="AT120" s="1" t="n">
        <f aca="false">MEDIAN($P120)</f>
        <v>4.38</v>
      </c>
      <c r="AU120" s="1" t="n">
        <f aca="false">MEDIAN($Q120)</f>
        <v>0</v>
      </c>
      <c r="AV120" s="1" t="n">
        <f aca="false">MEDIAN($R120)</f>
        <v>349876</v>
      </c>
      <c r="AW120" s="1" t="n">
        <f aca="false">MAX($B120)</f>
        <v>1069</v>
      </c>
      <c r="AX120" s="1" t="n">
        <f aca="false">MAX($C120)</f>
        <v>3</v>
      </c>
      <c r="AY120" s="1" t="n">
        <f aca="false">MAX($D120)</f>
        <v>520340</v>
      </c>
      <c r="AZ120" s="1" t="n">
        <f aca="false">MAX($E120)</f>
        <v>0</v>
      </c>
      <c r="BA120" s="1" t="n">
        <f aca="false">MAX($F120)</f>
        <v>336</v>
      </c>
      <c r="BB120" s="1" t="n">
        <f aca="false">MAX($G120)</f>
        <v>0</v>
      </c>
      <c r="BC120" s="1" t="n">
        <f aca="false">MAX($H120)</f>
        <v>1</v>
      </c>
      <c r="BD120" s="1" t="n">
        <f aca="false">MAX($I120)</f>
        <v>4.263</v>
      </c>
      <c r="BE120" s="1" t="n">
        <f aca="false">MAX($J120)</f>
        <v>4.38</v>
      </c>
      <c r="BF120" s="1" t="n">
        <f aca="false">MAX($K120)</f>
        <v>0</v>
      </c>
      <c r="BG120" s="1" t="n">
        <f aca="false">MAX($M120)</f>
        <v>981559</v>
      </c>
      <c r="BH120" s="1" t="n">
        <f aca="false">MAX($N120)</f>
        <v>0.04</v>
      </c>
      <c r="BI120" s="1" t="n">
        <f aca="false">MAX($P120)</f>
        <v>4.38</v>
      </c>
      <c r="BJ120" s="1" t="n">
        <f aca="false">MAX($Q120)</f>
        <v>0</v>
      </c>
      <c r="BK120" s="1" t="n">
        <f aca="false">MAX($R120)</f>
        <v>349876</v>
      </c>
    </row>
    <row r="121" customFormat="false" ht="15" hidden="false" customHeight="false" outlineLevel="0" collapsed="false">
      <c r="A121" s="1" t="s">
        <v>138</v>
      </c>
      <c r="B121" s="1" t="n">
        <f aca="false" t="array" ref="B121:B121">_xlfn.SWITCH($A$2,"average", AVERAGE(Instances!B121:B121),"median", MEDIAN(Instances!B121:B121),"min", MIN(Instances!B121:B121),"max", MAX(Instances!B121:B121),"diff", MAX(Instances!B121:B121)-MIN(Instances!B121:B121))</f>
        <v>1483</v>
      </c>
      <c r="C121" s="1" t="n">
        <f aca="false" t="array" ref="C121:C121">_xlfn.SWITCH($A$2,"average", AVERAGE(Instances!C121:C121),"median", MEDIAN(Instances!C121:C121),"min", MIN(Instances!C121:C121),"max", MAX(Instances!C121:C121),"diff", MAX(Instances!C121:C121)-MIN(Instances!C121:C121))</f>
        <v>2</v>
      </c>
      <c r="D121" s="1" t="n">
        <f aca="false" t="array" ref="D121:D121">_xlfn.SWITCH($A$2,"average", AVERAGE(Instances!D121:D121),"median", MEDIAN(Instances!D121:D121),"min", MIN(Instances!D121:D121),"max", MAX(Instances!D121:D121),"diff", MAX(Instances!D121:D121)-MIN(Instances!D121:D121))</f>
        <v>630111</v>
      </c>
      <c r="E121" s="1" t="n">
        <f aca="false" t="array" ref="E121:E121">_xlfn.SWITCH($A$2,"average", AVERAGE(Instances!E121:E121),"median", MEDIAN(Instances!E121:E121),"min", MIN(Instances!E121:E121),"max", MAX(Instances!E121:E121),"diff", MAX(Instances!E121:E121)-MIN(Instances!E121:E121))</f>
        <v>0</v>
      </c>
      <c r="F121" s="1" t="n">
        <f aca="false" t="array" ref="F121:F121">_xlfn.SWITCH($A$2,"average", AVERAGE(Instances!F121:F121),"median", MEDIAN(Instances!F121:F121),"min", MIN(Instances!F121:F121),"max", MAX(Instances!F121:F121),"diff", MAX(Instances!F121:F121)-MIN(Instances!F121:F121))</f>
        <v>371</v>
      </c>
      <c r="G121" s="1" t="n">
        <f aca="false" t="array" ref="G121:G121">_xlfn.SWITCH($A$2,"average", AVERAGE(Instances!G121:G121),"median", MEDIAN(Instances!G121:G121),"min", MIN(Instances!G121:G121),"max", MAX(Instances!G121:G121),"diff", MAX(Instances!G121:G121)-MIN(Instances!G121:G121))</f>
        <v>0</v>
      </c>
      <c r="H121" s="1" t="n">
        <f aca="false" t="array" ref="H121:H121">_xlfn.SWITCH($A$2,"average", AVERAGE(Instances!H121:H121),"median", MEDIAN(Instances!H121:H121),"min", MIN(Instances!H121:H121),"max", MAX(Instances!H121:H121),"diff", MAX(Instances!H121:H121)-MIN(Instances!H121:H121))</f>
        <v>1</v>
      </c>
      <c r="I121" s="1" t="n">
        <f aca="false" t="array" ref="I121:I121">_xlfn.SWITCH($A$2,"average", AVERAGE(Instances!I121:I121),"median", MEDIAN(Instances!I121:I121),"min", MIN(Instances!I121:I121),"max", MAX(Instances!I121:I121),"diff", MAX(Instances!I121:I121)-MIN(Instances!I121:I121))</f>
        <v>4.994</v>
      </c>
      <c r="J121" s="1" t="n">
        <f aca="false" t="array" ref="J121:J121">_xlfn.SWITCH($A$2,"average", AVERAGE(Instances!J121:J121),"median", MEDIAN(Instances!J121:J121),"min", MIN(Instances!J121:J121),"max", MAX(Instances!J121:J121),"diff", MAX(Instances!J121:J121)-MIN(Instances!J121:J121))</f>
        <v>5.13</v>
      </c>
      <c r="K121" s="1" t="n">
        <f aca="false" t="array" ref="K121:K121">_xlfn.SWITCH($A$2,"average", AVERAGE(Instances!K121:K121),"median", MEDIAN(Instances!K121:K121),"min", MIN(Instances!K121:K121),"max", MAX(Instances!K121:K121),"diff", MAX(Instances!K121:K121)-MIN(Instances!K121:K121))</f>
        <v>0</v>
      </c>
      <c r="L121" s="1"/>
      <c r="M121" s="1" t="n">
        <f aca="false" t="array" ref="M121:M121">_xlfn.SWITCH($A$2,"average", AVERAGE(Instances!M121:M121),"median", MEDIAN(Instances!M121:M121),"min", MIN(Instances!M121:M121),"max", MAX(Instances!M121:M121),"diff", MAX(Instances!M121:M121)-MIN(Instances!M121:M121))</f>
        <v>1093363</v>
      </c>
      <c r="N121" s="1" t="n">
        <f aca="false" t="array" ref="N121:N121">_xlfn.SWITCH($A$2,"average", AVERAGE(Instances!N121:N121),"median", MEDIAN(Instances!N121:N121),"min", MIN(Instances!N121:N121),"max", MAX(Instances!N121:N121),"diff", MAX(Instances!N121:N121)-MIN(Instances!N121:N121))</f>
        <v>0.05</v>
      </c>
      <c r="O121" s="1"/>
      <c r="P121" s="1" t="n">
        <f aca="false" t="array" ref="P121:P121">_xlfn.SWITCH($A$2,"average", AVERAGE(Instances!P121:P121),"median", MEDIAN(Instances!P121:P121),"min", MIN(Instances!P121:P121),"max", MAX(Instances!P121:P121),"diff", MAX(Instances!P121:P121)-MIN(Instances!P121:P121))</f>
        <v>5.13</v>
      </c>
      <c r="Q121" s="1" t="n">
        <f aca="false" t="array" ref="Q121:Q121">_xlfn.SWITCH($A$2,"average", AVERAGE(Instances!Q121:Q121),"median", MEDIAN(Instances!Q121:Q121),"min", MIN(Instances!Q121:Q121),"max", MAX(Instances!Q121:Q121),"diff", MAX(Instances!Q121:Q121)-MIN(Instances!Q121:Q121))</f>
        <v>0</v>
      </c>
      <c r="R121" s="1" t="n">
        <f aca="false" t="array" ref="R121:R121">_xlfn.SWITCH($A$2,"average", AVERAGE(Instances!R121:R121),"median", MEDIAN(Instances!R121:R121),"min", MIN(Instances!R121:R121),"max", MAX(Instances!R121:R121),"diff", MAX(Instances!R121:R121)-MIN(Instances!R121:R121))</f>
        <v>387197</v>
      </c>
      <c r="S121" s="1" t="n">
        <f aca="false">MIN($B121)</f>
        <v>1483</v>
      </c>
      <c r="T121" s="1" t="n">
        <f aca="false">MIN($C121)</f>
        <v>2</v>
      </c>
      <c r="U121" s="1" t="n">
        <f aca="false">MIN($D121)</f>
        <v>630111</v>
      </c>
      <c r="V121" s="1" t="n">
        <f aca="false">MIN($E121)</f>
        <v>0</v>
      </c>
      <c r="W121" s="1" t="n">
        <f aca="false">MIN($F121)</f>
        <v>371</v>
      </c>
      <c r="X121" s="1" t="n">
        <f aca="false">MIN($G121)</f>
        <v>0</v>
      </c>
      <c r="Y121" s="1" t="n">
        <f aca="false">MIN($H121)</f>
        <v>1</v>
      </c>
      <c r="Z121" s="1" t="n">
        <f aca="false">MIN($I121)</f>
        <v>4.994</v>
      </c>
      <c r="AA121" s="1" t="n">
        <f aca="false">MIN($J121)</f>
        <v>5.13</v>
      </c>
      <c r="AB121" s="1" t="n">
        <f aca="false">MIN($K121)</f>
        <v>0</v>
      </c>
      <c r="AC121" s="1" t="n">
        <f aca="false">MIN($M121)</f>
        <v>1093363</v>
      </c>
      <c r="AD121" s="1" t="n">
        <f aca="false">MIN($N121)</f>
        <v>0.05</v>
      </c>
      <c r="AE121" s="1" t="n">
        <f aca="false">MIN($P121)</f>
        <v>5.13</v>
      </c>
      <c r="AF121" s="1" t="n">
        <f aca="false">MIN($Q121)</f>
        <v>0</v>
      </c>
      <c r="AG121" s="1" t="n">
        <f aca="false">MIN($R121)</f>
        <v>387197</v>
      </c>
      <c r="AH121" s="1" t="n">
        <f aca="false">MEDIAN($B121)</f>
        <v>1483</v>
      </c>
      <c r="AI121" s="1" t="n">
        <f aca="false">MEDIAN($C121)</f>
        <v>2</v>
      </c>
      <c r="AJ121" s="1" t="n">
        <f aca="false">MEDIAN($D121)</f>
        <v>630111</v>
      </c>
      <c r="AK121" s="1" t="n">
        <f aca="false">MEDIAN($E121)</f>
        <v>0</v>
      </c>
      <c r="AL121" s="1" t="n">
        <f aca="false">MEDIAN($F121)</f>
        <v>371</v>
      </c>
      <c r="AM121" s="1" t="n">
        <f aca="false">MEDIAN($G121)</f>
        <v>0</v>
      </c>
      <c r="AN121" s="1" t="n">
        <f aca="false">MEDIAN($H121)</f>
        <v>1</v>
      </c>
      <c r="AO121" s="1" t="n">
        <f aca="false">MEDIAN($I121)</f>
        <v>4.994</v>
      </c>
      <c r="AP121" s="1" t="n">
        <f aca="false">MEDIAN($J121)</f>
        <v>5.13</v>
      </c>
      <c r="AQ121" s="1" t="n">
        <f aca="false">MEDIAN($K121)</f>
        <v>0</v>
      </c>
      <c r="AR121" s="1" t="n">
        <f aca="false">MEDIAN($M121)</f>
        <v>1093363</v>
      </c>
      <c r="AS121" s="1" t="n">
        <f aca="false">MEDIAN($N121)</f>
        <v>0.05</v>
      </c>
      <c r="AT121" s="1" t="n">
        <f aca="false">MEDIAN($P121)</f>
        <v>5.13</v>
      </c>
      <c r="AU121" s="1" t="n">
        <f aca="false">MEDIAN($Q121)</f>
        <v>0</v>
      </c>
      <c r="AV121" s="1" t="n">
        <f aca="false">MEDIAN($R121)</f>
        <v>387197</v>
      </c>
      <c r="AW121" s="1" t="n">
        <f aca="false">MAX($B121)</f>
        <v>1483</v>
      </c>
      <c r="AX121" s="1" t="n">
        <f aca="false">MAX($C121)</f>
        <v>2</v>
      </c>
      <c r="AY121" s="1" t="n">
        <f aca="false">MAX($D121)</f>
        <v>630111</v>
      </c>
      <c r="AZ121" s="1" t="n">
        <f aca="false">MAX($E121)</f>
        <v>0</v>
      </c>
      <c r="BA121" s="1" t="n">
        <f aca="false">MAX($F121)</f>
        <v>371</v>
      </c>
      <c r="BB121" s="1" t="n">
        <f aca="false">MAX($G121)</f>
        <v>0</v>
      </c>
      <c r="BC121" s="1" t="n">
        <f aca="false">MAX($H121)</f>
        <v>1</v>
      </c>
      <c r="BD121" s="1" t="n">
        <f aca="false">MAX($I121)</f>
        <v>4.994</v>
      </c>
      <c r="BE121" s="1" t="n">
        <f aca="false">MAX($J121)</f>
        <v>5.13</v>
      </c>
      <c r="BF121" s="1" t="n">
        <f aca="false">MAX($K121)</f>
        <v>0</v>
      </c>
      <c r="BG121" s="1" t="n">
        <f aca="false">MAX($M121)</f>
        <v>1093363</v>
      </c>
      <c r="BH121" s="1" t="n">
        <f aca="false">MAX($N121)</f>
        <v>0.05</v>
      </c>
      <c r="BI121" s="1" t="n">
        <f aca="false">MAX($P121)</f>
        <v>5.13</v>
      </c>
      <c r="BJ121" s="1" t="n">
        <f aca="false">MAX($Q121)</f>
        <v>0</v>
      </c>
      <c r="BK121" s="1" t="n">
        <f aca="false">MAX($R121)</f>
        <v>387197</v>
      </c>
    </row>
    <row r="122" customFormat="false" ht="15" hidden="false" customHeight="false" outlineLevel="0" collapsed="false">
      <c r="A122" s="1" t="s">
        <v>139</v>
      </c>
      <c r="B122" s="1" t="n">
        <f aca="false" t="array" ref="B122:B122">_xlfn.SWITCH($A$2,"average", AVERAGE(Instances!B122:B122),"median", MEDIAN(Instances!B122:B122),"min", MIN(Instances!B122:B122),"max", MAX(Instances!B122:B122),"diff", MAX(Instances!B122:B122)-MIN(Instances!B122:B122))</f>
        <v>22503</v>
      </c>
      <c r="C122" s="1" t="n">
        <f aca="false" t="array" ref="C122:C122">_xlfn.SWITCH($A$2,"average", AVERAGE(Instances!C122:C122),"median", MEDIAN(Instances!C122:C122),"min", MIN(Instances!C122:C122),"max", MAX(Instances!C122:C122),"diff", MAX(Instances!C122:C122)-MIN(Instances!C122:C122))</f>
        <v>280</v>
      </c>
      <c r="D122" s="1" t="n">
        <f aca="false" t="array" ref="D122:D122">_xlfn.SWITCH($A$2,"average", AVERAGE(Instances!D122:D122),"median", MEDIAN(Instances!D122:D122),"min", MIN(Instances!D122:D122),"max", MAX(Instances!D122:D122),"diff", MAX(Instances!D122:D122)-MIN(Instances!D122:D122))</f>
        <v>762463</v>
      </c>
      <c r="E122" s="1" t="n">
        <f aca="false" t="array" ref="E122:E122">_xlfn.SWITCH($A$2,"average", AVERAGE(Instances!E122:E122),"median", MEDIAN(Instances!E122:E122),"min", MIN(Instances!E122:E122),"max", MAX(Instances!E122:E122),"diff", MAX(Instances!E122:E122)-MIN(Instances!E122:E122))</f>
        <v>0</v>
      </c>
      <c r="F122" s="1" t="n">
        <f aca="false" t="array" ref="F122:F122">_xlfn.SWITCH($A$2,"average", AVERAGE(Instances!F122:F122),"median", MEDIAN(Instances!F122:F122),"min", MIN(Instances!F122:F122),"max", MAX(Instances!F122:F122),"diff", MAX(Instances!F122:F122)-MIN(Instances!F122:F122))</f>
        <v>411</v>
      </c>
      <c r="G122" s="1" t="n">
        <f aca="false" t="array" ref="G122:G122">_xlfn.SWITCH($A$2,"average", AVERAGE(Instances!G122:G122),"median", MEDIAN(Instances!G122:G122),"min", MIN(Instances!G122:G122),"max", MAX(Instances!G122:G122),"diff", MAX(Instances!G122:G122)-MIN(Instances!G122:G122))</f>
        <v>0</v>
      </c>
      <c r="H122" s="1" t="n">
        <f aca="false" t="array" ref="H122:H122">_xlfn.SWITCH($A$2,"average", AVERAGE(Instances!H122:H122),"median", MEDIAN(Instances!H122:H122),"min", MIN(Instances!H122:H122),"max", MAX(Instances!H122:H122),"diff", MAX(Instances!H122:H122)-MIN(Instances!H122:H122))</f>
        <v>1</v>
      </c>
      <c r="I122" s="1" t="n">
        <f aca="false" t="array" ref="I122:I122">_xlfn.SWITCH($A$2,"average", AVERAGE(Instances!I122:I122),"median", MEDIAN(Instances!I122:I122),"min", MIN(Instances!I122:I122),"max", MAX(Instances!I122:I122),"diff", MAX(Instances!I122:I122)-MIN(Instances!I122:I122))</f>
        <v>6.682</v>
      </c>
      <c r="J122" s="1" t="n">
        <f aca="false" t="array" ref="J122:J122">_xlfn.SWITCH($A$2,"average", AVERAGE(Instances!J122:J122),"median", MEDIAN(Instances!J122:J122),"min", MIN(Instances!J122:J122),"max", MAX(Instances!J122:J122),"diff", MAX(Instances!J122:J122)-MIN(Instances!J122:J122))</f>
        <v>6.84</v>
      </c>
      <c r="K122" s="1" t="n">
        <f aca="false" t="array" ref="K122:K122">_xlfn.SWITCH($A$2,"average", AVERAGE(Instances!K122:K122),"median", MEDIAN(Instances!K122:K122),"min", MIN(Instances!K122:K122),"max", MAX(Instances!K122:K122),"diff", MAX(Instances!K122:K122)-MIN(Instances!K122:K122))</f>
        <v>2</v>
      </c>
      <c r="L122" s="1"/>
      <c r="M122" s="1" t="n">
        <f aca="false" t="array" ref="M122:M122">_xlfn.SWITCH($A$2,"average", AVERAGE(Instances!M122:M122),"median", MEDIAN(Instances!M122:M122),"min", MIN(Instances!M122:M122),"max", MAX(Instances!M122:M122),"diff", MAX(Instances!M122:M122)-MIN(Instances!M122:M122))</f>
        <v>1238015</v>
      </c>
      <c r="N122" s="1" t="n">
        <f aca="false" t="array" ref="N122:N122">_xlfn.SWITCH($A$2,"average", AVERAGE(Instances!N122:N122),"median", MEDIAN(Instances!N122:N122),"min", MIN(Instances!N122:N122),"max", MAX(Instances!N122:N122),"diff", MAX(Instances!N122:N122)-MIN(Instances!N122:N122))</f>
        <v>1.11</v>
      </c>
      <c r="O122" s="1"/>
      <c r="P122" s="1" t="n">
        <f aca="false" t="array" ref="P122:P122">_xlfn.SWITCH($A$2,"average", AVERAGE(Instances!P122:P122),"median", MEDIAN(Instances!P122:P122),"min", MIN(Instances!P122:P122),"max", MAX(Instances!P122:P122),"diff", MAX(Instances!P122:P122)-MIN(Instances!P122:P122))</f>
        <v>6.84</v>
      </c>
      <c r="Q122" s="1" t="n">
        <f aca="false" t="array" ref="Q122:Q122">_xlfn.SWITCH($A$2,"average", AVERAGE(Instances!Q122:Q122),"median", MEDIAN(Instances!Q122:Q122),"min", MIN(Instances!Q122:Q122),"max", MAX(Instances!Q122:Q122),"diff", MAX(Instances!Q122:Q122)-MIN(Instances!Q122:Q122))</f>
        <v>0</v>
      </c>
      <c r="R122" s="1" t="n">
        <f aca="false" t="array" ref="R122:R122">_xlfn.SWITCH($A$2,"average", AVERAGE(Instances!R122:R122),"median", MEDIAN(Instances!R122:R122),"min", MIN(Instances!R122:R122),"max", MAX(Instances!R122:R122),"diff", MAX(Instances!R122:R122)-MIN(Instances!R122:R122))</f>
        <v>426002</v>
      </c>
      <c r="S122" s="1" t="n">
        <f aca="false">MIN($B122)</f>
        <v>22503</v>
      </c>
      <c r="T122" s="1" t="n">
        <f aca="false">MIN($C122)</f>
        <v>280</v>
      </c>
      <c r="U122" s="1" t="n">
        <f aca="false">MIN($D122)</f>
        <v>762463</v>
      </c>
      <c r="V122" s="1" t="n">
        <f aca="false">MIN($E122)</f>
        <v>0</v>
      </c>
      <c r="W122" s="1" t="n">
        <f aca="false">MIN($F122)</f>
        <v>411</v>
      </c>
      <c r="X122" s="1" t="n">
        <f aca="false">MIN($G122)</f>
        <v>0</v>
      </c>
      <c r="Y122" s="1" t="n">
        <f aca="false">MIN($H122)</f>
        <v>1</v>
      </c>
      <c r="Z122" s="1" t="n">
        <f aca="false">MIN($I122)</f>
        <v>6.682</v>
      </c>
      <c r="AA122" s="1" t="n">
        <f aca="false">MIN($J122)</f>
        <v>6.84</v>
      </c>
      <c r="AB122" s="1" t="n">
        <f aca="false">MIN($K122)</f>
        <v>2</v>
      </c>
      <c r="AC122" s="1" t="n">
        <f aca="false">MIN($M122)</f>
        <v>1238015</v>
      </c>
      <c r="AD122" s="1" t="n">
        <f aca="false">MIN($N122)</f>
        <v>1.11</v>
      </c>
      <c r="AE122" s="1" t="n">
        <f aca="false">MIN($P122)</f>
        <v>6.84</v>
      </c>
      <c r="AF122" s="1" t="n">
        <f aca="false">MIN($Q122)</f>
        <v>0</v>
      </c>
      <c r="AG122" s="1" t="n">
        <f aca="false">MIN($R122)</f>
        <v>426002</v>
      </c>
      <c r="AH122" s="1" t="n">
        <f aca="false">MEDIAN($B122)</f>
        <v>22503</v>
      </c>
      <c r="AI122" s="1" t="n">
        <f aca="false">MEDIAN($C122)</f>
        <v>280</v>
      </c>
      <c r="AJ122" s="1" t="n">
        <f aca="false">MEDIAN($D122)</f>
        <v>762463</v>
      </c>
      <c r="AK122" s="1" t="n">
        <f aca="false">MEDIAN($E122)</f>
        <v>0</v>
      </c>
      <c r="AL122" s="1" t="n">
        <f aca="false">MEDIAN($F122)</f>
        <v>411</v>
      </c>
      <c r="AM122" s="1" t="n">
        <f aca="false">MEDIAN($G122)</f>
        <v>0</v>
      </c>
      <c r="AN122" s="1" t="n">
        <f aca="false">MEDIAN($H122)</f>
        <v>1</v>
      </c>
      <c r="AO122" s="1" t="n">
        <f aca="false">MEDIAN($I122)</f>
        <v>6.682</v>
      </c>
      <c r="AP122" s="1" t="n">
        <f aca="false">MEDIAN($J122)</f>
        <v>6.84</v>
      </c>
      <c r="AQ122" s="1" t="n">
        <f aca="false">MEDIAN($K122)</f>
        <v>2</v>
      </c>
      <c r="AR122" s="1" t="n">
        <f aca="false">MEDIAN($M122)</f>
        <v>1238015</v>
      </c>
      <c r="AS122" s="1" t="n">
        <f aca="false">MEDIAN($N122)</f>
        <v>1.11</v>
      </c>
      <c r="AT122" s="1" t="n">
        <f aca="false">MEDIAN($P122)</f>
        <v>6.84</v>
      </c>
      <c r="AU122" s="1" t="n">
        <f aca="false">MEDIAN($Q122)</f>
        <v>0</v>
      </c>
      <c r="AV122" s="1" t="n">
        <f aca="false">MEDIAN($R122)</f>
        <v>426002</v>
      </c>
      <c r="AW122" s="1" t="n">
        <f aca="false">MAX($B122)</f>
        <v>22503</v>
      </c>
      <c r="AX122" s="1" t="n">
        <f aca="false">MAX($C122)</f>
        <v>280</v>
      </c>
      <c r="AY122" s="1" t="n">
        <f aca="false">MAX($D122)</f>
        <v>762463</v>
      </c>
      <c r="AZ122" s="1" t="n">
        <f aca="false">MAX($E122)</f>
        <v>0</v>
      </c>
      <c r="BA122" s="1" t="n">
        <f aca="false">MAX($F122)</f>
        <v>411</v>
      </c>
      <c r="BB122" s="1" t="n">
        <f aca="false">MAX($G122)</f>
        <v>0</v>
      </c>
      <c r="BC122" s="1" t="n">
        <f aca="false">MAX($H122)</f>
        <v>1</v>
      </c>
      <c r="BD122" s="1" t="n">
        <f aca="false">MAX($I122)</f>
        <v>6.682</v>
      </c>
      <c r="BE122" s="1" t="n">
        <f aca="false">MAX($J122)</f>
        <v>6.84</v>
      </c>
      <c r="BF122" s="1" t="n">
        <f aca="false">MAX($K122)</f>
        <v>2</v>
      </c>
      <c r="BG122" s="1" t="n">
        <f aca="false">MAX($M122)</f>
        <v>1238015</v>
      </c>
      <c r="BH122" s="1" t="n">
        <f aca="false">MAX($N122)</f>
        <v>1.11</v>
      </c>
      <c r="BI122" s="1" t="n">
        <f aca="false">MAX($P122)</f>
        <v>6.84</v>
      </c>
      <c r="BJ122" s="1" t="n">
        <f aca="false">MAX($Q122)</f>
        <v>0</v>
      </c>
      <c r="BK122" s="1" t="n">
        <f aca="false">MAX($R122)</f>
        <v>426002</v>
      </c>
    </row>
    <row r="123" customFormat="false" ht="15" hidden="false" customHeight="false" outlineLevel="0" collapsed="false">
      <c r="A123" s="1" t="s">
        <v>140</v>
      </c>
      <c r="B123" s="1" t="n">
        <f aca="false" t="array" ref="B123:B123">_xlfn.SWITCH($A$2,"average", AVERAGE(Instances!B123:B123),"median", MEDIAN(Instances!B123:B123),"min", MIN(Instances!B123:B123),"max", MAX(Instances!B123:B123),"diff", MAX(Instances!B123:B123)-MIN(Instances!B123:B123))</f>
        <v>1289</v>
      </c>
      <c r="C123" s="1" t="n">
        <f aca="false" t="array" ref="C123:C123">_xlfn.SWITCH($A$2,"average", AVERAGE(Instances!C123:C123),"median", MEDIAN(Instances!C123:C123),"min", MIN(Instances!C123:C123),"max", MAX(Instances!C123:C123),"diff", MAX(Instances!C123:C123)-MIN(Instances!C123:C123))</f>
        <v>1</v>
      </c>
      <c r="D123" s="1" t="n">
        <f aca="false" t="array" ref="D123:D123">_xlfn.SWITCH($A$2,"average", AVERAGE(Instances!D123:D123),"median", MEDIAN(Instances!D123:D123),"min", MIN(Instances!D123:D123),"max", MAX(Instances!D123:D123),"diff", MAX(Instances!D123:D123)-MIN(Instances!D123:D123))</f>
        <v>705225</v>
      </c>
      <c r="E123" s="1" t="n">
        <f aca="false" t="array" ref="E123:E123">_xlfn.SWITCH($A$2,"average", AVERAGE(Instances!E123:E123),"median", MEDIAN(Instances!E123:E123),"min", MIN(Instances!E123:E123),"max", MAX(Instances!E123:E123),"diff", MAX(Instances!E123:E123)-MIN(Instances!E123:E123))</f>
        <v>0</v>
      </c>
      <c r="F123" s="1" t="n">
        <f aca="false" t="array" ref="F123:F123">_xlfn.SWITCH($A$2,"average", AVERAGE(Instances!F123:F123),"median", MEDIAN(Instances!F123:F123),"min", MIN(Instances!F123:F123),"max", MAX(Instances!F123:F123),"diff", MAX(Instances!F123:F123)-MIN(Instances!F123:F123))</f>
        <v>397</v>
      </c>
      <c r="G123" s="1" t="n">
        <f aca="false" t="array" ref="G123:G123">_xlfn.SWITCH($A$2,"average", AVERAGE(Instances!G123:G123),"median", MEDIAN(Instances!G123:G123),"min", MIN(Instances!G123:G123),"max", MAX(Instances!G123:G123),"diff", MAX(Instances!G123:G123)-MIN(Instances!G123:G123))</f>
        <v>0</v>
      </c>
      <c r="H123" s="1" t="n">
        <f aca="false" t="array" ref="H123:H123">_xlfn.SWITCH($A$2,"average", AVERAGE(Instances!H123:H123),"median", MEDIAN(Instances!H123:H123),"min", MIN(Instances!H123:H123),"max", MAX(Instances!H123:H123),"diff", MAX(Instances!H123:H123)-MIN(Instances!H123:H123))</f>
        <v>1</v>
      </c>
      <c r="I123" s="1" t="n">
        <f aca="false" t="array" ref="I123:I123">_xlfn.SWITCH($A$2,"average", AVERAGE(Instances!I123:I123),"median", MEDIAN(Instances!I123:I123),"min", MIN(Instances!I123:I123),"max", MAX(Instances!I123:I123),"diff", MAX(Instances!I123:I123)-MIN(Instances!I123:I123))</f>
        <v>5.313</v>
      </c>
      <c r="J123" s="1" t="n">
        <f aca="false" t="array" ref="J123:J123">_xlfn.SWITCH($A$2,"average", AVERAGE(Instances!J123:J123),"median", MEDIAN(Instances!J123:J123),"min", MIN(Instances!J123:J123),"max", MAX(Instances!J123:J123),"diff", MAX(Instances!J123:J123)-MIN(Instances!J123:J123))</f>
        <v>5.46</v>
      </c>
      <c r="K123" s="1" t="n">
        <f aca="false" t="array" ref="K123:K123">_xlfn.SWITCH($A$2,"average", AVERAGE(Instances!K123:K123),"median", MEDIAN(Instances!K123:K123),"min", MIN(Instances!K123:K123),"max", MAX(Instances!K123:K123),"diff", MAX(Instances!K123:K123)-MIN(Instances!K123:K123))</f>
        <v>0</v>
      </c>
      <c r="L123" s="1"/>
      <c r="M123" s="1" t="n">
        <f aca="false" t="array" ref="M123:M123">_xlfn.SWITCH($A$2,"average", AVERAGE(Instances!M123:M123),"median", MEDIAN(Instances!M123:M123),"min", MIN(Instances!M123:M123),"max", MAX(Instances!M123:M123),"diff", MAX(Instances!M123:M123)-MIN(Instances!M123:M123))</f>
        <v>1158928</v>
      </c>
      <c r="N123" s="1" t="n">
        <f aca="false" t="array" ref="N123:N123">_xlfn.SWITCH($A$2,"average", AVERAGE(Instances!N123:N123),"median", MEDIAN(Instances!N123:N123),"min", MIN(Instances!N123:N123),"max", MAX(Instances!N123:N123),"diff", MAX(Instances!N123:N123)-MIN(Instances!N123:N123))</f>
        <v>0.05</v>
      </c>
      <c r="O123" s="1"/>
      <c r="P123" s="1" t="n">
        <f aca="false" t="array" ref="P123:P123">_xlfn.SWITCH($A$2,"average", AVERAGE(Instances!P123:P123),"median", MEDIAN(Instances!P123:P123),"min", MIN(Instances!P123:P123),"max", MAX(Instances!P123:P123),"diff", MAX(Instances!P123:P123)-MIN(Instances!P123:P123))</f>
        <v>5.46</v>
      </c>
      <c r="Q123" s="1" t="n">
        <f aca="false" t="array" ref="Q123:Q123">_xlfn.SWITCH($A$2,"average", AVERAGE(Instances!Q123:Q123),"median", MEDIAN(Instances!Q123:Q123),"min", MIN(Instances!Q123:Q123),"max", MAX(Instances!Q123:Q123),"diff", MAX(Instances!Q123:Q123)-MIN(Instances!Q123:Q123))</f>
        <v>0</v>
      </c>
      <c r="R123" s="1" t="n">
        <f aca="false" t="array" ref="R123:R123">_xlfn.SWITCH($A$2,"average", AVERAGE(Instances!R123:R123),"median", MEDIAN(Instances!R123:R123),"min", MIN(Instances!R123:R123),"max", MAX(Instances!R123:R123),"diff", MAX(Instances!R123:R123)-MIN(Instances!R123:R123))</f>
        <v>409253</v>
      </c>
      <c r="S123" s="1" t="n">
        <f aca="false">MIN($B123)</f>
        <v>1289</v>
      </c>
      <c r="T123" s="1" t="n">
        <f aca="false">MIN($C123)</f>
        <v>1</v>
      </c>
      <c r="U123" s="1" t="n">
        <f aca="false">MIN($D123)</f>
        <v>705225</v>
      </c>
      <c r="V123" s="1" t="n">
        <f aca="false">MIN($E123)</f>
        <v>0</v>
      </c>
      <c r="W123" s="1" t="n">
        <f aca="false">MIN($F123)</f>
        <v>397</v>
      </c>
      <c r="X123" s="1" t="n">
        <f aca="false">MIN($G123)</f>
        <v>0</v>
      </c>
      <c r="Y123" s="1" t="n">
        <f aca="false">MIN($H123)</f>
        <v>1</v>
      </c>
      <c r="Z123" s="1" t="n">
        <f aca="false">MIN($I123)</f>
        <v>5.313</v>
      </c>
      <c r="AA123" s="1" t="n">
        <f aca="false">MIN($J123)</f>
        <v>5.46</v>
      </c>
      <c r="AB123" s="1" t="n">
        <f aca="false">MIN($K123)</f>
        <v>0</v>
      </c>
      <c r="AC123" s="1" t="n">
        <f aca="false">MIN($M123)</f>
        <v>1158928</v>
      </c>
      <c r="AD123" s="1" t="n">
        <f aca="false">MIN($N123)</f>
        <v>0.05</v>
      </c>
      <c r="AE123" s="1" t="n">
        <f aca="false">MIN($P123)</f>
        <v>5.46</v>
      </c>
      <c r="AF123" s="1" t="n">
        <f aca="false">MIN($Q123)</f>
        <v>0</v>
      </c>
      <c r="AG123" s="1" t="n">
        <f aca="false">MIN($R123)</f>
        <v>409253</v>
      </c>
      <c r="AH123" s="1" t="n">
        <f aca="false">MEDIAN($B123)</f>
        <v>1289</v>
      </c>
      <c r="AI123" s="1" t="n">
        <f aca="false">MEDIAN($C123)</f>
        <v>1</v>
      </c>
      <c r="AJ123" s="1" t="n">
        <f aca="false">MEDIAN($D123)</f>
        <v>705225</v>
      </c>
      <c r="AK123" s="1" t="n">
        <f aca="false">MEDIAN($E123)</f>
        <v>0</v>
      </c>
      <c r="AL123" s="1" t="n">
        <f aca="false">MEDIAN($F123)</f>
        <v>397</v>
      </c>
      <c r="AM123" s="1" t="n">
        <f aca="false">MEDIAN($G123)</f>
        <v>0</v>
      </c>
      <c r="AN123" s="1" t="n">
        <f aca="false">MEDIAN($H123)</f>
        <v>1</v>
      </c>
      <c r="AO123" s="1" t="n">
        <f aca="false">MEDIAN($I123)</f>
        <v>5.313</v>
      </c>
      <c r="AP123" s="1" t="n">
        <f aca="false">MEDIAN($J123)</f>
        <v>5.46</v>
      </c>
      <c r="AQ123" s="1" t="n">
        <f aca="false">MEDIAN($K123)</f>
        <v>0</v>
      </c>
      <c r="AR123" s="1" t="n">
        <f aca="false">MEDIAN($M123)</f>
        <v>1158928</v>
      </c>
      <c r="AS123" s="1" t="n">
        <f aca="false">MEDIAN($N123)</f>
        <v>0.05</v>
      </c>
      <c r="AT123" s="1" t="n">
        <f aca="false">MEDIAN($P123)</f>
        <v>5.46</v>
      </c>
      <c r="AU123" s="1" t="n">
        <f aca="false">MEDIAN($Q123)</f>
        <v>0</v>
      </c>
      <c r="AV123" s="1" t="n">
        <f aca="false">MEDIAN($R123)</f>
        <v>409253</v>
      </c>
      <c r="AW123" s="1" t="n">
        <f aca="false">MAX($B123)</f>
        <v>1289</v>
      </c>
      <c r="AX123" s="1" t="n">
        <f aca="false">MAX($C123)</f>
        <v>1</v>
      </c>
      <c r="AY123" s="1" t="n">
        <f aca="false">MAX($D123)</f>
        <v>705225</v>
      </c>
      <c r="AZ123" s="1" t="n">
        <f aca="false">MAX($E123)</f>
        <v>0</v>
      </c>
      <c r="BA123" s="1" t="n">
        <f aca="false">MAX($F123)</f>
        <v>397</v>
      </c>
      <c r="BB123" s="1" t="n">
        <f aca="false">MAX($G123)</f>
        <v>0</v>
      </c>
      <c r="BC123" s="1" t="n">
        <f aca="false">MAX($H123)</f>
        <v>1</v>
      </c>
      <c r="BD123" s="1" t="n">
        <f aca="false">MAX($I123)</f>
        <v>5.313</v>
      </c>
      <c r="BE123" s="1" t="n">
        <f aca="false">MAX($J123)</f>
        <v>5.46</v>
      </c>
      <c r="BF123" s="1" t="n">
        <f aca="false">MAX($K123)</f>
        <v>0</v>
      </c>
      <c r="BG123" s="1" t="n">
        <f aca="false">MAX($M123)</f>
        <v>1158928</v>
      </c>
      <c r="BH123" s="1" t="n">
        <f aca="false">MAX($N123)</f>
        <v>0.05</v>
      </c>
      <c r="BI123" s="1" t="n">
        <f aca="false">MAX($P123)</f>
        <v>5.46</v>
      </c>
      <c r="BJ123" s="1" t="n">
        <f aca="false">MAX($Q123)</f>
        <v>0</v>
      </c>
      <c r="BK123" s="1" t="n">
        <f aca="false">MAX($R123)</f>
        <v>409253</v>
      </c>
    </row>
    <row r="124" customFormat="false" ht="15" hidden="false" customHeight="false" outlineLevel="0" collapsed="false">
      <c r="A124" s="1" t="s">
        <v>141</v>
      </c>
      <c r="B124" s="1" t="n">
        <f aca="false" t="array" ref="B124:B124">_xlfn.SWITCH($A$2,"average", AVERAGE(Instances!B124:B124),"median", MEDIAN(Instances!B124:B124),"min", MIN(Instances!B124:B124),"max", MAX(Instances!B124:B124),"diff", MAX(Instances!B124:B124)-MIN(Instances!B124:B124))</f>
        <v>1162</v>
      </c>
      <c r="C124" s="1" t="n">
        <f aca="false" t="array" ref="C124:C124">_xlfn.SWITCH($A$2,"average", AVERAGE(Instances!C124:C124),"median", MEDIAN(Instances!C124:C124),"min", MIN(Instances!C124:C124),"max", MAX(Instances!C124:C124),"diff", MAX(Instances!C124:C124)-MIN(Instances!C124:C124))</f>
        <v>2</v>
      </c>
      <c r="D124" s="1" t="n">
        <f aca="false" t="array" ref="D124:D124">_xlfn.SWITCH($A$2,"average", AVERAGE(Instances!D124:D124),"median", MEDIAN(Instances!D124:D124),"min", MIN(Instances!D124:D124),"max", MAX(Instances!D124:D124),"diff", MAX(Instances!D124:D124)-MIN(Instances!D124:D124))</f>
        <v>465732</v>
      </c>
      <c r="E124" s="1" t="n">
        <f aca="false" t="array" ref="E124:E124">_xlfn.SWITCH($A$2,"average", AVERAGE(Instances!E124:E124),"median", MEDIAN(Instances!E124:E124),"min", MIN(Instances!E124:E124),"max", MAX(Instances!E124:E124),"diff", MAX(Instances!E124:E124)-MIN(Instances!E124:E124))</f>
        <v>0</v>
      </c>
      <c r="F124" s="1" t="n">
        <f aca="false" t="array" ref="F124:F124">_xlfn.SWITCH($A$2,"average", AVERAGE(Instances!F124:F124),"median", MEDIAN(Instances!F124:F124),"min", MIN(Instances!F124:F124),"max", MAX(Instances!F124:F124),"diff", MAX(Instances!F124:F124)-MIN(Instances!F124:F124))</f>
        <v>328</v>
      </c>
      <c r="G124" s="1" t="n">
        <f aca="false" t="array" ref="G124:G124">_xlfn.SWITCH($A$2,"average", AVERAGE(Instances!G124:G124),"median", MEDIAN(Instances!G124:G124),"min", MIN(Instances!G124:G124),"max", MAX(Instances!G124:G124),"diff", MAX(Instances!G124:G124)-MIN(Instances!G124:G124))</f>
        <v>0</v>
      </c>
      <c r="H124" s="1" t="n">
        <f aca="false" t="array" ref="H124:H124">_xlfn.SWITCH($A$2,"average", AVERAGE(Instances!H124:H124),"median", MEDIAN(Instances!H124:H124),"min", MIN(Instances!H124:H124),"max", MAX(Instances!H124:H124),"diff", MAX(Instances!H124:H124)-MIN(Instances!H124:H124))</f>
        <v>1</v>
      </c>
      <c r="I124" s="1" t="n">
        <f aca="false" t="array" ref="I124:I124">_xlfn.SWITCH($A$2,"average", AVERAGE(Instances!I124:I124),"median", MEDIAN(Instances!I124:I124),"min", MIN(Instances!I124:I124),"max", MAX(Instances!I124:I124),"diff", MAX(Instances!I124:I124)-MIN(Instances!I124:I124))</f>
        <v>4.268</v>
      </c>
      <c r="J124" s="1" t="n">
        <f aca="false" t="array" ref="J124:J124">_xlfn.SWITCH($A$2,"average", AVERAGE(Instances!J124:J124),"median", MEDIAN(Instances!J124:J124),"min", MIN(Instances!J124:J124),"max", MAX(Instances!J124:J124),"diff", MAX(Instances!J124:J124)-MIN(Instances!J124:J124))</f>
        <v>4.39</v>
      </c>
      <c r="K124" s="1" t="n">
        <f aca="false" t="array" ref="K124:K124">_xlfn.SWITCH($A$2,"average", AVERAGE(Instances!K124:K124),"median", MEDIAN(Instances!K124:K124),"min", MIN(Instances!K124:K124),"max", MAX(Instances!K124:K124),"diff", MAX(Instances!K124:K124)-MIN(Instances!K124:K124))</f>
        <v>0</v>
      </c>
      <c r="L124" s="1"/>
      <c r="M124" s="1" t="n">
        <f aca="false" t="array" ref="M124:M124">_xlfn.SWITCH($A$2,"average", AVERAGE(Instances!M124:M124),"median", MEDIAN(Instances!M124:M124),"min", MIN(Instances!M124:M124),"max", MAX(Instances!M124:M124),"diff", MAX(Instances!M124:M124)-MIN(Instances!M124:M124))</f>
        <v>957955</v>
      </c>
      <c r="N124" s="1" t="n">
        <f aca="false" t="array" ref="N124:N124">_xlfn.SWITCH($A$2,"average", AVERAGE(Instances!N124:N124),"median", MEDIAN(Instances!N124:N124),"min", MIN(Instances!N124:N124),"max", MAX(Instances!N124:N124),"diff", MAX(Instances!N124:N124)-MIN(Instances!N124:N124))</f>
        <v>0.04</v>
      </c>
      <c r="O124" s="1"/>
      <c r="P124" s="1" t="n">
        <f aca="false" t="array" ref="P124:P124">_xlfn.SWITCH($A$2,"average", AVERAGE(Instances!P124:P124),"median", MEDIAN(Instances!P124:P124),"min", MIN(Instances!P124:P124),"max", MAX(Instances!P124:P124),"diff", MAX(Instances!P124:P124)-MIN(Instances!P124:P124))</f>
        <v>4.39</v>
      </c>
      <c r="Q124" s="1" t="n">
        <f aca="false" t="array" ref="Q124:Q124">_xlfn.SWITCH($A$2,"average", AVERAGE(Instances!Q124:Q124),"median", MEDIAN(Instances!Q124:Q124),"min", MIN(Instances!Q124:Q124),"max", MAX(Instances!Q124:Q124),"diff", MAX(Instances!Q124:Q124)-MIN(Instances!Q124:Q124))</f>
        <v>0</v>
      </c>
      <c r="R124" s="1" t="n">
        <f aca="false" t="array" ref="R124:R124">_xlfn.SWITCH($A$2,"average", AVERAGE(Instances!R124:R124),"median", MEDIAN(Instances!R124:R124),"min", MIN(Instances!R124:R124),"max", MAX(Instances!R124:R124),"diff", MAX(Instances!R124:R124)-MIN(Instances!R124:R124))</f>
        <v>341104</v>
      </c>
      <c r="S124" s="1" t="n">
        <f aca="false">MIN($B124)</f>
        <v>1162</v>
      </c>
      <c r="T124" s="1" t="n">
        <f aca="false">MIN($C124)</f>
        <v>2</v>
      </c>
      <c r="U124" s="1" t="n">
        <f aca="false">MIN($D124)</f>
        <v>465732</v>
      </c>
      <c r="V124" s="1" t="n">
        <f aca="false">MIN($E124)</f>
        <v>0</v>
      </c>
      <c r="W124" s="1" t="n">
        <f aca="false">MIN($F124)</f>
        <v>328</v>
      </c>
      <c r="X124" s="1" t="n">
        <f aca="false">MIN($G124)</f>
        <v>0</v>
      </c>
      <c r="Y124" s="1" t="n">
        <f aca="false">MIN($H124)</f>
        <v>1</v>
      </c>
      <c r="Z124" s="1" t="n">
        <f aca="false">MIN($I124)</f>
        <v>4.268</v>
      </c>
      <c r="AA124" s="1" t="n">
        <f aca="false">MIN($J124)</f>
        <v>4.39</v>
      </c>
      <c r="AB124" s="1" t="n">
        <f aca="false">MIN($K124)</f>
        <v>0</v>
      </c>
      <c r="AC124" s="1" t="n">
        <f aca="false">MIN($M124)</f>
        <v>957955</v>
      </c>
      <c r="AD124" s="1" t="n">
        <f aca="false">MIN($N124)</f>
        <v>0.04</v>
      </c>
      <c r="AE124" s="1" t="n">
        <f aca="false">MIN($P124)</f>
        <v>4.39</v>
      </c>
      <c r="AF124" s="1" t="n">
        <f aca="false">MIN($Q124)</f>
        <v>0</v>
      </c>
      <c r="AG124" s="1" t="n">
        <f aca="false">MIN($R124)</f>
        <v>341104</v>
      </c>
      <c r="AH124" s="1" t="n">
        <f aca="false">MEDIAN($B124)</f>
        <v>1162</v>
      </c>
      <c r="AI124" s="1" t="n">
        <f aca="false">MEDIAN($C124)</f>
        <v>2</v>
      </c>
      <c r="AJ124" s="1" t="n">
        <f aca="false">MEDIAN($D124)</f>
        <v>465732</v>
      </c>
      <c r="AK124" s="1" t="n">
        <f aca="false">MEDIAN($E124)</f>
        <v>0</v>
      </c>
      <c r="AL124" s="1" t="n">
        <f aca="false">MEDIAN($F124)</f>
        <v>328</v>
      </c>
      <c r="AM124" s="1" t="n">
        <f aca="false">MEDIAN($G124)</f>
        <v>0</v>
      </c>
      <c r="AN124" s="1" t="n">
        <f aca="false">MEDIAN($H124)</f>
        <v>1</v>
      </c>
      <c r="AO124" s="1" t="n">
        <f aca="false">MEDIAN($I124)</f>
        <v>4.268</v>
      </c>
      <c r="AP124" s="1" t="n">
        <f aca="false">MEDIAN($J124)</f>
        <v>4.39</v>
      </c>
      <c r="AQ124" s="1" t="n">
        <f aca="false">MEDIAN($K124)</f>
        <v>0</v>
      </c>
      <c r="AR124" s="1" t="n">
        <f aca="false">MEDIAN($M124)</f>
        <v>957955</v>
      </c>
      <c r="AS124" s="1" t="n">
        <f aca="false">MEDIAN($N124)</f>
        <v>0.04</v>
      </c>
      <c r="AT124" s="1" t="n">
        <f aca="false">MEDIAN($P124)</f>
        <v>4.39</v>
      </c>
      <c r="AU124" s="1" t="n">
        <f aca="false">MEDIAN($Q124)</f>
        <v>0</v>
      </c>
      <c r="AV124" s="1" t="n">
        <f aca="false">MEDIAN($R124)</f>
        <v>341104</v>
      </c>
      <c r="AW124" s="1" t="n">
        <f aca="false">MAX($B124)</f>
        <v>1162</v>
      </c>
      <c r="AX124" s="1" t="n">
        <f aca="false">MAX($C124)</f>
        <v>2</v>
      </c>
      <c r="AY124" s="1" t="n">
        <f aca="false">MAX($D124)</f>
        <v>465732</v>
      </c>
      <c r="AZ124" s="1" t="n">
        <f aca="false">MAX($E124)</f>
        <v>0</v>
      </c>
      <c r="BA124" s="1" t="n">
        <f aca="false">MAX($F124)</f>
        <v>328</v>
      </c>
      <c r="BB124" s="1" t="n">
        <f aca="false">MAX($G124)</f>
        <v>0</v>
      </c>
      <c r="BC124" s="1" t="n">
        <f aca="false">MAX($H124)</f>
        <v>1</v>
      </c>
      <c r="BD124" s="1" t="n">
        <f aca="false">MAX($I124)</f>
        <v>4.268</v>
      </c>
      <c r="BE124" s="1" t="n">
        <f aca="false">MAX($J124)</f>
        <v>4.39</v>
      </c>
      <c r="BF124" s="1" t="n">
        <f aca="false">MAX($K124)</f>
        <v>0</v>
      </c>
      <c r="BG124" s="1" t="n">
        <f aca="false">MAX($M124)</f>
        <v>957955</v>
      </c>
      <c r="BH124" s="1" t="n">
        <f aca="false">MAX($N124)</f>
        <v>0.04</v>
      </c>
      <c r="BI124" s="1" t="n">
        <f aca="false">MAX($P124)</f>
        <v>4.39</v>
      </c>
      <c r="BJ124" s="1" t="n">
        <f aca="false">MAX($Q124)</f>
        <v>0</v>
      </c>
      <c r="BK124" s="1" t="n">
        <f aca="false">MAX($R124)</f>
        <v>341104</v>
      </c>
    </row>
    <row r="125" customFormat="false" ht="15" hidden="false" customHeight="false" outlineLevel="0" collapsed="false">
      <c r="A125" s="1" t="s">
        <v>142</v>
      </c>
      <c r="B125" s="1" t="n">
        <f aca="false" t="array" ref="B125:B125">_xlfn.SWITCH($A$2,"average", AVERAGE(Instances!B125:B125),"median", MEDIAN(Instances!B125:B125),"min", MIN(Instances!B125:B125),"max", MAX(Instances!B125:B125),"diff", MAX(Instances!B125:B125)-MIN(Instances!B125:B125))</f>
        <v>3234</v>
      </c>
      <c r="C125" s="1" t="n">
        <f aca="false" t="array" ref="C125:C125">_xlfn.SWITCH($A$2,"average", AVERAGE(Instances!C125:C125),"median", MEDIAN(Instances!C125:C125),"min", MIN(Instances!C125:C125),"max", MAX(Instances!C125:C125),"diff", MAX(Instances!C125:C125)-MIN(Instances!C125:C125))</f>
        <v>4</v>
      </c>
      <c r="D125" s="1" t="n">
        <f aca="false" t="array" ref="D125:D125">_xlfn.SWITCH($A$2,"average", AVERAGE(Instances!D125:D125),"median", MEDIAN(Instances!D125:D125),"min", MIN(Instances!D125:D125),"max", MAX(Instances!D125:D125),"diff", MAX(Instances!D125:D125)-MIN(Instances!D125:D125))</f>
        <v>1042869</v>
      </c>
      <c r="E125" s="1" t="n">
        <f aca="false" t="array" ref="E125:E125">_xlfn.SWITCH($A$2,"average", AVERAGE(Instances!E125:E125),"median", MEDIAN(Instances!E125:E125),"min", MIN(Instances!E125:E125),"max", MAX(Instances!E125:E125),"diff", MAX(Instances!E125:E125)-MIN(Instances!E125:E125))</f>
        <v>0</v>
      </c>
      <c r="F125" s="1" t="n">
        <f aca="false" t="array" ref="F125:F125">_xlfn.SWITCH($A$2,"average", AVERAGE(Instances!F125:F125),"median", MEDIAN(Instances!F125:F125),"min", MIN(Instances!F125:F125),"max", MAX(Instances!F125:F125),"diff", MAX(Instances!F125:F125)-MIN(Instances!F125:F125))</f>
        <v>509</v>
      </c>
      <c r="G125" s="1" t="n">
        <f aca="false" t="array" ref="G125:G125">_xlfn.SWITCH($A$2,"average", AVERAGE(Instances!G125:G125),"median", MEDIAN(Instances!G125:G125),"min", MIN(Instances!G125:G125),"max", MAX(Instances!G125:G125),"diff", MAX(Instances!G125:G125)-MIN(Instances!G125:G125))</f>
        <v>0</v>
      </c>
      <c r="H125" s="1" t="n">
        <f aca="false" t="array" ref="H125:H125">_xlfn.SWITCH($A$2,"average", AVERAGE(Instances!H125:H125),"median", MEDIAN(Instances!H125:H125),"min", MIN(Instances!H125:H125),"max", MAX(Instances!H125:H125),"diff", MAX(Instances!H125:H125)-MIN(Instances!H125:H125))</f>
        <v>1</v>
      </c>
      <c r="I125" s="1" t="n">
        <f aca="false" t="array" ref="I125:I125">_xlfn.SWITCH($A$2,"average", AVERAGE(Instances!I125:I125),"median", MEDIAN(Instances!I125:I125),"min", MIN(Instances!I125:I125),"max", MAX(Instances!I125:I125),"diff", MAX(Instances!I125:I125)-MIN(Instances!I125:I125))</f>
        <v>7.206</v>
      </c>
      <c r="J125" s="1" t="n">
        <f aca="false" t="array" ref="J125:J125">_xlfn.SWITCH($A$2,"average", AVERAGE(Instances!J125:J125),"median", MEDIAN(Instances!J125:J125),"min", MIN(Instances!J125:J125),"max", MAX(Instances!J125:J125),"diff", MAX(Instances!J125:J125)-MIN(Instances!J125:J125))</f>
        <v>7.4</v>
      </c>
      <c r="K125" s="1" t="n">
        <f aca="false" t="array" ref="K125:K125">_xlfn.SWITCH($A$2,"average", AVERAGE(Instances!K125:K125),"median", MEDIAN(Instances!K125:K125),"min", MIN(Instances!K125:K125),"max", MAX(Instances!K125:K125),"diff", MAX(Instances!K125:K125)-MIN(Instances!K125:K125))</f>
        <v>0</v>
      </c>
      <c r="L125" s="1"/>
      <c r="M125" s="1" t="n">
        <f aca="false" t="array" ref="M125:M125">_xlfn.SWITCH($A$2,"average", AVERAGE(Instances!M125:M125),"median", MEDIAN(Instances!M125:M125),"min", MIN(Instances!M125:M125),"max", MAX(Instances!M125:M125),"diff", MAX(Instances!M125:M125)-MIN(Instances!M125:M125))</f>
        <v>1644483</v>
      </c>
      <c r="N125" s="1" t="n">
        <f aca="false" t="array" ref="N125:N125">_xlfn.SWITCH($A$2,"average", AVERAGE(Instances!N125:N125),"median", MEDIAN(Instances!N125:N125),"min", MIN(Instances!N125:N125),"max", MAX(Instances!N125:N125),"diff", MAX(Instances!N125:N125)-MIN(Instances!N125:N125))</f>
        <v>0.09</v>
      </c>
      <c r="O125" s="1"/>
      <c r="P125" s="1" t="n">
        <f aca="false" t="array" ref="P125:P125">_xlfn.SWITCH($A$2,"average", AVERAGE(Instances!P125:P125),"median", MEDIAN(Instances!P125:P125),"min", MIN(Instances!P125:P125),"max", MAX(Instances!P125:P125),"diff", MAX(Instances!P125:P125)-MIN(Instances!P125:P125))</f>
        <v>7.4</v>
      </c>
      <c r="Q125" s="1" t="n">
        <f aca="false" t="array" ref="Q125:Q125">_xlfn.SWITCH($A$2,"average", AVERAGE(Instances!Q125:Q125),"median", MEDIAN(Instances!Q125:Q125),"min", MIN(Instances!Q125:Q125),"max", MAX(Instances!Q125:Q125),"diff", MAX(Instances!Q125:Q125)-MIN(Instances!Q125:Q125))</f>
        <v>0</v>
      </c>
      <c r="R125" s="1" t="n">
        <f aca="false" t="array" ref="R125:R125">_xlfn.SWITCH($A$2,"average", AVERAGE(Instances!R125:R125),"median", MEDIAN(Instances!R125:R125),"min", MIN(Instances!R125:R125),"max", MAX(Instances!R125:R125),"diff", MAX(Instances!R125:R125)-MIN(Instances!R125:R125))</f>
        <v>534476</v>
      </c>
      <c r="S125" s="1" t="n">
        <f aca="false">MIN($B125)</f>
        <v>3234</v>
      </c>
      <c r="T125" s="1" t="n">
        <f aca="false">MIN($C125)</f>
        <v>4</v>
      </c>
      <c r="U125" s="1" t="n">
        <f aca="false">MIN($D125)</f>
        <v>1042869</v>
      </c>
      <c r="V125" s="1" t="n">
        <f aca="false">MIN($E125)</f>
        <v>0</v>
      </c>
      <c r="W125" s="1" t="n">
        <f aca="false">MIN($F125)</f>
        <v>509</v>
      </c>
      <c r="X125" s="1" t="n">
        <f aca="false">MIN($G125)</f>
        <v>0</v>
      </c>
      <c r="Y125" s="1" t="n">
        <f aca="false">MIN($H125)</f>
        <v>1</v>
      </c>
      <c r="Z125" s="1" t="n">
        <f aca="false">MIN($I125)</f>
        <v>7.206</v>
      </c>
      <c r="AA125" s="1" t="n">
        <f aca="false">MIN($J125)</f>
        <v>7.4</v>
      </c>
      <c r="AB125" s="1" t="n">
        <f aca="false">MIN($K125)</f>
        <v>0</v>
      </c>
      <c r="AC125" s="1" t="n">
        <f aca="false">MIN($M125)</f>
        <v>1644483</v>
      </c>
      <c r="AD125" s="1" t="n">
        <f aca="false">MIN($N125)</f>
        <v>0.09</v>
      </c>
      <c r="AE125" s="1" t="n">
        <f aca="false">MIN($P125)</f>
        <v>7.4</v>
      </c>
      <c r="AF125" s="1" t="n">
        <f aca="false">MIN($Q125)</f>
        <v>0</v>
      </c>
      <c r="AG125" s="1" t="n">
        <f aca="false">MIN($R125)</f>
        <v>534476</v>
      </c>
      <c r="AH125" s="1" t="n">
        <f aca="false">MEDIAN($B125)</f>
        <v>3234</v>
      </c>
      <c r="AI125" s="1" t="n">
        <f aca="false">MEDIAN($C125)</f>
        <v>4</v>
      </c>
      <c r="AJ125" s="1" t="n">
        <f aca="false">MEDIAN($D125)</f>
        <v>1042869</v>
      </c>
      <c r="AK125" s="1" t="n">
        <f aca="false">MEDIAN($E125)</f>
        <v>0</v>
      </c>
      <c r="AL125" s="1" t="n">
        <f aca="false">MEDIAN($F125)</f>
        <v>509</v>
      </c>
      <c r="AM125" s="1" t="n">
        <f aca="false">MEDIAN($G125)</f>
        <v>0</v>
      </c>
      <c r="AN125" s="1" t="n">
        <f aca="false">MEDIAN($H125)</f>
        <v>1</v>
      </c>
      <c r="AO125" s="1" t="n">
        <f aca="false">MEDIAN($I125)</f>
        <v>7.206</v>
      </c>
      <c r="AP125" s="1" t="n">
        <f aca="false">MEDIAN($J125)</f>
        <v>7.4</v>
      </c>
      <c r="AQ125" s="1" t="n">
        <f aca="false">MEDIAN($K125)</f>
        <v>0</v>
      </c>
      <c r="AR125" s="1" t="n">
        <f aca="false">MEDIAN($M125)</f>
        <v>1644483</v>
      </c>
      <c r="AS125" s="1" t="n">
        <f aca="false">MEDIAN($N125)</f>
        <v>0.09</v>
      </c>
      <c r="AT125" s="1" t="n">
        <f aca="false">MEDIAN($P125)</f>
        <v>7.4</v>
      </c>
      <c r="AU125" s="1" t="n">
        <f aca="false">MEDIAN($Q125)</f>
        <v>0</v>
      </c>
      <c r="AV125" s="1" t="n">
        <f aca="false">MEDIAN($R125)</f>
        <v>534476</v>
      </c>
      <c r="AW125" s="1" t="n">
        <f aca="false">MAX($B125)</f>
        <v>3234</v>
      </c>
      <c r="AX125" s="1" t="n">
        <f aca="false">MAX($C125)</f>
        <v>4</v>
      </c>
      <c r="AY125" s="1" t="n">
        <f aca="false">MAX($D125)</f>
        <v>1042869</v>
      </c>
      <c r="AZ125" s="1" t="n">
        <f aca="false">MAX($E125)</f>
        <v>0</v>
      </c>
      <c r="BA125" s="1" t="n">
        <f aca="false">MAX($F125)</f>
        <v>509</v>
      </c>
      <c r="BB125" s="1" t="n">
        <f aca="false">MAX($G125)</f>
        <v>0</v>
      </c>
      <c r="BC125" s="1" t="n">
        <f aca="false">MAX($H125)</f>
        <v>1</v>
      </c>
      <c r="BD125" s="1" t="n">
        <f aca="false">MAX($I125)</f>
        <v>7.206</v>
      </c>
      <c r="BE125" s="1" t="n">
        <f aca="false">MAX($J125)</f>
        <v>7.4</v>
      </c>
      <c r="BF125" s="1" t="n">
        <f aca="false">MAX($K125)</f>
        <v>0</v>
      </c>
      <c r="BG125" s="1" t="n">
        <f aca="false">MAX($M125)</f>
        <v>1644483</v>
      </c>
      <c r="BH125" s="1" t="n">
        <f aca="false">MAX($N125)</f>
        <v>0.09</v>
      </c>
      <c r="BI125" s="1" t="n">
        <f aca="false">MAX($P125)</f>
        <v>7.4</v>
      </c>
      <c r="BJ125" s="1" t="n">
        <f aca="false">MAX($Q125)</f>
        <v>0</v>
      </c>
      <c r="BK125" s="1" t="n">
        <f aca="false">MAX($R125)</f>
        <v>534476</v>
      </c>
    </row>
    <row r="126" customFormat="false" ht="15" hidden="false" customHeight="false" outlineLevel="0" collapsed="false">
      <c r="A126" s="1" t="s">
        <v>143</v>
      </c>
      <c r="B126" s="1" t="n">
        <f aca="false" t="array" ref="B126:B126">_xlfn.SWITCH($A$2,"average", AVERAGE(Instances!B126:B126),"median", MEDIAN(Instances!B126:B126),"min", MIN(Instances!B126:B126),"max", MAX(Instances!B126:B126),"diff", MAX(Instances!B126:B126)-MIN(Instances!B126:B126))</f>
        <v>2223</v>
      </c>
      <c r="C126" s="1" t="n">
        <f aca="false" t="array" ref="C126:C126">_xlfn.SWITCH($A$2,"average", AVERAGE(Instances!C126:C126),"median", MEDIAN(Instances!C126:C126),"min", MIN(Instances!C126:C126),"max", MAX(Instances!C126:C126),"diff", MAX(Instances!C126:C126)-MIN(Instances!C126:C126))</f>
        <v>3</v>
      </c>
      <c r="D126" s="1" t="n">
        <f aca="false" t="array" ref="D126:D126">_xlfn.SWITCH($A$2,"average", AVERAGE(Instances!D126:D126),"median", MEDIAN(Instances!D126:D126),"min", MIN(Instances!D126:D126),"max", MAX(Instances!D126:D126),"diff", MAX(Instances!D126:D126)-MIN(Instances!D126:D126))</f>
        <v>918626</v>
      </c>
      <c r="E126" s="1" t="n">
        <f aca="false" t="array" ref="E126:E126">_xlfn.SWITCH($A$2,"average", AVERAGE(Instances!E126:E126),"median", MEDIAN(Instances!E126:E126),"min", MIN(Instances!E126:E126),"max", MAX(Instances!E126:E126),"diff", MAX(Instances!E126:E126)-MIN(Instances!E126:E126))</f>
        <v>0</v>
      </c>
      <c r="F126" s="1" t="n">
        <f aca="false" t="array" ref="F126:F126">_xlfn.SWITCH($A$2,"average", AVERAGE(Instances!F126:F126),"median", MEDIAN(Instances!F126:F126),"min", MIN(Instances!F126:F126),"max", MAX(Instances!F126:F126),"diff", MAX(Instances!F126:F126)-MIN(Instances!F126:F126))</f>
        <v>500</v>
      </c>
      <c r="G126" s="1" t="n">
        <f aca="false" t="array" ref="G126:G126">_xlfn.SWITCH($A$2,"average", AVERAGE(Instances!G126:G126),"median", MEDIAN(Instances!G126:G126),"min", MIN(Instances!G126:G126),"max", MAX(Instances!G126:G126),"diff", MAX(Instances!G126:G126)-MIN(Instances!G126:G126))</f>
        <v>0</v>
      </c>
      <c r="H126" s="1" t="n">
        <f aca="false" t="array" ref="H126:H126">_xlfn.SWITCH($A$2,"average", AVERAGE(Instances!H126:H126),"median", MEDIAN(Instances!H126:H126),"min", MIN(Instances!H126:H126),"max", MAX(Instances!H126:H126),"diff", MAX(Instances!H126:H126)-MIN(Instances!H126:H126))</f>
        <v>1</v>
      </c>
      <c r="I126" s="1" t="n">
        <f aca="false" t="array" ref="I126:I126">_xlfn.SWITCH($A$2,"average", AVERAGE(Instances!I126:I126),"median", MEDIAN(Instances!I126:I126),"min", MIN(Instances!I126:I126),"max", MAX(Instances!I126:I126),"diff", MAX(Instances!I126:I126)-MIN(Instances!I126:I126))</f>
        <v>7.029</v>
      </c>
      <c r="J126" s="1" t="n">
        <f aca="false" t="array" ref="J126:J126">_xlfn.SWITCH($A$2,"average", AVERAGE(Instances!J126:J126),"median", MEDIAN(Instances!J126:J126),"min", MIN(Instances!J126:J126),"max", MAX(Instances!J126:J126),"diff", MAX(Instances!J126:J126)-MIN(Instances!J126:J126))</f>
        <v>7.21</v>
      </c>
      <c r="K126" s="1" t="n">
        <f aca="false" t="array" ref="K126:K126">_xlfn.SWITCH($A$2,"average", AVERAGE(Instances!K126:K126),"median", MEDIAN(Instances!K126:K126),"min", MIN(Instances!K126:K126),"max", MAX(Instances!K126:K126),"diff", MAX(Instances!K126:K126)-MIN(Instances!K126:K126))</f>
        <v>0</v>
      </c>
      <c r="L126" s="1"/>
      <c r="M126" s="1" t="n">
        <f aca="false" t="array" ref="M126:M126">_xlfn.SWITCH($A$2,"average", AVERAGE(Instances!M126:M126),"median", MEDIAN(Instances!M126:M126),"min", MIN(Instances!M126:M126),"max", MAX(Instances!M126:M126),"diff", MAX(Instances!M126:M126)-MIN(Instances!M126:M126))</f>
        <v>1588878</v>
      </c>
      <c r="N126" s="1" t="n">
        <f aca="false" t="array" ref="N126:N126">_xlfn.SWITCH($A$2,"average", AVERAGE(Instances!N126:N126),"median", MEDIAN(Instances!N126:N126),"min", MIN(Instances!N126:N126),"max", MAX(Instances!N126:N126),"diff", MAX(Instances!N126:N126)-MIN(Instances!N126:N126))</f>
        <v>0.08</v>
      </c>
      <c r="O126" s="1"/>
      <c r="P126" s="1" t="n">
        <f aca="false" t="array" ref="P126:P126">_xlfn.SWITCH($A$2,"average", AVERAGE(Instances!P126:P126),"median", MEDIAN(Instances!P126:P126),"min", MIN(Instances!P126:P126),"max", MAX(Instances!P126:P126),"diff", MAX(Instances!P126:P126)-MIN(Instances!P126:P126))</f>
        <v>7.21</v>
      </c>
      <c r="Q126" s="1" t="n">
        <f aca="false" t="array" ref="Q126:Q126">_xlfn.SWITCH($A$2,"average", AVERAGE(Instances!Q126:Q126),"median", MEDIAN(Instances!Q126:Q126),"min", MIN(Instances!Q126:Q126),"max", MAX(Instances!Q126:Q126),"diff", MAX(Instances!Q126:Q126)-MIN(Instances!Q126:Q126))</f>
        <v>0</v>
      </c>
      <c r="R126" s="1" t="n">
        <f aca="false" t="array" ref="R126:R126">_xlfn.SWITCH($A$2,"average", AVERAGE(Instances!R126:R126),"median", MEDIAN(Instances!R126:R126),"min", MIN(Instances!R126:R126),"max", MAX(Instances!R126:R126),"diff", MAX(Instances!R126:R126)-MIN(Instances!R126:R126))</f>
        <v>522526</v>
      </c>
      <c r="S126" s="1" t="n">
        <f aca="false">MIN($B126)</f>
        <v>2223</v>
      </c>
      <c r="T126" s="1" t="n">
        <f aca="false">MIN($C126)</f>
        <v>3</v>
      </c>
      <c r="U126" s="1" t="n">
        <f aca="false">MIN($D126)</f>
        <v>918626</v>
      </c>
      <c r="V126" s="1" t="n">
        <f aca="false">MIN($E126)</f>
        <v>0</v>
      </c>
      <c r="W126" s="1" t="n">
        <f aca="false">MIN($F126)</f>
        <v>500</v>
      </c>
      <c r="X126" s="1" t="n">
        <f aca="false">MIN($G126)</f>
        <v>0</v>
      </c>
      <c r="Y126" s="1" t="n">
        <f aca="false">MIN($H126)</f>
        <v>1</v>
      </c>
      <c r="Z126" s="1" t="n">
        <f aca="false">MIN($I126)</f>
        <v>7.029</v>
      </c>
      <c r="AA126" s="1" t="n">
        <f aca="false">MIN($J126)</f>
        <v>7.21</v>
      </c>
      <c r="AB126" s="1" t="n">
        <f aca="false">MIN($K126)</f>
        <v>0</v>
      </c>
      <c r="AC126" s="1" t="n">
        <f aca="false">MIN($M126)</f>
        <v>1588878</v>
      </c>
      <c r="AD126" s="1" t="n">
        <f aca="false">MIN($N126)</f>
        <v>0.08</v>
      </c>
      <c r="AE126" s="1" t="n">
        <f aca="false">MIN($P126)</f>
        <v>7.21</v>
      </c>
      <c r="AF126" s="1" t="n">
        <f aca="false">MIN($Q126)</f>
        <v>0</v>
      </c>
      <c r="AG126" s="1" t="n">
        <f aca="false">MIN($R126)</f>
        <v>522526</v>
      </c>
      <c r="AH126" s="1" t="n">
        <f aca="false">MEDIAN($B126)</f>
        <v>2223</v>
      </c>
      <c r="AI126" s="1" t="n">
        <f aca="false">MEDIAN($C126)</f>
        <v>3</v>
      </c>
      <c r="AJ126" s="1" t="n">
        <f aca="false">MEDIAN($D126)</f>
        <v>918626</v>
      </c>
      <c r="AK126" s="1" t="n">
        <f aca="false">MEDIAN($E126)</f>
        <v>0</v>
      </c>
      <c r="AL126" s="1" t="n">
        <f aca="false">MEDIAN($F126)</f>
        <v>500</v>
      </c>
      <c r="AM126" s="1" t="n">
        <f aca="false">MEDIAN($G126)</f>
        <v>0</v>
      </c>
      <c r="AN126" s="1" t="n">
        <f aca="false">MEDIAN($H126)</f>
        <v>1</v>
      </c>
      <c r="AO126" s="1" t="n">
        <f aca="false">MEDIAN($I126)</f>
        <v>7.029</v>
      </c>
      <c r="AP126" s="1" t="n">
        <f aca="false">MEDIAN($J126)</f>
        <v>7.21</v>
      </c>
      <c r="AQ126" s="1" t="n">
        <f aca="false">MEDIAN($K126)</f>
        <v>0</v>
      </c>
      <c r="AR126" s="1" t="n">
        <f aca="false">MEDIAN($M126)</f>
        <v>1588878</v>
      </c>
      <c r="AS126" s="1" t="n">
        <f aca="false">MEDIAN($N126)</f>
        <v>0.08</v>
      </c>
      <c r="AT126" s="1" t="n">
        <f aca="false">MEDIAN($P126)</f>
        <v>7.21</v>
      </c>
      <c r="AU126" s="1" t="n">
        <f aca="false">MEDIAN($Q126)</f>
        <v>0</v>
      </c>
      <c r="AV126" s="1" t="n">
        <f aca="false">MEDIAN($R126)</f>
        <v>522526</v>
      </c>
      <c r="AW126" s="1" t="n">
        <f aca="false">MAX($B126)</f>
        <v>2223</v>
      </c>
      <c r="AX126" s="1" t="n">
        <f aca="false">MAX($C126)</f>
        <v>3</v>
      </c>
      <c r="AY126" s="1" t="n">
        <f aca="false">MAX($D126)</f>
        <v>918626</v>
      </c>
      <c r="AZ126" s="1" t="n">
        <f aca="false">MAX($E126)</f>
        <v>0</v>
      </c>
      <c r="BA126" s="1" t="n">
        <f aca="false">MAX($F126)</f>
        <v>500</v>
      </c>
      <c r="BB126" s="1" t="n">
        <f aca="false">MAX($G126)</f>
        <v>0</v>
      </c>
      <c r="BC126" s="1" t="n">
        <f aca="false">MAX($H126)</f>
        <v>1</v>
      </c>
      <c r="BD126" s="1" t="n">
        <f aca="false">MAX($I126)</f>
        <v>7.029</v>
      </c>
      <c r="BE126" s="1" t="n">
        <f aca="false">MAX($J126)</f>
        <v>7.21</v>
      </c>
      <c r="BF126" s="1" t="n">
        <f aca="false">MAX($K126)</f>
        <v>0</v>
      </c>
      <c r="BG126" s="1" t="n">
        <f aca="false">MAX($M126)</f>
        <v>1588878</v>
      </c>
      <c r="BH126" s="1" t="n">
        <f aca="false">MAX($N126)</f>
        <v>0.08</v>
      </c>
      <c r="BI126" s="1" t="n">
        <f aca="false">MAX($P126)</f>
        <v>7.21</v>
      </c>
      <c r="BJ126" s="1" t="n">
        <f aca="false">MAX($Q126)</f>
        <v>0</v>
      </c>
      <c r="BK126" s="1" t="n">
        <f aca="false">MAX($R126)</f>
        <v>522526</v>
      </c>
    </row>
    <row r="127" customFormat="false" ht="15" hidden="false" customHeight="false" outlineLevel="0" collapsed="false">
      <c r="A127" s="1" t="s">
        <v>144</v>
      </c>
      <c r="B127" s="1" t="n">
        <f aca="false" t="array" ref="B127:B127">_xlfn.SWITCH($A$2,"average", AVERAGE(Instances!B127:B127),"median", MEDIAN(Instances!B127:B127),"min", MIN(Instances!B127:B127),"max", MAX(Instances!B127:B127),"diff", MAX(Instances!B127:B127)-MIN(Instances!B127:B127))</f>
        <v>1900</v>
      </c>
      <c r="C127" s="1" t="n">
        <f aca="false" t="array" ref="C127:C127">_xlfn.SWITCH($A$2,"average", AVERAGE(Instances!C127:C127),"median", MEDIAN(Instances!C127:C127),"min", MIN(Instances!C127:C127),"max", MAX(Instances!C127:C127),"diff", MAX(Instances!C127:C127)-MIN(Instances!C127:C127))</f>
        <v>3</v>
      </c>
      <c r="D127" s="1" t="n">
        <f aca="false" t="array" ref="D127:D127">_xlfn.SWITCH($A$2,"average", AVERAGE(Instances!D127:D127),"median", MEDIAN(Instances!D127:D127),"min", MIN(Instances!D127:D127),"max", MAX(Instances!D127:D127),"diff", MAX(Instances!D127:D127)-MIN(Instances!D127:D127))</f>
        <v>787908</v>
      </c>
      <c r="E127" s="1" t="n">
        <f aca="false" t="array" ref="E127:E127">_xlfn.SWITCH($A$2,"average", AVERAGE(Instances!E127:E127),"median", MEDIAN(Instances!E127:E127),"min", MIN(Instances!E127:E127),"max", MAX(Instances!E127:E127),"diff", MAX(Instances!E127:E127)-MIN(Instances!E127:E127))</f>
        <v>0</v>
      </c>
      <c r="F127" s="1" t="n">
        <f aca="false" t="array" ref="F127:F127">_xlfn.SWITCH($A$2,"average", AVERAGE(Instances!F127:F127),"median", MEDIAN(Instances!F127:F127),"min", MIN(Instances!F127:F127),"max", MAX(Instances!F127:F127),"diff", MAX(Instances!F127:F127)-MIN(Instances!F127:F127))</f>
        <v>460</v>
      </c>
      <c r="G127" s="1" t="n">
        <f aca="false" t="array" ref="G127:G127">_xlfn.SWITCH($A$2,"average", AVERAGE(Instances!G127:G127),"median", MEDIAN(Instances!G127:G127),"min", MIN(Instances!G127:G127),"max", MAX(Instances!G127:G127),"diff", MAX(Instances!G127:G127)-MIN(Instances!G127:G127))</f>
        <v>0</v>
      </c>
      <c r="H127" s="1" t="n">
        <f aca="false" t="array" ref="H127:H127">_xlfn.SWITCH($A$2,"average", AVERAGE(Instances!H127:H127),"median", MEDIAN(Instances!H127:H127),"min", MIN(Instances!H127:H127),"max", MAX(Instances!H127:H127),"diff", MAX(Instances!H127:H127)-MIN(Instances!H127:H127))</f>
        <v>1</v>
      </c>
      <c r="I127" s="1" t="n">
        <f aca="false" t="array" ref="I127:I127">_xlfn.SWITCH($A$2,"average", AVERAGE(Instances!I127:I127),"median", MEDIAN(Instances!I127:I127),"min", MIN(Instances!I127:I127),"max", MAX(Instances!I127:I127),"diff", MAX(Instances!I127:I127)-MIN(Instances!I127:I127))</f>
        <v>6.313</v>
      </c>
      <c r="J127" s="1" t="n">
        <f aca="false" t="array" ref="J127:J127">_xlfn.SWITCH($A$2,"average", AVERAGE(Instances!J127:J127),"median", MEDIAN(Instances!J127:J127),"min", MIN(Instances!J127:J127),"max", MAX(Instances!J127:J127),"diff", MAX(Instances!J127:J127)-MIN(Instances!J127:J127))</f>
        <v>6.48</v>
      </c>
      <c r="K127" s="1" t="n">
        <f aca="false" t="array" ref="K127:K127">_xlfn.SWITCH($A$2,"average", AVERAGE(Instances!K127:K127),"median", MEDIAN(Instances!K127:K127),"min", MIN(Instances!K127:K127),"max", MAX(Instances!K127:K127),"diff", MAX(Instances!K127:K127)-MIN(Instances!K127:K127))</f>
        <v>0</v>
      </c>
      <c r="L127" s="1"/>
      <c r="M127" s="1" t="n">
        <f aca="false" t="array" ref="M127:M127">_xlfn.SWITCH($A$2,"average", AVERAGE(Instances!M127:M127),"median", MEDIAN(Instances!M127:M127),"min", MIN(Instances!M127:M127),"max", MAX(Instances!M127:M127),"diff", MAX(Instances!M127:M127)-MIN(Instances!M127:M127))</f>
        <v>1448596</v>
      </c>
      <c r="N127" s="1" t="n">
        <f aca="false" t="array" ref="N127:N127">_xlfn.SWITCH($A$2,"average", AVERAGE(Instances!N127:N127),"median", MEDIAN(Instances!N127:N127),"min", MIN(Instances!N127:N127),"max", MAX(Instances!N127:N127),"diff", MAX(Instances!N127:N127)-MIN(Instances!N127:N127))</f>
        <v>0.06</v>
      </c>
      <c r="O127" s="1"/>
      <c r="P127" s="1" t="n">
        <f aca="false" t="array" ref="P127:P127">_xlfn.SWITCH($A$2,"average", AVERAGE(Instances!P127:P127),"median", MEDIAN(Instances!P127:P127),"min", MIN(Instances!P127:P127),"max", MAX(Instances!P127:P127),"diff", MAX(Instances!P127:P127)-MIN(Instances!P127:P127))</f>
        <v>6.48</v>
      </c>
      <c r="Q127" s="1" t="n">
        <f aca="false" t="array" ref="Q127:Q127">_xlfn.SWITCH($A$2,"average", AVERAGE(Instances!Q127:Q127),"median", MEDIAN(Instances!Q127:Q127),"min", MIN(Instances!Q127:Q127),"max", MAX(Instances!Q127:Q127),"diff", MAX(Instances!Q127:Q127)-MIN(Instances!Q127:Q127))</f>
        <v>0</v>
      </c>
      <c r="R127" s="1" t="n">
        <f aca="false" t="array" ref="R127:R127">_xlfn.SWITCH($A$2,"average", AVERAGE(Instances!R127:R127),"median", MEDIAN(Instances!R127:R127),"min", MIN(Instances!R127:R127),"max", MAX(Instances!R127:R127),"diff", MAX(Instances!R127:R127)-MIN(Instances!R127:R127))</f>
        <v>474175</v>
      </c>
      <c r="S127" s="1" t="n">
        <f aca="false">MIN($B127)</f>
        <v>1900</v>
      </c>
      <c r="T127" s="1" t="n">
        <f aca="false">MIN($C127)</f>
        <v>3</v>
      </c>
      <c r="U127" s="1" t="n">
        <f aca="false">MIN($D127)</f>
        <v>787908</v>
      </c>
      <c r="V127" s="1" t="n">
        <f aca="false">MIN($E127)</f>
        <v>0</v>
      </c>
      <c r="W127" s="1" t="n">
        <f aca="false">MIN($F127)</f>
        <v>460</v>
      </c>
      <c r="X127" s="1" t="n">
        <f aca="false">MIN($G127)</f>
        <v>0</v>
      </c>
      <c r="Y127" s="1" t="n">
        <f aca="false">MIN($H127)</f>
        <v>1</v>
      </c>
      <c r="Z127" s="1" t="n">
        <f aca="false">MIN($I127)</f>
        <v>6.313</v>
      </c>
      <c r="AA127" s="1" t="n">
        <f aca="false">MIN($J127)</f>
        <v>6.48</v>
      </c>
      <c r="AB127" s="1" t="n">
        <f aca="false">MIN($K127)</f>
        <v>0</v>
      </c>
      <c r="AC127" s="1" t="n">
        <f aca="false">MIN($M127)</f>
        <v>1448596</v>
      </c>
      <c r="AD127" s="1" t="n">
        <f aca="false">MIN($N127)</f>
        <v>0.06</v>
      </c>
      <c r="AE127" s="1" t="n">
        <f aca="false">MIN($P127)</f>
        <v>6.48</v>
      </c>
      <c r="AF127" s="1" t="n">
        <f aca="false">MIN($Q127)</f>
        <v>0</v>
      </c>
      <c r="AG127" s="1" t="n">
        <f aca="false">MIN($R127)</f>
        <v>474175</v>
      </c>
      <c r="AH127" s="1" t="n">
        <f aca="false">MEDIAN($B127)</f>
        <v>1900</v>
      </c>
      <c r="AI127" s="1" t="n">
        <f aca="false">MEDIAN($C127)</f>
        <v>3</v>
      </c>
      <c r="AJ127" s="1" t="n">
        <f aca="false">MEDIAN($D127)</f>
        <v>787908</v>
      </c>
      <c r="AK127" s="1" t="n">
        <f aca="false">MEDIAN($E127)</f>
        <v>0</v>
      </c>
      <c r="AL127" s="1" t="n">
        <f aca="false">MEDIAN($F127)</f>
        <v>460</v>
      </c>
      <c r="AM127" s="1" t="n">
        <f aca="false">MEDIAN($G127)</f>
        <v>0</v>
      </c>
      <c r="AN127" s="1" t="n">
        <f aca="false">MEDIAN($H127)</f>
        <v>1</v>
      </c>
      <c r="AO127" s="1" t="n">
        <f aca="false">MEDIAN($I127)</f>
        <v>6.313</v>
      </c>
      <c r="AP127" s="1" t="n">
        <f aca="false">MEDIAN($J127)</f>
        <v>6.48</v>
      </c>
      <c r="AQ127" s="1" t="n">
        <f aca="false">MEDIAN($K127)</f>
        <v>0</v>
      </c>
      <c r="AR127" s="1" t="n">
        <f aca="false">MEDIAN($M127)</f>
        <v>1448596</v>
      </c>
      <c r="AS127" s="1" t="n">
        <f aca="false">MEDIAN($N127)</f>
        <v>0.06</v>
      </c>
      <c r="AT127" s="1" t="n">
        <f aca="false">MEDIAN($P127)</f>
        <v>6.48</v>
      </c>
      <c r="AU127" s="1" t="n">
        <f aca="false">MEDIAN($Q127)</f>
        <v>0</v>
      </c>
      <c r="AV127" s="1" t="n">
        <f aca="false">MEDIAN($R127)</f>
        <v>474175</v>
      </c>
      <c r="AW127" s="1" t="n">
        <f aca="false">MAX($B127)</f>
        <v>1900</v>
      </c>
      <c r="AX127" s="1" t="n">
        <f aca="false">MAX($C127)</f>
        <v>3</v>
      </c>
      <c r="AY127" s="1" t="n">
        <f aca="false">MAX($D127)</f>
        <v>787908</v>
      </c>
      <c r="AZ127" s="1" t="n">
        <f aca="false">MAX($E127)</f>
        <v>0</v>
      </c>
      <c r="BA127" s="1" t="n">
        <f aca="false">MAX($F127)</f>
        <v>460</v>
      </c>
      <c r="BB127" s="1" t="n">
        <f aca="false">MAX($G127)</f>
        <v>0</v>
      </c>
      <c r="BC127" s="1" t="n">
        <f aca="false">MAX($H127)</f>
        <v>1</v>
      </c>
      <c r="BD127" s="1" t="n">
        <f aca="false">MAX($I127)</f>
        <v>6.313</v>
      </c>
      <c r="BE127" s="1" t="n">
        <f aca="false">MAX($J127)</f>
        <v>6.48</v>
      </c>
      <c r="BF127" s="1" t="n">
        <f aca="false">MAX($K127)</f>
        <v>0</v>
      </c>
      <c r="BG127" s="1" t="n">
        <f aca="false">MAX($M127)</f>
        <v>1448596</v>
      </c>
      <c r="BH127" s="1" t="n">
        <f aca="false">MAX($N127)</f>
        <v>0.06</v>
      </c>
      <c r="BI127" s="1" t="n">
        <f aca="false">MAX($P127)</f>
        <v>6.48</v>
      </c>
      <c r="BJ127" s="1" t="n">
        <f aca="false">MAX($Q127)</f>
        <v>0</v>
      </c>
      <c r="BK127" s="1" t="n">
        <f aca="false">MAX($R127)</f>
        <v>474175</v>
      </c>
    </row>
    <row r="128" customFormat="false" ht="15" hidden="false" customHeight="false" outlineLevel="0" collapsed="false">
      <c r="A128" s="1" t="s">
        <v>145</v>
      </c>
      <c r="B128" s="1" t="n">
        <f aca="false" t="array" ref="B128:B128">_xlfn.SWITCH($A$2,"average", AVERAGE(Instances!B128:B128),"median", MEDIAN(Instances!B128:B128),"min", MIN(Instances!B128:B128),"max", MAX(Instances!B128:B128),"diff", MAX(Instances!B128:B128)-MIN(Instances!B128:B128))</f>
        <v>23824</v>
      </c>
      <c r="C128" s="1" t="n">
        <f aca="false" t="array" ref="C128:C128">_xlfn.SWITCH($A$2,"average", AVERAGE(Instances!C128:C128),"median", MEDIAN(Instances!C128:C128),"min", MIN(Instances!C128:C128),"max", MAX(Instances!C128:C128),"diff", MAX(Instances!C128:C128)-MIN(Instances!C128:C128))</f>
        <v>156</v>
      </c>
      <c r="D128" s="1" t="n">
        <f aca="false" t="array" ref="D128:D128">_xlfn.SWITCH($A$2,"average", AVERAGE(Instances!D128:D128),"median", MEDIAN(Instances!D128:D128),"min", MIN(Instances!D128:D128),"max", MAX(Instances!D128:D128),"diff", MAX(Instances!D128:D128)-MIN(Instances!D128:D128))</f>
        <v>1114338</v>
      </c>
      <c r="E128" s="1" t="n">
        <f aca="false" t="array" ref="E128:E128">_xlfn.SWITCH($A$2,"average", AVERAGE(Instances!E128:E128),"median", MEDIAN(Instances!E128:E128),"min", MIN(Instances!E128:E128),"max", MAX(Instances!E128:E128),"diff", MAX(Instances!E128:E128)-MIN(Instances!E128:E128))</f>
        <v>0</v>
      </c>
      <c r="F128" s="1" t="n">
        <f aca="false" t="array" ref="F128:F128">_xlfn.SWITCH($A$2,"average", AVERAGE(Instances!F128:F128),"median", MEDIAN(Instances!F128:F128),"min", MIN(Instances!F128:F128),"max", MAX(Instances!F128:F128),"diff", MAX(Instances!F128:F128)-MIN(Instances!F128:F128))</f>
        <v>530</v>
      </c>
      <c r="G128" s="1" t="n">
        <f aca="false" t="array" ref="G128:G128">_xlfn.SWITCH($A$2,"average", AVERAGE(Instances!G128:G128),"median", MEDIAN(Instances!G128:G128),"min", MIN(Instances!G128:G128),"max", MAX(Instances!G128:G128),"diff", MAX(Instances!G128:G128)-MIN(Instances!G128:G128))</f>
        <v>0</v>
      </c>
      <c r="H128" s="1" t="n">
        <f aca="false" t="array" ref="H128:H128">_xlfn.SWITCH($A$2,"average", AVERAGE(Instances!H128:H128),"median", MEDIAN(Instances!H128:H128),"min", MIN(Instances!H128:H128),"max", MAX(Instances!H128:H128),"diff", MAX(Instances!H128:H128)-MIN(Instances!H128:H128))</f>
        <v>1</v>
      </c>
      <c r="I128" s="1" t="n">
        <f aca="false" t="array" ref="I128:I128">_xlfn.SWITCH($A$2,"average", AVERAGE(Instances!I128:I128),"median", MEDIAN(Instances!I128:I128),"min", MIN(Instances!I128:I128),"max", MAX(Instances!I128:I128),"diff", MAX(Instances!I128:I128)-MIN(Instances!I128:I128))</f>
        <v>7.934</v>
      </c>
      <c r="J128" s="1" t="n">
        <f aca="false" t="array" ref="J128:J128">_xlfn.SWITCH($A$2,"average", AVERAGE(Instances!J128:J128),"median", MEDIAN(Instances!J128:J128),"min", MIN(Instances!J128:J128),"max", MAX(Instances!J128:J128),"diff", MAX(Instances!J128:J128)-MIN(Instances!J128:J128))</f>
        <v>8.14</v>
      </c>
      <c r="K128" s="1" t="n">
        <f aca="false" t="array" ref="K128:K128">_xlfn.SWITCH($A$2,"average", AVERAGE(Instances!K128:K128),"median", MEDIAN(Instances!K128:K128),"min", MIN(Instances!K128:K128),"max", MAX(Instances!K128:K128),"diff", MAX(Instances!K128:K128)-MIN(Instances!K128:K128))</f>
        <v>2</v>
      </c>
      <c r="L128" s="1"/>
      <c r="M128" s="1" t="n">
        <f aca="false" t="array" ref="M128:M128">_xlfn.SWITCH($A$2,"average", AVERAGE(Instances!M128:M128),"median", MEDIAN(Instances!M128:M128),"min", MIN(Instances!M128:M128),"max", MAX(Instances!M128:M128),"diff", MAX(Instances!M128:M128)-MIN(Instances!M128:M128))</f>
        <v>1717155</v>
      </c>
      <c r="N128" s="1" t="n">
        <f aca="false" t="array" ref="N128:N128">_xlfn.SWITCH($A$2,"average", AVERAGE(Instances!N128:N128),"median", MEDIAN(Instances!N128:N128),"min", MIN(Instances!N128:N128),"max", MAX(Instances!N128:N128),"diff", MAX(Instances!N128:N128)-MIN(Instances!N128:N128))</f>
        <v>0.69</v>
      </c>
      <c r="O128" s="1"/>
      <c r="P128" s="1" t="n">
        <f aca="false" t="array" ref="P128:P128">_xlfn.SWITCH($A$2,"average", AVERAGE(Instances!P128:P128),"median", MEDIAN(Instances!P128:P128),"min", MIN(Instances!P128:P128),"max", MAX(Instances!P128:P128),"diff", MAX(Instances!P128:P128)-MIN(Instances!P128:P128))</f>
        <v>8.14</v>
      </c>
      <c r="Q128" s="1" t="n">
        <f aca="false" t="array" ref="Q128:Q128">_xlfn.SWITCH($A$2,"average", AVERAGE(Instances!Q128:Q128),"median", MEDIAN(Instances!Q128:Q128),"min", MIN(Instances!Q128:Q128),"max", MAX(Instances!Q128:Q128),"diff", MAX(Instances!Q128:Q128)-MIN(Instances!Q128:Q128))</f>
        <v>0</v>
      </c>
      <c r="R128" s="1" t="n">
        <f aca="false" t="array" ref="R128:R128">_xlfn.SWITCH($A$2,"average", AVERAGE(Instances!R128:R128),"median", MEDIAN(Instances!R128:R128),"min", MIN(Instances!R128:R128),"max", MAX(Instances!R128:R128),"diff", MAX(Instances!R128:R128)-MIN(Instances!R128:R128))</f>
        <v>559996</v>
      </c>
      <c r="S128" s="1" t="n">
        <f aca="false">MIN($B128)</f>
        <v>23824</v>
      </c>
      <c r="T128" s="1" t="n">
        <f aca="false">MIN($C128)</f>
        <v>156</v>
      </c>
      <c r="U128" s="1" t="n">
        <f aca="false">MIN($D128)</f>
        <v>1114338</v>
      </c>
      <c r="V128" s="1" t="n">
        <f aca="false">MIN($E128)</f>
        <v>0</v>
      </c>
      <c r="W128" s="1" t="n">
        <f aca="false">MIN($F128)</f>
        <v>530</v>
      </c>
      <c r="X128" s="1" t="n">
        <f aca="false">MIN($G128)</f>
        <v>0</v>
      </c>
      <c r="Y128" s="1" t="n">
        <f aca="false">MIN($H128)</f>
        <v>1</v>
      </c>
      <c r="Z128" s="1" t="n">
        <f aca="false">MIN($I128)</f>
        <v>7.934</v>
      </c>
      <c r="AA128" s="1" t="n">
        <f aca="false">MIN($J128)</f>
        <v>8.14</v>
      </c>
      <c r="AB128" s="1" t="n">
        <f aca="false">MIN($K128)</f>
        <v>2</v>
      </c>
      <c r="AC128" s="1" t="n">
        <f aca="false">MIN($M128)</f>
        <v>1717155</v>
      </c>
      <c r="AD128" s="1" t="n">
        <f aca="false">MIN($N128)</f>
        <v>0.69</v>
      </c>
      <c r="AE128" s="1" t="n">
        <f aca="false">MIN($P128)</f>
        <v>8.14</v>
      </c>
      <c r="AF128" s="1" t="n">
        <f aca="false">MIN($Q128)</f>
        <v>0</v>
      </c>
      <c r="AG128" s="1" t="n">
        <f aca="false">MIN($R128)</f>
        <v>559996</v>
      </c>
      <c r="AH128" s="1" t="n">
        <f aca="false">MEDIAN($B128)</f>
        <v>23824</v>
      </c>
      <c r="AI128" s="1" t="n">
        <f aca="false">MEDIAN($C128)</f>
        <v>156</v>
      </c>
      <c r="AJ128" s="1" t="n">
        <f aca="false">MEDIAN($D128)</f>
        <v>1114338</v>
      </c>
      <c r="AK128" s="1" t="n">
        <f aca="false">MEDIAN($E128)</f>
        <v>0</v>
      </c>
      <c r="AL128" s="1" t="n">
        <f aca="false">MEDIAN($F128)</f>
        <v>530</v>
      </c>
      <c r="AM128" s="1" t="n">
        <f aca="false">MEDIAN($G128)</f>
        <v>0</v>
      </c>
      <c r="AN128" s="1" t="n">
        <f aca="false">MEDIAN($H128)</f>
        <v>1</v>
      </c>
      <c r="AO128" s="1" t="n">
        <f aca="false">MEDIAN($I128)</f>
        <v>7.934</v>
      </c>
      <c r="AP128" s="1" t="n">
        <f aca="false">MEDIAN($J128)</f>
        <v>8.14</v>
      </c>
      <c r="AQ128" s="1" t="n">
        <f aca="false">MEDIAN($K128)</f>
        <v>2</v>
      </c>
      <c r="AR128" s="1" t="n">
        <f aca="false">MEDIAN($M128)</f>
        <v>1717155</v>
      </c>
      <c r="AS128" s="1" t="n">
        <f aca="false">MEDIAN($N128)</f>
        <v>0.69</v>
      </c>
      <c r="AT128" s="1" t="n">
        <f aca="false">MEDIAN($P128)</f>
        <v>8.14</v>
      </c>
      <c r="AU128" s="1" t="n">
        <f aca="false">MEDIAN($Q128)</f>
        <v>0</v>
      </c>
      <c r="AV128" s="1" t="n">
        <f aca="false">MEDIAN($R128)</f>
        <v>559996</v>
      </c>
      <c r="AW128" s="1" t="n">
        <f aca="false">MAX($B128)</f>
        <v>23824</v>
      </c>
      <c r="AX128" s="1" t="n">
        <f aca="false">MAX($C128)</f>
        <v>156</v>
      </c>
      <c r="AY128" s="1" t="n">
        <f aca="false">MAX($D128)</f>
        <v>1114338</v>
      </c>
      <c r="AZ128" s="1" t="n">
        <f aca="false">MAX($E128)</f>
        <v>0</v>
      </c>
      <c r="BA128" s="1" t="n">
        <f aca="false">MAX($F128)</f>
        <v>530</v>
      </c>
      <c r="BB128" s="1" t="n">
        <f aca="false">MAX($G128)</f>
        <v>0</v>
      </c>
      <c r="BC128" s="1" t="n">
        <f aca="false">MAX($H128)</f>
        <v>1</v>
      </c>
      <c r="BD128" s="1" t="n">
        <f aca="false">MAX($I128)</f>
        <v>7.934</v>
      </c>
      <c r="BE128" s="1" t="n">
        <f aca="false">MAX($J128)</f>
        <v>8.14</v>
      </c>
      <c r="BF128" s="1" t="n">
        <f aca="false">MAX($K128)</f>
        <v>2</v>
      </c>
      <c r="BG128" s="1" t="n">
        <f aca="false">MAX($M128)</f>
        <v>1717155</v>
      </c>
      <c r="BH128" s="1" t="n">
        <f aca="false">MAX($N128)</f>
        <v>0.69</v>
      </c>
      <c r="BI128" s="1" t="n">
        <f aca="false">MAX($P128)</f>
        <v>8.14</v>
      </c>
      <c r="BJ128" s="1" t="n">
        <f aca="false">MAX($Q128)</f>
        <v>0</v>
      </c>
      <c r="BK128" s="1" t="n">
        <f aca="false">MAX($R128)</f>
        <v>559996</v>
      </c>
    </row>
    <row r="129" customFormat="false" ht="15" hidden="false" customHeight="false" outlineLevel="0" collapsed="false">
      <c r="A129" s="1" t="s">
        <v>146</v>
      </c>
      <c r="B129" s="1" t="n">
        <f aca="false" t="array" ref="B129:B129">_xlfn.SWITCH($A$2,"average", AVERAGE(Instances!B129:B129),"median", MEDIAN(Instances!B129:B129),"min", MIN(Instances!B129:B129),"max", MAX(Instances!B129:B129),"diff", MAX(Instances!B129:B129)-MIN(Instances!B129:B129))</f>
        <v>2866</v>
      </c>
      <c r="C129" s="1" t="n">
        <f aca="false" t="array" ref="C129:C129">_xlfn.SWITCH($A$2,"average", AVERAGE(Instances!C129:C129),"median", MEDIAN(Instances!C129:C129),"min", MIN(Instances!C129:C129),"max", MAX(Instances!C129:C129),"diff", MAX(Instances!C129:C129)-MIN(Instances!C129:C129))</f>
        <v>5</v>
      </c>
      <c r="D129" s="1" t="n">
        <f aca="false" t="array" ref="D129:D129">_xlfn.SWITCH($A$2,"average", AVERAGE(Instances!D129:D129),"median", MEDIAN(Instances!D129:D129),"min", MIN(Instances!D129:D129),"max", MAX(Instances!D129:D129),"diff", MAX(Instances!D129:D129)-MIN(Instances!D129:D129))</f>
        <v>1190204</v>
      </c>
      <c r="E129" s="1" t="n">
        <f aca="false" t="array" ref="E129:E129">_xlfn.SWITCH($A$2,"average", AVERAGE(Instances!E129:E129),"median", MEDIAN(Instances!E129:E129),"min", MIN(Instances!E129:E129),"max", MAX(Instances!E129:E129),"diff", MAX(Instances!E129:E129)-MIN(Instances!E129:E129))</f>
        <v>0</v>
      </c>
      <c r="F129" s="1" t="n">
        <f aca="false" t="array" ref="F129:F129">_xlfn.SWITCH($A$2,"average", AVERAGE(Instances!F129:F129),"median", MEDIAN(Instances!F129:F129),"min", MIN(Instances!F129:F129),"max", MAX(Instances!F129:F129),"diff", MAX(Instances!F129:F129)-MIN(Instances!F129:F129))</f>
        <v>579</v>
      </c>
      <c r="G129" s="1" t="n">
        <f aca="false" t="array" ref="G129:G129">_xlfn.SWITCH($A$2,"average", AVERAGE(Instances!G129:G129),"median", MEDIAN(Instances!G129:G129),"min", MIN(Instances!G129:G129),"max", MAX(Instances!G129:G129),"diff", MAX(Instances!G129:G129)-MIN(Instances!G129:G129))</f>
        <v>0</v>
      </c>
      <c r="H129" s="1" t="n">
        <f aca="false" t="array" ref="H129:H129">_xlfn.SWITCH($A$2,"average", AVERAGE(Instances!H129:H129),"median", MEDIAN(Instances!H129:H129),"min", MIN(Instances!H129:H129),"max", MAX(Instances!H129:H129),"diff", MAX(Instances!H129:H129)-MIN(Instances!H129:H129))</f>
        <v>1</v>
      </c>
      <c r="I129" s="1" t="n">
        <f aca="false" t="array" ref="I129:I129">_xlfn.SWITCH($A$2,"average", AVERAGE(Instances!I129:I129),"median", MEDIAN(Instances!I129:I129),"min", MIN(Instances!I129:I129),"max", MAX(Instances!I129:I129),"diff", MAX(Instances!I129:I129)-MIN(Instances!I129:I129))</f>
        <v>8.298</v>
      </c>
      <c r="J129" s="1" t="n">
        <f aca="false" t="array" ref="J129:J129">_xlfn.SWITCH($A$2,"average", AVERAGE(Instances!J129:J129),"median", MEDIAN(Instances!J129:J129),"min", MIN(Instances!J129:J129),"max", MAX(Instances!J129:J129),"diff", MAX(Instances!J129:J129)-MIN(Instances!J129:J129))</f>
        <v>8.55</v>
      </c>
      <c r="K129" s="1" t="n">
        <f aca="false" t="array" ref="K129:K129">_xlfn.SWITCH($A$2,"average", AVERAGE(Instances!K129:K129),"median", MEDIAN(Instances!K129:K129),"min", MIN(Instances!K129:K129),"max", MAX(Instances!K129:K129),"diff", MAX(Instances!K129:K129)-MIN(Instances!K129:K129))</f>
        <v>0</v>
      </c>
      <c r="L129" s="1"/>
      <c r="M129" s="1" t="n">
        <f aca="false" t="array" ref="M129:M129">_xlfn.SWITCH($A$2,"average", AVERAGE(Instances!M129:M129),"median", MEDIAN(Instances!M129:M129),"min", MIN(Instances!M129:M129),"max", MAX(Instances!M129:M129),"diff", MAX(Instances!M129:M129)-MIN(Instances!M129:M129))</f>
        <v>1939544</v>
      </c>
      <c r="N129" s="1" t="n">
        <f aca="false" t="array" ref="N129:N129">_xlfn.SWITCH($A$2,"average", AVERAGE(Instances!N129:N129),"median", MEDIAN(Instances!N129:N129),"min", MIN(Instances!N129:N129),"max", MAX(Instances!N129:N129),"diff", MAX(Instances!N129:N129)-MIN(Instances!N129:N129))</f>
        <v>0.11</v>
      </c>
      <c r="O129" s="1"/>
      <c r="P129" s="1" t="n">
        <f aca="false" t="array" ref="P129:P129">_xlfn.SWITCH($A$2,"average", AVERAGE(Instances!P129:P129),"median", MEDIAN(Instances!P129:P129),"min", MIN(Instances!P129:P129),"max", MAX(Instances!P129:P129),"diff", MAX(Instances!P129:P129)-MIN(Instances!P129:P129))</f>
        <v>8.55</v>
      </c>
      <c r="Q129" s="1" t="n">
        <f aca="false" t="array" ref="Q129:Q129">_xlfn.SWITCH($A$2,"average", AVERAGE(Instances!Q129:Q129),"median", MEDIAN(Instances!Q129:Q129),"min", MIN(Instances!Q129:Q129),"max", MAX(Instances!Q129:Q129),"diff", MAX(Instances!Q129:Q129)-MIN(Instances!Q129:Q129))</f>
        <v>0</v>
      </c>
      <c r="R129" s="1" t="n">
        <f aca="false" t="array" ref="R129:R129">_xlfn.SWITCH($A$2,"average", AVERAGE(Instances!R129:R129),"median", MEDIAN(Instances!R129:R129),"min", MIN(Instances!R129:R129),"max", MAX(Instances!R129:R129),"diff", MAX(Instances!R129:R129)-MIN(Instances!R129:R129))</f>
        <v>617153</v>
      </c>
      <c r="S129" s="1" t="n">
        <f aca="false">MIN($B129)</f>
        <v>2866</v>
      </c>
      <c r="T129" s="1" t="n">
        <f aca="false">MIN($C129)</f>
        <v>5</v>
      </c>
      <c r="U129" s="1" t="n">
        <f aca="false">MIN($D129)</f>
        <v>1190204</v>
      </c>
      <c r="V129" s="1" t="n">
        <f aca="false">MIN($E129)</f>
        <v>0</v>
      </c>
      <c r="W129" s="1" t="n">
        <f aca="false">MIN($F129)</f>
        <v>579</v>
      </c>
      <c r="X129" s="1" t="n">
        <f aca="false">MIN($G129)</f>
        <v>0</v>
      </c>
      <c r="Y129" s="1" t="n">
        <f aca="false">MIN($H129)</f>
        <v>1</v>
      </c>
      <c r="Z129" s="1" t="n">
        <f aca="false">MIN($I129)</f>
        <v>8.298</v>
      </c>
      <c r="AA129" s="1" t="n">
        <f aca="false">MIN($J129)</f>
        <v>8.55</v>
      </c>
      <c r="AB129" s="1" t="n">
        <f aca="false">MIN($K129)</f>
        <v>0</v>
      </c>
      <c r="AC129" s="1" t="n">
        <f aca="false">MIN($M129)</f>
        <v>1939544</v>
      </c>
      <c r="AD129" s="1" t="n">
        <f aca="false">MIN($N129)</f>
        <v>0.11</v>
      </c>
      <c r="AE129" s="1" t="n">
        <f aca="false">MIN($P129)</f>
        <v>8.55</v>
      </c>
      <c r="AF129" s="1" t="n">
        <f aca="false">MIN($Q129)</f>
        <v>0</v>
      </c>
      <c r="AG129" s="1" t="n">
        <f aca="false">MIN($R129)</f>
        <v>617153</v>
      </c>
      <c r="AH129" s="1" t="n">
        <f aca="false">MEDIAN($B129)</f>
        <v>2866</v>
      </c>
      <c r="AI129" s="1" t="n">
        <f aca="false">MEDIAN($C129)</f>
        <v>5</v>
      </c>
      <c r="AJ129" s="1" t="n">
        <f aca="false">MEDIAN($D129)</f>
        <v>1190204</v>
      </c>
      <c r="AK129" s="1" t="n">
        <f aca="false">MEDIAN($E129)</f>
        <v>0</v>
      </c>
      <c r="AL129" s="1" t="n">
        <f aca="false">MEDIAN($F129)</f>
        <v>579</v>
      </c>
      <c r="AM129" s="1" t="n">
        <f aca="false">MEDIAN($G129)</f>
        <v>0</v>
      </c>
      <c r="AN129" s="1" t="n">
        <f aca="false">MEDIAN($H129)</f>
        <v>1</v>
      </c>
      <c r="AO129" s="1" t="n">
        <f aca="false">MEDIAN($I129)</f>
        <v>8.298</v>
      </c>
      <c r="AP129" s="1" t="n">
        <f aca="false">MEDIAN($J129)</f>
        <v>8.55</v>
      </c>
      <c r="AQ129" s="1" t="n">
        <f aca="false">MEDIAN($K129)</f>
        <v>0</v>
      </c>
      <c r="AR129" s="1" t="n">
        <f aca="false">MEDIAN($M129)</f>
        <v>1939544</v>
      </c>
      <c r="AS129" s="1" t="n">
        <f aca="false">MEDIAN($N129)</f>
        <v>0.11</v>
      </c>
      <c r="AT129" s="1" t="n">
        <f aca="false">MEDIAN($P129)</f>
        <v>8.55</v>
      </c>
      <c r="AU129" s="1" t="n">
        <f aca="false">MEDIAN($Q129)</f>
        <v>0</v>
      </c>
      <c r="AV129" s="1" t="n">
        <f aca="false">MEDIAN($R129)</f>
        <v>617153</v>
      </c>
      <c r="AW129" s="1" t="n">
        <f aca="false">MAX($B129)</f>
        <v>2866</v>
      </c>
      <c r="AX129" s="1" t="n">
        <f aca="false">MAX($C129)</f>
        <v>5</v>
      </c>
      <c r="AY129" s="1" t="n">
        <f aca="false">MAX($D129)</f>
        <v>1190204</v>
      </c>
      <c r="AZ129" s="1" t="n">
        <f aca="false">MAX($E129)</f>
        <v>0</v>
      </c>
      <c r="BA129" s="1" t="n">
        <f aca="false">MAX($F129)</f>
        <v>579</v>
      </c>
      <c r="BB129" s="1" t="n">
        <f aca="false">MAX($G129)</f>
        <v>0</v>
      </c>
      <c r="BC129" s="1" t="n">
        <f aca="false">MAX($H129)</f>
        <v>1</v>
      </c>
      <c r="BD129" s="1" t="n">
        <f aca="false">MAX($I129)</f>
        <v>8.298</v>
      </c>
      <c r="BE129" s="1" t="n">
        <f aca="false">MAX($J129)</f>
        <v>8.55</v>
      </c>
      <c r="BF129" s="1" t="n">
        <f aca="false">MAX($K129)</f>
        <v>0</v>
      </c>
      <c r="BG129" s="1" t="n">
        <f aca="false">MAX($M129)</f>
        <v>1939544</v>
      </c>
      <c r="BH129" s="1" t="n">
        <f aca="false">MAX($N129)</f>
        <v>0.11</v>
      </c>
      <c r="BI129" s="1" t="n">
        <f aca="false">MAX($P129)</f>
        <v>8.55</v>
      </c>
      <c r="BJ129" s="1" t="n">
        <f aca="false">MAX($Q129)</f>
        <v>0</v>
      </c>
      <c r="BK129" s="1" t="n">
        <f aca="false">MAX($R129)</f>
        <v>617153</v>
      </c>
    </row>
    <row r="130" customFormat="false" ht="15" hidden="false" customHeight="false" outlineLevel="0" collapsed="false">
      <c r="A130" s="1" t="s">
        <v>147</v>
      </c>
      <c r="B130" s="1" t="n">
        <f aca="false" t="array" ref="B130:B130">_xlfn.SWITCH($A$2,"average", AVERAGE(Instances!B130:B130),"median", MEDIAN(Instances!B130:B130),"min", MIN(Instances!B130:B130),"max", MAX(Instances!B130:B130),"diff", MAX(Instances!B130:B130)-MIN(Instances!B130:B130))</f>
        <v>5039</v>
      </c>
      <c r="C130" s="1" t="n">
        <f aca="false" t="array" ref="C130:C130">_xlfn.SWITCH($A$2,"average", AVERAGE(Instances!C130:C130),"median", MEDIAN(Instances!C130:C130),"min", MIN(Instances!C130:C130),"max", MAX(Instances!C130:C130),"diff", MAX(Instances!C130:C130)-MIN(Instances!C130:C130))</f>
        <v>6</v>
      </c>
      <c r="D130" s="1" t="n">
        <f aca="false" t="array" ref="D130:D130">_xlfn.SWITCH($A$2,"average", AVERAGE(Instances!D130:D130),"median", MEDIAN(Instances!D130:D130),"min", MIN(Instances!D130:D130),"max", MAX(Instances!D130:D130),"diff", MAX(Instances!D130:D130)-MIN(Instances!D130:D130))</f>
        <v>1049283</v>
      </c>
      <c r="E130" s="1" t="n">
        <f aca="false" t="array" ref="E130:E130">_xlfn.SWITCH($A$2,"average", AVERAGE(Instances!E130:E130),"median", MEDIAN(Instances!E130:E130),"min", MIN(Instances!E130:E130),"max", MAX(Instances!E130:E130),"diff", MAX(Instances!E130:E130)-MIN(Instances!E130:E130))</f>
        <v>0</v>
      </c>
      <c r="F130" s="1" t="n">
        <f aca="false" t="array" ref="F130:F130">_xlfn.SWITCH($A$2,"average", AVERAGE(Instances!F130:F130),"median", MEDIAN(Instances!F130:F130),"min", MIN(Instances!F130:F130),"max", MAX(Instances!F130:F130),"diff", MAX(Instances!F130:F130)-MIN(Instances!F130:F130))</f>
        <v>529</v>
      </c>
      <c r="G130" s="1" t="n">
        <f aca="false" t="array" ref="G130:G130">_xlfn.SWITCH($A$2,"average", AVERAGE(Instances!G130:G130),"median", MEDIAN(Instances!G130:G130),"min", MIN(Instances!G130:G130),"max", MAX(Instances!G130:G130),"diff", MAX(Instances!G130:G130)-MIN(Instances!G130:G130))</f>
        <v>0</v>
      </c>
      <c r="H130" s="1" t="n">
        <f aca="false" t="array" ref="H130:H130">_xlfn.SWITCH($A$2,"average", AVERAGE(Instances!H130:H130),"median", MEDIAN(Instances!H130:H130),"min", MIN(Instances!H130:H130),"max", MAX(Instances!H130:H130),"diff", MAX(Instances!H130:H130)-MIN(Instances!H130:H130))</f>
        <v>1</v>
      </c>
      <c r="I130" s="1" t="n">
        <f aca="false" t="array" ref="I130:I130">_xlfn.SWITCH($A$2,"average", AVERAGE(Instances!I130:I130),"median", MEDIAN(Instances!I130:I130),"min", MIN(Instances!I130:I130),"max", MAX(Instances!I130:I130),"diff", MAX(Instances!I130:I130)-MIN(Instances!I130:I130))</f>
        <v>7.539</v>
      </c>
      <c r="J130" s="1" t="n">
        <f aca="false" t="array" ref="J130:J130">_xlfn.SWITCH($A$2,"average", AVERAGE(Instances!J130:J130),"median", MEDIAN(Instances!J130:J130),"min", MIN(Instances!J130:J130),"max", MAX(Instances!J130:J130),"diff", MAX(Instances!J130:J130)-MIN(Instances!J130:J130))</f>
        <v>7.74</v>
      </c>
      <c r="K130" s="1" t="n">
        <f aca="false" t="array" ref="K130:K130">_xlfn.SWITCH($A$2,"average", AVERAGE(Instances!K130:K130),"median", MEDIAN(Instances!K130:K130),"min", MIN(Instances!K130:K130),"max", MAX(Instances!K130:K130),"diff", MAX(Instances!K130:K130)-MIN(Instances!K130:K130))</f>
        <v>0</v>
      </c>
      <c r="L130" s="1"/>
      <c r="M130" s="1" t="n">
        <f aca="false" t="array" ref="M130:M130">_xlfn.SWITCH($A$2,"average", AVERAGE(Instances!M130:M130),"median", MEDIAN(Instances!M130:M130),"min", MIN(Instances!M130:M130),"max", MAX(Instances!M130:M130),"diff", MAX(Instances!M130:M130)-MIN(Instances!M130:M130))</f>
        <v>1710832</v>
      </c>
      <c r="N130" s="1" t="n">
        <f aca="false" t="array" ref="N130:N130">_xlfn.SWITCH($A$2,"average", AVERAGE(Instances!N130:N130),"median", MEDIAN(Instances!N130:N130),"min", MIN(Instances!N130:N130),"max", MAX(Instances!N130:N130),"diff", MAX(Instances!N130:N130)-MIN(Instances!N130:N130))</f>
        <v>0.1</v>
      </c>
      <c r="O130" s="1"/>
      <c r="P130" s="1" t="n">
        <f aca="false" t="array" ref="P130:P130">_xlfn.SWITCH($A$2,"average", AVERAGE(Instances!P130:P130),"median", MEDIAN(Instances!P130:P130),"min", MIN(Instances!P130:P130),"max", MAX(Instances!P130:P130),"diff", MAX(Instances!P130:P130)-MIN(Instances!P130:P130))</f>
        <v>7.74</v>
      </c>
      <c r="Q130" s="1" t="n">
        <f aca="false" t="array" ref="Q130:Q130">_xlfn.SWITCH($A$2,"average", AVERAGE(Instances!Q130:Q130),"median", MEDIAN(Instances!Q130:Q130),"min", MIN(Instances!Q130:Q130),"max", MAX(Instances!Q130:Q130),"diff", MAX(Instances!Q130:Q130)-MIN(Instances!Q130:Q130))</f>
        <v>0</v>
      </c>
      <c r="R130" s="1" t="n">
        <f aca="false" t="array" ref="R130:R130">_xlfn.SWITCH($A$2,"average", AVERAGE(Instances!R130:R130),"median", MEDIAN(Instances!R130:R130),"min", MIN(Instances!R130:R130),"max", MAX(Instances!R130:R130),"diff", MAX(Instances!R130:R130)-MIN(Instances!R130:R130))</f>
        <v>557184</v>
      </c>
      <c r="S130" s="1" t="n">
        <f aca="false">MIN($B130)</f>
        <v>5039</v>
      </c>
      <c r="T130" s="1" t="n">
        <f aca="false">MIN($C130)</f>
        <v>6</v>
      </c>
      <c r="U130" s="1" t="n">
        <f aca="false">MIN($D130)</f>
        <v>1049283</v>
      </c>
      <c r="V130" s="1" t="n">
        <f aca="false">MIN($E130)</f>
        <v>0</v>
      </c>
      <c r="W130" s="1" t="n">
        <f aca="false">MIN($F130)</f>
        <v>529</v>
      </c>
      <c r="X130" s="1" t="n">
        <f aca="false">MIN($G130)</f>
        <v>0</v>
      </c>
      <c r="Y130" s="1" t="n">
        <f aca="false">MIN($H130)</f>
        <v>1</v>
      </c>
      <c r="Z130" s="1" t="n">
        <f aca="false">MIN($I130)</f>
        <v>7.539</v>
      </c>
      <c r="AA130" s="1" t="n">
        <f aca="false">MIN($J130)</f>
        <v>7.74</v>
      </c>
      <c r="AB130" s="1" t="n">
        <f aca="false">MIN($K130)</f>
        <v>0</v>
      </c>
      <c r="AC130" s="1" t="n">
        <f aca="false">MIN($M130)</f>
        <v>1710832</v>
      </c>
      <c r="AD130" s="1" t="n">
        <f aca="false">MIN($N130)</f>
        <v>0.1</v>
      </c>
      <c r="AE130" s="1" t="n">
        <f aca="false">MIN($P130)</f>
        <v>7.74</v>
      </c>
      <c r="AF130" s="1" t="n">
        <f aca="false">MIN($Q130)</f>
        <v>0</v>
      </c>
      <c r="AG130" s="1" t="n">
        <f aca="false">MIN($R130)</f>
        <v>557184</v>
      </c>
      <c r="AH130" s="1" t="n">
        <f aca="false">MEDIAN($B130)</f>
        <v>5039</v>
      </c>
      <c r="AI130" s="1" t="n">
        <f aca="false">MEDIAN($C130)</f>
        <v>6</v>
      </c>
      <c r="AJ130" s="1" t="n">
        <f aca="false">MEDIAN($D130)</f>
        <v>1049283</v>
      </c>
      <c r="AK130" s="1" t="n">
        <f aca="false">MEDIAN($E130)</f>
        <v>0</v>
      </c>
      <c r="AL130" s="1" t="n">
        <f aca="false">MEDIAN($F130)</f>
        <v>529</v>
      </c>
      <c r="AM130" s="1" t="n">
        <f aca="false">MEDIAN($G130)</f>
        <v>0</v>
      </c>
      <c r="AN130" s="1" t="n">
        <f aca="false">MEDIAN($H130)</f>
        <v>1</v>
      </c>
      <c r="AO130" s="1" t="n">
        <f aca="false">MEDIAN($I130)</f>
        <v>7.539</v>
      </c>
      <c r="AP130" s="1" t="n">
        <f aca="false">MEDIAN($J130)</f>
        <v>7.74</v>
      </c>
      <c r="AQ130" s="1" t="n">
        <f aca="false">MEDIAN($K130)</f>
        <v>0</v>
      </c>
      <c r="AR130" s="1" t="n">
        <f aca="false">MEDIAN($M130)</f>
        <v>1710832</v>
      </c>
      <c r="AS130" s="1" t="n">
        <f aca="false">MEDIAN($N130)</f>
        <v>0.1</v>
      </c>
      <c r="AT130" s="1" t="n">
        <f aca="false">MEDIAN($P130)</f>
        <v>7.74</v>
      </c>
      <c r="AU130" s="1" t="n">
        <f aca="false">MEDIAN($Q130)</f>
        <v>0</v>
      </c>
      <c r="AV130" s="1" t="n">
        <f aca="false">MEDIAN($R130)</f>
        <v>557184</v>
      </c>
      <c r="AW130" s="1" t="n">
        <f aca="false">MAX($B130)</f>
        <v>5039</v>
      </c>
      <c r="AX130" s="1" t="n">
        <f aca="false">MAX($C130)</f>
        <v>6</v>
      </c>
      <c r="AY130" s="1" t="n">
        <f aca="false">MAX($D130)</f>
        <v>1049283</v>
      </c>
      <c r="AZ130" s="1" t="n">
        <f aca="false">MAX($E130)</f>
        <v>0</v>
      </c>
      <c r="BA130" s="1" t="n">
        <f aca="false">MAX($F130)</f>
        <v>529</v>
      </c>
      <c r="BB130" s="1" t="n">
        <f aca="false">MAX($G130)</f>
        <v>0</v>
      </c>
      <c r="BC130" s="1" t="n">
        <f aca="false">MAX($H130)</f>
        <v>1</v>
      </c>
      <c r="BD130" s="1" t="n">
        <f aca="false">MAX($I130)</f>
        <v>7.539</v>
      </c>
      <c r="BE130" s="1" t="n">
        <f aca="false">MAX($J130)</f>
        <v>7.74</v>
      </c>
      <c r="BF130" s="1" t="n">
        <f aca="false">MAX($K130)</f>
        <v>0</v>
      </c>
      <c r="BG130" s="1" t="n">
        <f aca="false">MAX($M130)</f>
        <v>1710832</v>
      </c>
      <c r="BH130" s="1" t="n">
        <f aca="false">MAX($N130)</f>
        <v>0.1</v>
      </c>
      <c r="BI130" s="1" t="n">
        <f aca="false">MAX($P130)</f>
        <v>7.74</v>
      </c>
      <c r="BJ130" s="1" t="n">
        <f aca="false">MAX($Q130)</f>
        <v>0</v>
      </c>
      <c r="BK130" s="1" t="n">
        <f aca="false">MAX($R130)</f>
        <v>557184</v>
      </c>
    </row>
    <row r="131" customFormat="false" ht="15" hidden="false" customHeight="false" outlineLevel="0" collapsed="false">
      <c r="A131" s="1" t="s">
        <v>148</v>
      </c>
      <c r="B131" s="1" t="n">
        <f aca="false" t="array" ref="B131:B131">_xlfn.SWITCH($A$2,"average", AVERAGE(Instances!B131:B131),"median", MEDIAN(Instances!B131:B131),"min", MIN(Instances!B131:B131),"max", MAX(Instances!B131:B131),"diff", MAX(Instances!B131:B131)-MIN(Instances!B131:B131))</f>
        <v>1948</v>
      </c>
      <c r="C131" s="1" t="n">
        <f aca="false" t="array" ref="C131:C131">_xlfn.SWITCH($A$2,"average", AVERAGE(Instances!C131:C131),"median", MEDIAN(Instances!C131:C131),"min", MIN(Instances!C131:C131),"max", MAX(Instances!C131:C131),"diff", MAX(Instances!C131:C131)-MIN(Instances!C131:C131))</f>
        <v>3</v>
      </c>
      <c r="D131" s="1" t="n">
        <f aca="false" t="array" ref="D131:D131">_xlfn.SWITCH($A$2,"average", AVERAGE(Instances!D131:D131),"median", MEDIAN(Instances!D131:D131),"min", MIN(Instances!D131:D131),"max", MAX(Instances!D131:D131),"diff", MAX(Instances!D131:D131)-MIN(Instances!D131:D131))</f>
        <v>660662</v>
      </c>
      <c r="E131" s="1" t="n">
        <f aca="false" t="array" ref="E131:E131">_xlfn.SWITCH($A$2,"average", AVERAGE(Instances!E131:E131),"median", MEDIAN(Instances!E131:E131),"min", MIN(Instances!E131:E131),"max", MAX(Instances!E131:E131),"diff", MAX(Instances!E131:E131)-MIN(Instances!E131:E131))</f>
        <v>0</v>
      </c>
      <c r="F131" s="1" t="n">
        <f aca="false" t="array" ref="F131:F131">_xlfn.SWITCH($A$2,"average", AVERAGE(Instances!F131:F131),"median", MEDIAN(Instances!F131:F131),"min", MIN(Instances!F131:F131),"max", MAX(Instances!F131:F131),"diff", MAX(Instances!F131:F131)-MIN(Instances!F131:F131))</f>
        <v>431</v>
      </c>
      <c r="G131" s="1" t="n">
        <f aca="false" t="array" ref="G131:G131">_xlfn.SWITCH($A$2,"average", AVERAGE(Instances!G131:G131),"median", MEDIAN(Instances!G131:G131),"min", MIN(Instances!G131:G131),"max", MAX(Instances!G131:G131),"diff", MAX(Instances!G131:G131)-MIN(Instances!G131:G131))</f>
        <v>0</v>
      </c>
      <c r="H131" s="1" t="n">
        <f aca="false" t="array" ref="H131:H131">_xlfn.SWITCH($A$2,"average", AVERAGE(Instances!H131:H131),"median", MEDIAN(Instances!H131:H131),"min", MIN(Instances!H131:H131),"max", MAX(Instances!H131:H131),"diff", MAX(Instances!H131:H131)-MIN(Instances!H131:H131))</f>
        <v>1</v>
      </c>
      <c r="I131" s="1" t="n">
        <f aca="false" t="array" ref="I131:I131">_xlfn.SWITCH($A$2,"average", AVERAGE(Instances!I131:I131),"median", MEDIAN(Instances!I131:I131),"min", MIN(Instances!I131:I131),"max", MAX(Instances!I131:I131),"diff", MAX(Instances!I131:I131)-MIN(Instances!I131:I131))</f>
        <v>5.997</v>
      </c>
      <c r="J131" s="1" t="n">
        <f aca="false" t="array" ref="J131:J131">_xlfn.SWITCH($A$2,"average", AVERAGE(Instances!J131:J131),"median", MEDIAN(Instances!J131:J131),"min", MIN(Instances!J131:J131),"max", MAX(Instances!J131:J131),"diff", MAX(Instances!J131:J131)-MIN(Instances!J131:J131))</f>
        <v>6.16</v>
      </c>
      <c r="K131" s="1" t="n">
        <f aca="false" t="array" ref="K131:K131">_xlfn.SWITCH($A$2,"average", AVERAGE(Instances!K131:K131),"median", MEDIAN(Instances!K131:K131),"min", MIN(Instances!K131:K131),"max", MAX(Instances!K131:K131),"diff", MAX(Instances!K131:K131)-MIN(Instances!K131:K131))</f>
        <v>0</v>
      </c>
      <c r="L131" s="1"/>
      <c r="M131" s="1" t="n">
        <f aca="false" t="array" ref="M131:M131">_xlfn.SWITCH($A$2,"average", AVERAGE(Instances!M131:M131),"median", MEDIAN(Instances!M131:M131),"min", MIN(Instances!M131:M131),"max", MAX(Instances!M131:M131),"diff", MAX(Instances!M131:M131)-MIN(Instances!M131:M131))</f>
        <v>1344579</v>
      </c>
      <c r="N131" s="1" t="n">
        <f aca="false" t="array" ref="N131:N131">_xlfn.SWITCH($A$2,"average", AVERAGE(Instances!N131:N131),"median", MEDIAN(Instances!N131:N131),"min", MIN(Instances!N131:N131),"max", MAX(Instances!N131:N131),"diff", MAX(Instances!N131:N131)-MIN(Instances!N131:N131))</f>
        <v>0.06</v>
      </c>
      <c r="O131" s="1"/>
      <c r="P131" s="1" t="n">
        <f aca="false" t="array" ref="P131:P131">_xlfn.SWITCH($A$2,"average", AVERAGE(Instances!P131:P131),"median", MEDIAN(Instances!P131:P131),"min", MIN(Instances!P131:P131),"max", MAX(Instances!P131:P131),"diff", MAX(Instances!P131:P131)-MIN(Instances!P131:P131))</f>
        <v>6.16</v>
      </c>
      <c r="Q131" s="1" t="n">
        <f aca="false" t="array" ref="Q131:Q131">_xlfn.SWITCH($A$2,"average", AVERAGE(Instances!Q131:Q131),"median", MEDIAN(Instances!Q131:Q131),"min", MIN(Instances!Q131:Q131),"max", MAX(Instances!Q131:Q131),"diff", MAX(Instances!Q131:Q131)-MIN(Instances!Q131:Q131))</f>
        <v>0</v>
      </c>
      <c r="R131" s="1" t="n">
        <f aca="false" t="array" ref="R131:R131">_xlfn.SWITCH($A$2,"average", AVERAGE(Instances!R131:R131),"median", MEDIAN(Instances!R131:R131),"min", MIN(Instances!R131:R131),"max", MAX(Instances!R131:R131),"diff", MAX(Instances!R131:R131)-MIN(Instances!R131:R131))</f>
        <v>441005</v>
      </c>
      <c r="S131" s="1" t="n">
        <f aca="false">MIN($B131)</f>
        <v>1948</v>
      </c>
      <c r="T131" s="1" t="n">
        <f aca="false">MIN($C131)</f>
        <v>3</v>
      </c>
      <c r="U131" s="1" t="n">
        <f aca="false">MIN($D131)</f>
        <v>660662</v>
      </c>
      <c r="V131" s="1" t="n">
        <f aca="false">MIN($E131)</f>
        <v>0</v>
      </c>
      <c r="W131" s="1" t="n">
        <f aca="false">MIN($F131)</f>
        <v>431</v>
      </c>
      <c r="X131" s="1" t="n">
        <f aca="false">MIN($G131)</f>
        <v>0</v>
      </c>
      <c r="Y131" s="1" t="n">
        <f aca="false">MIN($H131)</f>
        <v>1</v>
      </c>
      <c r="Z131" s="1" t="n">
        <f aca="false">MIN($I131)</f>
        <v>5.997</v>
      </c>
      <c r="AA131" s="1" t="n">
        <f aca="false">MIN($J131)</f>
        <v>6.16</v>
      </c>
      <c r="AB131" s="1" t="n">
        <f aca="false">MIN($K131)</f>
        <v>0</v>
      </c>
      <c r="AC131" s="1" t="n">
        <f aca="false">MIN($M131)</f>
        <v>1344579</v>
      </c>
      <c r="AD131" s="1" t="n">
        <f aca="false">MIN($N131)</f>
        <v>0.06</v>
      </c>
      <c r="AE131" s="1" t="n">
        <f aca="false">MIN($P131)</f>
        <v>6.16</v>
      </c>
      <c r="AF131" s="1" t="n">
        <f aca="false">MIN($Q131)</f>
        <v>0</v>
      </c>
      <c r="AG131" s="1" t="n">
        <f aca="false">MIN($R131)</f>
        <v>441005</v>
      </c>
      <c r="AH131" s="1" t="n">
        <f aca="false">MEDIAN($B131)</f>
        <v>1948</v>
      </c>
      <c r="AI131" s="1" t="n">
        <f aca="false">MEDIAN($C131)</f>
        <v>3</v>
      </c>
      <c r="AJ131" s="1" t="n">
        <f aca="false">MEDIAN($D131)</f>
        <v>660662</v>
      </c>
      <c r="AK131" s="1" t="n">
        <f aca="false">MEDIAN($E131)</f>
        <v>0</v>
      </c>
      <c r="AL131" s="1" t="n">
        <f aca="false">MEDIAN($F131)</f>
        <v>431</v>
      </c>
      <c r="AM131" s="1" t="n">
        <f aca="false">MEDIAN($G131)</f>
        <v>0</v>
      </c>
      <c r="AN131" s="1" t="n">
        <f aca="false">MEDIAN($H131)</f>
        <v>1</v>
      </c>
      <c r="AO131" s="1" t="n">
        <f aca="false">MEDIAN($I131)</f>
        <v>5.997</v>
      </c>
      <c r="AP131" s="1" t="n">
        <f aca="false">MEDIAN($J131)</f>
        <v>6.16</v>
      </c>
      <c r="AQ131" s="1" t="n">
        <f aca="false">MEDIAN($K131)</f>
        <v>0</v>
      </c>
      <c r="AR131" s="1" t="n">
        <f aca="false">MEDIAN($M131)</f>
        <v>1344579</v>
      </c>
      <c r="AS131" s="1" t="n">
        <f aca="false">MEDIAN($N131)</f>
        <v>0.06</v>
      </c>
      <c r="AT131" s="1" t="n">
        <f aca="false">MEDIAN($P131)</f>
        <v>6.16</v>
      </c>
      <c r="AU131" s="1" t="n">
        <f aca="false">MEDIAN($Q131)</f>
        <v>0</v>
      </c>
      <c r="AV131" s="1" t="n">
        <f aca="false">MEDIAN($R131)</f>
        <v>441005</v>
      </c>
      <c r="AW131" s="1" t="n">
        <f aca="false">MAX($B131)</f>
        <v>1948</v>
      </c>
      <c r="AX131" s="1" t="n">
        <f aca="false">MAX($C131)</f>
        <v>3</v>
      </c>
      <c r="AY131" s="1" t="n">
        <f aca="false">MAX($D131)</f>
        <v>660662</v>
      </c>
      <c r="AZ131" s="1" t="n">
        <f aca="false">MAX($E131)</f>
        <v>0</v>
      </c>
      <c r="BA131" s="1" t="n">
        <f aca="false">MAX($F131)</f>
        <v>431</v>
      </c>
      <c r="BB131" s="1" t="n">
        <f aca="false">MAX($G131)</f>
        <v>0</v>
      </c>
      <c r="BC131" s="1" t="n">
        <f aca="false">MAX($H131)</f>
        <v>1</v>
      </c>
      <c r="BD131" s="1" t="n">
        <f aca="false">MAX($I131)</f>
        <v>5.997</v>
      </c>
      <c r="BE131" s="1" t="n">
        <f aca="false">MAX($J131)</f>
        <v>6.16</v>
      </c>
      <c r="BF131" s="1" t="n">
        <f aca="false">MAX($K131)</f>
        <v>0</v>
      </c>
      <c r="BG131" s="1" t="n">
        <f aca="false">MAX($M131)</f>
        <v>1344579</v>
      </c>
      <c r="BH131" s="1" t="n">
        <f aca="false">MAX($N131)</f>
        <v>0.06</v>
      </c>
      <c r="BI131" s="1" t="n">
        <f aca="false">MAX($P131)</f>
        <v>6.16</v>
      </c>
      <c r="BJ131" s="1" t="n">
        <f aca="false">MAX($Q131)</f>
        <v>0</v>
      </c>
      <c r="BK131" s="1" t="n">
        <f aca="false">MAX($R131)</f>
        <v>441005</v>
      </c>
    </row>
    <row r="132" customFormat="false" ht="15" hidden="false" customHeight="false" outlineLevel="0" collapsed="false">
      <c r="A132" s="1" t="s">
        <v>149</v>
      </c>
      <c r="B132" s="1" t="n">
        <f aca="false" t="array" ref="B132:B132">_xlfn.SWITCH($A$2,"average", AVERAGE(Instances!B132:B132),"median", MEDIAN(Instances!B132:B132),"min", MIN(Instances!B132:B132),"max", MAX(Instances!B132:B132),"diff", MAX(Instances!B132:B132)-MIN(Instances!B132:B132))</f>
        <v>4004</v>
      </c>
      <c r="C132" s="1" t="n">
        <f aca="false" t="array" ref="C132:C132">_xlfn.SWITCH($A$2,"average", AVERAGE(Instances!C132:C132),"median", MEDIAN(Instances!C132:C132),"min", MIN(Instances!C132:C132),"max", MAX(Instances!C132:C132),"diff", MAX(Instances!C132:C132)-MIN(Instances!C132:C132))</f>
        <v>6</v>
      </c>
      <c r="D132" s="1" t="n">
        <f aca="false" t="array" ref="D132:D132">_xlfn.SWITCH($A$2,"average", AVERAGE(Instances!D132:D132),"median", MEDIAN(Instances!D132:D132),"min", MIN(Instances!D132:D132),"max", MAX(Instances!D132:D132),"diff", MAX(Instances!D132:D132)-MIN(Instances!D132:D132))</f>
        <v>1149734</v>
      </c>
      <c r="E132" s="1" t="n">
        <f aca="false" t="array" ref="E132:E132">_xlfn.SWITCH($A$2,"average", AVERAGE(Instances!E132:E132),"median", MEDIAN(Instances!E132:E132),"min", MIN(Instances!E132:E132),"max", MAX(Instances!E132:E132),"diff", MAX(Instances!E132:E132)-MIN(Instances!E132:E132))</f>
        <v>0</v>
      </c>
      <c r="F132" s="1" t="n">
        <f aca="false" t="array" ref="F132:F132">_xlfn.SWITCH($A$2,"average", AVERAGE(Instances!F132:F132),"median", MEDIAN(Instances!F132:F132),"min", MIN(Instances!F132:F132),"max", MAX(Instances!F132:F132),"diff", MAX(Instances!F132:F132)-MIN(Instances!F132:F132))</f>
        <v>588</v>
      </c>
      <c r="G132" s="1" t="n">
        <f aca="false" t="array" ref="G132:G132">_xlfn.SWITCH($A$2,"average", AVERAGE(Instances!G132:G132),"median", MEDIAN(Instances!G132:G132),"min", MIN(Instances!G132:G132),"max", MAX(Instances!G132:G132),"diff", MAX(Instances!G132:G132)-MIN(Instances!G132:G132))</f>
        <v>0</v>
      </c>
      <c r="H132" s="1" t="n">
        <f aca="false" t="array" ref="H132:H132">_xlfn.SWITCH($A$2,"average", AVERAGE(Instances!H132:H132),"median", MEDIAN(Instances!H132:H132),"min", MIN(Instances!H132:H132),"max", MAX(Instances!H132:H132),"diff", MAX(Instances!H132:H132)-MIN(Instances!H132:H132))</f>
        <v>1</v>
      </c>
      <c r="I132" s="1" t="n">
        <f aca="false" t="array" ref="I132:I132">_xlfn.SWITCH($A$2,"average", AVERAGE(Instances!I132:I132),"median", MEDIAN(Instances!I132:I132),"min", MIN(Instances!I132:I132),"max", MAX(Instances!I132:I132),"diff", MAX(Instances!I132:I132)-MIN(Instances!I132:I132))</f>
        <v>8.785</v>
      </c>
      <c r="J132" s="1" t="n">
        <f aca="false" t="array" ref="J132:J132">_xlfn.SWITCH($A$2,"average", AVERAGE(Instances!J132:J132),"median", MEDIAN(Instances!J132:J132),"min", MIN(Instances!J132:J132),"max", MAX(Instances!J132:J132),"diff", MAX(Instances!J132:J132)-MIN(Instances!J132:J132))</f>
        <v>9.01</v>
      </c>
      <c r="K132" s="1" t="n">
        <f aca="false" t="array" ref="K132:K132">_xlfn.SWITCH($A$2,"average", AVERAGE(Instances!K132:K132),"median", MEDIAN(Instances!K132:K132),"min", MIN(Instances!K132:K132),"max", MAX(Instances!K132:K132),"diff", MAX(Instances!K132:K132)-MIN(Instances!K132:K132))</f>
        <v>0</v>
      </c>
      <c r="L132" s="1"/>
      <c r="M132" s="1" t="n">
        <f aca="false" t="array" ref="M132:M132">_xlfn.SWITCH($A$2,"average", AVERAGE(Instances!M132:M132),"median", MEDIAN(Instances!M132:M132),"min", MIN(Instances!M132:M132),"max", MAX(Instances!M132:M132),"diff", MAX(Instances!M132:M132)-MIN(Instances!M132:M132))</f>
        <v>2051665</v>
      </c>
      <c r="N132" s="1" t="n">
        <f aca="false" t="array" ref="N132:N132">_xlfn.SWITCH($A$2,"average", AVERAGE(Instances!N132:N132),"median", MEDIAN(Instances!N132:N132),"min", MIN(Instances!N132:N132),"max", MAX(Instances!N132:N132),"diff", MAX(Instances!N132:N132)-MIN(Instances!N132:N132))</f>
        <v>0.11</v>
      </c>
      <c r="O132" s="1"/>
      <c r="P132" s="1" t="n">
        <f aca="false" t="array" ref="P132:P132">_xlfn.SWITCH($A$2,"average", AVERAGE(Instances!P132:P132),"median", MEDIAN(Instances!P132:P132),"min", MIN(Instances!P132:P132),"max", MAX(Instances!P132:P132),"diff", MAX(Instances!P132:P132)-MIN(Instances!P132:P132))</f>
        <v>9.01</v>
      </c>
      <c r="Q132" s="1" t="n">
        <f aca="false" t="array" ref="Q132:Q132">_xlfn.SWITCH($A$2,"average", AVERAGE(Instances!Q132:Q132),"median", MEDIAN(Instances!Q132:Q132),"min", MIN(Instances!Q132:Q132),"max", MAX(Instances!Q132:Q132),"diff", MAX(Instances!Q132:Q132)-MIN(Instances!Q132:Q132))</f>
        <v>0</v>
      </c>
      <c r="R132" s="1" t="n">
        <f aca="false" t="array" ref="R132:R132">_xlfn.SWITCH($A$2,"average", AVERAGE(Instances!R132:R132),"median", MEDIAN(Instances!R132:R132),"min", MIN(Instances!R132:R132),"max", MAX(Instances!R132:R132),"diff", MAX(Instances!R132:R132)-MIN(Instances!R132:R132))</f>
        <v>623621</v>
      </c>
      <c r="S132" s="1" t="n">
        <f aca="false">MIN($B132)</f>
        <v>4004</v>
      </c>
      <c r="T132" s="1" t="n">
        <f aca="false">MIN($C132)</f>
        <v>6</v>
      </c>
      <c r="U132" s="1" t="n">
        <f aca="false">MIN($D132)</f>
        <v>1149734</v>
      </c>
      <c r="V132" s="1" t="n">
        <f aca="false">MIN($E132)</f>
        <v>0</v>
      </c>
      <c r="W132" s="1" t="n">
        <f aca="false">MIN($F132)</f>
        <v>588</v>
      </c>
      <c r="X132" s="1" t="n">
        <f aca="false">MIN($G132)</f>
        <v>0</v>
      </c>
      <c r="Y132" s="1" t="n">
        <f aca="false">MIN($H132)</f>
        <v>1</v>
      </c>
      <c r="Z132" s="1" t="n">
        <f aca="false">MIN($I132)</f>
        <v>8.785</v>
      </c>
      <c r="AA132" s="1" t="n">
        <f aca="false">MIN($J132)</f>
        <v>9.01</v>
      </c>
      <c r="AB132" s="1" t="n">
        <f aca="false">MIN($K132)</f>
        <v>0</v>
      </c>
      <c r="AC132" s="1" t="n">
        <f aca="false">MIN($M132)</f>
        <v>2051665</v>
      </c>
      <c r="AD132" s="1" t="n">
        <f aca="false">MIN($N132)</f>
        <v>0.11</v>
      </c>
      <c r="AE132" s="1" t="n">
        <f aca="false">MIN($P132)</f>
        <v>9.01</v>
      </c>
      <c r="AF132" s="1" t="n">
        <f aca="false">MIN($Q132)</f>
        <v>0</v>
      </c>
      <c r="AG132" s="1" t="n">
        <f aca="false">MIN($R132)</f>
        <v>623621</v>
      </c>
      <c r="AH132" s="1" t="n">
        <f aca="false">MEDIAN($B132)</f>
        <v>4004</v>
      </c>
      <c r="AI132" s="1" t="n">
        <f aca="false">MEDIAN($C132)</f>
        <v>6</v>
      </c>
      <c r="AJ132" s="1" t="n">
        <f aca="false">MEDIAN($D132)</f>
        <v>1149734</v>
      </c>
      <c r="AK132" s="1" t="n">
        <f aca="false">MEDIAN($E132)</f>
        <v>0</v>
      </c>
      <c r="AL132" s="1" t="n">
        <f aca="false">MEDIAN($F132)</f>
        <v>588</v>
      </c>
      <c r="AM132" s="1" t="n">
        <f aca="false">MEDIAN($G132)</f>
        <v>0</v>
      </c>
      <c r="AN132" s="1" t="n">
        <f aca="false">MEDIAN($H132)</f>
        <v>1</v>
      </c>
      <c r="AO132" s="1" t="n">
        <f aca="false">MEDIAN($I132)</f>
        <v>8.785</v>
      </c>
      <c r="AP132" s="1" t="n">
        <f aca="false">MEDIAN($J132)</f>
        <v>9.01</v>
      </c>
      <c r="AQ132" s="1" t="n">
        <f aca="false">MEDIAN($K132)</f>
        <v>0</v>
      </c>
      <c r="AR132" s="1" t="n">
        <f aca="false">MEDIAN($M132)</f>
        <v>2051665</v>
      </c>
      <c r="AS132" s="1" t="n">
        <f aca="false">MEDIAN($N132)</f>
        <v>0.11</v>
      </c>
      <c r="AT132" s="1" t="n">
        <f aca="false">MEDIAN($P132)</f>
        <v>9.01</v>
      </c>
      <c r="AU132" s="1" t="n">
        <f aca="false">MEDIAN($Q132)</f>
        <v>0</v>
      </c>
      <c r="AV132" s="1" t="n">
        <f aca="false">MEDIAN($R132)</f>
        <v>623621</v>
      </c>
      <c r="AW132" s="1" t="n">
        <f aca="false">MAX($B132)</f>
        <v>4004</v>
      </c>
      <c r="AX132" s="1" t="n">
        <f aca="false">MAX($C132)</f>
        <v>6</v>
      </c>
      <c r="AY132" s="1" t="n">
        <f aca="false">MAX($D132)</f>
        <v>1149734</v>
      </c>
      <c r="AZ132" s="1" t="n">
        <f aca="false">MAX($E132)</f>
        <v>0</v>
      </c>
      <c r="BA132" s="1" t="n">
        <f aca="false">MAX($F132)</f>
        <v>588</v>
      </c>
      <c r="BB132" s="1" t="n">
        <f aca="false">MAX($G132)</f>
        <v>0</v>
      </c>
      <c r="BC132" s="1" t="n">
        <f aca="false">MAX($H132)</f>
        <v>1</v>
      </c>
      <c r="BD132" s="1" t="n">
        <f aca="false">MAX($I132)</f>
        <v>8.785</v>
      </c>
      <c r="BE132" s="1" t="n">
        <f aca="false">MAX($J132)</f>
        <v>9.01</v>
      </c>
      <c r="BF132" s="1" t="n">
        <f aca="false">MAX($K132)</f>
        <v>0</v>
      </c>
      <c r="BG132" s="1" t="n">
        <f aca="false">MAX($M132)</f>
        <v>2051665</v>
      </c>
      <c r="BH132" s="1" t="n">
        <f aca="false">MAX($N132)</f>
        <v>0.11</v>
      </c>
      <c r="BI132" s="1" t="n">
        <f aca="false">MAX($P132)</f>
        <v>9.01</v>
      </c>
      <c r="BJ132" s="1" t="n">
        <f aca="false">MAX($Q132)</f>
        <v>0</v>
      </c>
      <c r="BK132" s="1" t="n">
        <f aca="false">MAX($R132)</f>
        <v>623621</v>
      </c>
    </row>
    <row r="133" customFormat="false" ht="15" hidden="false" customHeight="false" outlineLevel="0" collapsed="false">
      <c r="A133" s="1" t="s">
        <v>150</v>
      </c>
      <c r="B133" s="1" t="n">
        <f aca="false" t="array" ref="B133:B133">_xlfn.SWITCH($A$2,"average", AVERAGE(Instances!B133:B133),"median", MEDIAN(Instances!B133:B133),"min", MIN(Instances!B133:B133),"max", MAX(Instances!B133:B133),"diff", MAX(Instances!B133:B133)-MIN(Instances!B133:B133))</f>
        <v>3595</v>
      </c>
      <c r="C133" s="1" t="n">
        <f aca="false" t="array" ref="C133:C133">_xlfn.SWITCH($A$2,"average", AVERAGE(Instances!C133:C133),"median", MEDIAN(Instances!C133:C133),"min", MIN(Instances!C133:C133),"max", MAX(Instances!C133:C133),"diff", MAX(Instances!C133:C133)-MIN(Instances!C133:C133))</f>
        <v>21</v>
      </c>
      <c r="D133" s="1" t="n">
        <f aca="false" t="array" ref="D133:D133">_xlfn.SWITCH($A$2,"average", AVERAGE(Instances!D133:D133),"median", MEDIAN(Instances!D133:D133),"min", MIN(Instances!D133:D133),"max", MAX(Instances!D133:D133),"diff", MAX(Instances!D133:D133)-MIN(Instances!D133:D133))</f>
        <v>1357346</v>
      </c>
      <c r="E133" s="1" t="n">
        <f aca="false" t="array" ref="E133:E133">_xlfn.SWITCH($A$2,"average", AVERAGE(Instances!E133:E133),"median", MEDIAN(Instances!E133:E133),"min", MIN(Instances!E133:E133),"max", MAX(Instances!E133:E133),"diff", MAX(Instances!E133:E133)-MIN(Instances!E133:E133))</f>
        <v>0</v>
      </c>
      <c r="F133" s="1" t="n">
        <f aca="false" t="array" ref="F133:F133">_xlfn.SWITCH($A$2,"average", AVERAGE(Instances!F133:F133),"median", MEDIAN(Instances!F133:F133),"min", MIN(Instances!F133:F133),"max", MAX(Instances!F133:F133),"diff", MAX(Instances!F133:F133)-MIN(Instances!F133:F133))</f>
        <v>685</v>
      </c>
      <c r="G133" s="1" t="n">
        <f aca="false" t="array" ref="G133:G133">_xlfn.SWITCH($A$2,"average", AVERAGE(Instances!G133:G133),"median", MEDIAN(Instances!G133:G133),"min", MIN(Instances!G133:G133),"max", MAX(Instances!G133:G133),"diff", MAX(Instances!G133:G133)-MIN(Instances!G133:G133))</f>
        <v>0</v>
      </c>
      <c r="H133" s="1" t="n">
        <f aca="false" t="array" ref="H133:H133">_xlfn.SWITCH($A$2,"average", AVERAGE(Instances!H133:H133),"median", MEDIAN(Instances!H133:H133),"min", MIN(Instances!H133:H133),"max", MAX(Instances!H133:H133),"diff", MAX(Instances!H133:H133)-MIN(Instances!H133:H133))</f>
        <v>1</v>
      </c>
      <c r="I133" s="1" t="n">
        <f aca="false" t="array" ref="I133:I133">_xlfn.SWITCH($A$2,"average", AVERAGE(Instances!I133:I133),"median", MEDIAN(Instances!I133:I133),"min", MIN(Instances!I133:I133),"max", MAX(Instances!I133:I133),"diff", MAX(Instances!I133:I133)-MIN(Instances!I133:I133))</f>
        <v>10.297</v>
      </c>
      <c r="J133" s="1" t="n">
        <f aca="false" t="array" ref="J133:J133">_xlfn.SWITCH($A$2,"average", AVERAGE(Instances!J133:J133),"median", MEDIAN(Instances!J133:J133),"min", MIN(Instances!J133:J133),"max", MAX(Instances!J133:J133),"diff", MAX(Instances!J133:J133)-MIN(Instances!J133:J133))</f>
        <v>10.55</v>
      </c>
      <c r="K133" s="1" t="n">
        <f aca="false" t="array" ref="K133:K133">_xlfn.SWITCH($A$2,"average", AVERAGE(Instances!K133:K133),"median", MEDIAN(Instances!K133:K133),"min", MIN(Instances!K133:K133),"max", MAX(Instances!K133:K133),"diff", MAX(Instances!K133:K133)-MIN(Instances!K133:K133))</f>
        <v>0</v>
      </c>
      <c r="L133" s="1"/>
      <c r="M133" s="1" t="n">
        <f aca="false" t="array" ref="M133:M133">_xlfn.SWITCH($A$2,"average", AVERAGE(Instances!M133:M133),"median", MEDIAN(Instances!M133:M133),"min", MIN(Instances!M133:M133),"max", MAX(Instances!M133:M133),"diff", MAX(Instances!M133:M133)-MIN(Instances!M133:M133))</f>
        <v>2356776</v>
      </c>
      <c r="N133" s="1" t="n">
        <f aca="false" t="array" ref="N133:N133">_xlfn.SWITCH($A$2,"average", AVERAGE(Instances!N133:N133),"median", MEDIAN(Instances!N133:N133),"min", MIN(Instances!N133:N133),"max", MAX(Instances!N133:N133),"diff", MAX(Instances!N133:N133)-MIN(Instances!N133:N133))</f>
        <v>0.13</v>
      </c>
      <c r="O133" s="1"/>
      <c r="P133" s="1" t="n">
        <f aca="false" t="array" ref="P133:P133">_xlfn.SWITCH($A$2,"average", AVERAGE(Instances!P133:P133),"median", MEDIAN(Instances!P133:P133),"min", MIN(Instances!P133:P133),"max", MAX(Instances!P133:P133),"diff", MAX(Instances!P133:P133)-MIN(Instances!P133:P133))</f>
        <v>10.55</v>
      </c>
      <c r="Q133" s="1" t="n">
        <f aca="false" t="array" ref="Q133:Q133">_xlfn.SWITCH($A$2,"average", AVERAGE(Instances!Q133:Q133),"median", MEDIAN(Instances!Q133:Q133),"min", MIN(Instances!Q133:Q133),"max", MAX(Instances!Q133:Q133),"diff", MAX(Instances!Q133:Q133)-MIN(Instances!Q133:Q133))</f>
        <v>0</v>
      </c>
      <c r="R133" s="1" t="n">
        <f aca="false" t="array" ref="R133:R133">_xlfn.SWITCH($A$2,"average", AVERAGE(Instances!R133:R133),"median", MEDIAN(Instances!R133:R133),"min", MIN(Instances!R133:R133),"max", MAX(Instances!R133:R133),"diff", MAX(Instances!R133:R133)-MIN(Instances!R133:R133))</f>
        <v>708312</v>
      </c>
      <c r="S133" s="1" t="n">
        <f aca="false">MIN($B133)</f>
        <v>3595</v>
      </c>
      <c r="T133" s="1" t="n">
        <f aca="false">MIN($C133)</f>
        <v>21</v>
      </c>
      <c r="U133" s="1" t="n">
        <f aca="false">MIN($D133)</f>
        <v>1357346</v>
      </c>
      <c r="V133" s="1" t="n">
        <f aca="false">MIN($E133)</f>
        <v>0</v>
      </c>
      <c r="W133" s="1" t="n">
        <f aca="false">MIN($F133)</f>
        <v>685</v>
      </c>
      <c r="X133" s="1" t="n">
        <f aca="false">MIN($G133)</f>
        <v>0</v>
      </c>
      <c r="Y133" s="1" t="n">
        <f aca="false">MIN($H133)</f>
        <v>1</v>
      </c>
      <c r="Z133" s="1" t="n">
        <f aca="false">MIN($I133)</f>
        <v>10.297</v>
      </c>
      <c r="AA133" s="1" t="n">
        <f aca="false">MIN($J133)</f>
        <v>10.55</v>
      </c>
      <c r="AB133" s="1" t="n">
        <f aca="false">MIN($K133)</f>
        <v>0</v>
      </c>
      <c r="AC133" s="1" t="n">
        <f aca="false">MIN($M133)</f>
        <v>2356776</v>
      </c>
      <c r="AD133" s="1" t="n">
        <f aca="false">MIN($N133)</f>
        <v>0.13</v>
      </c>
      <c r="AE133" s="1" t="n">
        <f aca="false">MIN($P133)</f>
        <v>10.55</v>
      </c>
      <c r="AF133" s="1" t="n">
        <f aca="false">MIN($Q133)</f>
        <v>0</v>
      </c>
      <c r="AG133" s="1" t="n">
        <f aca="false">MIN($R133)</f>
        <v>708312</v>
      </c>
      <c r="AH133" s="1" t="n">
        <f aca="false">MEDIAN($B133)</f>
        <v>3595</v>
      </c>
      <c r="AI133" s="1" t="n">
        <f aca="false">MEDIAN($C133)</f>
        <v>21</v>
      </c>
      <c r="AJ133" s="1" t="n">
        <f aca="false">MEDIAN($D133)</f>
        <v>1357346</v>
      </c>
      <c r="AK133" s="1" t="n">
        <f aca="false">MEDIAN($E133)</f>
        <v>0</v>
      </c>
      <c r="AL133" s="1" t="n">
        <f aca="false">MEDIAN($F133)</f>
        <v>685</v>
      </c>
      <c r="AM133" s="1" t="n">
        <f aca="false">MEDIAN($G133)</f>
        <v>0</v>
      </c>
      <c r="AN133" s="1" t="n">
        <f aca="false">MEDIAN($H133)</f>
        <v>1</v>
      </c>
      <c r="AO133" s="1" t="n">
        <f aca="false">MEDIAN($I133)</f>
        <v>10.297</v>
      </c>
      <c r="AP133" s="1" t="n">
        <f aca="false">MEDIAN($J133)</f>
        <v>10.55</v>
      </c>
      <c r="AQ133" s="1" t="n">
        <f aca="false">MEDIAN($K133)</f>
        <v>0</v>
      </c>
      <c r="AR133" s="1" t="n">
        <f aca="false">MEDIAN($M133)</f>
        <v>2356776</v>
      </c>
      <c r="AS133" s="1" t="n">
        <f aca="false">MEDIAN($N133)</f>
        <v>0.13</v>
      </c>
      <c r="AT133" s="1" t="n">
        <f aca="false">MEDIAN($P133)</f>
        <v>10.55</v>
      </c>
      <c r="AU133" s="1" t="n">
        <f aca="false">MEDIAN($Q133)</f>
        <v>0</v>
      </c>
      <c r="AV133" s="1" t="n">
        <f aca="false">MEDIAN($R133)</f>
        <v>708312</v>
      </c>
      <c r="AW133" s="1" t="n">
        <f aca="false">MAX($B133)</f>
        <v>3595</v>
      </c>
      <c r="AX133" s="1" t="n">
        <f aca="false">MAX($C133)</f>
        <v>21</v>
      </c>
      <c r="AY133" s="1" t="n">
        <f aca="false">MAX($D133)</f>
        <v>1357346</v>
      </c>
      <c r="AZ133" s="1" t="n">
        <f aca="false">MAX($E133)</f>
        <v>0</v>
      </c>
      <c r="BA133" s="1" t="n">
        <f aca="false">MAX($F133)</f>
        <v>685</v>
      </c>
      <c r="BB133" s="1" t="n">
        <f aca="false">MAX($G133)</f>
        <v>0</v>
      </c>
      <c r="BC133" s="1" t="n">
        <f aca="false">MAX($H133)</f>
        <v>1</v>
      </c>
      <c r="BD133" s="1" t="n">
        <f aca="false">MAX($I133)</f>
        <v>10.297</v>
      </c>
      <c r="BE133" s="1" t="n">
        <f aca="false">MAX($J133)</f>
        <v>10.55</v>
      </c>
      <c r="BF133" s="1" t="n">
        <f aca="false">MAX($K133)</f>
        <v>0</v>
      </c>
      <c r="BG133" s="1" t="n">
        <f aca="false">MAX($M133)</f>
        <v>2356776</v>
      </c>
      <c r="BH133" s="1" t="n">
        <f aca="false">MAX($N133)</f>
        <v>0.13</v>
      </c>
      <c r="BI133" s="1" t="n">
        <f aca="false">MAX($P133)</f>
        <v>10.55</v>
      </c>
      <c r="BJ133" s="1" t="n">
        <f aca="false">MAX($Q133)</f>
        <v>0</v>
      </c>
      <c r="BK133" s="1" t="n">
        <f aca="false">MAX($R133)</f>
        <v>708312</v>
      </c>
    </row>
    <row r="134" customFormat="false" ht="15" hidden="false" customHeight="false" outlineLevel="0" collapsed="false">
      <c r="A134" s="1" t="s">
        <v>151</v>
      </c>
      <c r="B134" s="1" t="n">
        <f aca="false" t="array" ref="B134:B134">_xlfn.SWITCH($A$2,"average", AVERAGE(Instances!B134:B134),"median", MEDIAN(Instances!B134:B134),"min", MIN(Instances!B134:B134),"max", MAX(Instances!B134:B134),"diff", MAX(Instances!B134:B134)-MIN(Instances!B134:B134))</f>
        <v>3197</v>
      </c>
      <c r="C134" s="1" t="n">
        <f aca="false" t="array" ref="C134:C134">_xlfn.SWITCH($A$2,"average", AVERAGE(Instances!C134:C134),"median", MEDIAN(Instances!C134:C134),"min", MIN(Instances!C134:C134),"max", MAX(Instances!C134:C134),"diff", MAX(Instances!C134:C134)-MIN(Instances!C134:C134))</f>
        <v>5</v>
      </c>
      <c r="D134" s="1" t="n">
        <f aca="false" t="array" ref="D134:D134">_xlfn.SWITCH($A$2,"average", AVERAGE(Instances!D134:D134),"median", MEDIAN(Instances!D134:D134),"min", MIN(Instances!D134:D134),"max", MAX(Instances!D134:D134),"diff", MAX(Instances!D134:D134)-MIN(Instances!D134:D134))</f>
        <v>1214442</v>
      </c>
      <c r="E134" s="1" t="n">
        <f aca="false" t="array" ref="E134:E134">_xlfn.SWITCH($A$2,"average", AVERAGE(Instances!E134:E134),"median", MEDIAN(Instances!E134:E134),"min", MIN(Instances!E134:E134),"max", MAX(Instances!E134:E134),"diff", MAX(Instances!E134:E134)-MIN(Instances!E134:E134))</f>
        <v>0</v>
      </c>
      <c r="F134" s="1" t="n">
        <f aca="false" t="array" ref="F134:F134">_xlfn.SWITCH($A$2,"average", AVERAGE(Instances!F134:F134),"median", MEDIAN(Instances!F134:F134),"min", MIN(Instances!F134:F134),"max", MAX(Instances!F134:F134),"diff", MAX(Instances!F134:F134)-MIN(Instances!F134:F134))</f>
        <v>605</v>
      </c>
      <c r="G134" s="1" t="n">
        <f aca="false" t="array" ref="G134:G134">_xlfn.SWITCH($A$2,"average", AVERAGE(Instances!G134:G134),"median", MEDIAN(Instances!G134:G134),"min", MIN(Instances!G134:G134),"max", MAX(Instances!G134:G134),"diff", MAX(Instances!G134:G134)-MIN(Instances!G134:G134))</f>
        <v>0</v>
      </c>
      <c r="H134" s="1" t="n">
        <f aca="false" t="array" ref="H134:H134">_xlfn.SWITCH($A$2,"average", AVERAGE(Instances!H134:H134),"median", MEDIAN(Instances!H134:H134),"min", MIN(Instances!H134:H134),"max", MAX(Instances!H134:H134),"diff", MAX(Instances!H134:H134)-MIN(Instances!H134:H134))</f>
        <v>1</v>
      </c>
      <c r="I134" s="1" t="n">
        <f aca="false" t="array" ref="I134:I134">_xlfn.SWITCH($A$2,"average", AVERAGE(Instances!I134:I134),"median", MEDIAN(Instances!I134:I134),"min", MIN(Instances!I134:I134),"max", MAX(Instances!I134:I134),"diff", MAX(Instances!I134:I134)-MIN(Instances!I134:I134))</f>
        <v>8.868</v>
      </c>
      <c r="J134" s="1" t="n">
        <f aca="false" t="array" ref="J134:J134">_xlfn.SWITCH($A$2,"average", AVERAGE(Instances!J134:J134),"median", MEDIAN(Instances!J134:J134),"min", MIN(Instances!J134:J134),"max", MAX(Instances!J134:J134),"diff", MAX(Instances!J134:J134)-MIN(Instances!J134:J134))</f>
        <v>9.1</v>
      </c>
      <c r="K134" s="1" t="n">
        <f aca="false" t="array" ref="K134:K134">_xlfn.SWITCH($A$2,"average", AVERAGE(Instances!K134:K134),"median", MEDIAN(Instances!K134:K134),"min", MIN(Instances!K134:K134),"max", MAX(Instances!K134:K134),"diff", MAX(Instances!K134:K134)-MIN(Instances!K134:K134))</f>
        <v>0</v>
      </c>
      <c r="L134" s="1"/>
      <c r="M134" s="1" t="n">
        <f aca="false" t="array" ref="M134:M134">_xlfn.SWITCH($A$2,"average", AVERAGE(Instances!M134:M134),"median", MEDIAN(Instances!M134:M134),"min", MIN(Instances!M134:M134),"max", MAX(Instances!M134:M134),"diff", MAX(Instances!M134:M134)-MIN(Instances!M134:M134))</f>
        <v>2126887</v>
      </c>
      <c r="N134" s="1" t="n">
        <f aca="false" t="array" ref="N134:N134">_xlfn.SWITCH($A$2,"average", AVERAGE(Instances!N134:N134),"median", MEDIAN(Instances!N134:N134),"min", MIN(Instances!N134:N134),"max", MAX(Instances!N134:N134),"diff", MAX(Instances!N134:N134)-MIN(Instances!N134:N134))</f>
        <v>0.1</v>
      </c>
      <c r="O134" s="1"/>
      <c r="P134" s="1" t="n">
        <f aca="false" t="array" ref="P134:P134">_xlfn.SWITCH($A$2,"average", AVERAGE(Instances!P134:P134),"median", MEDIAN(Instances!P134:P134),"min", MIN(Instances!P134:P134),"max", MAX(Instances!P134:P134),"diff", MAX(Instances!P134:P134)-MIN(Instances!P134:P134))</f>
        <v>9.1</v>
      </c>
      <c r="Q134" s="1" t="n">
        <f aca="false" t="array" ref="Q134:Q134">_xlfn.SWITCH($A$2,"average", AVERAGE(Instances!Q134:Q134),"median", MEDIAN(Instances!Q134:Q134),"min", MIN(Instances!Q134:Q134),"max", MAX(Instances!Q134:Q134),"diff", MAX(Instances!Q134:Q134)-MIN(Instances!Q134:Q134))</f>
        <v>0</v>
      </c>
      <c r="R134" s="1" t="n">
        <f aca="false" t="array" ref="R134:R134">_xlfn.SWITCH($A$2,"average", AVERAGE(Instances!R134:R134),"median", MEDIAN(Instances!R134:R134),"min", MIN(Instances!R134:R134),"max", MAX(Instances!R134:R134),"diff", MAX(Instances!R134:R134)-MIN(Instances!R134:R134))</f>
        <v>648087</v>
      </c>
      <c r="S134" s="1" t="n">
        <f aca="false">MIN($B134)</f>
        <v>3197</v>
      </c>
      <c r="T134" s="1" t="n">
        <f aca="false">MIN($C134)</f>
        <v>5</v>
      </c>
      <c r="U134" s="1" t="n">
        <f aca="false">MIN($D134)</f>
        <v>1214442</v>
      </c>
      <c r="V134" s="1" t="n">
        <f aca="false">MIN($E134)</f>
        <v>0</v>
      </c>
      <c r="W134" s="1" t="n">
        <f aca="false">MIN($F134)</f>
        <v>605</v>
      </c>
      <c r="X134" s="1" t="n">
        <f aca="false">MIN($G134)</f>
        <v>0</v>
      </c>
      <c r="Y134" s="1" t="n">
        <f aca="false">MIN($H134)</f>
        <v>1</v>
      </c>
      <c r="Z134" s="1" t="n">
        <f aca="false">MIN($I134)</f>
        <v>8.868</v>
      </c>
      <c r="AA134" s="1" t="n">
        <f aca="false">MIN($J134)</f>
        <v>9.1</v>
      </c>
      <c r="AB134" s="1" t="n">
        <f aca="false">MIN($K134)</f>
        <v>0</v>
      </c>
      <c r="AC134" s="1" t="n">
        <f aca="false">MIN($M134)</f>
        <v>2126887</v>
      </c>
      <c r="AD134" s="1" t="n">
        <f aca="false">MIN($N134)</f>
        <v>0.1</v>
      </c>
      <c r="AE134" s="1" t="n">
        <f aca="false">MIN($P134)</f>
        <v>9.1</v>
      </c>
      <c r="AF134" s="1" t="n">
        <f aca="false">MIN($Q134)</f>
        <v>0</v>
      </c>
      <c r="AG134" s="1" t="n">
        <f aca="false">MIN($R134)</f>
        <v>648087</v>
      </c>
      <c r="AH134" s="1" t="n">
        <f aca="false">MEDIAN($B134)</f>
        <v>3197</v>
      </c>
      <c r="AI134" s="1" t="n">
        <f aca="false">MEDIAN($C134)</f>
        <v>5</v>
      </c>
      <c r="AJ134" s="1" t="n">
        <f aca="false">MEDIAN($D134)</f>
        <v>1214442</v>
      </c>
      <c r="AK134" s="1" t="n">
        <f aca="false">MEDIAN($E134)</f>
        <v>0</v>
      </c>
      <c r="AL134" s="1" t="n">
        <f aca="false">MEDIAN($F134)</f>
        <v>605</v>
      </c>
      <c r="AM134" s="1" t="n">
        <f aca="false">MEDIAN($G134)</f>
        <v>0</v>
      </c>
      <c r="AN134" s="1" t="n">
        <f aca="false">MEDIAN($H134)</f>
        <v>1</v>
      </c>
      <c r="AO134" s="1" t="n">
        <f aca="false">MEDIAN($I134)</f>
        <v>8.868</v>
      </c>
      <c r="AP134" s="1" t="n">
        <f aca="false">MEDIAN($J134)</f>
        <v>9.1</v>
      </c>
      <c r="AQ134" s="1" t="n">
        <f aca="false">MEDIAN($K134)</f>
        <v>0</v>
      </c>
      <c r="AR134" s="1" t="n">
        <f aca="false">MEDIAN($M134)</f>
        <v>2126887</v>
      </c>
      <c r="AS134" s="1" t="n">
        <f aca="false">MEDIAN($N134)</f>
        <v>0.1</v>
      </c>
      <c r="AT134" s="1" t="n">
        <f aca="false">MEDIAN($P134)</f>
        <v>9.1</v>
      </c>
      <c r="AU134" s="1" t="n">
        <f aca="false">MEDIAN($Q134)</f>
        <v>0</v>
      </c>
      <c r="AV134" s="1" t="n">
        <f aca="false">MEDIAN($R134)</f>
        <v>648087</v>
      </c>
      <c r="AW134" s="1" t="n">
        <f aca="false">MAX($B134)</f>
        <v>3197</v>
      </c>
      <c r="AX134" s="1" t="n">
        <f aca="false">MAX($C134)</f>
        <v>5</v>
      </c>
      <c r="AY134" s="1" t="n">
        <f aca="false">MAX($D134)</f>
        <v>1214442</v>
      </c>
      <c r="AZ134" s="1" t="n">
        <f aca="false">MAX($E134)</f>
        <v>0</v>
      </c>
      <c r="BA134" s="1" t="n">
        <f aca="false">MAX($F134)</f>
        <v>605</v>
      </c>
      <c r="BB134" s="1" t="n">
        <f aca="false">MAX($G134)</f>
        <v>0</v>
      </c>
      <c r="BC134" s="1" t="n">
        <f aca="false">MAX($H134)</f>
        <v>1</v>
      </c>
      <c r="BD134" s="1" t="n">
        <f aca="false">MAX($I134)</f>
        <v>8.868</v>
      </c>
      <c r="BE134" s="1" t="n">
        <f aca="false">MAX($J134)</f>
        <v>9.1</v>
      </c>
      <c r="BF134" s="1" t="n">
        <f aca="false">MAX($K134)</f>
        <v>0</v>
      </c>
      <c r="BG134" s="1" t="n">
        <f aca="false">MAX($M134)</f>
        <v>2126887</v>
      </c>
      <c r="BH134" s="1" t="n">
        <f aca="false">MAX($N134)</f>
        <v>0.1</v>
      </c>
      <c r="BI134" s="1" t="n">
        <f aca="false">MAX($P134)</f>
        <v>9.1</v>
      </c>
      <c r="BJ134" s="1" t="n">
        <f aca="false">MAX($Q134)</f>
        <v>0</v>
      </c>
      <c r="BK134" s="1" t="n">
        <f aca="false">MAX($R134)</f>
        <v>648087</v>
      </c>
    </row>
    <row r="135" customFormat="false" ht="15" hidden="false" customHeight="false" outlineLevel="0" collapsed="false">
      <c r="A135" s="1" t="s">
        <v>152</v>
      </c>
      <c r="B135" s="1" t="n">
        <f aca="false" t="array" ref="B135:B135">_xlfn.SWITCH($A$2,"average", AVERAGE(Instances!B135:B135),"median", MEDIAN(Instances!B135:B135),"min", MIN(Instances!B135:B135),"max", MAX(Instances!B135:B135),"diff", MAX(Instances!B135:B135)-MIN(Instances!B135:B135))</f>
        <v>3086</v>
      </c>
      <c r="C135" s="1" t="n">
        <f aca="false" t="array" ref="C135:C135">_xlfn.SWITCH($A$2,"average", AVERAGE(Instances!C135:C135),"median", MEDIAN(Instances!C135:C135),"min", MIN(Instances!C135:C135),"max", MAX(Instances!C135:C135),"diff", MAX(Instances!C135:C135)-MIN(Instances!C135:C135))</f>
        <v>34</v>
      </c>
      <c r="D135" s="1" t="n">
        <f aca="false" t="array" ref="D135:D135">_xlfn.SWITCH($A$2,"average", AVERAGE(Instances!D135:D135),"median", MEDIAN(Instances!D135:D135),"min", MIN(Instances!D135:D135),"max", MAX(Instances!D135:D135),"diff", MAX(Instances!D135:D135)-MIN(Instances!D135:D135))</f>
        <v>1432923</v>
      </c>
      <c r="E135" s="1" t="n">
        <f aca="false" t="array" ref="E135:E135">_xlfn.SWITCH($A$2,"average", AVERAGE(Instances!E135:E135),"median", MEDIAN(Instances!E135:E135),"min", MIN(Instances!E135:E135),"max", MAX(Instances!E135:E135),"diff", MAX(Instances!E135:E135)-MIN(Instances!E135:E135))</f>
        <v>0</v>
      </c>
      <c r="F135" s="1" t="n">
        <f aca="false" t="array" ref="F135:F135">_xlfn.SWITCH($A$2,"average", AVERAGE(Instances!F135:F135),"median", MEDIAN(Instances!F135:F135),"min", MIN(Instances!F135:F135),"max", MAX(Instances!F135:F135),"diff", MAX(Instances!F135:F135)-MIN(Instances!F135:F135))</f>
        <v>683</v>
      </c>
      <c r="G135" s="1" t="n">
        <f aca="false" t="array" ref="G135:G135">_xlfn.SWITCH($A$2,"average", AVERAGE(Instances!G135:G135),"median", MEDIAN(Instances!G135:G135),"min", MIN(Instances!G135:G135),"max", MAX(Instances!G135:G135),"diff", MAX(Instances!G135:G135)-MIN(Instances!G135:G135))</f>
        <v>0</v>
      </c>
      <c r="H135" s="1" t="n">
        <f aca="false" t="array" ref="H135:H135">_xlfn.SWITCH($A$2,"average", AVERAGE(Instances!H135:H135),"median", MEDIAN(Instances!H135:H135),"min", MIN(Instances!H135:H135),"max", MAX(Instances!H135:H135),"diff", MAX(Instances!H135:H135)-MIN(Instances!H135:H135))</f>
        <v>1</v>
      </c>
      <c r="I135" s="1" t="n">
        <f aca="false" t="array" ref="I135:I135">_xlfn.SWITCH($A$2,"average", AVERAGE(Instances!I135:I135),"median", MEDIAN(Instances!I135:I135),"min", MIN(Instances!I135:I135),"max", MAX(Instances!I135:I135),"diff", MAX(Instances!I135:I135)-MIN(Instances!I135:I135))</f>
        <v>10.027</v>
      </c>
      <c r="J135" s="1" t="n">
        <f aca="false" t="array" ref="J135:J135">_xlfn.SWITCH($A$2,"average", AVERAGE(Instances!J135:J135),"median", MEDIAN(Instances!J135:J135),"min", MIN(Instances!J135:J135),"max", MAX(Instances!J135:J135),"diff", MAX(Instances!J135:J135)-MIN(Instances!J135:J135))</f>
        <v>10.27</v>
      </c>
      <c r="K135" s="1" t="n">
        <f aca="false" t="array" ref="K135:K135">_xlfn.SWITCH($A$2,"average", AVERAGE(Instances!K135:K135),"median", MEDIAN(Instances!K135:K135),"min", MIN(Instances!K135:K135),"max", MAX(Instances!K135:K135),"diff", MAX(Instances!K135:K135)-MIN(Instances!K135:K135))</f>
        <v>0</v>
      </c>
      <c r="L135" s="1"/>
      <c r="M135" s="1" t="n">
        <f aca="false" t="array" ref="M135:M135">_xlfn.SWITCH($A$2,"average", AVERAGE(Instances!M135:M135),"median", MEDIAN(Instances!M135:M135),"min", MIN(Instances!M135:M135),"max", MAX(Instances!M135:M135),"diff", MAX(Instances!M135:M135)-MIN(Instances!M135:M135))</f>
        <v>2350136</v>
      </c>
      <c r="N135" s="1" t="n">
        <f aca="false" t="array" ref="N135:N135">_xlfn.SWITCH($A$2,"average", AVERAGE(Instances!N135:N135),"median", MEDIAN(Instances!N135:N135),"min", MIN(Instances!N135:N135),"max", MAX(Instances!N135:N135),"diff", MAX(Instances!N135:N135)-MIN(Instances!N135:N135))</f>
        <v>0.11</v>
      </c>
      <c r="O135" s="1"/>
      <c r="P135" s="1" t="n">
        <f aca="false" t="array" ref="P135:P135">_xlfn.SWITCH($A$2,"average", AVERAGE(Instances!P135:P135),"median", MEDIAN(Instances!P135:P135),"min", MIN(Instances!P135:P135),"max", MAX(Instances!P135:P135),"diff", MAX(Instances!P135:P135)-MIN(Instances!P135:P135))</f>
        <v>10.27</v>
      </c>
      <c r="Q135" s="1" t="n">
        <f aca="false" t="array" ref="Q135:Q135">_xlfn.SWITCH($A$2,"average", AVERAGE(Instances!Q135:Q135),"median", MEDIAN(Instances!Q135:Q135),"min", MIN(Instances!Q135:Q135),"max", MAX(Instances!Q135:Q135),"diff", MAX(Instances!Q135:Q135)-MIN(Instances!Q135:Q135))</f>
        <v>0</v>
      </c>
      <c r="R135" s="1" t="n">
        <f aca="false" t="array" ref="R135:R135">_xlfn.SWITCH($A$2,"average", AVERAGE(Instances!R135:R135),"median", MEDIAN(Instances!R135:R135),"min", MIN(Instances!R135:R135),"max", MAX(Instances!R135:R135),"diff", MAX(Instances!R135:R135)-MIN(Instances!R135:R135))</f>
        <v>707358</v>
      </c>
      <c r="S135" s="1" t="n">
        <f aca="false">MIN($B135)</f>
        <v>3086</v>
      </c>
      <c r="T135" s="1" t="n">
        <f aca="false">MIN($C135)</f>
        <v>34</v>
      </c>
      <c r="U135" s="1" t="n">
        <f aca="false">MIN($D135)</f>
        <v>1432923</v>
      </c>
      <c r="V135" s="1" t="n">
        <f aca="false">MIN($E135)</f>
        <v>0</v>
      </c>
      <c r="W135" s="1" t="n">
        <f aca="false">MIN($F135)</f>
        <v>683</v>
      </c>
      <c r="X135" s="1" t="n">
        <f aca="false">MIN($G135)</f>
        <v>0</v>
      </c>
      <c r="Y135" s="1" t="n">
        <f aca="false">MIN($H135)</f>
        <v>1</v>
      </c>
      <c r="Z135" s="1" t="n">
        <f aca="false">MIN($I135)</f>
        <v>10.027</v>
      </c>
      <c r="AA135" s="1" t="n">
        <f aca="false">MIN($J135)</f>
        <v>10.27</v>
      </c>
      <c r="AB135" s="1" t="n">
        <f aca="false">MIN($K135)</f>
        <v>0</v>
      </c>
      <c r="AC135" s="1" t="n">
        <f aca="false">MIN($M135)</f>
        <v>2350136</v>
      </c>
      <c r="AD135" s="1" t="n">
        <f aca="false">MIN($N135)</f>
        <v>0.11</v>
      </c>
      <c r="AE135" s="1" t="n">
        <f aca="false">MIN($P135)</f>
        <v>10.27</v>
      </c>
      <c r="AF135" s="1" t="n">
        <f aca="false">MIN($Q135)</f>
        <v>0</v>
      </c>
      <c r="AG135" s="1" t="n">
        <f aca="false">MIN($R135)</f>
        <v>707358</v>
      </c>
      <c r="AH135" s="1" t="n">
        <f aca="false">MEDIAN($B135)</f>
        <v>3086</v>
      </c>
      <c r="AI135" s="1" t="n">
        <f aca="false">MEDIAN($C135)</f>
        <v>34</v>
      </c>
      <c r="AJ135" s="1" t="n">
        <f aca="false">MEDIAN($D135)</f>
        <v>1432923</v>
      </c>
      <c r="AK135" s="1" t="n">
        <f aca="false">MEDIAN($E135)</f>
        <v>0</v>
      </c>
      <c r="AL135" s="1" t="n">
        <f aca="false">MEDIAN($F135)</f>
        <v>683</v>
      </c>
      <c r="AM135" s="1" t="n">
        <f aca="false">MEDIAN($G135)</f>
        <v>0</v>
      </c>
      <c r="AN135" s="1" t="n">
        <f aca="false">MEDIAN($H135)</f>
        <v>1</v>
      </c>
      <c r="AO135" s="1" t="n">
        <f aca="false">MEDIAN($I135)</f>
        <v>10.027</v>
      </c>
      <c r="AP135" s="1" t="n">
        <f aca="false">MEDIAN($J135)</f>
        <v>10.27</v>
      </c>
      <c r="AQ135" s="1" t="n">
        <f aca="false">MEDIAN($K135)</f>
        <v>0</v>
      </c>
      <c r="AR135" s="1" t="n">
        <f aca="false">MEDIAN($M135)</f>
        <v>2350136</v>
      </c>
      <c r="AS135" s="1" t="n">
        <f aca="false">MEDIAN($N135)</f>
        <v>0.11</v>
      </c>
      <c r="AT135" s="1" t="n">
        <f aca="false">MEDIAN($P135)</f>
        <v>10.27</v>
      </c>
      <c r="AU135" s="1" t="n">
        <f aca="false">MEDIAN($Q135)</f>
        <v>0</v>
      </c>
      <c r="AV135" s="1" t="n">
        <f aca="false">MEDIAN($R135)</f>
        <v>707358</v>
      </c>
      <c r="AW135" s="1" t="n">
        <f aca="false">MAX($B135)</f>
        <v>3086</v>
      </c>
      <c r="AX135" s="1" t="n">
        <f aca="false">MAX($C135)</f>
        <v>34</v>
      </c>
      <c r="AY135" s="1" t="n">
        <f aca="false">MAX($D135)</f>
        <v>1432923</v>
      </c>
      <c r="AZ135" s="1" t="n">
        <f aca="false">MAX($E135)</f>
        <v>0</v>
      </c>
      <c r="BA135" s="1" t="n">
        <f aca="false">MAX($F135)</f>
        <v>683</v>
      </c>
      <c r="BB135" s="1" t="n">
        <f aca="false">MAX($G135)</f>
        <v>0</v>
      </c>
      <c r="BC135" s="1" t="n">
        <f aca="false">MAX($H135)</f>
        <v>1</v>
      </c>
      <c r="BD135" s="1" t="n">
        <f aca="false">MAX($I135)</f>
        <v>10.027</v>
      </c>
      <c r="BE135" s="1" t="n">
        <f aca="false">MAX($J135)</f>
        <v>10.27</v>
      </c>
      <c r="BF135" s="1" t="n">
        <f aca="false">MAX($K135)</f>
        <v>0</v>
      </c>
      <c r="BG135" s="1" t="n">
        <f aca="false">MAX($M135)</f>
        <v>2350136</v>
      </c>
      <c r="BH135" s="1" t="n">
        <f aca="false">MAX($N135)</f>
        <v>0.11</v>
      </c>
      <c r="BI135" s="1" t="n">
        <f aca="false">MAX($P135)</f>
        <v>10.27</v>
      </c>
      <c r="BJ135" s="1" t="n">
        <f aca="false">MAX($Q135)</f>
        <v>0</v>
      </c>
      <c r="BK135" s="1" t="n">
        <f aca="false">MAX($R135)</f>
        <v>707358</v>
      </c>
    </row>
    <row r="136" customFormat="false" ht="15" hidden="false" customHeight="false" outlineLevel="0" collapsed="false">
      <c r="A136" s="1" t="s">
        <v>153</v>
      </c>
      <c r="B136" s="1" t="n">
        <f aca="false" t="array" ref="B136:B136">_xlfn.SWITCH($A$2,"average", AVERAGE(Instances!B136:B136),"median", MEDIAN(Instances!B136:B136),"min", MIN(Instances!B136:B136),"max", MAX(Instances!B136:B136),"diff", MAX(Instances!B136:B136)-MIN(Instances!B136:B136))</f>
        <v>2620</v>
      </c>
      <c r="C136" s="1" t="n">
        <f aca="false" t="array" ref="C136:C136">_xlfn.SWITCH($A$2,"average", AVERAGE(Instances!C136:C136),"median", MEDIAN(Instances!C136:C136),"min", MIN(Instances!C136:C136),"max", MAX(Instances!C136:C136),"diff", MAX(Instances!C136:C136)-MIN(Instances!C136:C136))</f>
        <v>7</v>
      </c>
      <c r="D136" s="1" t="n">
        <f aca="false" t="array" ref="D136:D136">_xlfn.SWITCH($A$2,"average", AVERAGE(Instances!D136:D136),"median", MEDIAN(Instances!D136:D136),"min", MIN(Instances!D136:D136),"max", MAX(Instances!D136:D136),"diff", MAX(Instances!D136:D136)-MIN(Instances!D136:D136))</f>
        <v>1013434</v>
      </c>
      <c r="E136" s="1" t="n">
        <f aca="false" t="array" ref="E136:E136">_xlfn.SWITCH($A$2,"average", AVERAGE(Instances!E136:E136),"median", MEDIAN(Instances!E136:E136),"min", MIN(Instances!E136:E136),"max", MAX(Instances!E136:E136),"diff", MAX(Instances!E136:E136)-MIN(Instances!E136:E136))</f>
        <v>0</v>
      </c>
      <c r="F136" s="1" t="n">
        <f aca="false" t="array" ref="F136:F136">_xlfn.SWITCH($A$2,"average", AVERAGE(Instances!F136:F136),"median", MEDIAN(Instances!F136:F136),"min", MIN(Instances!F136:F136),"max", MAX(Instances!F136:F136),"diff", MAX(Instances!F136:F136)-MIN(Instances!F136:F136))</f>
        <v>562</v>
      </c>
      <c r="G136" s="1" t="n">
        <f aca="false" t="array" ref="G136:G136">_xlfn.SWITCH($A$2,"average", AVERAGE(Instances!G136:G136),"median", MEDIAN(Instances!G136:G136),"min", MIN(Instances!G136:G136),"max", MAX(Instances!G136:G136),"diff", MAX(Instances!G136:G136)-MIN(Instances!G136:G136))</f>
        <v>0</v>
      </c>
      <c r="H136" s="1" t="n">
        <f aca="false" t="array" ref="H136:H136">_xlfn.SWITCH($A$2,"average", AVERAGE(Instances!H136:H136),"median", MEDIAN(Instances!H136:H136),"min", MIN(Instances!H136:H136),"max", MAX(Instances!H136:H136),"diff", MAX(Instances!H136:H136)-MIN(Instances!H136:H136))</f>
        <v>1</v>
      </c>
      <c r="I136" s="1" t="n">
        <f aca="false" t="array" ref="I136:I136">_xlfn.SWITCH($A$2,"average", AVERAGE(Instances!I136:I136),"median", MEDIAN(Instances!I136:I136),"min", MIN(Instances!I136:I136),"max", MAX(Instances!I136:I136),"diff", MAX(Instances!I136:I136)-MIN(Instances!I136:I136))</f>
        <v>8.418</v>
      </c>
      <c r="J136" s="1" t="n">
        <f aca="false" t="array" ref="J136:J136">_xlfn.SWITCH($A$2,"average", AVERAGE(Instances!J136:J136),"median", MEDIAN(Instances!J136:J136),"min", MIN(Instances!J136:J136),"max", MAX(Instances!J136:J136),"diff", MAX(Instances!J136:J136)-MIN(Instances!J136:J136))</f>
        <v>8.64</v>
      </c>
      <c r="K136" s="1" t="n">
        <f aca="false" t="array" ref="K136:K136">_xlfn.SWITCH($A$2,"average", AVERAGE(Instances!K136:K136),"median", MEDIAN(Instances!K136:K136),"min", MIN(Instances!K136:K136),"max", MAX(Instances!K136:K136),"diff", MAX(Instances!K136:K136)-MIN(Instances!K136:K136))</f>
        <v>0</v>
      </c>
      <c r="L136" s="1"/>
      <c r="M136" s="1" t="n">
        <f aca="false" t="array" ref="M136:M136">_xlfn.SWITCH($A$2,"average", AVERAGE(Instances!M136:M136),"median", MEDIAN(Instances!M136:M136),"min", MIN(Instances!M136:M136),"max", MAX(Instances!M136:M136),"diff", MAX(Instances!M136:M136)-MIN(Instances!M136:M136))</f>
        <v>1946036</v>
      </c>
      <c r="N136" s="1" t="n">
        <f aca="false" t="array" ref="N136:N136">_xlfn.SWITCH($A$2,"average", AVERAGE(Instances!N136:N136),"median", MEDIAN(Instances!N136:N136),"min", MIN(Instances!N136:N136),"max", MAX(Instances!N136:N136),"diff", MAX(Instances!N136:N136)-MIN(Instances!N136:N136))</f>
        <v>0.09</v>
      </c>
      <c r="O136" s="1"/>
      <c r="P136" s="1" t="n">
        <f aca="false" t="array" ref="P136:P136">_xlfn.SWITCH($A$2,"average", AVERAGE(Instances!P136:P136),"median", MEDIAN(Instances!P136:P136),"min", MIN(Instances!P136:P136),"max", MAX(Instances!P136:P136),"diff", MAX(Instances!P136:P136)-MIN(Instances!P136:P136))</f>
        <v>8.64</v>
      </c>
      <c r="Q136" s="1" t="n">
        <f aca="false" t="array" ref="Q136:Q136">_xlfn.SWITCH($A$2,"average", AVERAGE(Instances!Q136:Q136),"median", MEDIAN(Instances!Q136:Q136),"min", MIN(Instances!Q136:Q136),"max", MAX(Instances!Q136:Q136),"diff", MAX(Instances!Q136:Q136)-MIN(Instances!Q136:Q136))</f>
        <v>0</v>
      </c>
      <c r="R136" s="1" t="n">
        <f aca="false" t="array" ref="R136:R136">_xlfn.SWITCH($A$2,"average", AVERAGE(Instances!R136:R136),"median", MEDIAN(Instances!R136:R136),"min", MIN(Instances!R136:R136),"max", MAX(Instances!R136:R136),"diff", MAX(Instances!R136:R136)-MIN(Instances!R136:R136))</f>
        <v>591965</v>
      </c>
      <c r="S136" s="1" t="n">
        <f aca="false">MIN($B136)</f>
        <v>2620</v>
      </c>
      <c r="T136" s="1" t="n">
        <f aca="false">MIN($C136)</f>
        <v>7</v>
      </c>
      <c r="U136" s="1" t="n">
        <f aca="false">MIN($D136)</f>
        <v>1013434</v>
      </c>
      <c r="V136" s="1" t="n">
        <f aca="false">MIN($E136)</f>
        <v>0</v>
      </c>
      <c r="W136" s="1" t="n">
        <f aca="false">MIN($F136)</f>
        <v>562</v>
      </c>
      <c r="X136" s="1" t="n">
        <f aca="false">MIN($G136)</f>
        <v>0</v>
      </c>
      <c r="Y136" s="1" t="n">
        <f aca="false">MIN($H136)</f>
        <v>1</v>
      </c>
      <c r="Z136" s="1" t="n">
        <f aca="false">MIN($I136)</f>
        <v>8.418</v>
      </c>
      <c r="AA136" s="1" t="n">
        <f aca="false">MIN($J136)</f>
        <v>8.64</v>
      </c>
      <c r="AB136" s="1" t="n">
        <f aca="false">MIN($K136)</f>
        <v>0</v>
      </c>
      <c r="AC136" s="1" t="n">
        <f aca="false">MIN($M136)</f>
        <v>1946036</v>
      </c>
      <c r="AD136" s="1" t="n">
        <f aca="false">MIN($N136)</f>
        <v>0.09</v>
      </c>
      <c r="AE136" s="1" t="n">
        <f aca="false">MIN($P136)</f>
        <v>8.64</v>
      </c>
      <c r="AF136" s="1" t="n">
        <f aca="false">MIN($Q136)</f>
        <v>0</v>
      </c>
      <c r="AG136" s="1" t="n">
        <f aca="false">MIN($R136)</f>
        <v>591965</v>
      </c>
      <c r="AH136" s="1" t="n">
        <f aca="false">MEDIAN($B136)</f>
        <v>2620</v>
      </c>
      <c r="AI136" s="1" t="n">
        <f aca="false">MEDIAN($C136)</f>
        <v>7</v>
      </c>
      <c r="AJ136" s="1" t="n">
        <f aca="false">MEDIAN($D136)</f>
        <v>1013434</v>
      </c>
      <c r="AK136" s="1" t="n">
        <f aca="false">MEDIAN($E136)</f>
        <v>0</v>
      </c>
      <c r="AL136" s="1" t="n">
        <f aca="false">MEDIAN($F136)</f>
        <v>562</v>
      </c>
      <c r="AM136" s="1" t="n">
        <f aca="false">MEDIAN($G136)</f>
        <v>0</v>
      </c>
      <c r="AN136" s="1" t="n">
        <f aca="false">MEDIAN($H136)</f>
        <v>1</v>
      </c>
      <c r="AO136" s="1" t="n">
        <f aca="false">MEDIAN($I136)</f>
        <v>8.418</v>
      </c>
      <c r="AP136" s="1" t="n">
        <f aca="false">MEDIAN($J136)</f>
        <v>8.64</v>
      </c>
      <c r="AQ136" s="1" t="n">
        <f aca="false">MEDIAN($K136)</f>
        <v>0</v>
      </c>
      <c r="AR136" s="1" t="n">
        <f aca="false">MEDIAN($M136)</f>
        <v>1946036</v>
      </c>
      <c r="AS136" s="1" t="n">
        <f aca="false">MEDIAN($N136)</f>
        <v>0.09</v>
      </c>
      <c r="AT136" s="1" t="n">
        <f aca="false">MEDIAN($P136)</f>
        <v>8.64</v>
      </c>
      <c r="AU136" s="1" t="n">
        <f aca="false">MEDIAN($Q136)</f>
        <v>0</v>
      </c>
      <c r="AV136" s="1" t="n">
        <f aca="false">MEDIAN($R136)</f>
        <v>591965</v>
      </c>
      <c r="AW136" s="1" t="n">
        <f aca="false">MAX($B136)</f>
        <v>2620</v>
      </c>
      <c r="AX136" s="1" t="n">
        <f aca="false">MAX($C136)</f>
        <v>7</v>
      </c>
      <c r="AY136" s="1" t="n">
        <f aca="false">MAX($D136)</f>
        <v>1013434</v>
      </c>
      <c r="AZ136" s="1" t="n">
        <f aca="false">MAX($E136)</f>
        <v>0</v>
      </c>
      <c r="BA136" s="1" t="n">
        <f aca="false">MAX($F136)</f>
        <v>562</v>
      </c>
      <c r="BB136" s="1" t="n">
        <f aca="false">MAX($G136)</f>
        <v>0</v>
      </c>
      <c r="BC136" s="1" t="n">
        <f aca="false">MAX($H136)</f>
        <v>1</v>
      </c>
      <c r="BD136" s="1" t="n">
        <f aca="false">MAX($I136)</f>
        <v>8.418</v>
      </c>
      <c r="BE136" s="1" t="n">
        <f aca="false">MAX($J136)</f>
        <v>8.64</v>
      </c>
      <c r="BF136" s="1" t="n">
        <f aca="false">MAX($K136)</f>
        <v>0</v>
      </c>
      <c r="BG136" s="1" t="n">
        <f aca="false">MAX($M136)</f>
        <v>1946036</v>
      </c>
      <c r="BH136" s="1" t="n">
        <f aca="false">MAX($N136)</f>
        <v>0.09</v>
      </c>
      <c r="BI136" s="1" t="n">
        <f aca="false">MAX($P136)</f>
        <v>8.64</v>
      </c>
      <c r="BJ136" s="1" t="n">
        <f aca="false">MAX($Q136)</f>
        <v>0</v>
      </c>
      <c r="BK136" s="1" t="n">
        <f aca="false">MAX($R136)</f>
        <v>591965</v>
      </c>
    </row>
    <row r="137" customFormat="false" ht="15" hidden="false" customHeight="false" outlineLevel="0" collapsed="false">
      <c r="A137" s="1" t="s">
        <v>154</v>
      </c>
      <c r="B137" s="1" t="n">
        <f aca="false" t="array" ref="B137:B137">_xlfn.SWITCH($A$2,"average", AVERAGE(Instances!B137:B137),"median", MEDIAN(Instances!B137:B137),"min", MIN(Instances!B137:B137),"max", MAX(Instances!B137:B137),"diff", MAX(Instances!B137:B137)-MIN(Instances!B137:B137))</f>
        <v>2811</v>
      </c>
      <c r="C137" s="1" t="n">
        <f aca="false" t="array" ref="C137:C137">_xlfn.SWITCH($A$2,"average", AVERAGE(Instances!C137:C137),"median", MEDIAN(Instances!C137:C137),"min", MIN(Instances!C137:C137),"max", MAX(Instances!C137:C137),"diff", MAX(Instances!C137:C137)-MIN(Instances!C137:C137))</f>
        <v>8</v>
      </c>
      <c r="D137" s="1" t="n">
        <f aca="false" t="array" ref="D137:D137">_xlfn.SWITCH($A$2,"average", AVERAGE(Instances!D137:D137),"median", MEDIAN(Instances!D137:D137),"min", MIN(Instances!D137:D137),"max", MAX(Instances!D137:D137),"diff", MAX(Instances!D137:D137)-MIN(Instances!D137:D137))</f>
        <v>1446543</v>
      </c>
      <c r="E137" s="1" t="n">
        <f aca="false" t="array" ref="E137:E137">_xlfn.SWITCH($A$2,"average", AVERAGE(Instances!E137:E137),"median", MEDIAN(Instances!E137:E137),"min", MIN(Instances!E137:E137),"max", MAX(Instances!E137:E137),"diff", MAX(Instances!E137:E137)-MIN(Instances!E137:E137))</f>
        <v>0</v>
      </c>
      <c r="F137" s="1" t="n">
        <f aca="false" t="array" ref="F137:F137">_xlfn.SWITCH($A$2,"average", AVERAGE(Instances!F137:F137),"median", MEDIAN(Instances!F137:F137),"min", MIN(Instances!F137:F137),"max", MAX(Instances!F137:F137),"diff", MAX(Instances!F137:F137)-MIN(Instances!F137:F137))</f>
        <v>746</v>
      </c>
      <c r="G137" s="1" t="n">
        <f aca="false" t="array" ref="G137:G137">_xlfn.SWITCH($A$2,"average", AVERAGE(Instances!G137:G137),"median", MEDIAN(Instances!G137:G137),"min", MIN(Instances!G137:G137),"max", MAX(Instances!G137:G137),"diff", MAX(Instances!G137:G137)-MIN(Instances!G137:G137))</f>
        <v>0</v>
      </c>
      <c r="H137" s="1" t="n">
        <f aca="false" t="array" ref="H137:H137">_xlfn.SWITCH($A$2,"average", AVERAGE(Instances!H137:H137),"median", MEDIAN(Instances!H137:H137),"min", MIN(Instances!H137:H137),"max", MAX(Instances!H137:H137),"diff", MAX(Instances!H137:H137)-MIN(Instances!H137:H137))</f>
        <v>1</v>
      </c>
      <c r="I137" s="1" t="n">
        <f aca="false" t="array" ref="I137:I137">_xlfn.SWITCH($A$2,"average", AVERAGE(Instances!I137:I137),"median", MEDIAN(Instances!I137:I137),"min", MIN(Instances!I137:I137),"max", MAX(Instances!I137:I137),"diff", MAX(Instances!I137:I137)-MIN(Instances!I137:I137))</f>
        <v>11.097</v>
      </c>
      <c r="J137" s="1" t="n">
        <f aca="false" t="array" ref="J137:J137">_xlfn.SWITCH($A$2,"average", AVERAGE(Instances!J137:J137),"median", MEDIAN(Instances!J137:J137),"min", MIN(Instances!J137:J137),"max", MAX(Instances!J137:J137),"diff", MAX(Instances!J137:J137)-MIN(Instances!J137:J137))</f>
        <v>11.37</v>
      </c>
      <c r="K137" s="1" t="n">
        <f aca="false" t="array" ref="K137:K137">_xlfn.SWITCH($A$2,"average", AVERAGE(Instances!K137:K137),"median", MEDIAN(Instances!K137:K137),"min", MIN(Instances!K137:K137),"max", MAX(Instances!K137:K137),"diff", MAX(Instances!K137:K137)-MIN(Instances!K137:K137))</f>
        <v>0</v>
      </c>
      <c r="L137" s="1"/>
      <c r="M137" s="1" t="n">
        <f aca="false" t="array" ref="M137:M137">_xlfn.SWITCH($A$2,"average", AVERAGE(Instances!M137:M137),"median", MEDIAN(Instances!M137:M137),"min", MIN(Instances!M137:M137),"max", MAX(Instances!M137:M137),"diff", MAX(Instances!M137:M137)-MIN(Instances!M137:M137))</f>
        <v>2530191</v>
      </c>
      <c r="N137" s="1" t="n">
        <f aca="false" t="array" ref="N137:N137">_xlfn.SWITCH($A$2,"average", AVERAGE(Instances!N137:N137),"median", MEDIAN(Instances!N137:N137),"min", MIN(Instances!N137:N137),"max", MAX(Instances!N137:N137),"diff", MAX(Instances!N137:N137)-MIN(Instances!N137:N137))</f>
        <v>0.12</v>
      </c>
      <c r="O137" s="1"/>
      <c r="P137" s="1" t="n">
        <f aca="false" t="array" ref="P137:P137">_xlfn.SWITCH($A$2,"average", AVERAGE(Instances!P137:P137),"median", MEDIAN(Instances!P137:P137),"min", MIN(Instances!P137:P137),"max", MAX(Instances!P137:P137),"diff", MAX(Instances!P137:P137)-MIN(Instances!P137:P137))</f>
        <v>11.37</v>
      </c>
      <c r="Q137" s="1" t="n">
        <f aca="false" t="array" ref="Q137:Q137">_xlfn.SWITCH($A$2,"average", AVERAGE(Instances!Q137:Q137),"median", MEDIAN(Instances!Q137:Q137),"min", MIN(Instances!Q137:Q137),"max", MAX(Instances!Q137:Q137),"diff", MAX(Instances!Q137:Q137)-MIN(Instances!Q137:Q137))</f>
        <v>0</v>
      </c>
      <c r="R137" s="1" t="n">
        <f aca="false" t="array" ref="R137:R137">_xlfn.SWITCH($A$2,"average", AVERAGE(Instances!R137:R137),"median", MEDIAN(Instances!R137:R137),"min", MIN(Instances!R137:R137),"max", MAX(Instances!R137:R137),"diff", MAX(Instances!R137:R137)-MIN(Instances!R137:R137))</f>
        <v>757073</v>
      </c>
      <c r="S137" s="1" t="n">
        <f aca="false">MIN($B137)</f>
        <v>2811</v>
      </c>
      <c r="T137" s="1" t="n">
        <f aca="false">MIN($C137)</f>
        <v>8</v>
      </c>
      <c r="U137" s="1" t="n">
        <f aca="false">MIN($D137)</f>
        <v>1446543</v>
      </c>
      <c r="V137" s="1" t="n">
        <f aca="false">MIN($E137)</f>
        <v>0</v>
      </c>
      <c r="W137" s="1" t="n">
        <f aca="false">MIN($F137)</f>
        <v>746</v>
      </c>
      <c r="X137" s="1" t="n">
        <f aca="false">MIN($G137)</f>
        <v>0</v>
      </c>
      <c r="Y137" s="1" t="n">
        <f aca="false">MIN($H137)</f>
        <v>1</v>
      </c>
      <c r="Z137" s="1" t="n">
        <f aca="false">MIN($I137)</f>
        <v>11.097</v>
      </c>
      <c r="AA137" s="1" t="n">
        <f aca="false">MIN($J137)</f>
        <v>11.37</v>
      </c>
      <c r="AB137" s="1" t="n">
        <f aca="false">MIN($K137)</f>
        <v>0</v>
      </c>
      <c r="AC137" s="1" t="n">
        <f aca="false">MIN($M137)</f>
        <v>2530191</v>
      </c>
      <c r="AD137" s="1" t="n">
        <f aca="false">MIN($N137)</f>
        <v>0.12</v>
      </c>
      <c r="AE137" s="1" t="n">
        <f aca="false">MIN($P137)</f>
        <v>11.37</v>
      </c>
      <c r="AF137" s="1" t="n">
        <f aca="false">MIN($Q137)</f>
        <v>0</v>
      </c>
      <c r="AG137" s="1" t="n">
        <f aca="false">MIN($R137)</f>
        <v>757073</v>
      </c>
      <c r="AH137" s="1" t="n">
        <f aca="false">MEDIAN($B137)</f>
        <v>2811</v>
      </c>
      <c r="AI137" s="1" t="n">
        <f aca="false">MEDIAN($C137)</f>
        <v>8</v>
      </c>
      <c r="AJ137" s="1" t="n">
        <f aca="false">MEDIAN($D137)</f>
        <v>1446543</v>
      </c>
      <c r="AK137" s="1" t="n">
        <f aca="false">MEDIAN($E137)</f>
        <v>0</v>
      </c>
      <c r="AL137" s="1" t="n">
        <f aca="false">MEDIAN($F137)</f>
        <v>746</v>
      </c>
      <c r="AM137" s="1" t="n">
        <f aca="false">MEDIAN($G137)</f>
        <v>0</v>
      </c>
      <c r="AN137" s="1" t="n">
        <f aca="false">MEDIAN($H137)</f>
        <v>1</v>
      </c>
      <c r="AO137" s="1" t="n">
        <f aca="false">MEDIAN($I137)</f>
        <v>11.097</v>
      </c>
      <c r="AP137" s="1" t="n">
        <f aca="false">MEDIAN($J137)</f>
        <v>11.37</v>
      </c>
      <c r="AQ137" s="1" t="n">
        <f aca="false">MEDIAN($K137)</f>
        <v>0</v>
      </c>
      <c r="AR137" s="1" t="n">
        <f aca="false">MEDIAN($M137)</f>
        <v>2530191</v>
      </c>
      <c r="AS137" s="1" t="n">
        <f aca="false">MEDIAN($N137)</f>
        <v>0.12</v>
      </c>
      <c r="AT137" s="1" t="n">
        <f aca="false">MEDIAN($P137)</f>
        <v>11.37</v>
      </c>
      <c r="AU137" s="1" t="n">
        <f aca="false">MEDIAN($Q137)</f>
        <v>0</v>
      </c>
      <c r="AV137" s="1" t="n">
        <f aca="false">MEDIAN($R137)</f>
        <v>757073</v>
      </c>
      <c r="AW137" s="1" t="n">
        <f aca="false">MAX($B137)</f>
        <v>2811</v>
      </c>
      <c r="AX137" s="1" t="n">
        <f aca="false">MAX($C137)</f>
        <v>8</v>
      </c>
      <c r="AY137" s="1" t="n">
        <f aca="false">MAX($D137)</f>
        <v>1446543</v>
      </c>
      <c r="AZ137" s="1" t="n">
        <f aca="false">MAX($E137)</f>
        <v>0</v>
      </c>
      <c r="BA137" s="1" t="n">
        <f aca="false">MAX($F137)</f>
        <v>746</v>
      </c>
      <c r="BB137" s="1" t="n">
        <f aca="false">MAX($G137)</f>
        <v>0</v>
      </c>
      <c r="BC137" s="1" t="n">
        <f aca="false">MAX($H137)</f>
        <v>1</v>
      </c>
      <c r="BD137" s="1" t="n">
        <f aca="false">MAX($I137)</f>
        <v>11.097</v>
      </c>
      <c r="BE137" s="1" t="n">
        <f aca="false">MAX($J137)</f>
        <v>11.37</v>
      </c>
      <c r="BF137" s="1" t="n">
        <f aca="false">MAX($K137)</f>
        <v>0</v>
      </c>
      <c r="BG137" s="1" t="n">
        <f aca="false">MAX($M137)</f>
        <v>2530191</v>
      </c>
      <c r="BH137" s="1" t="n">
        <f aca="false">MAX($N137)</f>
        <v>0.12</v>
      </c>
      <c r="BI137" s="1" t="n">
        <f aca="false">MAX($P137)</f>
        <v>11.37</v>
      </c>
      <c r="BJ137" s="1" t="n">
        <f aca="false">MAX($Q137)</f>
        <v>0</v>
      </c>
      <c r="BK137" s="1" t="n">
        <f aca="false">MAX($R137)</f>
        <v>757073</v>
      </c>
    </row>
    <row r="138" customFormat="false" ht="15" hidden="false" customHeight="false" outlineLevel="0" collapsed="false">
      <c r="A138" s="1" t="s">
        <v>155</v>
      </c>
      <c r="B138" s="1" t="n">
        <f aca="false" t="array" ref="B138:B138">_xlfn.SWITCH($A$2,"average", AVERAGE(Instances!B138:B138),"median", MEDIAN(Instances!B138:B138),"min", MIN(Instances!B138:B138),"max", MAX(Instances!B138:B138),"diff", MAX(Instances!B138:B138)-MIN(Instances!B138:B138))</f>
        <v>33127</v>
      </c>
      <c r="C138" s="1" t="n">
        <f aca="false" t="array" ref="C138:C138">_xlfn.SWITCH($A$2,"average", AVERAGE(Instances!C138:C138),"median", MEDIAN(Instances!C138:C138),"min", MIN(Instances!C138:C138),"max", MAX(Instances!C138:C138),"diff", MAX(Instances!C138:C138)-MIN(Instances!C138:C138))</f>
        <v>208</v>
      </c>
      <c r="D138" s="1" t="n">
        <f aca="false" t="array" ref="D138:D138">_xlfn.SWITCH($A$2,"average", AVERAGE(Instances!D138:D138),"median", MEDIAN(Instances!D138:D138),"min", MIN(Instances!D138:D138),"max", MAX(Instances!D138:D138),"diff", MAX(Instances!D138:D138)-MIN(Instances!D138:D138))</f>
        <v>1436331</v>
      </c>
      <c r="E138" s="1" t="n">
        <f aca="false" t="array" ref="E138:E138">_xlfn.SWITCH($A$2,"average", AVERAGE(Instances!E138:E138),"median", MEDIAN(Instances!E138:E138),"min", MIN(Instances!E138:E138),"max", MAX(Instances!E138:E138),"diff", MAX(Instances!E138:E138)-MIN(Instances!E138:E138))</f>
        <v>0</v>
      </c>
      <c r="F138" s="1" t="n">
        <f aca="false" t="array" ref="F138:F138">_xlfn.SWITCH($A$2,"average", AVERAGE(Instances!F138:F138),"median", MEDIAN(Instances!F138:F138),"min", MIN(Instances!F138:F138),"max", MAX(Instances!F138:F138),"diff", MAX(Instances!F138:F138)-MIN(Instances!F138:F138))</f>
        <v>712</v>
      </c>
      <c r="G138" s="1" t="n">
        <f aca="false" t="array" ref="G138:G138">_xlfn.SWITCH($A$2,"average", AVERAGE(Instances!G138:G138),"median", MEDIAN(Instances!G138:G138),"min", MIN(Instances!G138:G138),"max", MAX(Instances!G138:G138),"diff", MAX(Instances!G138:G138)-MIN(Instances!G138:G138))</f>
        <v>0</v>
      </c>
      <c r="H138" s="1" t="n">
        <f aca="false" t="array" ref="H138:H138">_xlfn.SWITCH($A$2,"average", AVERAGE(Instances!H138:H138),"median", MEDIAN(Instances!H138:H138),"min", MIN(Instances!H138:H138),"max", MAX(Instances!H138:H138),"diff", MAX(Instances!H138:H138)-MIN(Instances!H138:H138))</f>
        <v>1</v>
      </c>
      <c r="I138" s="1" t="n">
        <f aca="false" t="array" ref="I138:I138">_xlfn.SWITCH($A$2,"average", AVERAGE(Instances!I138:I138),"median", MEDIAN(Instances!I138:I138),"min", MIN(Instances!I138:I138),"max", MAX(Instances!I138:I138),"diff", MAX(Instances!I138:I138)-MIN(Instances!I138:I138))</f>
        <v>11.117</v>
      </c>
      <c r="J138" s="1" t="n">
        <f aca="false" t="array" ref="J138:J138">_xlfn.SWITCH($A$2,"average", AVERAGE(Instances!J138:J138),"median", MEDIAN(Instances!J138:J138),"min", MIN(Instances!J138:J138),"max", MAX(Instances!J138:J138),"diff", MAX(Instances!J138:J138)-MIN(Instances!J138:J138))</f>
        <v>11.37</v>
      </c>
      <c r="K138" s="1" t="n">
        <f aca="false" t="array" ref="K138:K138">_xlfn.SWITCH($A$2,"average", AVERAGE(Instances!K138:K138),"median", MEDIAN(Instances!K138:K138),"min", MIN(Instances!K138:K138),"max", MAX(Instances!K138:K138),"diff", MAX(Instances!K138:K138)-MIN(Instances!K138:K138))</f>
        <v>2</v>
      </c>
      <c r="L138" s="1"/>
      <c r="M138" s="1" t="n">
        <f aca="false" t="array" ref="M138:M138">_xlfn.SWITCH($A$2,"average", AVERAGE(Instances!M138:M138),"median", MEDIAN(Instances!M138:M138),"min", MIN(Instances!M138:M138),"max", MAX(Instances!M138:M138),"diff", MAX(Instances!M138:M138)-MIN(Instances!M138:M138))</f>
        <v>2439351</v>
      </c>
      <c r="N138" s="1" t="n">
        <f aca="false" t="array" ref="N138:N138">_xlfn.SWITCH($A$2,"average", AVERAGE(Instances!N138:N138),"median", MEDIAN(Instances!N138:N138),"min", MIN(Instances!N138:N138),"max", MAX(Instances!N138:N138),"diff", MAX(Instances!N138:N138)-MIN(Instances!N138:N138))</f>
        <v>0.78</v>
      </c>
      <c r="O138" s="1"/>
      <c r="P138" s="1" t="n">
        <f aca="false" t="array" ref="P138:P138">_xlfn.SWITCH($A$2,"average", AVERAGE(Instances!P138:P138),"median", MEDIAN(Instances!P138:P138),"min", MIN(Instances!P138:P138),"max", MAX(Instances!P138:P138),"diff", MAX(Instances!P138:P138)-MIN(Instances!P138:P138))</f>
        <v>11.37</v>
      </c>
      <c r="Q138" s="1" t="n">
        <f aca="false" t="array" ref="Q138:Q138">_xlfn.SWITCH($A$2,"average", AVERAGE(Instances!Q138:Q138),"median", MEDIAN(Instances!Q138:Q138),"min", MIN(Instances!Q138:Q138),"max", MAX(Instances!Q138:Q138),"diff", MAX(Instances!Q138:Q138)-MIN(Instances!Q138:Q138))</f>
        <v>0</v>
      </c>
      <c r="R138" s="1" t="n">
        <f aca="false" t="array" ref="R138:R138">_xlfn.SWITCH($A$2,"average", AVERAGE(Instances!R138:R138),"median", MEDIAN(Instances!R138:R138),"min", MIN(Instances!R138:R138),"max", MAX(Instances!R138:R138),"diff", MAX(Instances!R138:R138)-MIN(Instances!R138:R138))</f>
        <v>734441</v>
      </c>
      <c r="S138" s="1" t="n">
        <f aca="false">MIN($B138)</f>
        <v>33127</v>
      </c>
      <c r="T138" s="1" t="n">
        <f aca="false">MIN($C138)</f>
        <v>208</v>
      </c>
      <c r="U138" s="1" t="n">
        <f aca="false">MIN($D138)</f>
        <v>1436331</v>
      </c>
      <c r="V138" s="1" t="n">
        <f aca="false">MIN($E138)</f>
        <v>0</v>
      </c>
      <c r="W138" s="1" t="n">
        <f aca="false">MIN($F138)</f>
        <v>712</v>
      </c>
      <c r="X138" s="1" t="n">
        <f aca="false">MIN($G138)</f>
        <v>0</v>
      </c>
      <c r="Y138" s="1" t="n">
        <f aca="false">MIN($H138)</f>
        <v>1</v>
      </c>
      <c r="Z138" s="1" t="n">
        <f aca="false">MIN($I138)</f>
        <v>11.117</v>
      </c>
      <c r="AA138" s="1" t="n">
        <f aca="false">MIN($J138)</f>
        <v>11.37</v>
      </c>
      <c r="AB138" s="1" t="n">
        <f aca="false">MIN($K138)</f>
        <v>2</v>
      </c>
      <c r="AC138" s="1" t="n">
        <f aca="false">MIN($M138)</f>
        <v>2439351</v>
      </c>
      <c r="AD138" s="1" t="n">
        <f aca="false">MIN($N138)</f>
        <v>0.78</v>
      </c>
      <c r="AE138" s="1" t="n">
        <f aca="false">MIN($P138)</f>
        <v>11.37</v>
      </c>
      <c r="AF138" s="1" t="n">
        <f aca="false">MIN($Q138)</f>
        <v>0</v>
      </c>
      <c r="AG138" s="1" t="n">
        <f aca="false">MIN($R138)</f>
        <v>734441</v>
      </c>
      <c r="AH138" s="1" t="n">
        <f aca="false">MEDIAN($B138)</f>
        <v>33127</v>
      </c>
      <c r="AI138" s="1" t="n">
        <f aca="false">MEDIAN($C138)</f>
        <v>208</v>
      </c>
      <c r="AJ138" s="1" t="n">
        <f aca="false">MEDIAN($D138)</f>
        <v>1436331</v>
      </c>
      <c r="AK138" s="1" t="n">
        <f aca="false">MEDIAN($E138)</f>
        <v>0</v>
      </c>
      <c r="AL138" s="1" t="n">
        <f aca="false">MEDIAN($F138)</f>
        <v>712</v>
      </c>
      <c r="AM138" s="1" t="n">
        <f aca="false">MEDIAN($G138)</f>
        <v>0</v>
      </c>
      <c r="AN138" s="1" t="n">
        <f aca="false">MEDIAN($H138)</f>
        <v>1</v>
      </c>
      <c r="AO138" s="1" t="n">
        <f aca="false">MEDIAN($I138)</f>
        <v>11.117</v>
      </c>
      <c r="AP138" s="1" t="n">
        <f aca="false">MEDIAN($J138)</f>
        <v>11.37</v>
      </c>
      <c r="AQ138" s="1" t="n">
        <f aca="false">MEDIAN($K138)</f>
        <v>2</v>
      </c>
      <c r="AR138" s="1" t="n">
        <f aca="false">MEDIAN($M138)</f>
        <v>2439351</v>
      </c>
      <c r="AS138" s="1" t="n">
        <f aca="false">MEDIAN($N138)</f>
        <v>0.78</v>
      </c>
      <c r="AT138" s="1" t="n">
        <f aca="false">MEDIAN($P138)</f>
        <v>11.37</v>
      </c>
      <c r="AU138" s="1" t="n">
        <f aca="false">MEDIAN($Q138)</f>
        <v>0</v>
      </c>
      <c r="AV138" s="1" t="n">
        <f aca="false">MEDIAN($R138)</f>
        <v>734441</v>
      </c>
      <c r="AW138" s="1" t="n">
        <f aca="false">MAX($B138)</f>
        <v>33127</v>
      </c>
      <c r="AX138" s="1" t="n">
        <f aca="false">MAX($C138)</f>
        <v>208</v>
      </c>
      <c r="AY138" s="1" t="n">
        <f aca="false">MAX($D138)</f>
        <v>1436331</v>
      </c>
      <c r="AZ138" s="1" t="n">
        <f aca="false">MAX($E138)</f>
        <v>0</v>
      </c>
      <c r="BA138" s="1" t="n">
        <f aca="false">MAX($F138)</f>
        <v>712</v>
      </c>
      <c r="BB138" s="1" t="n">
        <f aca="false">MAX($G138)</f>
        <v>0</v>
      </c>
      <c r="BC138" s="1" t="n">
        <f aca="false">MAX($H138)</f>
        <v>1</v>
      </c>
      <c r="BD138" s="1" t="n">
        <f aca="false">MAX($I138)</f>
        <v>11.117</v>
      </c>
      <c r="BE138" s="1" t="n">
        <f aca="false">MAX($J138)</f>
        <v>11.37</v>
      </c>
      <c r="BF138" s="1" t="n">
        <f aca="false">MAX($K138)</f>
        <v>2</v>
      </c>
      <c r="BG138" s="1" t="n">
        <f aca="false">MAX($M138)</f>
        <v>2439351</v>
      </c>
      <c r="BH138" s="1" t="n">
        <f aca="false">MAX($N138)</f>
        <v>0.78</v>
      </c>
      <c r="BI138" s="1" t="n">
        <f aca="false">MAX($P138)</f>
        <v>11.37</v>
      </c>
      <c r="BJ138" s="1" t="n">
        <f aca="false">MAX($Q138)</f>
        <v>0</v>
      </c>
      <c r="BK138" s="1" t="n">
        <f aca="false">MAX($R138)</f>
        <v>734441</v>
      </c>
    </row>
    <row r="139" customFormat="false" ht="15" hidden="false" customHeight="false" outlineLevel="0" collapsed="false">
      <c r="A139" s="1" t="s">
        <v>156</v>
      </c>
      <c r="B139" s="1" t="n">
        <f aca="false" t="array" ref="B139:B139">_xlfn.SWITCH($A$2,"average", AVERAGE(Instances!B139:B139),"median", MEDIAN(Instances!B139:B139),"min", MIN(Instances!B139:B139),"max", MAX(Instances!B139:B139),"diff", MAX(Instances!B139:B139)-MIN(Instances!B139:B139))</f>
        <v>5131</v>
      </c>
      <c r="C139" s="1" t="n">
        <f aca="false" t="array" ref="C139:C139">_xlfn.SWITCH($A$2,"average", AVERAGE(Instances!C139:C139),"median", MEDIAN(Instances!C139:C139),"min", MIN(Instances!C139:C139),"max", MAX(Instances!C139:C139),"diff", MAX(Instances!C139:C139)-MIN(Instances!C139:C139))</f>
        <v>22</v>
      </c>
      <c r="D139" s="1" t="n">
        <f aca="false" t="array" ref="D139:D139">_xlfn.SWITCH($A$2,"average", AVERAGE(Instances!D139:D139),"median", MEDIAN(Instances!D139:D139),"min", MIN(Instances!D139:D139),"max", MAX(Instances!D139:D139),"diff", MAX(Instances!D139:D139)-MIN(Instances!D139:D139))</f>
        <v>1545850</v>
      </c>
      <c r="E139" s="1" t="n">
        <f aca="false" t="array" ref="E139:E139">_xlfn.SWITCH($A$2,"average", AVERAGE(Instances!E139:E139),"median", MEDIAN(Instances!E139:E139),"min", MIN(Instances!E139:E139),"max", MAX(Instances!E139:E139),"diff", MAX(Instances!E139:E139)-MIN(Instances!E139:E139))</f>
        <v>0</v>
      </c>
      <c r="F139" s="1" t="n">
        <f aca="false" t="array" ref="F139:F139">_xlfn.SWITCH($A$2,"average", AVERAGE(Instances!F139:F139),"median", MEDIAN(Instances!F139:F139),"min", MIN(Instances!F139:F139),"max", MAX(Instances!F139:F139),"diff", MAX(Instances!F139:F139)-MIN(Instances!F139:F139))</f>
        <v>780</v>
      </c>
      <c r="G139" s="1" t="n">
        <f aca="false" t="array" ref="G139:G139">_xlfn.SWITCH($A$2,"average", AVERAGE(Instances!G139:G139),"median", MEDIAN(Instances!G139:G139),"min", MIN(Instances!G139:G139),"max", MAX(Instances!G139:G139),"diff", MAX(Instances!G139:G139)-MIN(Instances!G139:G139))</f>
        <v>0</v>
      </c>
      <c r="H139" s="1" t="n">
        <f aca="false" t="array" ref="H139:H139">_xlfn.SWITCH($A$2,"average", AVERAGE(Instances!H139:H139),"median", MEDIAN(Instances!H139:H139),"min", MIN(Instances!H139:H139),"max", MAX(Instances!H139:H139),"diff", MAX(Instances!H139:H139)-MIN(Instances!H139:H139))</f>
        <v>1</v>
      </c>
      <c r="I139" s="1" t="n">
        <f aca="false" t="array" ref="I139:I139">_xlfn.SWITCH($A$2,"average", AVERAGE(Instances!I139:I139),"median", MEDIAN(Instances!I139:I139),"min", MIN(Instances!I139:I139),"max", MAX(Instances!I139:I139),"diff", MAX(Instances!I139:I139)-MIN(Instances!I139:I139))</f>
        <v>12.231</v>
      </c>
      <c r="J139" s="1" t="n">
        <f aca="false" t="array" ref="J139:J139">_xlfn.SWITCH($A$2,"average", AVERAGE(Instances!J139:J139),"median", MEDIAN(Instances!J139:J139),"min", MIN(Instances!J139:J139),"max", MAX(Instances!J139:J139),"diff", MAX(Instances!J139:J139)-MIN(Instances!J139:J139))</f>
        <v>12.53</v>
      </c>
      <c r="K139" s="1" t="n">
        <f aca="false" t="array" ref="K139:K139">_xlfn.SWITCH($A$2,"average", AVERAGE(Instances!K139:K139),"median", MEDIAN(Instances!K139:K139),"min", MIN(Instances!K139:K139),"max", MAX(Instances!K139:K139),"diff", MAX(Instances!K139:K139)-MIN(Instances!K139:K139))</f>
        <v>0</v>
      </c>
      <c r="L139" s="1"/>
      <c r="M139" s="1" t="n">
        <f aca="false" t="array" ref="M139:M139">_xlfn.SWITCH($A$2,"average", AVERAGE(Instances!M139:M139),"median", MEDIAN(Instances!M139:M139),"min", MIN(Instances!M139:M139),"max", MAX(Instances!M139:M139),"diff", MAX(Instances!M139:M139)-MIN(Instances!M139:M139))</f>
        <v>2817167</v>
      </c>
      <c r="N139" s="1" t="n">
        <f aca="false" t="array" ref="N139:N139">_xlfn.SWITCH($A$2,"average", AVERAGE(Instances!N139:N139),"median", MEDIAN(Instances!N139:N139),"min", MIN(Instances!N139:N139),"max", MAX(Instances!N139:N139),"diff", MAX(Instances!N139:N139)-MIN(Instances!N139:N139))</f>
        <v>0.16</v>
      </c>
      <c r="O139" s="1"/>
      <c r="P139" s="1" t="n">
        <f aca="false" t="array" ref="P139:P139">_xlfn.SWITCH($A$2,"average", AVERAGE(Instances!P139:P139),"median", MEDIAN(Instances!P139:P139),"min", MIN(Instances!P139:P139),"max", MAX(Instances!P139:P139),"diff", MAX(Instances!P139:P139)-MIN(Instances!P139:P139))</f>
        <v>12.53</v>
      </c>
      <c r="Q139" s="1" t="n">
        <f aca="false" t="array" ref="Q139:Q139">_xlfn.SWITCH($A$2,"average", AVERAGE(Instances!Q139:Q139),"median", MEDIAN(Instances!Q139:Q139),"min", MIN(Instances!Q139:Q139),"max", MAX(Instances!Q139:Q139),"diff", MAX(Instances!Q139:Q139)-MIN(Instances!Q139:Q139))</f>
        <v>0</v>
      </c>
      <c r="R139" s="1" t="n">
        <f aca="false" t="array" ref="R139:R139">_xlfn.SWITCH($A$2,"average", AVERAGE(Instances!R139:R139),"median", MEDIAN(Instances!R139:R139),"min", MIN(Instances!R139:R139),"max", MAX(Instances!R139:R139),"diff", MAX(Instances!R139:R139)-MIN(Instances!R139:R139))</f>
        <v>797382</v>
      </c>
      <c r="S139" s="1" t="n">
        <f aca="false">MIN($B139)</f>
        <v>5131</v>
      </c>
      <c r="T139" s="1" t="n">
        <f aca="false">MIN($C139)</f>
        <v>22</v>
      </c>
      <c r="U139" s="1" t="n">
        <f aca="false">MIN($D139)</f>
        <v>1545850</v>
      </c>
      <c r="V139" s="1" t="n">
        <f aca="false">MIN($E139)</f>
        <v>0</v>
      </c>
      <c r="W139" s="1" t="n">
        <f aca="false">MIN($F139)</f>
        <v>780</v>
      </c>
      <c r="X139" s="1" t="n">
        <f aca="false">MIN($G139)</f>
        <v>0</v>
      </c>
      <c r="Y139" s="1" t="n">
        <f aca="false">MIN($H139)</f>
        <v>1</v>
      </c>
      <c r="Z139" s="1" t="n">
        <f aca="false">MIN($I139)</f>
        <v>12.231</v>
      </c>
      <c r="AA139" s="1" t="n">
        <f aca="false">MIN($J139)</f>
        <v>12.53</v>
      </c>
      <c r="AB139" s="1" t="n">
        <f aca="false">MIN($K139)</f>
        <v>0</v>
      </c>
      <c r="AC139" s="1" t="n">
        <f aca="false">MIN($M139)</f>
        <v>2817167</v>
      </c>
      <c r="AD139" s="1" t="n">
        <f aca="false">MIN($N139)</f>
        <v>0.16</v>
      </c>
      <c r="AE139" s="1" t="n">
        <f aca="false">MIN($P139)</f>
        <v>12.53</v>
      </c>
      <c r="AF139" s="1" t="n">
        <f aca="false">MIN($Q139)</f>
        <v>0</v>
      </c>
      <c r="AG139" s="1" t="n">
        <f aca="false">MIN($R139)</f>
        <v>797382</v>
      </c>
      <c r="AH139" s="1" t="n">
        <f aca="false">MEDIAN($B139)</f>
        <v>5131</v>
      </c>
      <c r="AI139" s="1" t="n">
        <f aca="false">MEDIAN($C139)</f>
        <v>22</v>
      </c>
      <c r="AJ139" s="1" t="n">
        <f aca="false">MEDIAN($D139)</f>
        <v>1545850</v>
      </c>
      <c r="AK139" s="1" t="n">
        <f aca="false">MEDIAN($E139)</f>
        <v>0</v>
      </c>
      <c r="AL139" s="1" t="n">
        <f aca="false">MEDIAN($F139)</f>
        <v>780</v>
      </c>
      <c r="AM139" s="1" t="n">
        <f aca="false">MEDIAN($G139)</f>
        <v>0</v>
      </c>
      <c r="AN139" s="1" t="n">
        <f aca="false">MEDIAN($H139)</f>
        <v>1</v>
      </c>
      <c r="AO139" s="1" t="n">
        <f aca="false">MEDIAN($I139)</f>
        <v>12.231</v>
      </c>
      <c r="AP139" s="1" t="n">
        <f aca="false">MEDIAN($J139)</f>
        <v>12.53</v>
      </c>
      <c r="AQ139" s="1" t="n">
        <f aca="false">MEDIAN($K139)</f>
        <v>0</v>
      </c>
      <c r="AR139" s="1" t="n">
        <f aca="false">MEDIAN($M139)</f>
        <v>2817167</v>
      </c>
      <c r="AS139" s="1" t="n">
        <f aca="false">MEDIAN($N139)</f>
        <v>0.16</v>
      </c>
      <c r="AT139" s="1" t="n">
        <f aca="false">MEDIAN($P139)</f>
        <v>12.53</v>
      </c>
      <c r="AU139" s="1" t="n">
        <f aca="false">MEDIAN($Q139)</f>
        <v>0</v>
      </c>
      <c r="AV139" s="1" t="n">
        <f aca="false">MEDIAN($R139)</f>
        <v>797382</v>
      </c>
      <c r="AW139" s="1" t="n">
        <f aca="false">MAX($B139)</f>
        <v>5131</v>
      </c>
      <c r="AX139" s="1" t="n">
        <f aca="false">MAX($C139)</f>
        <v>22</v>
      </c>
      <c r="AY139" s="1" t="n">
        <f aca="false">MAX($D139)</f>
        <v>1545850</v>
      </c>
      <c r="AZ139" s="1" t="n">
        <f aca="false">MAX($E139)</f>
        <v>0</v>
      </c>
      <c r="BA139" s="1" t="n">
        <f aca="false">MAX($F139)</f>
        <v>780</v>
      </c>
      <c r="BB139" s="1" t="n">
        <f aca="false">MAX($G139)</f>
        <v>0</v>
      </c>
      <c r="BC139" s="1" t="n">
        <f aca="false">MAX($H139)</f>
        <v>1</v>
      </c>
      <c r="BD139" s="1" t="n">
        <f aca="false">MAX($I139)</f>
        <v>12.231</v>
      </c>
      <c r="BE139" s="1" t="n">
        <f aca="false">MAX($J139)</f>
        <v>12.53</v>
      </c>
      <c r="BF139" s="1" t="n">
        <f aca="false">MAX($K139)</f>
        <v>0</v>
      </c>
      <c r="BG139" s="1" t="n">
        <f aca="false">MAX($M139)</f>
        <v>2817167</v>
      </c>
      <c r="BH139" s="1" t="n">
        <f aca="false">MAX($N139)</f>
        <v>0.16</v>
      </c>
      <c r="BI139" s="1" t="n">
        <f aca="false">MAX($P139)</f>
        <v>12.53</v>
      </c>
      <c r="BJ139" s="1" t="n">
        <f aca="false">MAX($Q139)</f>
        <v>0</v>
      </c>
      <c r="BK139" s="1" t="n">
        <f aca="false">MAX($R139)</f>
        <v>797382</v>
      </c>
    </row>
    <row r="140" customFormat="false" ht="15" hidden="false" customHeight="false" outlineLevel="0" collapsed="false">
      <c r="A140" s="1" t="s">
        <v>157</v>
      </c>
      <c r="B140" s="1" t="n">
        <f aca="false" t="array" ref="B140:B140">_xlfn.SWITCH($A$2,"average", AVERAGE(Instances!B140:B140),"median", MEDIAN(Instances!B140:B140),"min", MIN(Instances!B140:B140),"max", MAX(Instances!B140:B140),"diff", MAX(Instances!B140:B140)-MIN(Instances!B140:B140))</f>
        <v>7457</v>
      </c>
      <c r="C140" s="1" t="n">
        <f aca="false" t="array" ref="C140:C140">_xlfn.SWITCH($A$2,"average", AVERAGE(Instances!C140:C140),"median", MEDIAN(Instances!C140:C140),"min", MIN(Instances!C140:C140),"max", MAX(Instances!C140:C140),"diff", MAX(Instances!C140:C140)-MIN(Instances!C140:C140))</f>
        <v>9</v>
      </c>
      <c r="D140" s="1" t="n">
        <f aca="false" t="array" ref="D140:D140">_xlfn.SWITCH($A$2,"average", AVERAGE(Instances!D140:D140),"median", MEDIAN(Instances!D140:D140),"min", MIN(Instances!D140:D140),"max", MAX(Instances!D140:D140),"diff", MAX(Instances!D140:D140)-MIN(Instances!D140:D140))</f>
        <v>1855351</v>
      </c>
      <c r="E140" s="1" t="n">
        <f aca="false" t="array" ref="E140:E140">_xlfn.SWITCH($A$2,"average", AVERAGE(Instances!E140:E140),"median", MEDIAN(Instances!E140:E140),"min", MIN(Instances!E140:E140),"max", MAX(Instances!E140:E140),"diff", MAX(Instances!E140:E140)-MIN(Instances!E140:E140))</f>
        <v>0</v>
      </c>
      <c r="F140" s="1" t="n">
        <f aca="false" t="array" ref="F140:F140">_xlfn.SWITCH($A$2,"average", AVERAGE(Instances!F140:F140),"median", MEDIAN(Instances!F140:F140),"min", MIN(Instances!F140:F140),"max", MAX(Instances!F140:F140),"diff", MAX(Instances!F140:F140)-MIN(Instances!F140:F140))</f>
        <v>860</v>
      </c>
      <c r="G140" s="1" t="n">
        <f aca="false" t="array" ref="G140:G140">_xlfn.SWITCH($A$2,"average", AVERAGE(Instances!G140:G140),"median", MEDIAN(Instances!G140:G140),"min", MIN(Instances!G140:G140),"max", MAX(Instances!G140:G140),"diff", MAX(Instances!G140:G140)-MIN(Instances!G140:G140))</f>
        <v>0</v>
      </c>
      <c r="H140" s="1" t="n">
        <f aca="false" t="array" ref="H140:H140">_xlfn.SWITCH($A$2,"average", AVERAGE(Instances!H140:H140),"median", MEDIAN(Instances!H140:H140),"min", MIN(Instances!H140:H140),"max", MAX(Instances!H140:H140),"diff", MAX(Instances!H140:H140)-MIN(Instances!H140:H140))</f>
        <v>1</v>
      </c>
      <c r="I140" s="1" t="n">
        <f aca="false" t="array" ref="I140:I140">_xlfn.SWITCH($A$2,"average", AVERAGE(Instances!I140:I140),"median", MEDIAN(Instances!I140:I140),"min", MIN(Instances!I140:I140),"max", MAX(Instances!I140:I140),"diff", MAX(Instances!I140:I140)-MIN(Instances!I140:I140))</f>
        <v>13.594</v>
      </c>
      <c r="J140" s="1" t="n">
        <f aca="false" t="array" ref="J140:J140">_xlfn.SWITCH($A$2,"average", AVERAGE(Instances!J140:J140),"median", MEDIAN(Instances!J140:J140),"min", MIN(Instances!J140:J140),"max", MAX(Instances!J140:J140),"diff", MAX(Instances!J140:J140)-MIN(Instances!J140:J140))</f>
        <v>13.93</v>
      </c>
      <c r="K140" s="1" t="n">
        <f aca="false" t="array" ref="K140:K140">_xlfn.SWITCH($A$2,"average", AVERAGE(Instances!K140:K140),"median", MEDIAN(Instances!K140:K140),"min", MIN(Instances!K140:K140),"max", MAX(Instances!K140:K140),"diff", MAX(Instances!K140:K140)-MIN(Instances!K140:K140))</f>
        <v>0</v>
      </c>
      <c r="L140" s="1"/>
      <c r="M140" s="1" t="n">
        <f aca="false" t="array" ref="M140:M140">_xlfn.SWITCH($A$2,"average", AVERAGE(Instances!M140:M140),"median", MEDIAN(Instances!M140:M140),"min", MIN(Instances!M140:M140),"max", MAX(Instances!M140:M140),"diff", MAX(Instances!M140:M140)-MIN(Instances!M140:M140))</f>
        <v>3159990</v>
      </c>
      <c r="N140" s="1" t="n">
        <f aca="false" t="array" ref="N140:N140">_xlfn.SWITCH($A$2,"average", AVERAGE(Instances!N140:N140),"median", MEDIAN(Instances!N140:N140),"min", MIN(Instances!N140:N140),"max", MAX(Instances!N140:N140),"diff", MAX(Instances!N140:N140)-MIN(Instances!N140:N140))</f>
        <v>0.19</v>
      </c>
      <c r="O140" s="1"/>
      <c r="P140" s="1" t="n">
        <f aca="false" t="array" ref="P140:P140">_xlfn.SWITCH($A$2,"average", AVERAGE(Instances!P140:P140),"median", MEDIAN(Instances!P140:P140),"min", MIN(Instances!P140:P140),"max", MAX(Instances!P140:P140),"diff", MAX(Instances!P140:P140)-MIN(Instances!P140:P140))</f>
        <v>13.93</v>
      </c>
      <c r="Q140" s="1" t="n">
        <f aca="false" t="array" ref="Q140:Q140">_xlfn.SWITCH($A$2,"average", AVERAGE(Instances!Q140:Q140),"median", MEDIAN(Instances!Q140:Q140),"min", MIN(Instances!Q140:Q140),"max", MAX(Instances!Q140:Q140),"diff", MAX(Instances!Q140:Q140)-MIN(Instances!Q140:Q140))</f>
        <v>0</v>
      </c>
      <c r="R140" s="1" t="n">
        <f aca="false" t="array" ref="R140:R140">_xlfn.SWITCH($A$2,"average", AVERAGE(Instances!R140:R140),"median", MEDIAN(Instances!R140:R140),"min", MIN(Instances!R140:R140),"max", MAX(Instances!R140:R140),"diff", MAX(Instances!R140:R140)-MIN(Instances!R140:R140))</f>
        <v>881549</v>
      </c>
      <c r="S140" s="1" t="n">
        <f aca="false">MIN($B140)</f>
        <v>7457</v>
      </c>
      <c r="T140" s="1" t="n">
        <f aca="false">MIN($C140)</f>
        <v>9</v>
      </c>
      <c r="U140" s="1" t="n">
        <f aca="false">MIN($D140)</f>
        <v>1855351</v>
      </c>
      <c r="V140" s="1" t="n">
        <f aca="false">MIN($E140)</f>
        <v>0</v>
      </c>
      <c r="W140" s="1" t="n">
        <f aca="false">MIN($F140)</f>
        <v>860</v>
      </c>
      <c r="X140" s="1" t="n">
        <f aca="false">MIN($G140)</f>
        <v>0</v>
      </c>
      <c r="Y140" s="1" t="n">
        <f aca="false">MIN($H140)</f>
        <v>1</v>
      </c>
      <c r="Z140" s="1" t="n">
        <f aca="false">MIN($I140)</f>
        <v>13.594</v>
      </c>
      <c r="AA140" s="1" t="n">
        <f aca="false">MIN($J140)</f>
        <v>13.93</v>
      </c>
      <c r="AB140" s="1" t="n">
        <f aca="false">MIN($K140)</f>
        <v>0</v>
      </c>
      <c r="AC140" s="1" t="n">
        <f aca="false">MIN($M140)</f>
        <v>3159990</v>
      </c>
      <c r="AD140" s="1" t="n">
        <f aca="false">MIN($N140)</f>
        <v>0.19</v>
      </c>
      <c r="AE140" s="1" t="n">
        <f aca="false">MIN($P140)</f>
        <v>13.93</v>
      </c>
      <c r="AF140" s="1" t="n">
        <f aca="false">MIN($Q140)</f>
        <v>0</v>
      </c>
      <c r="AG140" s="1" t="n">
        <f aca="false">MIN($R140)</f>
        <v>881549</v>
      </c>
      <c r="AH140" s="1" t="n">
        <f aca="false">MEDIAN($B140)</f>
        <v>7457</v>
      </c>
      <c r="AI140" s="1" t="n">
        <f aca="false">MEDIAN($C140)</f>
        <v>9</v>
      </c>
      <c r="AJ140" s="1" t="n">
        <f aca="false">MEDIAN($D140)</f>
        <v>1855351</v>
      </c>
      <c r="AK140" s="1" t="n">
        <f aca="false">MEDIAN($E140)</f>
        <v>0</v>
      </c>
      <c r="AL140" s="1" t="n">
        <f aca="false">MEDIAN($F140)</f>
        <v>860</v>
      </c>
      <c r="AM140" s="1" t="n">
        <f aca="false">MEDIAN($G140)</f>
        <v>0</v>
      </c>
      <c r="AN140" s="1" t="n">
        <f aca="false">MEDIAN($H140)</f>
        <v>1</v>
      </c>
      <c r="AO140" s="1" t="n">
        <f aca="false">MEDIAN($I140)</f>
        <v>13.594</v>
      </c>
      <c r="AP140" s="1" t="n">
        <f aca="false">MEDIAN($J140)</f>
        <v>13.93</v>
      </c>
      <c r="AQ140" s="1" t="n">
        <f aca="false">MEDIAN($K140)</f>
        <v>0</v>
      </c>
      <c r="AR140" s="1" t="n">
        <f aca="false">MEDIAN($M140)</f>
        <v>3159990</v>
      </c>
      <c r="AS140" s="1" t="n">
        <f aca="false">MEDIAN($N140)</f>
        <v>0.19</v>
      </c>
      <c r="AT140" s="1" t="n">
        <f aca="false">MEDIAN($P140)</f>
        <v>13.93</v>
      </c>
      <c r="AU140" s="1" t="n">
        <f aca="false">MEDIAN($Q140)</f>
        <v>0</v>
      </c>
      <c r="AV140" s="1" t="n">
        <f aca="false">MEDIAN($R140)</f>
        <v>881549</v>
      </c>
      <c r="AW140" s="1" t="n">
        <f aca="false">MAX($B140)</f>
        <v>7457</v>
      </c>
      <c r="AX140" s="1" t="n">
        <f aca="false">MAX($C140)</f>
        <v>9</v>
      </c>
      <c r="AY140" s="1" t="n">
        <f aca="false">MAX($D140)</f>
        <v>1855351</v>
      </c>
      <c r="AZ140" s="1" t="n">
        <f aca="false">MAX($E140)</f>
        <v>0</v>
      </c>
      <c r="BA140" s="1" t="n">
        <f aca="false">MAX($F140)</f>
        <v>860</v>
      </c>
      <c r="BB140" s="1" t="n">
        <f aca="false">MAX($G140)</f>
        <v>0</v>
      </c>
      <c r="BC140" s="1" t="n">
        <f aca="false">MAX($H140)</f>
        <v>1</v>
      </c>
      <c r="BD140" s="1" t="n">
        <f aca="false">MAX($I140)</f>
        <v>13.594</v>
      </c>
      <c r="BE140" s="1" t="n">
        <f aca="false">MAX($J140)</f>
        <v>13.93</v>
      </c>
      <c r="BF140" s="1" t="n">
        <f aca="false">MAX($K140)</f>
        <v>0</v>
      </c>
      <c r="BG140" s="1" t="n">
        <f aca="false">MAX($M140)</f>
        <v>3159990</v>
      </c>
      <c r="BH140" s="1" t="n">
        <f aca="false">MAX($N140)</f>
        <v>0.19</v>
      </c>
      <c r="BI140" s="1" t="n">
        <f aca="false">MAX($P140)</f>
        <v>13.93</v>
      </c>
      <c r="BJ140" s="1" t="n">
        <f aca="false">MAX($Q140)</f>
        <v>0</v>
      </c>
      <c r="BK140" s="1" t="n">
        <f aca="false">MAX($R140)</f>
        <v>881549</v>
      </c>
    </row>
    <row r="141" customFormat="false" ht="15" hidden="false" customHeight="false" outlineLevel="0" collapsed="false">
      <c r="A141" s="1" t="s">
        <v>158</v>
      </c>
      <c r="B141" s="1" t="n">
        <f aca="false" t="array" ref="B141:B141">_xlfn.SWITCH($A$2,"average", AVERAGE(Instances!B141:B141),"median", MEDIAN(Instances!B141:B141),"min", MIN(Instances!B141:B141),"max", MAX(Instances!B141:B141),"diff", MAX(Instances!B141:B141)-MIN(Instances!B141:B141))</f>
        <v>3858</v>
      </c>
      <c r="C141" s="1" t="n">
        <f aca="false" t="array" ref="C141:C141">_xlfn.SWITCH($A$2,"average", AVERAGE(Instances!C141:C141),"median", MEDIAN(Instances!C141:C141),"min", MIN(Instances!C141:C141),"max", MAX(Instances!C141:C141),"diff", MAX(Instances!C141:C141)-MIN(Instances!C141:C141))</f>
        <v>39</v>
      </c>
      <c r="D141" s="1" t="n">
        <f aca="false" t="array" ref="D141:D141">_xlfn.SWITCH($A$2,"average", AVERAGE(Instances!D141:D141),"median", MEDIAN(Instances!D141:D141),"min", MIN(Instances!D141:D141),"max", MAX(Instances!D141:D141),"diff", MAX(Instances!D141:D141)-MIN(Instances!D141:D141))</f>
        <v>1549850</v>
      </c>
      <c r="E141" s="1" t="n">
        <f aca="false" t="array" ref="E141:E141">_xlfn.SWITCH($A$2,"average", AVERAGE(Instances!E141:E141),"median", MEDIAN(Instances!E141:E141),"min", MIN(Instances!E141:E141),"max", MAX(Instances!E141:E141),"diff", MAX(Instances!E141:E141)-MIN(Instances!E141:E141))</f>
        <v>0</v>
      </c>
      <c r="F141" s="1" t="n">
        <f aca="false" t="array" ref="F141:F141">_xlfn.SWITCH($A$2,"average", AVERAGE(Instances!F141:F141),"median", MEDIAN(Instances!F141:F141),"min", MIN(Instances!F141:F141),"max", MAX(Instances!F141:F141),"diff", MAX(Instances!F141:F141)-MIN(Instances!F141:F141))</f>
        <v>780</v>
      </c>
      <c r="G141" s="1" t="n">
        <f aca="false" t="array" ref="G141:G141">_xlfn.SWITCH($A$2,"average", AVERAGE(Instances!G141:G141),"median", MEDIAN(Instances!G141:G141),"min", MIN(Instances!G141:G141),"max", MAX(Instances!G141:G141),"diff", MAX(Instances!G141:G141)-MIN(Instances!G141:G141))</f>
        <v>0</v>
      </c>
      <c r="H141" s="1" t="n">
        <f aca="false" t="array" ref="H141:H141">_xlfn.SWITCH($A$2,"average", AVERAGE(Instances!H141:H141),"median", MEDIAN(Instances!H141:H141),"min", MIN(Instances!H141:H141),"max", MAX(Instances!H141:H141),"diff", MAX(Instances!H141:H141)-MIN(Instances!H141:H141))</f>
        <v>1</v>
      </c>
      <c r="I141" s="1" t="n">
        <f aca="false" t="array" ref="I141:I141">_xlfn.SWITCH($A$2,"average", AVERAGE(Instances!I141:I141),"median", MEDIAN(Instances!I141:I141),"min", MIN(Instances!I141:I141),"max", MAX(Instances!I141:I141),"diff", MAX(Instances!I141:I141)-MIN(Instances!I141:I141))</f>
        <v>12.041</v>
      </c>
      <c r="J141" s="1" t="n">
        <f aca="false" t="array" ref="J141:J141">_xlfn.SWITCH($A$2,"average", AVERAGE(Instances!J141:J141),"median", MEDIAN(Instances!J141:J141),"min", MIN(Instances!J141:J141),"max", MAX(Instances!J141:J141),"diff", MAX(Instances!J141:J141)-MIN(Instances!J141:J141))</f>
        <v>12.33</v>
      </c>
      <c r="K141" s="1" t="n">
        <f aca="false" t="array" ref="K141:K141">_xlfn.SWITCH($A$2,"average", AVERAGE(Instances!K141:K141),"median", MEDIAN(Instances!K141:K141),"min", MIN(Instances!K141:K141),"max", MAX(Instances!K141:K141),"diff", MAX(Instances!K141:K141)-MIN(Instances!K141:K141))</f>
        <v>0</v>
      </c>
      <c r="L141" s="1"/>
      <c r="M141" s="1" t="n">
        <f aca="false" t="array" ref="M141:M141">_xlfn.SWITCH($A$2,"average", AVERAGE(Instances!M141:M141),"median", MEDIAN(Instances!M141:M141),"min", MIN(Instances!M141:M141),"max", MAX(Instances!M141:M141),"diff", MAX(Instances!M141:M141)-MIN(Instances!M141:M141))</f>
        <v>2810007</v>
      </c>
      <c r="N141" s="1" t="n">
        <f aca="false" t="array" ref="N141:N141">_xlfn.SWITCH($A$2,"average", AVERAGE(Instances!N141:N141),"median", MEDIAN(Instances!N141:N141),"min", MIN(Instances!N141:N141),"max", MAX(Instances!N141:N141),"diff", MAX(Instances!N141:N141)-MIN(Instances!N141:N141))</f>
        <v>0.14</v>
      </c>
      <c r="O141" s="1"/>
      <c r="P141" s="1" t="n">
        <f aca="false" t="array" ref="P141:P141">_xlfn.SWITCH($A$2,"average", AVERAGE(Instances!P141:P141),"median", MEDIAN(Instances!P141:P141),"min", MIN(Instances!P141:P141),"max", MAX(Instances!P141:P141),"diff", MAX(Instances!P141:P141)-MIN(Instances!P141:P141))</f>
        <v>12.33</v>
      </c>
      <c r="Q141" s="1" t="n">
        <f aca="false" t="array" ref="Q141:Q141">_xlfn.SWITCH($A$2,"average", AVERAGE(Instances!Q141:Q141),"median", MEDIAN(Instances!Q141:Q141),"min", MIN(Instances!Q141:Q141),"max", MAX(Instances!Q141:Q141),"diff", MAX(Instances!Q141:Q141)-MIN(Instances!Q141:Q141))</f>
        <v>0</v>
      </c>
      <c r="R141" s="1" t="n">
        <f aca="false" t="array" ref="R141:R141">_xlfn.SWITCH($A$2,"average", AVERAGE(Instances!R141:R141),"median", MEDIAN(Instances!R141:R141),"min", MIN(Instances!R141:R141),"max", MAX(Instances!R141:R141),"diff", MAX(Instances!R141:R141)-MIN(Instances!R141:R141))</f>
        <v>798153</v>
      </c>
      <c r="S141" s="1" t="n">
        <f aca="false">MIN($B141)</f>
        <v>3858</v>
      </c>
      <c r="T141" s="1" t="n">
        <f aca="false">MIN($C141)</f>
        <v>39</v>
      </c>
      <c r="U141" s="1" t="n">
        <f aca="false">MIN($D141)</f>
        <v>1549850</v>
      </c>
      <c r="V141" s="1" t="n">
        <f aca="false">MIN($E141)</f>
        <v>0</v>
      </c>
      <c r="W141" s="1" t="n">
        <f aca="false">MIN($F141)</f>
        <v>780</v>
      </c>
      <c r="X141" s="1" t="n">
        <f aca="false">MIN($G141)</f>
        <v>0</v>
      </c>
      <c r="Y141" s="1" t="n">
        <f aca="false">MIN($H141)</f>
        <v>1</v>
      </c>
      <c r="Z141" s="1" t="n">
        <f aca="false">MIN($I141)</f>
        <v>12.041</v>
      </c>
      <c r="AA141" s="1" t="n">
        <f aca="false">MIN($J141)</f>
        <v>12.33</v>
      </c>
      <c r="AB141" s="1" t="n">
        <f aca="false">MIN($K141)</f>
        <v>0</v>
      </c>
      <c r="AC141" s="1" t="n">
        <f aca="false">MIN($M141)</f>
        <v>2810007</v>
      </c>
      <c r="AD141" s="1" t="n">
        <f aca="false">MIN($N141)</f>
        <v>0.14</v>
      </c>
      <c r="AE141" s="1" t="n">
        <f aca="false">MIN($P141)</f>
        <v>12.33</v>
      </c>
      <c r="AF141" s="1" t="n">
        <f aca="false">MIN($Q141)</f>
        <v>0</v>
      </c>
      <c r="AG141" s="1" t="n">
        <f aca="false">MIN($R141)</f>
        <v>798153</v>
      </c>
      <c r="AH141" s="1" t="n">
        <f aca="false">MEDIAN($B141)</f>
        <v>3858</v>
      </c>
      <c r="AI141" s="1" t="n">
        <f aca="false">MEDIAN($C141)</f>
        <v>39</v>
      </c>
      <c r="AJ141" s="1" t="n">
        <f aca="false">MEDIAN($D141)</f>
        <v>1549850</v>
      </c>
      <c r="AK141" s="1" t="n">
        <f aca="false">MEDIAN($E141)</f>
        <v>0</v>
      </c>
      <c r="AL141" s="1" t="n">
        <f aca="false">MEDIAN($F141)</f>
        <v>780</v>
      </c>
      <c r="AM141" s="1" t="n">
        <f aca="false">MEDIAN($G141)</f>
        <v>0</v>
      </c>
      <c r="AN141" s="1" t="n">
        <f aca="false">MEDIAN($H141)</f>
        <v>1</v>
      </c>
      <c r="AO141" s="1" t="n">
        <f aca="false">MEDIAN($I141)</f>
        <v>12.041</v>
      </c>
      <c r="AP141" s="1" t="n">
        <f aca="false">MEDIAN($J141)</f>
        <v>12.33</v>
      </c>
      <c r="AQ141" s="1" t="n">
        <f aca="false">MEDIAN($K141)</f>
        <v>0</v>
      </c>
      <c r="AR141" s="1" t="n">
        <f aca="false">MEDIAN($M141)</f>
        <v>2810007</v>
      </c>
      <c r="AS141" s="1" t="n">
        <f aca="false">MEDIAN($N141)</f>
        <v>0.14</v>
      </c>
      <c r="AT141" s="1" t="n">
        <f aca="false">MEDIAN($P141)</f>
        <v>12.33</v>
      </c>
      <c r="AU141" s="1" t="n">
        <f aca="false">MEDIAN($Q141)</f>
        <v>0</v>
      </c>
      <c r="AV141" s="1" t="n">
        <f aca="false">MEDIAN($R141)</f>
        <v>798153</v>
      </c>
      <c r="AW141" s="1" t="n">
        <f aca="false">MAX($B141)</f>
        <v>3858</v>
      </c>
      <c r="AX141" s="1" t="n">
        <f aca="false">MAX($C141)</f>
        <v>39</v>
      </c>
      <c r="AY141" s="1" t="n">
        <f aca="false">MAX($D141)</f>
        <v>1549850</v>
      </c>
      <c r="AZ141" s="1" t="n">
        <f aca="false">MAX($E141)</f>
        <v>0</v>
      </c>
      <c r="BA141" s="1" t="n">
        <f aca="false">MAX($F141)</f>
        <v>780</v>
      </c>
      <c r="BB141" s="1" t="n">
        <f aca="false">MAX($G141)</f>
        <v>0</v>
      </c>
      <c r="BC141" s="1" t="n">
        <f aca="false">MAX($H141)</f>
        <v>1</v>
      </c>
      <c r="BD141" s="1" t="n">
        <f aca="false">MAX($I141)</f>
        <v>12.041</v>
      </c>
      <c r="BE141" s="1" t="n">
        <f aca="false">MAX($J141)</f>
        <v>12.33</v>
      </c>
      <c r="BF141" s="1" t="n">
        <f aca="false">MAX($K141)</f>
        <v>0</v>
      </c>
      <c r="BG141" s="1" t="n">
        <f aca="false">MAX($M141)</f>
        <v>2810007</v>
      </c>
      <c r="BH141" s="1" t="n">
        <f aca="false">MAX($N141)</f>
        <v>0.14</v>
      </c>
      <c r="BI141" s="1" t="n">
        <f aca="false">MAX($P141)</f>
        <v>12.33</v>
      </c>
      <c r="BJ141" s="1" t="n">
        <f aca="false">MAX($Q141)</f>
        <v>0</v>
      </c>
      <c r="BK141" s="1" t="n">
        <f aca="false">MAX($R141)</f>
        <v>798153</v>
      </c>
    </row>
    <row r="142" customFormat="false" ht="15" hidden="false" customHeight="false" outlineLevel="0" collapsed="false">
      <c r="A142" s="1" t="s">
        <v>159</v>
      </c>
      <c r="B142" s="1" t="n">
        <f aca="false" t="array" ref="B142:B142">_xlfn.SWITCH($A$2,"average", AVERAGE(Instances!B142:B142),"median", MEDIAN(Instances!B142:B142),"min", MIN(Instances!B142:B142),"max", MAX(Instances!B142:B142),"diff", MAX(Instances!B142:B142)-MIN(Instances!B142:B142))</f>
        <v>4536</v>
      </c>
      <c r="C142" s="1" t="n">
        <f aca="false" t="array" ref="C142:C142">_xlfn.SWITCH($A$2,"average", AVERAGE(Instances!C142:C142),"median", MEDIAN(Instances!C142:C142),"min", MIN(Instances!C142:C142),"max", MAX(Instances!C142:C142),"diff", MAX(Instances!C142:C142)-MIN(Instances!C142:C142))</f>
        <v>7</v>
      </c>
      <c r="D142" s="1" t="n">
        <f aca="false" t="array" ref="D142:D142">_xlfn.SWITCH($A$2,"average", AVERAGE(Instances!D142:D142),"median", MEDIAN(Instances!D142:D142),"min", MIN(Instances!D142:D142),"max", MAX(Instances!D142:D142),"diff", MAX(Instances!D142:D142)-MIN(Instances!D142:D142))</f>
        <v>1634387</v>
      </c>
      <c r="E142" s="1" t="n">
        <f aca="false" t="array" ref="E142:E142">_xlfn.SWITCH($A$2,"average", AVERAGE(Instances!E142:E142),"median", MEDIAN(Instances!E142:E142),"min", MIN(Instances!E142:E142),"max", MAX(Instances!E142:E142),"diff", MAX(Instances!E142:E142)-MIN(Instances!E142:E142))</f>
        <v>0</v>
      </c>
      <c r="F142" s="1" t="n">
        <f aca="false" t="array" ref="F142:F142">_xlfn.SWITCH($A$2,"average", AVERAGE(Instances!F142:F142),"median", MEDIAN(Instances!F142:F142),"min", MIN(Instances!F142:F142),"max", MAX(Instances!F142:F142),"diff", MAX(Instances!F142:F142)-MIN(Instances!F142:F142))</f>
        <v>830</v>
      </c>
      <c r="G142" s="1" t="n">
        <f aca="false" t="array" ref="G142:G142">_xlfn.SWITCH($A$2,"average", AVERAGE(Instances!G142:G142),"median", MEDIAN(Instances!G142:G142),"min", MIN(Instances!G142:G142),"max", MAX(Instances!G142:G142),"diff", MAX(Instances!G142:G142)-MIN(Instances!G142:G142))</f>
        <v>0</v>
      </c>
      <c r="H142" s="1" t="n">
        <f aca="false" t="array" ref="H142:H142">_xlfn.SWITCH($A$2,"average", AVERAGE(Instances!H142:H142),"median", MEDIAN(Instances!H142:H142),"min", MIN(Instances!H142:H142),"max", MAX(Instances!H142:H142),"diff", MAX(Instances!H142:H142)-MIN(Instances!H142:H142))</f>
        <v>1</v>
      </c>
      <c r="I142" s="1" t="n">
        <f aca="false" t="array" ref="I142:I142">_xlfn.SWITCH($A$2,"average", AVERAGE(Instances!I142:I142),"median", MEDIAN(Instances!I142:I142),"min", MIN(Instances!I142:I142),"max", MAX(Instances!I142:I142),"diff", MAX(Instances!I142:I142)-MIN(Instances!I142:I142))</f>
        <v>12.955</v>
      </c>
      <c r="J142" s="1" t="n">
        <f aca="false" t="array" ref="J142:J142">_xlfn.SWITCH($A$2,"average", AVERAGE(Instances!J142:J142),"median", MEDIAN(Instances!J142:J142),"min", MIN(Instances!J142:J142),"max", MAX(Instances!J142:J142),"diff", MAX(Instances!J142:J142)-MIN(Instances!J142:J142))</f>
        <v>13.24</v>
      </c>
      <c r="K142" s="1" t="n">
        <f aca="false" t="array" ref="K142:K142">_xlfn.SWITCH($A$2,"average", AVERAGE(Instances!K142:K142),"median", MEDIAN(Instances!K142:K142),"min", MIN(Instances!K142:K142),"max", MAX(Instances!K142:K142),"diff", MAX(Instances!K142:K142)-MIN(Instances!K142:K142))</f>
        <v>0</v>
      </c>
      <c r="L142" s="1"/>
      <c r="M142" s="1" t="n">
        <f aca="false" t="array" ref="M142:M142">_xlfn.SWITCH($A$2,"average", AVERAGE(Instances!M142:M142),"median", MEDIAN(Instances!M142:M142),"min", MIN(Instances!M142:M142),"max", MAX(Instances!M142:M142),"diff", MAX(Instances!M142:M142)-MIN(Instances!M142:M142))</f>
        <v>2990179</v>
      </c>
      <c r="N142" s="1" t="n">
        <f aca="false" t="array" ref="N142:N142">_xlfn.SWITCH($A$2,"average", AVERAGE(Instances!N142:N142),"median", MEDIAN(Instances!N142:N142),"min", MIN(Instances!N142:N142),"max", MAX(Instances!N142:N142),"diff", MAX(Instances!N142:N142)-MIN(Instances!N142:N142))</f>
        <v>0.14</v>
      </c>
      <c r="O142" s="1"/>
      <c r="P142" s="1" t="n">
        <f aca="false" t="array" ref="P142:P142">_xlfn.SWITCH($A$2,"average", AVERAGE(Instances!P142:P142),"median", MEDIAN(Instances!P142:P142),"min", MIN(Instances!P142:P142),"max", MAX(Instances!P142:P142),"diff", MAX(Instances!P142:P142)-MIN(Instances!P142:P142))</f>
        <v>13.24</v>
      </c>
      <c r="Q142" s="1" t="n">
        <f aca="false" t="array" ref="Q142:Q142">_xlfn.SWITCH($A$2,"average", AVERAGE(Instances!Q142:Q142),"median", MEDIAN(Instances!Q142:Q142),"min", MIN(Instances!Q142:Q142),"max", MAX(Instances!Q142:Q142),"diff", MAX(Instances!Q142:Q142)-MIN(Instances!Q142:Q142))</f>
        <v>0</v>
      </c>
      <c r="R142" s="1" t="n">
        <f aca="false" t="array" ref="R142:R142">_xlfn.SWITCH($A$2,"average", AVERAGE(Instances!R142:R142),"median", MEDIAN(Instances!R142:R142),"min", MIN(Instances!R142:R142),"max", MAX(Instances!R142:R142),"diff", MAX(Instances!R142:R142)-MIN(Instances!R142:R142))</f>
        <v>846082</v>
      </c>
      <c r="S142" s="1" t="n">
        <f aca="false">MIN($B142)</f>
        <v>4536</v>
      </c>
      <c r="T142" s="1" t="n">
        <f aca="false">MIN($C142)</f>
        <v>7</v>
      </c>
      <c r="U142" s="1" t="n">
        <f aca="false">MIN($D142)</f>
        <v>1634387</v>
      </c>
      <c r="V142" s="1" t="n">
        <f aca="false">MIN($E142)</f>
        <v>0</v>
      </c>
      <c r="W142" s="1" t="n">
        <f aca="false">MIN($F142)</f>
        <v>830</v>
      </c>
      <c r="X142" s="1" t="n">
        <f aca="false">MIN($G142)</f>
        <v>0</v>
      </c>
      <c r="Y142" s="1" t="n">
        <f aca="false">MIN($H142)</f>
        <v>1</v>
      </c>
      <c r="Z142" s="1" t="n">
        <f aca="false">MIN($I142)</f>
        <v>12.955</v>
      </c>
      <c r="AA142" s="1" t="n">
        <f aca="false">MIN($J142)</f>
        <v>13.24</v>
      </c>
      <c r="AB142" s="1" t="n">
        <f aca="false">MIN($K142)</f>
        <v>0</v>
      </c>
      <c r="AC142" s="1" t="n">
        <f aca="false">MIN($M142)</f>
        <v>2990179</v>
      </c>
      <c r="AD142" s="1" t="n">
        <f aca="false">MIN($N142)</f>
        <v>0.14</v>
      </c>
      <c r="AE142" s="1" t="n">
        <f aca="false">MIN($P142)</f>
        <v>13.24</v>
      </c>
      <c r="AF142" s="1" t="n">
        <f aca="false">MIN($Q142)</f>
        <v>0</v>
      </c>
      <c r="AG142" s="1" t="n">
        <f aca="false">MIN($R142)</f>
        <v>846082</v>
      </c>
      <c r="AH142" s="1" t="n">
        <f aca="false">MEDIAN($B142)</f>
        <v>4536</v>
      </c>
      <c r="AI142" s="1" t="n">
        <f aca="false">MEDIAN($C142)</f>
        <v>7</v>
      </c>
      <c r="AJ142" s="1" t="n">
        <f aca="false">MEDIAN($D142)</f>
        <v>1634387</v>
      </c>
      <c r="AK142" s="1" t="n">
        <f aca="false">MEDIAN($E142)</f>
        <v>0</v>
      </c>
      <c r="AL142" s="1" t="n">
        <f aca="false">MEDIAN($F142)</f>
        <v>830</v>
      </c>
      <c r="AM142" s="1" t="n">
        <f aca="false">MEDIAN($G142)</f>
        <v>0</v>
      </c>
      <c r="AN142" s="1" t="n">
        <f aca="false">MEDIAN($H142)</f>
        <v>1</v>
      </c>
      <c r="AO142" s="1" t="n">
        <f aca="false">MEDIAN($I142)</f>
        <v>12.955</v>
      </c>
      <c r="AP142" s="1" t="n">
        <f aca="false">MEDIAN($J142)</f>
        <v>13.24</v>
      </c>
      <c r="AQ142" s="1" t="n">
        <f aca="false">MEDIAN($K142)</f>
        <v>0</v>
      </c>
      <c r="AR142" s="1" t="n">
        <f aca="false">MEDIAN($M142)</f>
        <v>2990179</v>
      </c>
      <c r="AS142" s="1" t="n">
        <f aca="false">MEDIAN($N142)</f>
        <v>0.14</v>
      </c>
      <c r="AT142" s="1" t="n">
        <f aca="false">MEDIAN($P142)</f>
        <v>13.24</v>
      </c>
      <c r="AU142" s="1" t="n">
        <f aca="false">MEDIAN($Q142)</f>
        <v>0</v>
      </c>
      <c r="AV142" s="1" t="n">
        <f aca="false">MEDIAN($R142)</f>
        <v>846082</v>
      </c>
      <c r="AW142" s="1" t="n">
        <f aca="false">MAX($B142)</f>
        <v>4536</v>
      </c>
      <c r="AX142" s="1" t="n">
        <f aca="false">MAX($C142)</f>
        <v>7</v>
      </c>
      <c r="AY142" s="1" t="n">
        <f aca="false">MAX($D142)</f>
        <v>1634387</v>
      </c>
      <c r="AZ142" s="1" t="n">
        <f aca="false">MAX($E142)</f>
        <v>0</v>
      </c>
      <c r="BA142" s="1" t="n">
        <f aca="false">MAX($F142)</f>
        <v>830</v>
      </c>
      <c r="BB142" s="1" t="n">
        <f aca="false">MAX($G142)</f>
        <v>0</v>
      </c>
      <c r="BC142" s="1" t="n">
        <f aca="false">MAX($H142)</f>
        <v>1</v>
      </c>
      <c r="BD142" s="1" t="n">
        <f aca="false">MAX($I142)</f>
        <v>12.955</v>
      </c>
      <c r="BE142" s="1" t="n">
        <f aca="false">MAX($J142)</f>
        <v>13.24</v>
      </c>
      <c r="BF142" s="1" t="n">
        <f aca="false">MAX($K142)</f>
        <v>0</v>
      </c>
      <c r="BG142" s="1" t="n">
        <f aca="false">MAX($M142)</f>
        <v>2990179</v>
      </c>
      <c r="BH142" s="1" t="n">
        <f aca="false">MAX($N142)</f>
        <v>0.14</v>
      </c>
      <c r="BI142" s="1" t="n">
        <f aca="false">MAX($P142)</f>
        <v>13.24</v>
      </c>
      <c r="BJ142" s="1" t="n">
        <f aca="false">MAX($Q142)</f>
        <v>0</v>
      </c>
      <c r="BK142" s="1" t="n">
        <f aca="false">MAX($R142)</f>
        <v>846082</v>
      </c>
    </row>
    <row r="143" customFormat="false" ht="15" hidden="false" customHeight="false" outlineLevel="0" collapsed="false">
      <c r="A143" s="1" t="s">
        <v>160</v>
      </c>
      <c r="B143" s="1" t="n">
        <f aca="false" t="array" ref="B143:B143">_xlfn.SWITCH($A$2,"average", AVERAGE(Instances!B143:B143),"median", MEDIAN(Instances!B143:B143),"min", MIN(Instances!B143:B143),"max", MAX(Instances!B143:B143),"diff", MAX(Instances!B143:B143)-MIN(Instances!B143:B143))</f>
        <v>3379</v>
      </c>
      <c r="C143" s="1" t="n">
        <f aca="false" t="array" ref="C143:C143">_xlfn.SWITCH($A$2,"average", AVERAGE(Instances!C143:C143),"median", MEDIAN(Instances!C143:C143),"min", MIN(Instances!C143:C143),"max", MAX(Instances!C143:C143),"diff", MAX(Instances!C143:C143)-MIN(Instances!C143:C143))</f>
        <v>10</v>
      </c>
      <c r="D143" s="1" t="n">
        <f aca="false" t="array" ref="D143:D143">_xlfn.SWITCH($A$2,"average", AVERAGE(Instances!D143:D143),"median", MEDIAN(Instances!D143:D143),"min", MIN(Instances!D143:D143),"max", MAX(Instances!D143:D143),"diff", MAX(Instances!D143:D143)-MIN(Instances!D143:D143))</f>
        <v>1780851</v>
      </c>
      <c r="E143" s="1" t="n">
        <f aca="false" t="array" ref="E143:E143">_xlfn.SWITCH($A$2,"average", AVERAGE(Instances!E143:E143),"median", MEDIAN(Instances!E143:E143),"min", MIN(Instances!E143:E143),"max", MAX(Instances!E143:E143),"diff", MAX(Instances!E143:E143)-MIN(Instances!E143:E143))</f>
        <v>0</v>
      </c>
      <c r="F143" s="1" t="n">
        <f aca="false" t="array" ref="F143:F143">_xlfn.SWITCH($A$2,"average", AVERAGE(Instances!F143:F143),"median", MEDIAN(Instances!F143:F143),"min", MIN(Instances!F143:F143),"max", MAX(Instances!F143:F143),"diff", MAX(Instances!F143:F143)-MIN(Instances!F143:F143))</f>
        <v>862</v>
      </c>
      <c r="G143" s="1" t="n">
        <f aca="false" t="array" ref="G143:G143">_xlfn.SWITCH($A$2,"average", AVERAGE(Instances!G143:G143),"median", MEDIAN(Instances!G143:G143),"min", MIN(Instances!G143:G143),"max", MAX(Instances!G143:G143),"diff", MAX(Instances!G143:G143)-MIN(Instances!G143:G143))</f>
        <v>0</v>
      </c>
      <c r="H143" s="1" t="n">
        <f aca="false" t="array" ref="H143:H143">_xlfn.SWITCH($A$2,"average", AVERAGE(Instances!H143:H143),"median", MEDIAN(Instances!H143:H143),"min", MIN(Instances!H143:H143),"max", MAX(Instances!H143:H143),"diff", MAX(Instances!H143:H143)-MIN(Instances!H143:H143))</f>
        <v>1</v>
      </c>
      <c r="I143" s="1" t="n">
        <f aca="false" t="array" ref="I143:I143">_xlfn.SWITCH($A$2,"average", AVERAGE(Instances!I143:I143),"median", MEDIAN(Instances!I143:I143),"min", MIN(Instances!I143:I143),"max", MAX(Instances!I143:I143),"diff", MAX(Instances!I143:I143)-MIN(Instances!I143:I143))</f>
        <v>13.107</v>
      </c>
      <c r="J143" s="1" t="n">
        <f aca="false" t="array" ref="J143:J143">_xlfn.SWITCH($A$2,"average", AVERAGE(Instances!J143:J143),"median", MEDIAN(Instances!J143:J143),"min", MIN(Instances!J143:J143),"max", MAX(Instances!J143:J143),"diff", MAX(Instances!J143:J143)-MIN(Instances!J143:J143))</f>
        <v>13.4</v>
      </c>
      <c r="K143" s="1" t="n">
        <f aca="false" t="array" ref="K143:K143">_xlfn.SWITCH($A$2,"average", AVERAGE(Instances!K143:K143),"median", MEDIAN(Instances!K143:K143),"min", MIN(Instances!K143:K143),"max", MAX(Instances!K143:K143),"diff", MAX(Instances!K143:K143)-MIN(Instances!K143:K143))</f>
        <v>0</v>
      </c>
      <c r="L143" s="1"/>
      <c r="M143" s="1" t="n">
        <f aca="false" t="array" ref="M143:M143">_xlfn.SWITCH($A$2,"average", AVERAGE(Instances!M143:M143),"median", MEDIAN(Instances!M143:M143),"min", MIN(Instances!M143:M143),"max", MAX(Instances!M143:M143),"diff", MAX(Instances!M143:M143)-MIN(Instances!M143:M143))</f>
        <v>3163996</v>
      </c>
      <c r="N143" s="1" t="n">
        <f aca="false" t="array" ref="N143:N143">_xlfn.SWITCH($A$2,"average", AVERAGE(Instances!N143:N143),"median", MEDIAN(Instances!N143:N143),"min", MIN(Instances!N143:N143),"max", MAX(Instances!N143:N143),"diff", MAX(Instances!N143:N143)-MIN(Instances!N143:N143))</f>
        <v>0.14</v>
      </c>
      <c r="O143" s="1"/>
      <c r="P143" s="1" t="n">
        <f aca="false" t="array" ref="P143:P143">_xlfn.SWITCH($A$2,"average", AVERAGE(Instances!P143:P143),"median", MEDIAN(Instances!P143:P143),"min", MIN(Instances!P143:P143),"max", MAX(Instances!P143:P143),"diff", MAX(Instances!P143:P143)-MIN(Instances!P143:P143))</f>
        <v>13.4</v>
      </c>
      <c r="Q143" s="1" t="n">
        <f aca="false" t="array" ref="Q143:Q143">_xlfn.SWITCH($A$2,"average", AVERAGE(Instances!Q143:Q143),"median", MEDIAN(Instances!Q143:Q143),"min", MIN(Instances!Q143:Q143),"max", MAX(Instances!Q143:Q143),"diff", MAX(Instances!Q143:Q143)-MIN(Instances!Q143:Q143))</f>
        <v>0</v>
      </c>
      <c r="R143" s="1" t="n">
        <f aca="false" t="array" ref="R143:R143">_xlfn.SWITCH($A$2,"average", AVERAGE(Instances!R143:R143),"median", MEDIAN(Instances!R143:R143),"min", MIN(Instances!R143:R143),"max", MAX(Instances!R143:R143),"diff", MAX(Instances!R143:R143)-MIN(Instances!R143:R143))</f>
        <v>883963</v>
      </c>
      <c r="S143" s="1" t="n">
        <f aca="false">MIN($B143)</f>
        <v>3379</v>
      </c>
      <c r="T143" s="1" t="n">
        <f aca="false">MIN($C143)</f>
        <v>10</v>
      </c>
      <c r="U143" s="1" t="n">
        <f aca="false">MIN($D143)</f>
        <v>1780851</v>
      </c>
      <c r="V143" s="1" t="n">
        <f aca="false">MIN($E143)</f>
        <v>0</v>
      </c>
      <c r="W143" s="1" t="n">
        <f aca="false">MIN($F143)</f>
        <v>862</v>
      </c>
      <c r="X143" s="1" t="n">
        <f aca="false">MIN($G143)</f>
        <v>0</v>
      </c>
      <c r="Y143" s="1" t="n">
        <f aca="false">MIN($H143)</f>
        <v>1</v>
      </c>
      <c r="Z143" s="1" t="n">
        <f aca="false">MIN($I143)</f>
        <v>13.107</v>
      </c>
      <c r="AA143" s="1" t="n">
        <f aca="false">MIN($J143)</f>
        <v>13.4</v>
      </c>
      <c r="AB143" s="1" t="n">
        <f aca="false">MIN($K143)</f>
        <v>0</v>
      </c>
      <c r="AC143" s="1" t="n">
        <f aca="false">MIN($M143)</f>
        <v>3163996</v>
      </c>
      <c r="AD143" s="1" t="n">
        <f aca="false">MIN($N143)</f>
        <v>0.14</v>
      </c>
      <c r="AE143" s="1" t="n">
        <f aca="false">MIN($P143)</f>
        <v>13.4</v>
      </c>
      <c r="AF143" s="1" t="n">
        <f aca="false">MIN($Q143)</f>
        <v>0</v>
      </c>
      <c r="AG143" s="1" t="n">
        <f aca="false">MIN($R143)</f>
        <v>883963</v>
      </c>
      <c r="AH143" s="1" t="n">
        <f aca="false">MEDIAN($B143)</f>
        <v>3379</v>
      </c>
      <c r="AI143" s="1" t="n">
        <f aca="false">MEDIAN($C143)</f>
        <v>10</v>
      </c>
      <c r="AJ143" s="1" t="n">
        <f aca="false">MEDIAN($D143)</f>
        <v>1780851</v>
      </c>
      <c r="AK143" s="1" t="n">
        <f aca="false">MEDIAN($E143)</f>
        <v>0</v>
      </c>
      <c r="AL143" s="1" t="n">
        <f aca="false">MEDIAN($F143)</f>
        <v>862</v>
      </c>
      <c r="AM143" s="1" t="n">
        <f aca="false">MEDIAN($G143)</f>
        <v>0</v>
      </c>
      <c r="AN143" s="1" t="n">
        <f aca="false">MEDIAN($H143)</f>
        <v>1</v>
      </c>
      <c r="AO143" s="1" t="n">
        <f aca="false">MEDIAN($I143)</f>
        <v>13.107</v>
      </c>
      <c r="AP143" s="1" t="n">
        <f aca="false">MEDIAN($J143)</f>
        <v>13.4</v>
      </c>
      <c r="AQ143" s="1" t="n">
        <f aca="false">MEDIAN($K143)</f>
        <v>0</v>
      </c>
      <c r="AR143" s="1" t="n">
        <f aca="false">MEDIAN($M143)</f>
        <v>3163996</v>
      </c>
      <c r="AS143" s="1" t="n">
        <f aca="false">MEDIAN($N143)</f>
        <v>0.14</v>
      </c>
      <c r="AT143" s="1" t="n">
        <f aca="false">MEDIAN($P143)</f>
        <v>13.4</v>
      </c>
      <c r="AU143" s="1" t="n">
        <f aca="false">MEDIAN($Q143)</f>
        <v>0</v>
      </c>
      <c r="AV143" s="1" t="n">
        <f aca="false">MEDIAN($R143)</f>
        <v>883963</v>
      </c>
      <c r="AW143" s="1" t="n">
        <f aca="false">MAX($B143)</f>
        <v>3379</v>
      </c>
      <c r="AX143" s="1" t="n">
        <f aca="false">MAX($C143)</f>
        <v>10</v>
      </c>
      <c r="AY143" s="1" t="n">
        <f aca="false">MAX($D143)</f>
        <v>1780851</v>
      </c>
      <c r="AZ143" s="1" t="n">
        <f aca="false">MAX($E143)</f>
        <v>0</v>
      </c>
      <c r="BA143" s="1" t="n">
        <f aca="false">MAX($F143)</f>
        <v>862</v>
      </c>
      <c r="BB143" s="1" t="n">
        <f aca="false">MAX($G143)</f>
        <v>0</v>
      </c>
      <c r="BC143" s="1" t="n">
        <f aca="false">MAX($H143)</f>
        <v>1</v>
      </c>
      <c r="BD143" s="1" t="n">
        <f aca="false">MAX($I143)</f>
        <v>13.107</v>
      </c>
      <c r="BE143" s="1" t="n">
        <f aca="false">MAX($J143)</f>
        <v>13.4</v>
      </c>
      <c r="BF143" s="1" t="n">
        <f aca="false">MAX($K143)</f>
        <v>0</v>
      </c>
      <c r="BG143" s="1" t="n">
        <f aca="false">MAX($M143)</f>
        <v>3163996</v>
      </c>
      <c r="BH143" s="1" t="n">
        <f aca="false">MAX($N143)</f>
        <v>0.14</v>
      </c>
      <c r="BI143" s="1" t="n">
        <f aca="false">MAX($P143)</f>
        <v>13.4</v>
      </c>
      <c r="BJ143" s="1" t="n">
        <f aca="false">MAX($Q143)</f>
        <v>0</v>
      </c>
      <c r="BK143" s="1" t="n">
        <f aca="false">MAX($R143)</f>
        <v>883963</v>
      </c>
    </row>
    <row r="144" customFormat="false" ht="15" hidden="false" customHeight="false" outlineLevel="0" collapsed="false">
      <c r="A144" s="1" t="s">
        <v>161</v>
      </c>
      <c r="B144" s="1" t="n">
        <f aca="false" t="array" ref="B144:B144">_xlfn.SWITCH($A$2,"average", AVERAGE(Instances!B144:B144),"median", MEDIAN(Instances!B144:B144),"min", MIN(Instances!B144:B144),"max", MAX(Instances!B144:B144),"diff", MAX(Instances!B144:B144)-MIN(Instances!B144:B144))</f>
        <v>3514</v>
      </c>
      <c r="C144" s="1" t="n">
        <f aca="false" t="array" ref="C144:C144">_xlfn.SWITCH($A$2,"average", AVERAGE(Instances!C144:C144),"median", MEDIAN(Instances!C144:C144),"min", MIN(Instances!C144:C144),"max", MAX(Instances!C144:C144),"diff", MAX(Instances!C144:C144)-MIN(Instances!C144:C144))</f>
        <v>7</v>
      </c>
      <c r="D144" s="1" t="n">
        <f aca="false" t="array" ref="D144:D144">_xlfn.SWITCH($A$2,"average", AVERAGE(Instances!D144:D144),"median", MEDIAN(Instances!D144:D144),"min", MIN(Instances!D144:D144),"max", MAX(Instances!D144:D144),"diff", MAX(Instances!D144:D144)-MIN(Instances!D144:D144))</f>
        <v>1489933</v>
      </c>
      <c r="E144" s="1" t="n">
        <f aca="false" t="array" ref="E144:E144">_xlfn.SWITCH($A$2,"average", AVERAGE(Instances!E144:E144),"median", MEDIAN(Instances!E144:E144),"min", MIN(Instances!E144:E144),"max", MAX(Instances!E144:E144),"diff", MAX(Instances!E144:E144)-MIN(Instances!E144:E144))</f>
        <v>0</v>
      </c>
      <c r="F144" s="1" t="n">
        <f aca="false" t="array" ref="F144:F144">_xlfn.SWITCH($A$2,"average", AVERAGE(Instances!F144:F144),"median", MEDIAN(Instances!F144:F144),"min", MIN(Instances!F144:F144),"max", MAX(Instances!F144:F144),"diff", MAX(Instances!F144:F144)-MIN(Instances!F144:F144))</f>
        <v>780</v>
      </c>
      <c r="G144" s="1" t="n">
        <f aca="false" t="array" ref="G144:G144">_xlfn.SWITCH($A$2,"average", AVERAGE(Instances!G144:G144),"median", MEDIAN(Instances!G144:G144),"min", MIN(Instances!G144:G144),"max", MAX(Instances!G144:G144),"diff", MAX(Instances!G144:G144)-MIN(Instances!G144:G144))</f>
        <v>0</v>
      </c>
      <c r="H144" s="1" t="n">
        <f aca="false" t="array" ref="H144:H144">_xlfn.SWITCH($A$2,"average", AVERAGE(Instances!H144:H144),"median", MEDIAN(Instances!H144:H144),"min", MIN(Instances!H144:H144),"max", MAX(Instances!H144:H144),"diff", MAX(Instances!H144:H144)-MIN(Instances!H144:H144))</f>
        <v>1</v>
      </c>
      <c r="I144" s="1" t="n">
        <f aca="false" t="array" ref="I144:I144">_xlfn.SWITCH($A$2,"average", AVERAGE(Instances!I144:I144),"median", MEDIAN(Instances!I144:I144),"min", MIN(Instances!I144:I144),"max", MAX(Instances!I144:I144),"diff", MAX(Instances!I144:I144)-MIN(Instances!I144:I144))</f>
        <v>12.266</v>
      </c>
      <c r="J144" s="1" t="n">
        <f aca="false" t="array" ref="J144:J144">_xlfn.SWITCH($A$2,"average", AVERAGE(Instances!J144:J144),"median", MEDIAN(Instances!J144:J144),"min", MIN(Instances!J144:J144),"max", MAX(Instances!J144:J144),"diff", MAX(Instances!J144:J144)-MIN(Instances!J144:J144))</f>
        <v>12.53</v>
      </c>
      <c r="K144" s="1" t="n">
        <f aca="false" t="array" ref="K144:K144">_xlfn.SWITCH($A$2,"average", AVERAGE(Instances!K144:K144),"median", MEDIAN(Instances!K144:K144),"min", MIN(Instances!K144:K144),"max", MAX(Instances!K144:K144),"diff", MAX(Instances!K144:K144)-MIN(Instances!K144:K144))</f>
        <v>0</v>
      </c>
      <c r="L144" s="1"/>
      <c r="M144" s="1" t="n">
        <f aca="false" t="array" ref="M144:M144">_xlfn.SWITCH($A$2,"average", AVERAGE(Instances!M144:M144),"median", MEDIAN(Instances!M144:M144),"min", MIN(Instances!M144:M144),"max", MAX(Instances!M144:M144),"diff", MAX(Instances!M144:M144)-MIN(Instances!M144:M144))</f>
        <v>2812827</v>
      </c>
      <c r="N144" s="1" t="n">
        <f aca="false" t="array" ref="N144:N144">_xlfn.SWITCH($A$2,"average", AVERAGE(Instances!N144:N144),"median", MEDIAN(Instances!N144:N144),"min", MIN(Instances!N144:N144),"max", MAX(Instances!N144:N144),"diff", MAX(Instances!N144:N144)-MIN(Instances!N144:N144))</f>
        <v>0.13</v>
      </c>
      <c r="O144" s="1"/>
      <c r="P144" s="1" t="n">
        <f aca="false" t="array" ref="P144:P144">_xlfn.SWITCH($A$2,"average", AVERAGE(Instances!P144:P144),"median", MEDIAN(Instances!P144:P144),"min", MIN(Instances!P144:P144),"max", MAX(Instances!P144:P144),"diff", MAX(Instances!P144:P144)-MIN(Instances!P144:P144))</f>
        <v>12.53</v>
      </c>
      <c r="Q144" s="1" t="n">
        <f aca="false" t="array" ref="Q144:Q144">_xlfn.SWITCH($A$2,"average", AVERAGE(Instances!Q144:Q144),"median", MEDIAN(Instances!Q144:Q144),"min", MIN(Instances!Q144:Q144),"max", MAX(Instances!Q144:Q144),"diff", MAX(Instances!Q144:Q144)-MIN(Instances!Q144:Q144))</f>
        <v>0</v>
      </c>
      <c r="R144" s="1" t="n">
        <f aca="false" t="array" ref="R144:R144">_xlfn.SWITCH($A$2,"average", AVERAGE(Instances!R144:R144),"median", MEDIAN(Instances!R144:R144),"min", MIN(Instances!R144:R144),"max", MAX(Instances!R144:R144),"diff", MAX(Instances!R144:R144)-MIN(Instances!R144:R144))</f>
        <v>797205</v>
      </c>
      <c r="S144" s="1" t="n">
        <f aca="false">MIN($B144)</f>
        <v>3514</v>
      </c>
      <c r="T144" s="1" t="n">
        <f aca="false">MIN($C144)</f>
        <v>7</v>
      </c>
      <c r="U144" s="1" t="n">
        <f aca="false">MIN($D144)</f>
        <v>1489933</v>
      </c>
      <c r="V144" s="1" t="n">
        <f aca="false">MIN($E144)</f>
        <v>0</v>
      </c>
      <c r="W144" s="1" t="n">
        <f aca="false">MIN($F144)</f>
        <v>780</v>
      </c>
      <c r="X144" s="1" t="n">
        <f aca="false">MIN($G144)</f>
        <v>0</v>
      </c>
      <c r="Y144" s="1" t="n">
        <f aca="false">MIN($H144)</f>
        <v>1</v>
      </c>
      <c r="Z144" s="1" t="n">
        <f aca="false">MIN($I144)</f>
        <v>12.266</v>
      </c>
      <c r="AA144" s="1" t="n">
        <f aca="false">MIN($J144)</f>
        <v>12.53</v>
      </c>
      <c r="AB144" s="1" t="n">
        <f aca="false">MIN($K144)</f>
        <v>0</v>
      </c>
      <c r="AC144" s="1" t="n">
        <f aca="false">MIN($M144)</f>
        <v>2812827</v>
      </c>
      <c r="AD144" s="1" t="n">
        <f aca="false">MIN($N144)</f>
        <v>0.13</v>
      </c>
      <c r="AE144" s="1" t="n">
        <f aca="false">MIN($P144)</f>
        <v>12.53</v>
      </c>
      <c r="AF144" s="1" t="n">
        <f aca="false">MIN($Q144)</f>
        <v>0</v>
      </c>
      <c r="AG144" s="1" t="n">
        <f aca="false">MIN($R144)</f>
        <v>797205</v>
      </c>
      <c r="AH144" s="1" t="n">
        <f aca="false">MEDIAN($B144)</f>
        <v>3514</v>
      </c>
      <c r="AI144" s="1" t="n">
        <f aca="false">MEDIAN($C144)</f>
        <v>7</v>
      </c>
      <c r="AJ144" s="1" t="n">
        <f aca="false">MEDIAN($D144)</f>
        <v>1489933</v>
      </c>
      <c r="AK144" s="1" t="n">
        <f aca="false">MEDIAN($E144)</f>
        <v>0</v>
      </c>
      <c r="AL144" s="1" t="n">
        <f aca="false">MEDIAN($F144)</f>
        <v>780</v>
      </c>
      <c r="AM144" s="1" t="n">
        <f aca="false">MEDIAN($G144)</f>
        <v>0</v>
      </c>
      <c r="AN144" s="1" t="n">
        <f aca="false">MEDIAN($H144)</f>
        <v>1</v>
      </c>
      <c r="AO144" s="1" t="n">
        <f aca="false">MEDIAN($I144)</f>
        <v>12.266</v>
      </c>
      <c r="AP144" s="1" t="n">
        <f aca="false">MEDIAN($J144)</f>
        <v>12.53</v>
      </c>
      <c r="AQ144" s="1" t="n">
        <f aca="false">MEDIAN($K144)</f>
        <v>0</v>
      </c>
      <c r="AR144" s="1" t="n">
        <f aca="false">MEDIAN($M144)</f>
        <v>2812827</v>
      </c>
      <c r="AS144" s="1" t="n">
        <f aca="false">MEDIAN($N144)</f>
        <v>0.13</v>
      </c>
      <c r="AT144" s="1" t="n">
        <f aca="false">MEDIAN($P144)</f>
        <v>12.53</v>
      </c>
      <c r="AU144" s="1" t="n">
        <f aca="false">MEDIAN($Q144)</f>
        <v>0</v>
      </c>
      <c r="AV144" s="1" t="n">
        <f aca="false">MEDIAN($R144)</f>
        <v>797205</v>
      </c>
      <c r="AW144" s="1" t="n">
        <f aca="false">MAX($B144)</f>
        <v>3514</v>
      </c>
      <c r="AX144" s="1" t="n">
        <f aca="false">MAX($C144)</f>
        <v>7</v>
      </c>
      <c r="AY144" s="1" t="n">
        <f aca="false">MAX($D144)</f>
        <v>1489933</v>
      </c>
      <c r="AZ144" s="1" t="n">
        <f aca="false">MAX($E144)</f>
        <v>0</v>
      </c>
      <c r="BA144" s="1" t="n">
        <f aca="false">MAX($F144)</f>
        <v>780</v>
      </c>
      <c r="BB144" s="1" t="n">
        <f aca="false">MAX($G144)</f>
        <v>0</v>
      </c>
      <c r="BC144" s="1" t="n">
        <f aca="false">MAX($H144)</f>
        <v>1</v>
      </c>
      <c r="BD144" s="1" t="n">
        <f aca="false">MAX($I144)</f>
        <v>12.266</v>
      </c>
      <c r="BE144" s="1" t="n">
        <f aca="false">MAX($J144)</f>
        <v>12.53</v>
      </c>
      <c r="BF144" s="1" t="n">
        <f aca="false">MAX($K144)</f>
        <v>0</v>
      </c>
      <c r="BG144" s="1" t="n">
        <f aca="false">MAX($M144)</f>
        <v>2812827</v>
      </c>
      <c r="BH144" s="1" t="n">
        <f aca="false">MAX($N144)</f>
        <v>0.13</v>
      </c>
      <c r="BI144" s="1" t="n">
        <f aca="false">MAX($P144)</f>
        <v>12.53</v>
      </c>
      <c r="BJ144" s="1" t="n">
        <f aca="false">MAX($Q144)</f>
        <v>0</v>
      </c>
      <c r="BK144" s="1" t="n">
        <f aca="false">MAX($R144)</f>
        <v>797205</v>
      </c>
    </row>
    <row r="145" customFormat="false" ht="15" hidden="false" customHeight="false" outlineLevel="0" collapsed="false">
      <c r="A145" s="1" t="s">
        <v>162</v>
      </c>
      <c r="B145" s="1" t="n">
        <f aca="false" t="array" ref="B145:B145">_xlfn.SWITCH($A$2,"average", AVERAGE(Instances!B145:B145),"median", MEDIAN(Instances!B145:B145),"min", MIN(Instances!B145:B145),"max", MAX(Instances!B145:B145),"diff", MAX(Instances!B145:B145)-MIN(Instances!B145:B145))</f>
        <v>239545</v>
      </c>
      <c r="C145" s="1" t="n">
        <f aca="false" t="array" ref="C145:C145">_xlfn.SWITCH($A$2,"average", AVERAGE(Instances!C145:C145),"median", MEDIAN(Instances!C145:C145),"min", MIN(Instances!C145:C145),"max", MAX(Instances!C145:C145),"diff", MAX(Instances!C145:C145)-MIN(Instances!C145:C145))</f>
        <v>758</v>
      </c>
      <c r="D145" s="1" t="n">
        <f aca="false" t="array" ref="D145:D145">_xlfn.SWITCH($A$2,"average", AVERAGE(Instances!D145:D145),"median", MEDIAN(Instances!D145:D145),"min", MIN(Instances!D145:D145),"max", MAX(Instances!D145:D145),"diff", MAX(Instances!D145:D145)-MIN(Instances!D145:D145))</f>
        <v>1624215</v>
      </c>
      <c r="E145" s="1" t="n">
        <f aca="false" t="array" ref="E145:E145">_xlfn.SWITCH($A$2,"average", AVERAGE(Instances!E145:E145),"median", MEDIAN(Instances!E145:E145),"min", MIN(Instances!E145:E145),"max", MAX(Instances!E145:E145),"diff", MAX(Instances!E145:E145)-MIN(Instances!E145:E145))</f>
        <v>0</v>
      </c>
      <c r="F145" s="1" t="n">
        <f aca="false" t="array" ref="F145:F145">_xlfn.SWITCH($A$2,"average", AVERAGE(Instances!F145:F145),"median", MEDIAN(Instances!F145:F145),"min", MIN(Instances!F145:F145),"max", MAX(Instances!F145:F145),"diff", MAX(Instances!F145:F145)-MIN(Instances!F145:F145))</f>
        <v>809</v>
      </c>
      <c r="G145" s="1" t="n">
        <f aca="false" t="array" ref="G145:G145">_xlfn.SWITCH($A$2,"average", AVERAGE(Instances!G145:G145),"median", MEDIAN(Instances!G145:G145),"min", MIN(Instances!G145:G145),"max", MAX(Instances!G145:G145),"diff", MAX(Instances!G145:G145)-MIN(Instances!G145:G145))</f>
        <v>0</v>
      </c>
      <c r="H145" s="1" t="n">
        <f aca="false" t="array" ref="H145:H145">_xlfn.SWITCH($A$2,"average", AVERAGE(Instances!H145:H145),"median", MEDIAN(Instances!H145:H145),"min", MIN(Instances!H145:H145),"max", MAX(Instances!H145:H145),"diff", MAX(Instances!H145:H145)-MIN(Instances!H145:H145))</f>
        <v>1</v>
      </c>
      <c r="I145" s="1" t="n">
        <f aca="false" t="array" ref="I145:I145">_xlfn.SWITCH($A$2,"average", AVERAGE(Instances!I145:I145),"median", MEDIAN(Instances!I145:I145),"min", MIN(Instances!I145:I145),"max", MAX(Instances!I145:I145),"diff", MAX(Instances!I145:I145)-MIN(Instances!I145:I145))</f>
        <v>19.466</v>
      </c>
      <c r="J145" s="1" t="n">
        <f aca="false" t="array" ref="J145:J145">_xlfn.SWITCH($A$2,"average", AVERAGE(Instances!J145:J145),"median", MEDIAN(Instances!J145:J145),"min", MIN(Instances!J145:J145),"max", MAX(Instances!J145:J145),"diff", MAX(Instances!J145:J145)-MIN(Instances!J145:J145))</f>
        <v>19.74</v>
      </c>
      <c r="K145" s="1" t="n">
        <f aca="false" t="array" ref="K145:K145">_xlfn.SWITCH($A$2,"average", AVERAGE(Instances!K145:K145),"median", MEDIAN(Instances!K145:K145),"min", MIN(Instances!K145:K145),"max", MAX(Instances!K145:K145),"diff", MAX(Instances!K145:K145)-MIN(Instances!K145:K145))</f>
        <v>6</v>
      </c>
      <c r="L145" s="1"/>
      <c r="M145" s="1" t="n">
        <f aca="false" t="array" ref="M145:M145">_xlfn.SWITCH($A$2,"average", AVERAGE(Instances!M145:M145),"median", MEDIAN(Instances!M145:M145),"min", MIN(Instances!M145:M145),"max", MAX(Instances!M145:M145),"diff", MAX(Instances!M145:M145)-MIN(Instances!M145:M145))</f>
        <v>2899099</v>
      </c>
      <c r="N145" s="1" t="n">
        <f aca="false" t="array" ref="N145:N145">_xlfn.SWITCH($A$2,"average", AVERAGE(Instances!N145:N145),"median", MEDIAN(Instances!N145:N145),"min", MIN(Instances!N145:N145),"max", MAX(Instances!N145:N145),"diff", MAX(Instances!N145:N145)-MIN(Instances!N145:N145))</f>
        <v>6.99</v>
      </c>
      <c r="O145" s="1"/>
      <c r="P145" s="1" t="n">
        <f aca="false" t="array" ref="P145:P145">_xlfn.SWITCH($A$2,"average", AVERAGE(Instances!P145:P145),"median", MEDIAN(Instances!P145:P145),"min", MIN(Instances!P145:P145),"max", MAX(Instances!P145:P145),"diff", MAX(Instances!P145:P145)-MIN(Instances!P145:P145))</f>
        <v>19.74</v>
      </c>
      <c r="Q145" s="1" t="n">
        <f aca="false" t="array" ref="Q145:Q145">_xlfn.SWITCH($A$2,"average", AVERAGE(Instances!Q145:Q145),"median", MEDIAN(Instances!Q145:Q145),"min", MIN(Instances!Q145:Q145),"max", MAX(Instances!Q145:Q145),"diff", MAX(Instances!Q145:Q145)-MIN(Instances!Q145:Q145))</f>
        <v>0</v>
      </c>
      <c r="R145" s="1" t="n">
        <f aca="false" t="array" ref="R145:R145">_xlfn.SWITCH($A$2,"average", AVERAGE(Instances!R145:R145),"median", MEDIAN(Instances!R145:R145),"min", MIN(Instances!R145:R145),"max", MAX(Instances!R145:R145),"diff", MAX(Instances!R145:R145)-MIN(Instances!R145:R145))</f>
        <v>823354</v>
      </c>
      <c r="S145" s="1" t="n">
        <f aca="false">MIN($B145)</f>
        <v>239545</v>
      </c>
      <c r="T145" s="1" t="n">
        <f aca="false">MIN($C145)</f>
        <v>758</v>
      </c>
      <c r="U145" s="1" t="n">
        <f aca="false">MIN($D145)</f>
        <v>1624215</v>
      </c>
      <c r="V145" s="1" t="n">
        <f aca="false">MIN($E145)</f>
        <v>0</v>
      </c>
      <c r="W145" s="1" t="n">
        <f aca="false">MIN($F145)</f>
        <v>809</v>
      </c>
      <c r="X145" s="1" t="n">
        <f aca="false">MIN($G145)</f>
        <v>0</v>
      </c>
      <c r="Y145" s="1" t="n">
        <f aca="false">MIN($H145)</f>
        <v>1</v>
      </c>
      <c r="Z145" s="1" t="n">
        <f aca="false">MIN($I145)</f>
        <v>19.466</v>
      </c>
      <c r="AA145" s="1" t="n">
        <f aca="false">MIN($J145)</f>
        <v>19.74</v>
      </c>
      <c r="AB145" s="1" t="n">
        <f aca="false">MIN($K145)</f>
        <v>6</v>
      </c>
      <c r="AC145" s="1" t="n">
        <f aca="false">MIN($M145)</f>
        <v>2899099</v>
      </c>
      <c r="AD145" s="1" t="n">
        <f aca="false">MIN($N145)</f>
        <v>6.99</v>
      </c>
      <c r="AE145" s="1" t="n">
        <f aca="false">MIN($P145)</f>
        <v>19.74</v>
      </c>
      <c r="AF145" s="1" t="n">
        <f aca="false">MIN($Q145)</f>
        <v>0</v>
      </c>
      <c r="AG145" s="1" t="n">
        <f aca="false">MIN($R145)</f>
        <v>823354</v>
      </c>
      <c r="AH145" s="1" t="n">
        <f aca="false">MEDIAN($B145)</f>
        <v>239545</v>
      </c>
      <c r="AI145" s="1" t="n">
        <f aca="false">MEDIAN($C145)</f>
        <v>758</v>
      </c>
      <c r="AJ145" s="1" t="n">
        <f aca="false">MEDIAN($D145)</f>
        <v>1624215</v>
      </c>
      <c r="AK145" s="1" t="n">
        <f aca="false">MEDIAN($E145)</f>
        <v>0</v>
      </c>
      <c r="AL145" s="1" t="n">
        <f aca="false">MEDIAN($F145)</f>
        <v>809</v>
      </c>
      <c r="AM145" s="1" t="n">
        <f aca="false">MEDIAN($G145)</f>
        <v>0</v>
      </c>
      <c r="AN145" s="1" t="n">
        <f aca="false">MEDIAN($H145)</f>
        <v>1</v>
      </c>
      <c r="AO145" s="1" t="n">
        <f aca="false">MEDIAN($I145)</f>
        <v>19.466</v>
      </c>
      <c r="AP145" s="1" t="n">
        <f aca="false">MEDIAN($J145)</f>
        <v>19.74</v>
      </c>
      <c r="AQ145" s="1" t="n">
        <f aca="false">MEDIAN($K145)</f>
        <v>6</v>
      </c>
      <c r="AR145" s="1" t="n">
        <f aca="false">MEDIAN($M145)</f>
        <v>2899099</v>
      </c>
      <c r="AS145" s="1" t="n">
        <f aca="false">MEDIAN($N145)</f>
        <v>6.99</v>
      </c>
      <c r="AT145" s="1" t="n">
        <f aca="false">MEDIAN($P145)</f>
        <v>19.74</v>
      </c>
      <c r="AU145" s="1" t="n">
        <f aca="false">MEDIAN($Q145)</f>
        <v>0</v>
      </c>
      <c r="AV145" s="1" t="n">
        <f aca="false">MEDIAN($R145)</f>
        <v>823354</v>
      </c>
      <c r="AW145" s="1" t="n">
        <f aca="false">MAX($B145)</f>
        <v>239545</v>
      </c>
      <c r="AX145" s="1" t="n">
        <f aca="false">MAX($C145)</f>
        <v>758</v>
      </c>
      <c r="AY145" s="1" t="n">
        <f aca="false">MAX($D145)</f>
        <v>1624215</v>
      </c>
      <c r="AZ145" s="1" t="n">
        <f aca="false">MAX($E145)</f>
        <v>0</v>
      </c>
      <c r="BA145" s="1" t="n">
        <f aca="false">MAX($F145)</f>
        <v>809</v>
      </c>
      <c r="BB145" s="1" t="n">
        <f aca="false">MAX($G145)</f>
        <v>0</v>
      </c>
      <c r="BC145" s="1" t="n">
        <f aca="false">MAX($H145)</f>
        <v>1</v>
      </c>
      <c r="BD145" s="1" t="n">
        <f aca="false">MAX($I145)</f>
        <v>19.466</v>
      </c>
      <c r="BE145" s="1" t="n">
        <f aca="false">MAX($J145)</f>
        <v>19.74</v>
      </c>
      <c r="BF145" s="1" t="n">
        <f aca="false">MAX($K145)</f>
        <v>6</v>
      </c>
      <c r="BG145" s="1" t="n">
        <f aca="false">MAX($M145)</f>
        <v>2899099</v>
      </c>
      <c r="BH145" s="1" t="n">
        <f aca="false">MAX($N145)</f>
        <v>6.99</v>
      </c>
      <c r="BI145" s="1" t="n">
        <f aca="false">MAX($P145)</f>
        <v>19.74</v>
      </c>
      <c r="BJ145" s="1" t="n">
        <f aca="false">MAX($Q145)</f>
        <v>0</v>
      </c>
      <c r="BK145" s="1" t="n">
        <f aca="false">MAX($R145)</f>
        <v>823354</v>
      </c>
    </row>
    <row r="146" customFormat="false" ht="15" hidden="false" customHeight="false" outlineLevel="0" collapsed="false">
      <c r="A146" s="1" t="s">
        <v>163</v>
      </c>
      <c r="B146" s="1" t="n">
        <f aca="false" t="array" ref="B146:B146">_xlfn.SWITCH($A$2,"average", AVERAGE(Instances!B146:B146),"median", MEDIAN(Instances!B146:B146),"min", MIN(Instances!B146:B146),"max", MAX(Instances!B146:B146),"diff", MAX(Instances!B146:B146)-MIN(Instances!B146:B146))</f>
        <v>10112</v>
      </c>
      <c r="C146" s="1" t="n">
        <f aca="false" t="array" ref="C146:C146">_xlfn.SWITCH($A$2,"average", AVERAGE(Instances!C146:C146),"median", MEDIAN(Instances!C146:C146),"min", MIN(Instances!C146:C146),"max", MAX(Instances!C146:C146),"diff", MAX(Instances!C146:C146)-MIN(Instances!C146:C146))</f>
        <v>10</v>
      </c>
      <c r="D146" s="1" t="n">
        <f aca="false" t="array" ref="D146:D146">_xlfn.SWITCH($A$2,"average", AVERAGE(Instances!D146:D146),"median", MEDIAN(Instances!D146:D146),"min", MIN(Instances!D146:D146),"max", MAX(Instances!D146:D146),"diff", MAX(Instances!D146:D146)-MIN(Instances!D146:D146))</f>
        <v>1866906</v>
      </c>
      <c r="E146" s="1" t="n">
        <f aca="false" t="array" ref="E146:E146">_xlfn.SWITCH($A$2,"average", AVERAGE(Instances!E146:E146),"median", MEDIAN(Instances!E146:E146),"min", MIN(Instances!E146:E146),"max", MAX(Instances!E146:E146),"diff", MAX(Instances!E146:E146)-MIN(Instances!E146:E146))</f>
        <v>0</v>
      </c>
      <c r="F146" s="1" t="n">
        <f aca="false" t="array" ref="F146:F146">_xlfn.SWITCH($A$2,"average", AVERAGE(Instances!F146:F146),"median", MEDIAN(Instances!F146:F146),"min", MIN(Instances!F146:F146),"max", MAX(Instances!F146:F146),"diff", MAX(Instances!F146:F146)-MIN(Instances!F146:F146))</f>
        <v>938</v>
      </c>
      <c r="G146" s="1" t="n">
        <f aca="false" t="array" ref="G146:G146">_xlfn.SWITCH($A$2,"average", AVERAGE(Instances!G146:G146),"median", MEDIAN(Instances!G146:G146),"min", MIN(Instances!G146:G146),"max", MAX(Instances!G146:G146),"diff", MAX(Instances!G146:G146)-MIN(Instances!G146:G146))</f>
        <v>0</v>
      </c>
      <c r="H146" s="1" t="n">
        <f aca="false" t="array" ref="H146:H146">_xlfn.SWITCH($A$2,"average", AVERAGE(Instances!H146:H146),"median", MEDIAN(Instances!H146:H146),"min", MIN(Instances!H146:H146),"max", MAX(Instances!H146:H146),"diff", MAX(Instances!H146:H146)-MIN(Instances!H146:H146))</f>
        <v>1</v>
      </c>
      <c r="I146" s="1" t="n">
        <f aca="false" t="array" ref="I146:I146">_xlfn.SWITCH($A$2,"average", AVERAGE(Instances!I146:I146),"median", MEDIAN(Instances!I146:I146),"min", MIN(Instances!I146:I146),"max", MAX(Instances!I146:I146),"diff", MAX(Instances!I146:I146)-MIN(Instances!I146:I146))</f>
        <v>14.872</v>
      </c>
      <c r="J146" s="1" t="n">
        <f aca="false" t="array" ref="J146:J146">_xlfn.SWITCH($A$2,"average", AVERAGE(Instances!J146:J146),"median", MEDIAN(Instances!J146:J146),"min", MIN(Instances!J146:J146),"max", MAX(Instances!J146:J146),"diff", MAX(Instances!J146:J146)-MIN(Instances!J146:J146))</f>
        <v>15.24</v>
      </c>
      <c r="K146" s="1" t="n">
        <f aca="false" t="array" ref="K146:K146">_xlfn.SWITCH($A$2,"average", AVERAGE(Instances!K146:K146),"median", MEDIAN(Instances!K146:K146),"min", MIN(Instances!K146:K146),"max", MAX(Instances!K146:K146),"diff", MAX(Instances!K146:K146)-MIN(Instances!K146:K146))</f>
        <v>0</v>
      </c>
      <c r="L146" s="1"/>
      <c r="M146" s="1" t="n">
        <f aca="false" t="array" ref="M146:M146">_xlfn.SWITCH($A$2,"average", AVERAGE(Instances!M146:M146),"median", MEDIAN(Instances!M146:M146),"min", MIN(Instances!M146:M146),"max", MAX(Instances!M146:M146),"diff", MAX(Instances!M146:M146)-MIN(Instances!M146:M146))</f>
        <v>3504106</v>
      </c>
      <c r="N146" s="1" t="n">
        <f aca="false" t="array" ref="N146:N146">_xlfn.SWITCH($A$2,"average", AVERAGE(Instances!N146:N146),"median", MEDIAN(Instances!N146:N146),"min", MIN(Instances!N146:N146),"max", MAX(Instances!N146:N146),"diff", MAX(Instances!N146:N146)-MIN(Instances!N146:N146))</f>
        <v>0.16</v>
      </c>
      <c r="O146" s="1"/>
      <c r="P146" s="1" t="n">
        <f aca="false" t="array" ref="P146:P146">_xlfn.SWITCH($A$2,"average", AVERAGE(Instances!P146:P146),"median", MEDIAN(Instances!P146:P146),"min", MIN(Instances!P146:P146),"max", MAX(Instances!P146:P146),"diff", MAX(Instances!P146:P146)-MIN(Instances!P146:P146))</f>
        <v>15.24</v>
      </c>
      <c r="Q146" s="1" t="n">
        <f aca="false" t="array" ref="Q146:Q146">_xlfn.SWITCH($A$2,"average", AVERAGE(Instances!Q146:Q146),"median", MEDIAN(Instances!Q146:Q146),"min", MIN(Instances!Q146:Q146),"max", MAX(Instances!Q146:Q146),"diff", MAX(Instances!Q146:Q146)-MIN(Instances!Q146:Q146))</f>
        <v>0</v>
      </c>
      <c r="R146" s="1" t="n">
        <f aca="false" t="array" ref="R146:R146">_xlfn.SWITCH($A$2,"average", AVERAGE(Instances!R146:R146),"median", MEDIAN(Instances!R146:R146),"min", MIN(Instances!R146:R146),"max", MAX(Instances!R146:R146),"diff", MAX(Instances!R146:R146)-MIN(Instances!R146:R146))</f>
        <v>974317</v>
      </c>
      <c r="S146" s="1" t="n">
        <f aca="false">MIN($B146)</f>
        <v>10112</v>
      </c>
      <c r="T146" s="1" t="n">
        <f aca="false">MIN($C146)</f>
        <v>10</v>
      </c>
      <c r="U146" s="1" t="n">
        <f aca="false">MIN($D146)</f>
        <v>1866906</v>
      </c>
      <c r="V146" s="1" t="n">
        <f aca="false">MIN($E146)</f>
        <v>0</v>
      </c>
      <c r="W146" s="1" t="n">
        <f aca="false">MIN($F146)</f>
        <v>938</v>
      </c>
      <c r="X146" s="1" t="n">
        <f aca="false">MIN($G146)</f>
        <v>0</v>
      </c>
      <c r="Y146" s="1" t="n">
        <f aca="false">MIN($H146)</f>
        <v>1</v>
      </c>
      <c r="Z146" s="1" t="n">
        <f aca="false">MIN($I146)</f>
        <v>14.872</v>
      </c>
      <c r="AA146" s="1" t="n">
        <f aca="false">MIN($J146)</f>
        <v>15.24</v>
      </c>
      <c r="AB146" s="1" t="n">
        <f aca="false">MIN($K146)</f>
        <v>0</v>
      </c>
      <c r="AC146" s="1" t="n">
        <f aca="false">MIN($M146)</f>
        <v>3504106</v>
      </c>
      <c r="AD146" s="1" t="n">
        <f aca="false">MIN($N146)</f>
        <v>0.16</v>
      </c>
      <c r="AE146" s="1" t="n">
        <f aca="false">MIN($P146)</f>
        <v>15.24</v>
      </c>
      <c r="AF146" s="1" t="n">
        <f aca="false">MIN($Q146)</f>
        <v>0</v>
      </c>
      <c r="AG146" s="1" t="n">
        <f aca="false">MIN($R146)</f>
        <v>974317</v>
      </c>
      <c r="AH146" s="1" t="n">
        <f aca="false">MEDIAN($B146)</f>
        <v>10112</v>
      </c>
      <c r="AI146" s="1" t="n">
        <f aca="false">MEDIAN($C146)</f>
        <v>10</v>
      </c>
      <c r="AJ146" s="1" t="n">
        <f aca="false">MEDIAN($D146)</f>
        <v>1866906</v>
      </c>
      <c r="AK146" s="1" t="n">
        <f aca="false">MEDIAN($E146)</f>
        <v>0</v>
      </c>
      <c r="AL146" s="1" t="n">
        <f aca="false">MEDIAN($F146)</f>
        <v>938</v>
      </c>
      <c r="AM146" s="1" t="n">
        <f aca="false">MEDIAN($G146)</f>
        <v>0</v>
      </c>
      <c r="AN146" s="1" t="n">
        <f aca="false">MEDIAN($H146)</f>
        <v>1</v>
      </c>
      <c r="AO146" s="1" t="n">
        <f aca="false">MEDIAN($I146)</f>
        <v>14.872</v>
      </c>
      <c r="AP146" s="1" t="n">
        <f aca="false">MEDIAN($J146)</f>
        <v>15.24</v>
      </c>
      <c r="AQ146" s="1" t="n">
        <f aca="false">MEDIAN($K146)</f>
        <v>0</v>
      </c>
      <c r="AR146" s="1" t="n">
        <f aca="false">MEDIAN($M146)</f>
        <v>3504106</v>
      </c>
      <c r="AS146" s="1" t="n">
        <f aca="false">MEDIAN($N146)</f>
        <v>0.16</v>
      </c>
      <c r="AT146" s="1" t="n">
        <f aca="false">MEDIAN($P146)</f>
        <v>15.24</v>
      </c>
      <c r="AU146" s="1" t="n">
        <f aca="false">MEDIAN($Q146)</f>
        <v>0</v>
      </c>
      <c r="AV146" s="1" t="n">
        <f aca="false">MEDIAN($R146)</f>
        <v>974317</v>
      </c>
      <c r="AW146" s="1" t="n">
        <f aca="false">MAX($B146)</f>
        <v>10112</v>
      </c>
      <c r="AX146" s="1" t="n">
        <f aca="false">MAX($C146)</f>
        <v>10</v>
      </c>
      <c r="AY146" s="1" t="n">
        <f aca="false">MAX($D146)</f>
        <v>1866906</v>
      </c>
      <c r="AZ146" s="1" t="n">
        <f aca="false">MAX($E146)</f>
        <v>0</v>
      </c>
      <c r="BA146" s="1" t="n">
        <f aca="false">MAX($F146)</f>
        <v>938</v>
      </c>
      <c r="BB146" s="1" t="n">
        <f aca="false">MAX($G146)</f>
        <v>0</v>
      </c>
      <c r="BC146" s="1" t="n">
        <f aca="false">MAX($H146)</f>
        <v>1</v>
      </c>
      <c r="BD146" s="1" t="n">
        <f aca="false">MAX($I146)</f>
        <v>14.872</v>
      </c>
      <c r="BE146" s="1" t="n">
        <f aca="false">MAX($J146)</f>
        <v>15.24</v>
      </c>
      <c r="BF146" s="1" t="n">
        <f aca="false">MAX($K146)</f>
        <v>0</v>
      </c>
      <c r="BG146" s="1" t="n">
        <f aca="false">MAX($M146)</f>
        <v>3504106</v>
      </c>
      <c r="BH146" s="1" t="n">
        <f aca="false">MAX($N146)</f>
        <v>0.16</v>
      </c>
      <c r="BI146" s="1" t="n">
        <f aca="false">MAX($P146)</f>
        <v>15.24</v>
      </c>
      <c r="BJ146" s="1" t="n">
        <f aca="false">MAX($Q146)</f>
        <v>0</v>
      </c>
      <c r="BK146" s="1" t="n">
        <f aca="false">MAX($R146)</f>
        <v>974317</v>
      </c>
    </row>
    <row r="147" customFormat="false" ht="15" hidden="false" customHeight="false" outlineLevel="0" collapsed="false">
      <c r="A147" s="1" t="s">
        <v>164</v>
      </c>
      <c r="B147" s="1" t="n">
        <f aca="false" t="array" ref="B147:B147">_xlfn.SWITCH($A$2,"average", AVERAGE(Instances!B147:B147),"median", MEDIAN(Instances!B147:B147),"min", MIN(Instances!B147:B147),"max", MAX(Instances!B147:B147),"diff", MAX(Instances!B147:B147)-MIN(Instances!B147:B147))</f>
        <v>1205</v>
      </c>
      <c r="C147" s="1" t="n">
        <f aca="false" t="array" ref="C147:C147">_xlfn.SWITCH($A$2,"average", AVERAGE(Instances!C147:C147),"median", MEDIAN(Instances!C147:C147),"min", MIN(Instances!C147:C147),"max", MAX(Instances!C147:C147),"diff", MAX(Instances!C147:C147)-MIN(Instances!C147:C147))</f>
        <v>0</v>
      </c>
      <c r="D147" s="1" t="n">
        <f aca="false" t="array" ref="D147:D147">_xlfn.SWITCH($A$2,"average", AVERAGE(Instances!D147:D147),"median", MEDIAN(Instances!D147:D147),"min", MIN(Instances!D147:D147),"max", MAX(Instances!D147:D147),"diff", MAX(Instances!D147:D147)-MIN(Instances!D147:D147))</f>
        <v>651124</v>
      </c>
      <c r="E147" s="1" t="n">
        <f aca="false" t="array" ref="E147:E147">_xlfn.SWITCH($A$2,"average", AVERAGE(Instances!E147:E147),"median", MEDIAN(Instances!E147:E147),"min", MIN(Instances!E147:E147),"max", MAX(Instances!E147:E147),"diff", MAX(Instances!E147:E147)-MIN(Instances!E147:E147))</f>
        <v>0</v>
      </c>
      <c r="F147" s="1" t="n">
        <f aca="false" t="array" ref="F147:F147">_xlfn.SWITCH($A$2,"average", AVERAGE(Instances!F147:F147),"median", MEDIAN(Instances!F147:F147),"min", MIN(Instances!F147:F147),"max", MAX(Instances!F147:F147),"diff", MAX(Instances!F147:F147)-MIN(Instances!F147:F147))</f>
        <v>385</v>
      </c>
      <c r="G147" s="1" t="n">
        <f aca="false" t="array" ref="G147:G147">_xlfn.SWITCH($A$2,"average", AVERAGE(Instances!G147:G147),"median", MEDIAN(Instances!G147:G147),"min", MIN(Instances!G147:G147),"max", MAX(Instances!G147:G147),"diff", MAX(Instances!G147:G147)-MIN(Instances!G147:G147))</f>
        <v>0</v>
      </c>
      <c r="H147" s="1" t="n">
        <f aca="false" t="array" ref="H147:H147">_xlfn.SWITCH($A$2,"average", AVERAGE(Instances!H147:H147),"median", MEDIAN(Instances!H147:H147),"min", MIN(Instances!H147:H147),"max", MAX(Instances!H147:H147),"diff", MAX(Instances!H147:H147)-MIN(Instances!H147:H147))</f>
        <v>1</v>
      </c>
      <c r="I147" s="1" t="n">
        <f aca="false" t="array" ref="I147:I147">_xlfn.SWITCH($A$2,"average", AVERAGE(Instances!I147:I147),"median", MEDIAN(Instances!I147:I147),"min", MIN(Instances!I147:I147),"max", MAX(Instances!I147:I147),"diff", MAX(Instances!I147:I147)-MIN(Instances!I147:I147))</f>
        <v>4.923</v>
      </c>
      <c r="J147" s="1" t="n">
        <f aca="false" t="array" ref="J147:J147">_xlfn.SWITCH($A$2,"average", AVERAGE(Instances!J147:J147),"median", MEDIAN(Instances!J147:J147),"min", MIN(Instances!J147:J147),"max", MAX(Instances!J147:J147),"diff", MAX(Instances!J147:J147)-MIN(Instances!J147:J147))</f>
        <v>5.07</v>
      </c>
      <c r="K147" s="1" t="n">
        <f aca="false" t="array" ref="K147:K147">_xlfn.SWITCH($A$2,"average", AVERAGE(Instances!K147:K147),"median", MEDIAN(Instances!K147:K147),"min", MIN(Instances!K147:K147),"max", MAX(Instances!K147:K147),"diff", MAX(Instances!K147:K147)-MIN(Instances!K147:K147))</f>
        <v>0</v>
      </c>
      <c r="L147" s="1"/>
      <c r="M147" s="1" t="n">
        <f aca="false" t="array" ref="M147:M147">_xlfn.SWITCH($A$2,"average", AVERAGE(Instances!M147:M147),"median", MEDIAN(Instances!M147:M147),"min", MIN(Instances!M147:M147),"max", MAX(Instances!M147:M147),"diff", MAX(Instances!M147:M147)-MIN(Instances!M147:M147))</f>
        <v>1065228</v>
      </c>
      <c r="N147" s="1" t="n">
        <f aca="false" t="array" ref="N147:N147">_xlfn.SWITCH($A$2,"average", AVERAGE(Instances!N147:N147),"median", MEDIAN(Instances!N147:N147),"min", MIN(Instances!N147:N147),"max", MAX(Instances!N147:N147),"diff", MAX(Instances!N147:N147)-MIN(Instances!N147:N147))</f>
        <v>0.05</v>
      </c>
      <c r="O147" s="1"/>
      <c r="P147" s="1" t="n">
        <f aca="false" t="array" ref="P147:P147">_xlfn.SWITCH($A$2,"average", AVERAGE(Instances!P147:P147),"median", MEDIAN(Instances!P147:P147),"min", MIN(Instances!P147:P147),"max", MAX(Instances!P147:P147),"diff", MAX(Instances!P147:P147)-MIN(Instances!P147:P147))</f>
        <v>5.07</v>
      </c>
      <c r="Q147" s="1" t="n">
        <f aca="false" t="array" ref="Q147:Q147">_xlfn.SWITCH($A$2,"average", AVERAGE(Instances!Q147:Q147),"median", MEDIAN(Instances!Q147:Q147),"min", MIN(Instances!Q147:Q147),"max", MAX(Instances!Q147:Q147),"diff", MAX(Instances!Q147:Q147)-MIN(Instances!Q147:Q147))</f>
        <v>0</v>
      </c>
      <c r="R147" s="1" t="n">
        <f aca="false" t="array" ref="R147:R147">_xlfn.SWITCH($A$2,"average", AVERAGE(Instances!R147:R147),"median", MEDIAN(Instances!R147:R147),"min", MIN(Instances!R147:R147),"max", MAX(Instances!R147:R147),"diff", MAX(Instances!R147:R147)-MIN(Instances!R147:R147))</f>
        <v>381018</v>
      </c>
      <c r="S147" s="1" t="n">
        <f aca="false">MIN($B147)</f>
        <v>1205</v>
      </c>
      <c r="T147" s="1" t="n">
        <f aca="false">MIN($C147)</f>
        <v>0</v>
      </c>
      <c r="U147" s="1" t="n">
        <f aca="false">MIN($D147)</f>
        <v>651124</v>
      </c>
      <c r="V147" s="1" t="n">
        <f aca="false">MIN($E147)</f>
        <v>0</v>
      </c>
      <c r="W147" s="1" t="n">
        <f aca="false">MIN($F147)</f>
        <v>385</v>
      </c>
      <c r="X147" s="1" t="n">
        <f aca="false">MIN($G147)</f>
        <v>0</v>
      </c>
      <c r="Y147" s="1" t="n">
        <f aca="false">MIN($H147)</f>
        <v>1</v>
      </c>
      <c r="Z147" s="1" t="n">
        <f aca="false">MIN($I147)</f>
        <v>4.923</v>
      </c>
      <c r="AA147" s="1" t="n">
        <f aca="false">MIN($J147)</f>
        <v>5.07</v>
      </c>
      <c r="AB147" s="1" t="n">
        <f aca="false">MIN($K147)</f>
        <v>0</v>
      </c>
      <c r="AC147" s="1" t="n">
        <f aca="false">MIN($M147)</f>
        <v>1065228</v>
      </c>
      <c r="AD147" s="1" t="n">
        <f aca="false">MIN($N147)</f>
        <v>0.05</v>
      </c>
      <c r="AE147" s="1" t="n">
        <f aca="false">MIN($P147)</f>
        <v>5.07</v>
      </c>
      <c r="AF147" s="1" t="n">
        <f aca="false">MIN($Q147)</f>
        <v>0</v>
      </c>
      <c r="AG147" s="1" t="n">
        <f aca="false">MIN($R147)</f>
        <v>381018</v>
      </c>
      <c r="AH147" s="1" t="n">
        <f aca="false">MEDIAN($B147)</f>
        <v>1205</v>
      </c>
      <c r="AI147" s="1" t="n">
        <f aca="false">MEDIAN($C147)</f>
        <v>0</v>
      </c>
      <c r="AJ147" s="1" t="n">
        <f aca="false">MEDIAN($D147)</f>
        <v>651124</v>
      </c>
      <c r="AK147" s="1" t="n">
        <f aca="false">MEDIAN($E147)</f>
        <v>0</v>
      </c>
      <c r="AL147" s="1" t="n">
        <f aca="false">MEDIAN($F147)</f>
        <v>385</v>
      </c>
      <c r="AM147" s="1" t="n">
        <f aca="false">MEDIAN($G147)</f>
        <v>0</v>
      </c>
      <c r="AN147" s="1" t="n">
        <f aca="false">MEDIAN($H147)</f>
        <v>1</v>
      </c>
      <c r="AO147" s="1" t="n">
        <f aca="false">MEDIAN($I147)</f>
        <v>4.923</v>
      </c>
      <c r="AP147" s="1" t="n">
        <f aca="false">MEDIAN($J147)</f>
        <v>5.07</v>
      </c>
      <c r="AQ147" s="1" t="n">
        <f aca="false">MEDIAN($K147)</f>
        <v>0</v>
      </c>
      <c r="AR147" s="1" t="n">
        <f aca="false">MEDIAN($M147)</f>
        <v>1065228</v>
      </c>
      <c r="AS147" s="1" t="n">
        <f aca="false">MEDIAN($N147)</f>
        <v>0.05</v>
      </c>
      <c r="AT147" s="1" t="n">
        <f aca="false">MEDIAN($P147)</f>
        <v>5.07</v>
      </c>
      <c r="AU147" s="1" t="n">
        <f aca="false">MEDIAN($Q147)</f>
        <v>0</v>
      </c>
      <c r="AV147" s="1" t="n">
        <f aca="false">MEDIAN($R147)</f>
        <v>381018</v>
      </c>
      <c r="AW147" s="1" t="n">
        <f aca="false">MAX($B147)</f>
        <v>1205</v>
      </c>
      <c r="AX147" s="1" t="n">
        <f aca="false">MAX($C147)</f>
        <v>0</v>
      </c>
      <c r="AY147" s="1" t="n">
        <f aca="false">MAX($D147)</f>
        <v>651124</v>
      </c>
      <c r="AZ147" s="1" t="n">
        <f aca="false">MAX($E147)</f>
        <v>0</v>
      </c>
      <c r="BA147" s="1" t="n">
        <f aca="false">MAX($F147)</f>
        <v>385</v>
      </c>
      <c r="BB147" s="1" t="n">
        <f aca="false">MAX($G147)</f>
        <v>0</v>
      </c>
      <c r="BC147" s="1" t="n">
        <f aca="false">MAX($H147)</f>
        <v>1</v>
      </c>
      <c r="BD147" s="1" t="n">
        <f aca="false">MAX($I147)</f>
        <v>4.923</v>
      </c>
      <c r="BE147" s="1" t="n">
        <f aca="false">MAX($J147)</f>
        <v>5.07</v>
      </c>
      <c r="BF147" s="1" t="n">
        <f aca="false">MAX($K147)</f>
        <v>0</v>
      </c>
      <c r="BG147" s="1" t="n">
        <f aca="false">MAX($M147)</f>
        <v>1065228</v>
      </c>
      <c r="BH147" s="1" t="n">
        <f aca="false">MAX($N147)</f>
        <v>0.05</v>
      </c>
      <c r="BI147" s="1" t="n">
        <f aca="false">MAX($P147)</f>
        <v>5.07</v>
      </c>
      <c r="BJ147" s="1" t="n">
        <f aca="false">MAX($Q147)</f>
        <v>0</v>
      </c>
      <c r="BK147" s="1" t="n">
        <f aca="false">MAX($R147)</f>
        <v>381018</v>
      </c>
    </row>
    <row r="148" customFormat="false" ht="15" hidden="false" customHeight="false" outlineLevel="0" collapsed="false">
      <c r="A148" s="1" t="s">
        <v>165</v>
      </c>
      <c r="B148" s="1" t="n">
        <f aca="false" t="array" ref="B148:B148">_xlfn.SWITCH($A$2,"average", AVERAGE(Instances!B148:B148),"median", MEDIAN(Instances!B148:B148),"min", MIN(Instances!B148:B148),"max", MAX(Instances!B148:B148),"diff", MAX(Instances!B148:B148)-MIN(Instances!B148:B148))</f>
        <v>755</v>
      </c>
      <c r="C148" s="1" t="n">
        <f aca="false" t="array" ref="C148:C148">_xlfn.SWITCH($A$2,"average", AVERAGE(Instances!C148:C148),"median", MEDIAN(Instances!C148:C148),"min", MIN(Instances!C148:C148),"max", MAX(Instances!C148:C148),"diff", MAX(Instances!C148:C148)-MIN(Instances!C148:C148))</f>
        <v>0</v>
      </c>
      <c r="D148" s="1" t="n">
        <f aca="false" t="array" ref="D148:D148">_xlfn.SWITCH($A$2,"average", AVERAGE(Instances!D148:D148),"median", MEDIAN(Instances!D148:D148),"min", MIN(Instances!D148:D148),"max", MAX(Instances!D148:D148),"diff", MAX(Instances!D148:D148)-MIN(Instances!D148:D148))</f>
        <v>310233</v>
      </c>
      <c r="E148" s="1" t="n">
        <f aca="false" t="array" ref="E148:E148">_xlfn.SWITCH($A$2,"average", AVERAGE(Instances!E148:E148),"median", MEDIAN(Instances!E148:E148),"min", MIN(Instances!E148:E148),"max", MAX(Instances!E148:E148),"diff", MAX(Instances!E148:E148)-MIN(Instances!E148:E148))</f>
        <v>0</v>
      </c>
      <c r="F148" s="1" t="n">
        <f aca="false" t="array" ref="F148:F148">_xlfn.SWITCH($A$2,"average", AVERAGE(Instances!F148:F148),"median", MEDIAN(Instances!F148:F148),"min", MIN(Instances!F148:F148),"max", MAX(Instances!F148:F148),"diff", MAX(Instances!F148:F148)-MIN(Instances!F148:F148))</f>
        <v>264</v>
      </c>
      <c r="G148" s="1" t="n">
        <f aca="false" t="array" ref="G148:G148">_xlfn.SWITCH($A$2,"average", AVERAGE(Instances!G148:G148),"median", MEDIAN(Instances!G148:G148),"min", MIN(Instances!G148:G148),"max", MAX(Instances!G148:G148),"diff", MAX(Instances!G148:G148)-MIN(Instances!G148:G148))</f>
        <v>0</v>
      </c>
      <c r="H148" s="1" t="n">
        <f aca="false" t="array" ref="H148:H148">_xlfn.SWITCH($A$2,"average", AVERAGE(Instances!H148:H148),"median", MEDIAN(Instances!H148:H148),"min", MIN(Instances!H148:H148),"max", MAX(Instances!H148:H148),"diff", MAX(Instances!H148:H148)-MIN(Instances!H148:H148))</f>
        <v>1</v>
      </c>
      <c r="I148" s="1" t="n">
        <f aca="false" t="array" ref="I148:I148">_xlfn.SWITCH($A$2,"average", AVERAGE(Instances!I148:I148),"median", MEDIAN(Instances!I148:I148),"min", MIN(Instances!I148:I148),"max", MAX(Instances!I148:I148),"diff", MAX(Instances!I148:I148)-MIN(Instances!I148:I148))</f>
        <v>3.087</v>
      </c>
      <c r="J148" s="1" t="n">
        <f aca="false" t="array" ref="J148:J148">_xlfn.SWITCH($A$2,"average", AVERAGE(Instances!J148:J148),"median", MEDIAN(Instances!J148:J148),"min", MIN(Instances!J148:J148),"max", MAX(Instances!J148:J148),"diff", MAX(Instances!J148:J148)-MIN(Instances!J148:J148))</f>
        <v>3.18</v>
      </c>
      <c r="K148" s="1" t="n">
        <f aca="false" t="array" ref="K148:K148">_xlfn.SWITCH($A$2,"average", AVERAGE(Instances!K148:K148),"median", MEDIAN(Instances!K148:K148),"min", MIN(Instances!K148:K148),"max", MAX(Instances!K148:K148),"diff", MAX(Instances!K148:K148)-MIN(Instances!K148:K148))</f>
        <v>0</v>
      </c>
      <c r="L148" s="1"/>
      <c r="M148" s="1" t="n">
        <f aca="false" t="array" ref="M148:M148">_xlfn.SWITCH($A$2,"average", AVERAGE(Instances!M148:M148),"median", MEDIAN(Instances!M148:M148),"min", MIN(Instances!M148:M148),"max", MAX(Instances!M148:M148),"diff", MAX(Instances!M148:M148)-MIN(Instances!M148:M148))</f>
        <v>701685</v>
      </c>
      <c r="N148" s="1" t="n">
        <f aca="false" t="array" ref="N148:N148">_xlfn.SWITCH($A$2,"average", AVERAGE(Instances!N148:N148),"median", MEDIAN(Instances!N148:N148),"min", MIN(Instances!N148:N148),"max", MAX(Instances!N148:N148),"diff", MAX(Instances!N148:N148)-MIN(Instances!N148:N148))</f>
        <v>0.02</v>
      </c>
      <c r="O148" s="1"/>
      <c r="P148" s="1" t="n">
        <f aca="false" t="array" ref="P148:P148">_xlfn.SWITCH($A$2,"average", AVERAGE(Instances!P148:P148),"median", MEDIAN(Instances!P148:P148),"min", MIN(Instances!P148:P148),"max", MAX(Instances!P148:P148),"diff", MAX(Instances!P148:P148)-MIN(Instances!P148:P148))</f>
        <v>3.18</v>
      </c>
      <c r="Q148" s="1" t="n">
        <f aca="false" t="array" ref="Q148:Q148">_xlfn.SWITCH($A$2,"average", AVERAGE(Instances!Q148:Q148),"median", MEDIAN(Instances!Q148:Q148),"min", MIN(Instances!Q148:Q148),"max", MAX(Instances!Q148:Q148),"diff", MAX(Instances!Q148:Q148)-MIN(Instances!Q148:Q148))</f>
        <v>0</v>
      </c>
      <c r="R148" s="1" t="n">
        <f aca="false" t="array" ref="R148:R148">_xlfn.SWITCH($A$2,"average", AVERAGE(Instances!R148:R148),"median", MEDIAN(Instances!R148:R148),"min", MIN(Instances!R148:R148),"max", MAX(Instances!R148:R148),"diff", MAX(Instances!R148:R148)-MIN(Instances!R148:R148))</f>
        <v>260455</v>
      </c>
      <c r="S148" s="1" t="n">
        <f aca="false">MIN($B148)</f>
        <v>755</v>
      </c>
      <c r="T148" s="1" t="n">
        <f aca="false">MIN($C148)</f>
        <v>0</v>
      </c>
      <c r="U148" s="1" t="n">
        <f aca="false">MIN($D148)</f>
        <v>310233</v>
      </c>
      <c r="V148" s="1" t="n">
        <f aca="false">MIN($E148)</f>
        <v>0</v>
      </c>
      <c r="W148" s="1" t="n">
        <f aca="false">MIN($F148)</f>
        <v>264</v>
      </c>
      <c r="X148" s="1" t="n">
        <f aca="false">MIN($G148)</f>
        <v>0</v>
      </c>
      <c r="Y148" s="1" t="n">
        <f aca="false">MIN($H148)</f>
        <v>1</v>
      </c>
      <c r="Z148" s="1" t="n">
        <f aca="false">MIN($I148)</f>
        <v>3.087</v>
      </c>
      <c r="AA148" s="1" t="n">
        <f aca="false">MIN($J148)</f>
        <v>3.18</v>
      </c>
      <c r="AB148" s="1" t="n">
        <f aca="false">MIN($K148)</f>
        <v>0</v>
      </c>
      <c r="AC148" s="1" t="n">
        <f aca="false">MIN($M148)</f>
        <v>701685</v>
      </c>
      <c r="AD148" s="1" t="n">
        <f aca="false">MIN($N148)</f>
        <v>0.02</v>
      </c>
      <c r="AE148" s="1" t="n">
        <f aca="false">MIN($P148)</f>
        <v>3.18</v>
      </c>
      <c r="AF148" s="1" t="n">
        <f aca="false">MIN($Q148)</f>
        <v>0</v>
      </c>
      <c r="AG148" s="1" t="n">
        <f aca="false">MIN($R148)</f>
        <v>260455</v>
      </c>
      <c r="AH148" s="1" t="n">
        <f aca="false">MEDIAN($B148)</f>
        <v>755</v>
      </c>
      <c r="AI148" s="1" t="n">
        <f aca="false">MEDIAN($C148)</f>
        <v>0</v>
      </c>
      <c r="AJ148" s="1" t="n">
        <f aca="false">MEDIAN($D148)</f>
        <v>310233</v>
      </c>
      <c r="AK148" s="1" t="n">
        <f aca="false">MEDIAN($E148)</f>
        <v>0</v>
      </c>
      <c r="AL148" s="1" t="n">
        <f aca="false">MEDIAN($F148)</f>
        <v>264</v>
      </c>
      <c r="AM148" s="1" t="n">
        <f aca="false">MEDIAN($G148)</f>
        <v>0</v>
      </c>
      <c r="AN148" s="1" t="n">
        <f aca="false">MEDIAN($H148)</f>
        <v>1</v>
      </c>
      <c r="AO148" s="1" t="n">
        <f aca="false">MEDIAN($I148)</f>
        <v>3.087</v>
      </c>
      <c r="AP148" s="1" t="n">
        <f aca="false">MEDIAN($J148)</f>
        <v>3.18</v>
      </c>
      <c r="AQ148" s="1" t="n">
        <f aca="false">MEDIAN($K148)</f>
        <v>0</v>
      </c>
      <c r="AR148" s="1" t="n">
        <f aca="false">MEDIAN($M148)</f>
        <v>701685</v>
      </c>
      <c r="AS148" s="1" t="n">
        <f aca="false">MEDIAN($N148)</f>
        <v>0.02</v>
      </c>
      <c r="AT148" s="1" t="n">
        <f aca="false">MEDIAN($P148)</f>
        <v>3.18</v>
      </c>
      <c r="AU148" s="1" t="n">
        <f aca="false">MEDIAN($Q148)</f>
        <v>0</v>
      </c>
      <c r="AV148" s="1" t="n">
        <f aca="false">MEDIAN($R148)</f>
        <v>260455</v>
      </c>
      <c r="AW148" s="1" t="n">
        <f aca="false">MAX($B148)</f>
        <v>755</v>
      </c>
      <c r="AX148" s="1" t="n">
        <f aca="false">MAX($C148)</f>
        <v>0</v>
      </c>
      <c r="AY148" s="1" t="n">
        <f aca="false">MAX($D148)</f>
        <v>310233</v>
      </c>
      <c r="AZ148" s="1" t="n">
        <f aca="false">MAX($E148)</f>
        <v>0</v>
      </c>
      <c r="BA148" s="1" t="n">
        <f aca="false">MAX($F148)</f>
        <v>264</v>
      </c>
      <c r="BB148" s="1" t="n">
        <f aca="false">MAX($G148)</f>
        <v>0</v>
      </c>
      <c r="BC148" s="1" t="n">
        <f aca="false">MAX($H148)</f>
        <v>1</v>
      </c>
      <c r="BD148" s="1" t="n">
        <f aca="false">MAX($I148)</f>
        <v>3.087</v>
      </c>
      <c r="BE148" s="1" t="n">
        <f aca="false">MAX($J148)</f>
        <v>3.18</v>
      </c>
      <c r="BF148" s="1" t="n">
        <f aca="false">MAX($K148)</f>
        <v>0</v>
      </c>
      <c r="BG148" s="1" t="n">
        <f aca="false">MAX($M148)</f>
        <v>701685</v>
      </c>
      <c r="BH148" s="1" t="n">
        <f aca="false">MAX($N148)</f>
        <v>0.02</v>
      </c>
      <c r="BI148" s="1" t="n">
        <f aca="false">MAX($P148)</f>
        <v>3.18</v>
      </c>
      <c r="BJ148" s="1" t="n">
        <f aca="false">MAX($Q148)</f>
        <v>0</v>
      </c>
      <c r="BK148" s="1" t="n">
        <f aca="false">MAX($R148)</f>
        <v>260455</v>
      </c>
    </row>
    <row r="149" customFormat="false" ht="15" hidden="false" customHeight="false" outlineLevel="0" collapsed="false">
      <c r="A149" s="1" t="s">
        <v>166</v>
      </c>
      <c r="B149" s="1" t="n">
        <f aca="false" t="array" ref="B149:B149">_xlfn.SWITCH($A$2,"average", AVERAGE(Instances!B149:B149),"median", MEDIAN(Instances!B149:B149),"min", MIN(Instances!B149:B149),"max", MAX(Instances!B149:B149),"diff", MAX(Instances!B149:B149)-MIN(Instances!B149:B149))</f>
        <v>1096</v>
      </c>
      <c r="C149" s="1" t="n">
        <f aca="false" t="array" ref="C149:C149">_xlfn.SWITCH($A$2,"average", AVERAGE(Instances!C149:C149),"median", MEDIAN(Instances!C149:C149),"min", MIN(Instances!C149:C149),"max", MAX(Instances!C149:C149),"diff", MAX(Instances!C149:C149)-MIN(Instances!C149:C149))</f>
        <v>0</v>
      </c>
      <c r="D149" s="1" t="n">
        <f aca="false" t="array" ref="D149:D149">_xlfn.SWITCH($A$2,"average", AVERAGE(Instances!D149:D149),"median", MEDIAN(Instances!D149:D149),"min", MIN(Instances!D149:D149),"max", MAX(Instances!D149:D149),"diff", MAX(Instances!D149:D149)-MIN(Instances!D149:D149))</f>
        <v>364975</v>
      </c>
      <c r="E149" s="1" t="n">
        <f aca="false" t="array" ref="E149:E149">_xlfn.SWITCH($A$2,"average", AVERAGE(Instances!E149:E149),"median", MEDIAN(Instances!E149:E149),"min", MIN(Instances!E149:E149),"max", MAX(Instances!E149:E149),"diff", MAX(Instances!E149:E149)-MIN(Instances!E149:E149))</f>
        <v>0</v>
      </c>
      <c r="F149" s="1" t="n">
        <f aca="false" t="array" ref="F149:F149">_xlfn.SWITCH($A$2,"average", AVERAGE(Instances!F149:F149),"median", MEDIAN(Instances!F149:F149),"min", MIN(Instances!F149:F149),"max", MAX(Instances!F149:F149),"diff", MAX(Instances!F149:F149)-MIN(Instances!F149:F149))</f>
        <v>288</v>
      </c>
      <c r="G149" s="1" t="n">
        <f aca="false" t="array" ref="G149:G149">_xlfn.SWITCH($A$2,"average", AVERAGE(Instances!G149:G149),"median", MEDIAN(Instances!G149:G149),"min", MIN(Instances!G149:G149),"max", MAX(Instances!G149:G149),"diff", MAX(Instances!G149:G149)-MIN(Instances!G149:G149))</f>
        <v>0</v>
      </c>
      <c r="H149" s="1" t="n">
        <f aca="false" t="array" ref="H149:H149">_xlfn.SWITCH($A$2,"average", AVERAGE(Instances!H149:H149),"median", MEDIAN(Instances!H149:H149),"min", MIN(Instances!H149:H149),"max", MAX(Instances!H149:H149),"diff", MAX(Instances!H149:H149)-MIN(Instances!H149:H149))</f>
        <v>1</v>
      </c>
      <c r="I149" s="1" t="n">
        <f aca="false" t="array" ref="I149:I149">_xlfn.SWITCH($A$2,"average", AVERAGE(Instances!I149:I149),"median", MEDIAN(Instances!I149:I149),"min", MIN(Instances!I149:I149),"max", MAX(Instances!I149:I149),"diff", MAX(Instances!I149:I149)-MIN(Instances!I149:I149))</f>
        <v>3.644</v>
      </c>
      <c r="J149" s="1" t="n">
        <f aca="false" t="array" ref="J149:J149">_xlfn.SWITCH($A$2,"average", AVERAGE(Instances!J149:J149),"median", MEDIAN(Instances!J149:J149),"min", MIN(Instances!J149:J149),"max", MAX(Instances!J149:J149),"diff", MAX(Instances!J149:J149)-MIN(Instances!J149:J149))</f>
        <v>3.75</v>
      </c>
      <c r="K149" s="1" t="n">
        <f aca="false" t="array" ref="K149:K149">_xlfn.SWITCH($A$2,"average", AVERAGE(Instances!K149:K149),"median", MEDIAN(Instances!K149:K149),"min", MIN(Instances!K149:K149),"max", MAX(Instances!K149:K149),"diff", MAX(Instances!K149:K149)-MIN(Instances!K149:K149))</f>
        <v>0</v>
      </c>
      <c r="L149" s="1"/>
      <c r="M149" s="1" t="n">
        <f aca="false" t="array" ref="M149:M149">_xlfn.SWITCH($A$2,"average", AVERAGE(Instances!M149:M149),"median", MEDIAN(Instances!M149:M149),"min", MIN(Instances!M149:M149),"max", MAX(Instances!M149:M149),"diff", MAX(Instances!M149:M149)-MIN(Instances!M149:M149))</f>
        <v>799324</v>
      </c>
      <c r="N149" s="1" t="n">
        <f aca="false" t="array" ref="N149:N149">_xlfn.SWITCH($A$2,"average", AVERAGE(Instances!N149:N149),"median", MEDIAN(Instances!N149:N149),"min", MIN(Instances!N149:N149),"max", MAX(Instances!N149:N149),"diff", MAX(Instances!N149:N149)-MIN(Instances!N149:N149))</f>
        <v>0.03</v>
      </c>
      <c r="O149" s="1"/>
      <c r="P149" s="1" t="n">
        <f aca="false" t="array" ref="P149:P149">_xlfn.SWITCH($A$2,"average", AVERAGE(Instances!P149:P149),"median", MEDIAN(Instances!P149:P149),"min", MIN(Instances!P149:P149),"max", MAX(Instances!P149:P149),"diff", MAX(Instances!P149:P149)-MIN(Instances!P149:P149))</f>
        <v>3.75</v>
      </c>
      <c r="Q149" s="1" t="n">
        <f aca="false" t="array" ref="Q149:Q149">_xlfn.SWITCH($A$2,"average", AVERAGE(Instances!Q149:Q149),"median", MEDIAN(Instances!Q149:Q149),"min", MIN(Instances!Q149:Q149),"max", MAX(Instances!Q149:Q149),"diff", MAX(Instances!Q149:Q149)-MIN(Instances!Q149:Q149))</f>
        <v>0</v>
      </c>
      <c r="R149" s="1" t="n">
        <f aca="false" t="array" ref="R149:R149">_xlfn.SWITCH($A$2,"average", AVERAGE(Instances!R149:R149),"median", MEDIAN(Instances!R149:R149),"min", MIN(Instances!R149:R149),"max", MAX(Instances!R149:R149),"diff", MAX(Instances!R149:R149)-MIN(Instances!R149:R149))</f>
        <v>287296</v>
      </c>
      <c r="S149" s="1" t="n">
        <f aca="false">MIN($B149)</f>
        <v>1096</v>
      </c>
      <c r="T149" s="1" t="n">
        <f aca="false">MIN($C149)</f>
        <v>0</v>
      </c>
      <c r="U149" s="1" t="n">
        <f aca="false">MIN($D149)</f>
        <v>364975</v>
      </c>
      <c r="V149" s="1" t="n">
        <f aca="false">MIN($E149)</f>
        <v>0</v>
      </c>
      <c r="W149" s="1" t="n">
        <f aca="false">MIN($F149)</f>
        <v>288</v>
      </c>
      <c r="X149" s="1" t="n">
        <f aca="false">MIN($G149)</f>
        <v>0</v>
      </c>
      <c r="Y149" s="1" t="n">
        <f aca="false">MIN($H149)</f>
        <v>1</v>
      </c>
      <c r="Z149" s="1" t="n">
        <f aca="false">MIN($I149)</f>
        <v>3.644</v>
      </c>
      <c r="AA149" s="1" t="n">
        <f aca="false">MIN($J149)</f>
        <v>3.75</v>
      </c>
      <c r="AB149" s="1" t="n">
        <f aca="false">MIN($K149)</f>
        <v>0</v>
      </c>
      <c r="AC149" s="1" t="n">
        <f aca="false">MIN($M149)</f>
        <v>799324</v>
      </c>
      <c r="AD149" s="1" t="n">
        <f aca="false">MIN($N149)</f>
        <v>0.03</v>
      </c>
      <c r="AE149" s="1" t="n">
        <f aca="false">MIN($P149)</f>
        <v>3.75</v>
      </c>
      <c r="AF149" s="1" t="n">
        <f aca="false">MIN($Q149)</f>
        <v>0</v>
      </c>
      <c r="AG149" s="1" t="n">
        <f aca="false">MIN($R149)</f>
        <v>287296</v>
      </c>
      <c r="AH149" s="1" t="n">
        <f aca="false">MEDIAN($B149)</f>
        <v>1096</v>
      </c>
      <c r="AI149" s="1" t="n">
        <f aca="false">MEDIAN($C149)</f>
        <v>0</v>
      </c>
      <c r="AJ149" s="1" t="n">
        <f aca="false">MEDIAN($D149)</f>
        <v>364975</v>
      </c>
      <c r="AK149" s="1" t="n">
        <f aca="false">MEDIAN($E149)</f>
        <v>0</v>
      </c>
      <c r="AL149" s="1" t="n">
        <f aca="false">MEDIAN($F149)</f>
        <v>288</v>
      </c>
      <c r="AM149" s="1" t="n">
        <f aca="false">MEDIAN($G149)</f>
        <v>0</v>
      </c>
      <c r="AN149" s="1" t="n">
        <f aca="false">MEDIAN($H149)</f>
        <v>1</v>
      </c>
      <c r="AO149" s="1" t="n">
        <f aca="false">MEDIAN($I149)</f>
        <v>3.644</v>
      </c>
      <c r="AP149" s="1" t="n">
        <f aca="false">MEDIAN($J149)</f>
        <v>3.75</v>
      </c>
      <c r="AQ149" s="1" t="n">
        <f aca="false">MEDIAN($K149)</f>
        <v>0</v>
      </c>
      <c r="AR149" s="1" t="n">
        <f aca="false">MEDIAN($M149)</f>
        <v>799324</v>
      </c>
      <c r="AS149" s="1" t="n">
        <f aca="false">MEDIAN($N149)</f>
        <v>0.03</v>
      </c>
      <c r="AT149" s="1" t="n">
        <f aca="false">MEDIAN($P149)</f>
        <v>3.75</v>
      </c>
      <c r="AU149" s="1" t="n">
        <f aca="false">MEDIAN($Q149)</f>
        <v>0</v>
      </c>
      <c r="AV149" s="1" t="n">
        <f aca="false">MEDIAN($R149)</f>
        <v>287296</v>
      </c>
      <c r="AW149" s="1" t="n">
        <f aca="false">MAX($B149)</f>
        <v>1096</v>
      </c>
      <c r="AX149" s="1" t="n">
        <f aca="false">MAX($C149)</f>
        <v>0</v>
      </c>
      <c r="AY149" s="1" t="n">
        <f aca="false">MAX($D149)</f>
        <v>364975</v>
      </c>
      <c r="AZ149" s="1" t="n">
        <f aca="false">MAX($E149)</f>
        <v>0</v>
      </c>
      <c r="BA149" s="1" t="n">
        <f aca="false">MAX($F149)</f>
        <v>288</v>
      </c>
      <c r="BB149" s="1" t="n">
        <f aca="false">MAX($G149)</f>
        <v>0</v>
      </c>
      <c r="BC149" s="1" t="n">
        <f aca="false">MAX($H149)</f>
        <v>1</v>
      </c>
      <c r="BD149" s="1" t="n">
        <f aca="false">MAX($I149)</f>
        <v>3.644</v>
      </c>
      <c r="BE149" s="1" t="n">
        <f aca="false">MAX($J149)</f>
        <v>3.75</v>
      </c>
      <c r="BF149" s="1" t="n">
        <f aca="false">MAX($K149)</f>
        <v>0</v>
      </c>
      <c r="BG149" s="1" t="n">
        <f aca="false">MAX($M149)</f>
        <v>799324</v>
      </c>
      <c r="BH149" s="1" t="n">
        <f aca="false">MAX($N149)</f>
        <v>0.03</v>
      </c>
      <c r="BI149" s="1" t="n">
        <f aca="false">MAX($P149)</f>
        <v>3.75</v>
      </c>
      <c r="BJ149" s="1" t="n">
        <f aca="false">MAX($Q149)</f>
        <v>0</v>
      </c>
      <c r="BK149" s="1" t="n">
        <f aca="false">MAX($R149)</f>
        <v>287296</v>
      </c>
    </row>
    <row r="150" customFormat="false" ht="15" hidden="false" customHeight="false" outlineLevel="0" collapsed="false">
      <c r="A150" s="1" t="s">
        <v>167</v>
      </c>
      <c r="B150" s="1" t="n">
        <f aca="false" t="array" ref="B150:B150">_xlfn.SWITCH($A$2,"average", AVERAGE(Instances!B150:B150),"median", MEDIAN(Instances!B150:B150),"min", MIN(Instances!B150:B150),"max", MAX(Instances!B150:B150),"diff", MAX(Instances!B150:B150)-MIN(Instances!B150:B150))</f>
        <v>939</v>
      </c>
      <c r="C150" s="1" t="n">
        <f aca="false" t="array" ref="C150:C150">_xlfn.SWITCH($A$2,"average", AVERAGE(Instances!C150:C150),"median", MEDIAN(Instances!C150:C150),"min", MIN(Instances!C150:C150),"max", MAX(Instances!C150:C150),"diff", MAX(Instances!C150:C150)-MIN(Instances!C150:C150))</f>
        <v>1</v>
      </c>
      <c r="D150" s="1" t="n">
        <f aca="false" t="array" ref="D150:D150">_xlfn.SWITCH($A$2,"average", AVERAGE(Instances!D150:D150),"median", MEDIAN(Instances!D150:D150),"min", MIN(Instances!D150:D150),"max", MAX(Instances!D150:D150),"diff", MAX(Instances!D150:D150)-MIN(Instances!D150:D150))</f>
        <v>351164</v>
      </c>
      <c r="E150" s="1" t="n">
        <f aca="false" t="array" ref="E150:E150">_xlfn.SWITCH($A$2,"average", AVERAGE(Instances!E150:E150),"median", MEDIAN(Instances!E150:E150),"min", MIN(Instances!E150:E150),"max", MAX(Instances!E150:E150),"diff", MAX(Instances!E150:E150)-MIN(Instances!E150:E150))</f>
        <v>0</v>
      </c>
      <c r="F150" s="1" t="n">
        <f aca="false" t="array" ref="F150:F150">_xlfn.SWITCH($A$2,"average", AVERAGE(Instances!F150:F150),"median", MEDIAN(Instances!F150:F150),"min", MIN(Instances!F150:F150),"max", MAX(Instances!F150:F150),"diff", MAX(Instances!F150:F150)-MIN(Instances!F150:F150))</f>
        <v>281</v>
      </c>
      <c r="G150" s="1" t="n">
        <f aca="false" t="array" ref="G150:G150">_xlfn.SWITCH($A$2,"average", AVERAGE(Instances!G150:G150),"median", MEDIAN(Instances!G150:G150),"min", MIN(Instances!G150:G150),"max", MAX(Instances!G150:G150),"diff", MAX(Instances!G150:G150)-MIN(Instances!G150:G150))</f>
        <v>0</v>
      </c>
      <c r="H150" s="1" t="n">
        <f aca="false" t="array" ref="H150:H150">_xlfn.SWITCH($A$2,"average", AVERAGE(Instances!H150:H150),"median", MEDIAN(Instances!H150:H150),"min", MIN(Instances!H150:H150),"max", MAX(Instances!H150:H150),"diff", MAX(Instances!H150:H150)-MIN(Instances!H150:H150))</f>
        <v>1</v>
      </c>
      <c r="I150" s="1" t="n">
        <f aca="false" t="array" ref="I150:I150">_xlfn.SWITCH($A$2,"average", AVERAGE(Instances!I150:I150),"median", MEDIAN(Instances!I150:I150),"min", MIN(Instances!I150:I150),"max", MAX(Instances!I150:I150),"diff", MAX(Instances!I150:I150)-MIN(Instances!I150:I150))</f>
        <v>3.088</v>
      </c>
      <c r="J150" s="1" t="n">
        <f aca="false" t="array" ref="J150:J150">_xlfn.SWITCH($A$2,"average", AVERAGE(Instances!J150:J150),"median", MEDIAN(Instances!J150:J150),"min", MIN(Instances!J150:J150),"max", MAX(Instances!J150:J150),"diff", MAX(Instances!J150:J150)-MIN(Instances!J150:J150))</f>
        <v>3.19</v>
      </c>
      <c r="K150" s="1" t="n">
        <f aca="false" t="array" ref="K150:K150">_xlfn.SWITCH($A$2,"average", AVERAGE(Instances!K150:K150),"median", MEDIAN(Instances!K150:K150),"min", MIN(Instances!K150:K150),"max", MAX(Instances!K150:K150),"diff", MAX(Instances!K150:K150)-MIN(Instances!K150:K150))</f>
        <v>0</v>
      </c>
      <c r="L150" s="1"/>
      <c r="M150" s="1" t="n">
        <f aca="false" t="array" ref="M150:M150">_xlfn.SWITCH($A$2,"average", AVERAGE(Instances!M150:M150),"median", MEDIAN(Instances!M150:M150),"min", MIN(Instances!M150:M150),"max", MAX(Instances!M150:M150),"diff", MAX(Instances!M150:M150)-MIN(Instances!M150:M150))</f>
        <v>735073</v>
      </c>
      <c r="N150" s="1" t="n">
        <f aca="false" t="array" ref="N150:N150">_xlfn.SWITCH($A$2,"average", AVERAGE(Instances!N150:N150),"median", MEDIAN(Instances!N150:N150),"min", MIN(Instances!N150:N150),"max", MAX(Instances!N150:N150),"diff", MAX(Instances!N150:N150)-MIN(Instances!N150:N150))</f>
        <v>0.03</v>
      </c>
      <c r="O150" s="1"/>
      <c r="P150" s="1" t="n">
        <f aca="false" t="array" ref="P150:P150">_xlfn.SWITCH($A$2,"average", AVERAGE(Instances!P150:P150),"median", MEDIAN(Instances!P150:P150),"min", MIN(Instances!P150:P150),"max", MAX(Instances!P150:P150),"diff", MAX(Instances!P150:P150)-MIN(Instances!P150:P150))</f>
        <v>3.19</v>
      </c>
      <c r="Q150" s="1" t="n">
        <f aca="false" t="array" ref="Q150:Q150">_xlfn.SWITCH($A$2,"average", AVERAGE(Instances!Q150:Q150),"median", MEDIAN(Instances!Q150:Q150),"min", MIN(Instances!Q150:Q150),"max", MAX(Instances!Q150:Q150),"diff", MAX(Instances!Q150:Q150)-MIN(Instances!Q150:Q150))</f>
        <v>0</v>
      </c>
      <c r="R150" s="1" t="n">
        <f aca="false" t="array" ref="R150:R150">_xlfn.SWITCH($A$2,"average", AVERAGE(Instances!R150:R150),"median", MEDIAN(Instances!R150:R150),"min", MIN(Instances!R150:R150),"max", MAX(Instances!R150:R150),"diff", MAX(Instances!R150:R150)-MIN(Instances!R150:R150))</f>
        <v>274305</v>
      </c>
      <c r="S150" s="1" t="n">
        <f aca="false">MIN($B150)</f>
        <v>939</v>
      </c>
      <c r="T150" s="1" t="n">
        <f aca="false">MIN($C150)</f>
        <v>1</v>
      </c>
      <c r="U150" s="1" t="n">
        <f aca="false">MIN($D150)</f>
        <v>351164</v>
      </c>
      <c r="V150" s="1" t="n">
        <f aca="false">MIN($E150)</f>
        <v>0</v>
      </c>
      <c r="W150" s="1" t="n">
        <f aca="false">MIN($F150)</f>
        <v>281</v>
      </c>
      <c r="X150" s="1" t="n">
        <f aca="false">MIN($G150)</f>
        <v>0</v>
      </c>
      <c r="Y150" s="1" t="n">
        <f aca="false">MIN($H150)</f>
        <v>1</v>
      </c>
      <c r="Z150" s="1" t="n">
        <f aca="false">MIN($I150)</f>
        <v>3.088</v>
      </c>
      <c r="AA150" s="1" t="n">
        <f aca="false">MIN($J150)</f>
        <v>3.19</v>
      </c>
      <c r="AB150" s="1" t="n">
        <f aca="false">MIN($K150)</f>
        <v>0</v>
      </c>
      <c r="AC150" s="1" t="n">
        <f aca="false">MIN($M150)</f>
        <v>735073</v>
      </c>
      <c r="AD150" s="1" t="n">
        <f aca="false">MIN($N150)</f>
        <v>0.03</v>
      </c>
      <c r="AE150" s="1" t="n">
        <f aca="false">MIN($P150)</f>
        <v>3.19</v>
      </c>
      <c r="AF150" s="1" t="n">
        <f aca="false">MIN($Q150)</f>
        <v>0</v>
      </c>
      <c r="AG150" s="1" t="n">
        <f aca="false">MIN($R150)</f>
        <v>274305</v>
      </c>
      <c r="AH150" s="1" t="n">
        <f aca="false">MEDIAN($B150)</f>
        <v>939</v>
      </c>
      <c r="AI150" s="1" t="n">
        <f aca="false">MEDIAN($C150)</f>
        <v>1</v>
      </c>
      <c r="AJ150" s="1" t="n">
        <f aca="false">MEDIAN($D150)</f>
        <v>351164</v>
      </c>
      <c r="AK150" s="1" t="n">
        <f aca="false">MEDIAN($E150)</f>
        <v>0</v>
      </c>
      <c r="AL150" s="1" t="n">
        <f aca="false">MEDIAN($F150)</f>
        <v>281</v>
      </c>
      <c r="AM150" s="1" t="n">
        <f aca="false">MEDIAN($G150)</f>
        <v>0</v>
      </c>
      <c r="AN150" s="1" t="n">
        <f aca="false">MEDIAN($H150)</f>
        <v>1</v>
      </c>
      <c r="AO150" s="1" t="n">
        <f aca="false">MEDIAN($I150)</f>
        <v>3.088</v>
      </c>
      <c r="AP150" s="1" t="n">
        <f aca="false">MEDIAN($J150)</f>
        <v>3.19</v>
      </c>
      <c r="AQ150" s="1" t="n">
        <f aca="false">MEDIAN($K150)</f>
        <v>0</v>
      </c>
      <c r="AR150" s="1" t="n">
        <f aca="false">MEDIAN($M150)</f>
        <v>735073</v>
      </c>
      <c r="AS150" s="1" t="n">
        <f aca="false">MEDIAN($N150)</f>
        <v>0.03</v>
      </c>
      <c r="AT150" s="1" t="n">
        <f aca="false">MEDIAN($P150)</f>
        <v>3.19</v>
      </c>
      <c r="AU150" s="1" t="n">
        <f aca="false">MEDIAN($Q150)</f>
        <v>0</v>
      </c>
      <c r="AV150" s="1" t="n">
        <f aca="false">MEDIAN($R150)</f>
        <v>274305</v>
      </c>
      <c r="AW150" s="1" t="n">
        <f aca="false">MAX($B150)</f>
        <v>939</v>
      </c>
      <c r="AX150" s="1" t="n">
        <f aca="false">MAX($C150)</f>
        <v>1</v>
      </c>
      <c r="AY150" s="1" t="n">
        <f aca="false">MAX($D150)</f>
        <v>351164</v>
      </c>
      <c r="AZ150" s="1" t="n">
        <f aca="false">MAX($E150)</f>
        <v>0</v>
      </c>
      <c r="BA150" s="1" t="n">
        <f aca="false">MAX($F150)</f>
        <v>281</v>
      </c>
      <c r="BB150" s="1" t="n">
        <f aca="false">MAX($G150)</f>
        <v>0</v>
      </c>
      <c r="BC150" s="1" t="n">
        <f aca="false">MAX($H150)</f>
        <v>1</v>
      </c>
      <c r="BD150" s="1" t="n">
        <f aca="false">MAX($I150)</f>
        <v>3.088</v>
      </c>
      <c r="BE150" s="1" t="n">
        <f aca="false">MAX($J150)</f>
        <v>3.19</v>
      </c>
      <c r="BF150" s="1" t="n">
        <f aca="false">MAX($K150)</f>
        <v>0</v>
      </c>
      <c r="BG150" s="1" t="n">
        <f aca="false">MAX($M150)</f>
        <v>735073</v>
      </c>
      <c r="BH150" s="1" t="n">
        <f aca="false">MAX($N150)</f>
        <v>0.03</v>
      </c>
      <c r="BI150" s="1" t="n">
        <f aca="false">MAX($P150)</f>
        <v>3.19</v>
      </c>
      <c r="BJ150" s="1" t="n">
        <f aca="false">MAX($Q150)</f>
        <v>0</v>
      </c>
      <c r="BK150" s="1" t="n">
        <f aca="false">MAX($R150)</f>
        <v>274305</v>
      </c>
    </row>
    <row r="151" customFormat="false" ht="15" hidden="false" customHeight="false" outlineLevel="0" collapsed="false">
      <c r="A151" s="1" t="s">
        <v>168</v>
      </c>
      <c r="B151" s="1" t="n">
        <f aca="false" t="array" ref="B151:B151">_xlfn.SWITCH($A$2,"average", AVERAGE(Instances!B151:B151),"median", MEDIAN(Instances!B151:B151),"min", MIN(Instances!B151:B151),"max", MAX(Instances!B151:B151),"diff", MAX(Instances!B151:B151)-MIN(Instances!B151:B151))</f>
        <v>1211</v>
      </c>
      <c r="C151" s="1" t="n">
        <f aca="false" t="array" ref="C151:C151">_xlfn.SWITCH($A$2,"average", AVERAGE(Instances!C151:C151),"median", MEDIAN(Instances!C151:C151),"min", MIN(Instances!C151:C151),"max", MAX(Instances!C151:C151),"diff", MAX(Instances!C151:C151)-MIN(Instances!C151:C151))</f>
        <v>0</v>
      </c>
      <c r="D151" s="1" t="n">
        <f aca="false" t="array" ref="D151:D151">_xlfn.SWITCH($A$2,"average", AVERAGE(Instances!D151:D151),"median", MEDIAN(Instances!D151:D151),"min", MIN(Instances!D151:D151),"max", MAX(Instances!D151:D151),"diff", MAX(Instances!D151:D151)-MIN(Instances!D151:D151))</f>
        <v>556849</v>
      </c>
      <c r="E151" s="1" t="n">
        <f aca="false" t="array" ref="E151:E151">_xlfn.SWITCH($A$2,"average", AVERAGE(Instances!E151:E151),"median", MEDIAN(Instances!E151:E151),"min", MIN(Instances!E151:E151),"max", MAX(Instances!E151:E151),"diff", MAX(Instances!E151:E151)-MIN(Instances!E151:E151))</f>
        <v>0</v>
      </c>
      <c r="F151" s="1" t="n">
        <f aca="false" t="array" ref="F151:F151">_xlfn.SWITCH($A$2,"average", AVERAGE(Instances!F151:F151),"median", MEDIAN(Instances!F151:F151),"min", MIN(Instances!F151:F151),"max", MAX(Instances!F151:F151),"diff", MAX(Instances!F151:F151)-MIN(Instances!F151:F151))</f>
        <v>352</v>
      </c>
      <c r="G151" s="1" t="n">
        <f aca="false" t="array" ref="G151:G151">_xlfn.SWITCH($A$2,"average", AVERAGE(Instances!G151:G151),"median", MEDIAN(Instances!G151:G151),"min", MIN(Instances!G151:G151),"max", MAX(Instances!G151:G151),"diff", MAX(Instances!G151:G151)-MIN(Instances!G151:G151))</f>
        <v>0</v>
      </c>
      <c r="H151" s="1" t="n">
        <f aca="false" t="array" ref="H151:H151">_xlfn.SWITCH($A$2,"average", AVERAGE(Instances!H151:H151),"median", MEDIAN(Instances!H151:H151),"min", MIN(Instances!H151:H151),"max", MAX(Instances!H151:H151),"diff", MAX(Instances!H151:H151)-MIN(Instances!H151:H151))</f>
        <v>1</v>
      </c>
      <c r="I151" s="1" t="n">
        <f aca="false" t="array" ref="I151:I151">_xlfn.SWITCH($A$2,"average", AVERAGE(Instances!I151:I151),"median", MEDIAN(Instances!I151:I151),"min", MIN(Instances!I151:I151),"max", MAX(Instances!I151:I151),"diff", MAX(Instances!I151:I151)-MIN(Instances!I151:I151))</f>
        <v>3.97</v>
      </c>
      <c r="J151" s="1" t="n">
        <f aca="false" t="array" ref="J151:J151">_xlfn.SWITCH($A$2,"average", AVERAGE(Instances!J151:J151),"median", MEDIAN(Instances!J151:J151),"min", MIN(Instances!J151:J151),"max", MAX(Instances!J151:J151),"diff", MAX(Instances!J151:J151)-MIN(Instances!J151:J151))</f>
        <v>4.1</v>
      </c>
      <c r="K151" s="1" t="n">
        <f aca="false" t="array" ref="K151:K151">_xlfn.SWITCH($A$2,"average", AVERAGE(Instances!K151:K151),"median", MEDIAN(Instances!K151:K151),"min", MIN(Instances!K151:K151),"max", MAX(Instances!K151:K151),"diff", MAX(Instances!K151:K151)-MIN(Instances!K151:K151))</f>
        <v>0</v>
      </c>
      <c r="L151" s="1"/>
      <c r="M151" s="1" t="n">
        <f aca="false" t="array" ref="M151:M151">_xlfn.SWITCH($A$2,"average", AVERAGE(Instances!M151:M151),"median", MEDIAN(Instances!M151:M151),"min", MIN(Instances!M151:M151),"max", MAX(Instances!M151:M151),"diff", MAX(Instances!M151:M151)-MIN(Instances!M151:M151))</f>
        <v>961645</v>
      </c>
      <c r="N151" s="1" t="n">
        <f aca="false" t="array" ref="N151:N151">_xlfn.SWITCH($A$2,"average", AVERAGE(Instances!N151:N151),"median", MEDIAN(Instances!N151:N151),"min", MIN(Instances!N151:N151),"max", MAX(Instances!N151:N151),"diff", MAX(Instances!N151:N151)-MIN(Instances!N151:N151))</f>
        <v>0.04</v>
      </c>
      <c r="O151" s="1"/>
      <c r="P151" s="1" t="n">
        <f aca="false" t="array" ref="P151:P151">_xlfn.SWITCH($A$2,"average", AVERAGE(Instances!P151:P151),"median", MEDIAN(Instances!P151:P151),"min", MIN(Instances!P151:P151),"max", MAX(Instances!P151:P151),"diff", MAX(Instances!P151:P151)-MIN(Instances!P151:P151))</f>
        <v>4.1</v>
      </c>
      <c r="Q151" s="1" t="n">
        <f aca="false" t="array" ref="Q151:Q151">_xlfn.SWITCH($A$2,"average", AVERAGE(Instances!Q151:Q151),"median", MEDIAN(Instances!Q151:Q151),"min", MIN(Instances!Q151:Q151),"max", MAX(Instances!Q151:Q151),"diff", MAX(Instances!Q151:Q151)-MIN(Instances!Q151:Q151))</f>
        <v>0</v>
      </c>
      <c r="R151" s="1" t="n">
        <f aca="false" t="array" ref="R151:R151">_xlfn.SWITCH($A$2,"average", AVERAGE(Instances!R151:R151),"median", MEDIAN(Instances!R151:R151),"min", MIN(Instances!R151:R151),"max", MAX(Instances!R151:R151),"diff", MAX(Instances!R151:R151)-MIN(Instances!R151:R151))</f>
        <v>347628</v>
      </c>
      <c r="S151" s="1" t="n">
        <f aca="false">MIN($B151)</f>
        <v>1211</v>
      </c>
      <c r="T151" s="1" t="n">
        <f aca="false">MIN($C151)</f>
        <v>0</v>
      </c>
      <c r="U151" s="1" t="n">
        <f aca="false">MIN($D151)</f>
        <v>556849</v>
      </c>
      <c r="V151" s="1" t="n">
        <f aca="false">MIN($E151)</f>
        <v>0</v>
      </c>
      <c r="W151" s="1" t="n">
        <f aca="false">MIN($F151)</f>
        <v>352</v>
      </c>
      <c r="X151" s="1" t="n">
        <f aca="false">MIN($G151)</f>
        <v>0</v>
      </c>
      <c r="Y151" s="1" t="n">
        <f aca="false">MIN($H151)</f>
        <v>1</v>
      </c>
      <c r="Z151" s="1" t="n">
        <f aca="false">MIN($I151)</f>
        <v>3.97</v>
      </c>
      <c r="AA151" s="1" t="n">
        <f aca="false">MIN($J151)</f>
        <v>4.1</v>
      </c>
      <c r="AB151" s="1" t="n">
        <f aca="false">MIN($K151)</f>
        <v>0</v>
      </c>
      <c r="AC151" s="1" t="n">
        <f aca="false">MIN($M151)</f>
        <v>961645</v>
      </c>
      <c r="AD151" s="1" t="n">
        <f aca="false">MIN($N151)</f>
        <v>0.04</v>
      </c>
      <c r="AE151" s="1" t="n">
        <f aca="false">MIN($P151)</f>
        <v>4.1</v>
      </c>
      <c r="AF151" s="1" t="n">
        <f aca="false">MIN($Q151)</f>
        <v>0</v>
      </c>
      <c r="AG151" s="1" t="n">
        <f aca="false">MIN($R151)</f>
        <v>347628</v>
      </c>
      <c r="AH151" s="1" t="n">
        <f aca="false">MEDIAN($B151)</f>
        <v>1211</v>
      </c>
      <c r="AI151" s="1" t="n">
        <f aca="false">MEDIAN($C151)</f>
        <v>0</v>
      </c>
      <c r="AJ151" s="1" t="n">
        <f aca="false">MEDIAN($D151)</f>
        <v>556849</v>
      </c>
      <c r="AK151" s="1" t="n">
        <f aca="false">MEDIAN($E151)</f>
        <v>0</v>
      </c>
      <c r="AL151" s="1" t="n">
        <f aca="false">MEDIAN($F151)</f>
        <v>352</v>
      </c>
      <c r="AM151" s="1" t="n">
        <f aca="false">MEDIAN($G151)</f>
        <v>0</v>
      </c>
      <c r="AN151" s="1" t="n">
        <f aca="false">MEDIAN($H151)</f>
        <v>1</v>
      </c>
      <c r="AO151" s="1" t="n">
        <f aca="false">MEDIAN($I151)</f>
        <v>3.97</v>
      </c>
      <c r="AP151" s="1" t="n">
        <f aca="false">MEDIAN($J151)</f>
        <v>4.1</v>
      </c>
      <c r="AQ151" s="1" t="n">
        <f aca="false">MEDIAN($K151)</f>
        <v>0</v>
      </c>
      <c r="AR151" s="1" t="n">
        <f aca="false">MEDIAN($M151)</f>
        <v>961645</v>
      </c>
      <c r="AS151" s="1" t="n">
        <f aca="false">MEDIAN($N151)</f>
        <v>0.04</v>
      </c>
      <c r="AT151" s="1" t="n">
        <f aca="false">MEDIAN($P151)</f>
        <v>4.1</v>
      </c>
      <c r="AU151" s="1" t="n">
        <f aca="false">MEDIAN($Q151)</f>
        <v>0</v>
      </c>
      <c r="AV151" s="1" t="n">
        <f aca="false">MEDIAN($R151)</f>
        <v>347628</v>
      </c>
      <c r="AW151" s="1" t="n">
        <f aca="false">MAX($B151)</f>
        <v>1211</v>
      </c>
      <c r="AX151" s="1" t="n">
        <f aca="false">MAX($C151)</f>
        <v>0</v>
      </c>
      <c r="AY151" s="1" t="n">
        <f aca="false">MAX($D151)</f>
        <v>556849</v>
      </c>
      <c r="AZ151" s="1" t="n">
        <f aca="false">MAX($E151)</f>
        <v>0</v>
      </c>
      <c r="BA151" s="1" t="n">
        <f aca="false">MAX($F151)</f>
        <v>352</v>
      </c>
      <c r="BB151" s="1" t="n">
        <f aca="false">MAX($G151)</f>
        <v>0</v>
      </c>
      <c r="BC151" s="1" t="n">
        <f aca="false">MAX($H151)</f>
        <v>1</v>
      </c>
      <c r="BD151" s="1" t="n">
        <f aca="false">MAX($I151)</f>
        <v>3.97</v>
      </c>
      <c r="BE151" s="1" t="n">
        <f aca="false">MAX($J151)</f>
        <v>4.1</v>
      </c>
      <c r="BF151" s="1" t="n">
        <f aca="false">MAX($K151)</f>
        <v>0</v>
      </c>
      <c r="BG151" s="1" t="n">
        <f aca="false">MAX($M151)</f>
        <v>961645</v>
      </c>
      <c r="BH151" s="1" t="n">
        <f aca="false">MAX($N151)</f>
        <v>0.04</v>
      </c>
      <c r="BI151" s="1" t="n">
        <f aca="false">MAX($P151)</f>
        <v>4.1</v>
      </c>
      <c r="BJ151" s="1" t="n">
        <f aca="false">MAX($Q151)</f>
        <v>0</v>
      </c>
      <c r="BK151" s="1" t="n">
        <f aca="false">MAX($R151)</f>
        <v>347628</v>
      </c>
    </row>
    <row r="152" customFormat="false" ht="15" hidden="false" customHeight="false" outlineLevel="0" collapsed="false">
      <c r="A152" s="1" t="s">
        <v>169</v>
      </c>
      <c r="B152" s="1" t="n">
        <f aca="false" t="array" ref="B152:B152">_xlfn.SWITCH($A$2,"average", AVERAGE(Instances!B152:B152),"median", MEDIAN(Instances!B152:B152),"min", MIN(Instances!B152:B152),"max", MAX(Instances!B152:B152),"diff", MAX(Instances!B152:B152)-MIN(Instances!B152:B152))</f>
        <v>1102</v>
      </c>
      <c r="C152" s="1" t="n">
        <f aca="false" t="array" ref="C152:C152">_xlfn.SWITCH($A$2,"average", AVERAGE(Instances!C152:C152),"median", MEDIAN(Instances!C152:C152),"min", MIN(Instances!C152:C152),"max", MAX(Instances!C152:C152),"diff", MAX(Instances!C152:C152)-MIN(Instances!C152:C152))</f>
        <v>0</v>
      </c>
      <c r="D152" s="1" t="n">
        <f aca="false" t="array" ref="D152:D152">_xlfn.SWITCH($A$2,"average", AVERAGE(Instances!D152:D152),"median", MEDIAN(Instances!D152:D152),"min", MIN(Instances!D152:D152),"max", MAX(Instances!D152:D152),"diff", MAX(Instances!D152:D152)-MIN(Instances!D152:D152))</f>
        <v>631009</v>
      </c>
      <c r="E152" s="1" t="n">
        <f aca="false" t="array" ref="E152:E152">_xlfn.SWITCH($A$2,"average", AVERAGE(Instances!E152:E152),"median", MEDIAN(Instances!E152:E152),"min", MIN(Instances!E152:E152),"max", MAX(Instances!E152:E152),"diff", MAX(Instances!E152:E152)-MIN(Instances!E152:E152))</f>
        <v>0</v>
      </c>
      <c r="F152" s="1" t="n">
        <f aca="false" t="array" ref="F152:F152">_xlfn.SWITCH($A$2,"average", AVERAGE(Instances!F152:F152),"median", MEDIAN(Instances!F152:F152),"min", MIN(Instances!F152:F152),"max", MAX(Instances!F152:F152),"diff", MAX(Instances!F152:F152)-MIN(Instances!F152:F152))</f>
        <v>391</v>
      </c>
      <c r="G152" s="1" t="n">
        <f aca="false" t="array" ref="G152:G152">_xlfn.SWITCH($A$2,"average", AVERAGE(Instances!G152:G152),"median", MEDIAN(Instances!G152:G152),"min", MIN(Instances!G152:G152),"max", MAX(Instances!G152:G152),"diff", MAX(Instances!G152:G152)-MIN(Instances!G152:G152))</f>
        <v>0</v>
      </c>
      <c r="H152" s="1" t="n">
        <f aca="false" t="array" ref="H152:H152">_xlfn.SWITCH($A$2,"average", AVERAGE(Instances!H152:H152),"median", MEDIAN(Instances!H152:H152),"min", MIN(Instances!H152:H152),"max", MAX(Instances!H152:H152),"diff", MAX(Instances!H152:H152)-MIN(Instances!H152:H152))</f>
        <v>1</v>
      </c>
      <c r="I152" s="1" t="n">
        <f aca="false" t="array" ref="I152:I152">_xlfn.SWITCH($A$2,"average", AVERAGE(Instances!I152:I152),"median", MEDIAN(Instances!I152:I152),"min", MIN(Instances!I152:I152),"max", MAX(Instances!I152:I152),"diff", MAX(Instances!I152:I152)-MIN(Instances!I152:I152))</f>
        <v>4.846</v>
      </c>
      <c r="J152" s="1" t="n">
        <f aca="false" t="array" ref="J152:J152">_xlfn.SWITCH($A$2,"average", AVERAGE(Instances!J152:J152),"median", MEDIAN(Instances!J152:J152),"min", MIN(Instances!J152:J152),"max", MAX(Instances!J152:J152),"diff", MAX(Instances!J152:J152)-MIN(Instances!J152:J152))</f>
        <v>4.99</v>
      </c>
      <c r="K152" s="1" t="n">
        <f aca="false" t="array" ref="K152:K152">_xlfn.SWITCH($A$2,"average", AVERAGE(Instances!K152:K152),"median", MEDIAN(Instances!K152:K152),"min", MIN(Instances!K152:K152),"max", MAX(Instances!K152:K152),"diff", MAX(Instances!K152:K152)-MIN(Instances!K152:K152))</f>
        <v>0</v>
      </c>
      <c r="L152" s="1"/>
      <c r="M152" s="1" t="n">
        <f aca="false" t="array" ref="M152:M152">_xlfn.SWITCH($A$2,"average", AVERAGE(Instances!M152:M152),"median", MEDIAN(Instances!M152:M152),"min", MIN(Instances!M152:M152),"max", MAX(Instances!M152:M152),"diff", MAX(Instances!M152:M152)-MIN(Instances!M152:M152))</f>
        <v>1069136</v>
      </c>
      <c r="N152" s="1" t="n">
        <f aca="false" t="array" ref="N152:N152">_xlfn.SWITCH($A$2,"average", AVERAGE(Instances!N152:N152),"median", MEDIAN(Instances!N152:N152),"min", MIN(Instances!N152:N152),"max", MAX(Instances!N152:N152),"diff", MAX(Instances!N152:N152)-MIN(Instances!N152:N152))</f>
        <v>0.05</v>
      </c>
      <c r="O152" s="1"/>
      <c r="P152" s="1" t="n">
        <f aca="false" t="array" ref="P152:P152">_xlfn.SWITCH($A$2,"average", AVERAGE(Instances!P152:P152),"median", MEDIAN(Instances!P152:P152),"min", MIN(Instances!P152:P152),"max", MAX(Instances!P152:P152),"diff", MAX(Instances!P152:P152)-MIN(Instances!P152:P152))</f>
        <v>4.99</v>
      </c>
      <c r="Q152" s="1" t="n">
        <f aca="false" t="array" ref="Q152:Q152">_xlfn.SWITCH($A$2,"average", AVERAGE(Instances!Q152:Q152),"median", MEDIAN(Instances!Q152:Q152),"min", MIN(Instances!Q152:Q152),"max", MAX(Instances!Q152:Q152),"diff", MAX(Instances!Q152:Q152)-MIN(Instances!Q152:Q152))</f>
        <v>0</v>
      </c>
      <c r="R152" s="1" t="n">
        <f aca="false" t="array" ref="R152:R152">_xlfn.SWITCH($A$2,"average", AVERAGE(Instances!R152:R152),"median", MEDIAN(Instances!R152:R152),"min", MIN(Instances!R152:R152),"max", MAX(Instances!R152:R152),"diff", MAX(Instances!R152:R152)-MIN(Instances!R152:R152))</f>
        <v>381709</v>
      </c>
      <c r="S152" s="1" t="n">
        <f aca="false">MIN($B152)</f>
        <v>1102</v>
      </c>
      <c r="T152" s="1" t="n">
        <f aca="false">MIN($C152)</f>
        <v>0</v>
      </c>
      <c r="U152" s="1" t="n">
        <f aca="false">MIN($D152)</f>
        <v>631009</v>
      </c>
      <c r="V152" s="1" t="n">
        <f aca="false">MIN($E152)</f>
        <v>0</v>
      </c>
      <c r="W152" s="1" t="n">
        <f aca="false">MIN($F152)</f>
        <v>391</v>
      </c>
      <c r="X152" s="1" t="n">
        <f aca="false">MIN($G152)</f>
        <v>0</v>
      </c>
      <c r="Y152" s="1" t="n">
        <f aca="false">MIN($H152)</f>
        <v>1</v>
      </c>
      <c r="Z152" s="1" t="n">
        <f aca="false">MIN($I152)</f>
        <v>4.846</v>
      </c>
      <c r="AA152" s="1" t="n">
        <f aca="false">MIN($J152)</f>
        <v>4.99</v>
      </c>
      <c r="AB152" s="1" t="n">
        <f aca="false">MIN($K152)</f>
        <v>0</v>
      </c>
      <c r="AC152" s="1" t="n">
        <f aca="false">MIN($M152)</f>
        <v>1069136</v>
      </c>
      <c r="AD152" s="1" t="n">
        <f aca="false">MIN($N152)</f>
        <v>0.05</v>
      </c>
      <c r="AE152" s="1" t="n">
        <f aca="false">MIN($P152)</f>
        <v>4.99</v>
      </c>
      <c r="AF152" s="1" t="n">
        <f aca="false">MIN($Q152)</f>
        <v>0</v>
      </c>
      <c r="AG152" s="1" t="n">
        <f aca="false">MIN($R152)</f>
        <v>381709</v>
      </c>
      <c r="AH152" s="1" t="n">
        <f aca="false">MEDIAN($B152)</f>
        <v>1102</v>
      </c>
      <c r="AI152" s="1" t="n">
        <f aca="false">MEDIAN($C152)</f>
        <v>0</v>
      </c>
      <c r="AJ152" s="1" t="n">
        <f aca="false">MEDIAN($D152)</f>
        <v>631009</v>
      </c>
      <c r="AK152" s="1" t="n">
        <f aca="false">MEDIAN($E152)</f>
        <v>0</v>
      </c>
      <c r="AL152" s="1" t="n">
        <f aca="false">MEDIAN($F152)</f>
        <v>391</v>
      </c>
      <c r="AM152" s="1" t="n">
        <f aca="false">MEDIAN($G152)</f>
        <v>0</v>
      </c>
      <c r="AN152" s="1" t="n">
        <f aca="false">MEDIAN($H152)</f>
        <v>1</v>
      </c>
      <c r="AO152" s="1" t="n">
        <f aca="false">MEDIAN($I152)</f>
        <v>4.846</v>
      </c>
      <c r="AP152" s="1" t="n">
        <f aca="false">MEDIAN($J152)</f>
        <v>4.99</v>
      </c>
      <c r="AQ152" s="1" t="n">
        <f aca="false">MEDIAN($K152)</f>
        <v>0</v>
      </c>
      <c r="AR152" s="1" t="n">
        <f aca="false">MEDIAN($M152)</f>
        <v>1069136</v>
      </c>
      <c r="AS152" s="1" t="n">
        <f aca="false">MEDIAN($N152)</f>
        <v>0.05</v>
      </c>
      <c r="AT152" s="1" t="n">
        <f aca="false">MEDIAN($P152)</f>
        <v>4.99</v>
      </c>
      <c r="AU152" s="1" t="n">
        <f aca="false">MEDIAN($Q152)</f>
        <v>0</v>
      </c>
      <c r="AV152" s="1" t="n">
        <f aca="false">MEDIAN($R152)</f>
        <v>381709</v>
      </c>
      <c r="AW152" s="1" t="n">
        <f aca="false">MAX($B152)</f>
        <v>1102</v>
      </c>
      <c r="AX152" s="1" t="n">
        <f aca="false">MAX($C152)</f>
        <v>0</v>
      </c>
      <c r="AY152" s="1" t="n">
        <f aca="false">MAX($D152)</f>
        <v>631009</v>
      </c>
      <c r="AZ152" s="1" t="n">
        <f aca="false">MAX($E152)</f>
        <v>0</v>
      </c>
      <c r="BA152" s="1" t="n">
        <f aca="false">MAX($F152)</f>
        <v>391</v>
      </c>
      <c r="BB152" s="1" t="n">
        <f aca="false">MAX($G152)</f>
        <v>0</v>
      </c>
      <c r="BC152" s="1" t="n">
        <f aca="false">MAX($H152)</f>
        <v>1</v>
      </c>
      <c r="BD152" s="1" t="n">
        <f aca="false">MAX($I152)</f>
        <v>4.846</v>
      </c>
      <c r="BE152" s="1" t="n">
        <f aca="false">MAX($J152)</f>
        <v>4.99</v>
      </c>
      <c r="BF152" s="1" t="n">
        <f aca="false">MAX($K152)</f>
        <v>0</v>
      </c>
      <c r="BG152" s="1" t="n">
        <f aca="false">MAX($M152)</f>
        <v>1069136</v>
      </c>
      <c r="BH152" s="1" t="n">
        <f aca="false">MAX($N152)</f>
        <v>0.05</v>
      </c>
      <c r="BI152" s="1" t="n">
        <f aca="false">MAX($P152)</f>
        <v>4.99</v>
      </c>
      <c r="BJ152" s="1" t="n">
        <f aca="false">MAX($Q152)</f>
        <v>0</v>
      </c>
      <c r="BK152" s="1" t="n">
        <f aca="false">MAX($R152)</f>
        <v>381709</v>
      </c>
    </row>
    <row r="153" customFormat="false" ht="15" hidden="false" customHeight="false" outlineLevel="0" collapsed="false">
      <c r="A153" s="1" t="s">
        <v>170</v>
      </c>
      <c r="B153" s="1" t="n">
        <f aca="false" t="array" ref="B153:B153">_xlfn.SWITCH($A$2,"average", AVERAGE(Instances!B153:B153),"median", MEDIAN(Instances!B153:B153),"min", MIN(Instances!B153:B153),"max", MAX(Instances!B153:B153),"diff", MAX(Instances!B153:B153)-MIN(Instances!B153:B153))</f>
        <v>1183</v>
      </c>
      <c r="C153" s="1" t="n">
        <f aca="false" t="array" ref="C153:C153">_xlfn.SWITCH($A$2,"average", AVERAGE(Instances!C153:C153),"median", MEDIAN(Instances!C153:C153),"min", MIN(Instances!C153:C153),"max", MAX(Instances!C153:C153),"diff", MAX(Instances!C153:C153)-MIN(Instances!C153:C153))</f>
        <v>0</v>
      </c>
      <c r="D153" s="1" t="n">
        <f aca="false" t="array" ref="D153:D153">_xlfn.SWITCH($A$2,"average", AVERAGE(Instances!D153:D153),"median", MEDIAN(Instances!D153:D153),"min", MIN(Instances!D153:D153),"max", MAX(Instances!D153:D153),"diff", MAX(Instances!D153:D153)-MIN(Instances!D153:D153))</f>
        <v>646621</v>
      </c>
      <c r="E153" s="1" t="n">
        <f aca="false" t="array" ref="E153:E153">_xlfn.SWITCH($A$2,"average", AVERAGE(Instances!E153:E153),"median", MEDIAN(Instances!E153:E153),"min", MIN(Instances!E153:E153),"max", MAX(Instances!E153:E153),"diff", MAX(Instances!E153:E153)-MIN(Instances!E153:E153))</f>
        <v>0</v>
      </c>
      <c r="F153" s="1" t="n">
        <f aca="false" t="array" ref="F153:F153">_xlfn.SWITCH($A$2,"average", AVERAGE(Instances!F153:F153),"median", MEDIAN(Instances!F153:F153),"min", MIN(Instances!F153:F153),"max", MAX(Instances!F153:F153),"diff", MAX(Instances!F153:F153)-MIN(Instances!F153:F153))</f>
        <v>385</v>
      </c>
      <c r="G153" s="1" t="n">
        <f aca="false" t="array" ref="G153:G153">_xlfn.SWITCH($A$2,"average", AVERAGE(Instances!G153:G153),"median", MEDIAN(Instances!G153:G153),"min", MIN(Instances!G153:G153),"max", MAX(Instances!G153:G153),"diff", MAX(Instances!G153:G153)-MIN(Instances!G153:G153))</f>
        <v>0</v>
      </c>
      <c r="H153" s="1" t="n">
        <f aca="false" t="array" ref="H153:H153">_xlfn.SWITCH($A$2,"average", AVERAGE(Instances!H153:H153),"median", MEDIAN(Instances!H153:H153),"min", MIN(Instances!H153:H153),"max", MAX(Instances!H153:H153),"diff", MAX(Instances!H153:H153)-MIN(Instances!H153:H153))</f>
        <v>1</v>
      </c>
      <c r="I153" s="1" t="n">
        <f aca="false" t="array" ref="I153:I153">_xlfn.SWITCH($A$2,"average", AVERAGE(Instances!I153:I153),"median", MEDIAN(Instances!I153:I153),"min", MIN(Instances!I153:I153),"max", MAX(Instances!I153:I153),"diff", MAX(Instances!I153:I153)-MIN(Instances!I153:I153))</f>
        <v>4.755</v>
      </c>
      <c r="J153" s="1" t="n">
        <f aca="false" t="array" ref="J153:J153">_xlfn.SWITCH($A$2,"average", AVERAGE(Instances!J153:J153),"median", MEDIAN(Instances!J153:J153),"min", MIN(Instances!J153:J153),"max", MAX(Instances!J153:J153),"diff", MAX(Instances!J153:J153)-MIN(Instances!J153:J153))</f>
        <v>4.9</v>
      </c>
      <c r="K153" s="1" t="n">
        <f aca="false" t="array" ref="K153:K153">_xlfn.SWITCH($A$2,"average", AVERAGE(Instances!K153:K153),"median", MEDIAN(Instances!K153:K153),"min", MIN(Instances!K153:K153),"max", MAX(Instances!K153:K153),"diff", MAX(Instances!K153:K153)-MIN(Instances!K153:K153))</f>
        <v>0</v>
      </c>
      <c r="L153" s="1"/>
      <c r="M153" s="1" t="n">
        <f aca="false" t="array" ref="M153:M153">_xlfn.SWITCH($A$2,"average", AVERAGE(Instances!M153:M153),"median", MEDIAN(Instances!M153:M153),"min", MIN(Instances!M153:M153),"max", MAX(Instances!M153:M153),"diff", MAX(Instances!M153:M153)-MIN(Instances!M153:M153))</f>
        <v>1060084</v>
      </c>
      <c r="N153" s="1" t="n">
        <f aca="false" t="array" ref="N153:N153">_xlfn.SWITCH($A$2,"average", AVERAGE(Instances!N153:N153),"median", MEDIAN(Instances!N153:N153),"min", MIN(Instances!N153:N153),"max", MAX(Instances!N153:N153),"diff", MAX(Instances!N153:N153)-MIN(Instances!N153:N153))</f>
        <v>0.04</v>
      </c>
      <c r="O153" s="1"/>
      <c r="P153" s="1" t="n">
        <f aca="false" t="array" ref="P153:P153">_xlfn.SWITCH($A$2,"average", AVERAGE(Instances!P153:P153),"median", MEDIAN(Instances!P153:P153),"min", MIN(Instances!P153:P153),"max", MAX(Instances!P153:P153),"diff", MAX(Instances!P153:P153)-MIN(Instances!P153:P153))</f>
        <v>4.9</v>
      </c>
      <c r="Q153" s="1" t="n">
        <f aca="false" t="array" ref="Q153:Q153">_xlfn.SWITCH($A$2,"average", AVERAGE(Instances!Q153:Q153),"median", MEDIAN(Instances!Q153:Q153),"min", MIN(Instances!Q153:Q153),"max", MAX(Instances!Q153:Q153),"diff", MAX(Instances!Q153:Q153)-MIN(Instances!Q153:Q153))</f>
        <v>0</v>
      </c>
      <c r="R153" s="1" t="n">
        <f aca="false" t="array" ref="R153:R153">_xlfn.SWITCH($A$2,"average", AVERAGE(Instances!R153:R153),"median", MEDIAN(Instances!R153:R153),"min", MIN(Instances!R153:R153),"max", MAX(Instances!R153:R153),"diff", MAX(Instances!R153:R153)-MIN(Instances!R153:R153))</f>
        <v>379388</v>
      </c>
      <c r="S153" s="1" t="n">
        <f aca="false">MIN($B153)</f>
        <v>1183</v>
      </c>
      <c r="T153" s="1" t="n">
        <f aca="false">MIN($C153)</f>
        <v>0</v>
      </c>
      <c r="U153" s="1" t="n">
        <f aca="false">MIN($D153)</f>
        <v>646621</v>
      </c>
      <c r="V153" s="1" t="n">
        <f aca="false">MIN($E153)</f>
        <v>0</v>
      </c>
      <c r="W153" s="1" t="n">
        <f aca="false">MIN($F153)</f>
        <v>385</v>
      </c>
      <c r="X153" s="1" t="n">
        <f aca="false">MIN($G153)</f>
        <v>0</v>
      </c>
      <c r="Y153" s="1" t="n">
        <f aca="false">MIN($H153)</f>
        <v>1</v>
      </c>
      <c r="Z153" s="1" t="n">
        <f aca="false">MIN($I153)</f>
        <v>4.755</v>
      </c>
      <c r="AA153" s="1" t="n">
        <f aca="false">MIN($J153)</f>
        <v>4.9</v>
      </c>
      <c r="AB153" s="1" t="n">
        <f aca="false">MIN($K153)</f>
        <v>0</v>
      </c>
      <c r="AC153" s="1" t="n">
        <f aca="false">MIN($M153)</f>
        <v>1060084</v>
      </c>
      <c r="AD153" s="1" t="n">
        <f aca="false">MIN($N153)</f>
        <v>0.04</v>
      </c>
      <c r="AE153" s="1" t="n">
        <f aca="false">MIN($P153)</f>
        <v>4.9</v>
      </c>
      <c r="AF153" s="1" t="n">
        <f aca="false">MIN($Q153)</f>
        <v>0</v>
      </c>
      <c r="AG153" s="1" t="n">
        <f aca="false">MIN($R153)</f>
        <v>379388</v>
      </c>
      <c r="AH153" s="1" t="n">
        <f aca="false">MEDIAN($B153)</f>
        <v>1183</v>
      </c>
      <c r="AI153" s="1" t="n">
        <f aca="false">MEDIAN($C153)</f>
        <v>0</v>
      </c>
      <c r="AJ153" s="1" t="n">
        <f aca="false">MEDIAN($D153)</f>
        <v>646621</v>
      </c>
      <c r="AK153" s="1" t="n">
        <f aca="false">MEDIAN($E153)</f>
        <v>0</v>
      </c>
      <c r="AL153" s="1" t="n">
        <f aca="false">MEDIAN($F153)</f>
        <v>385</v>
      </c>
      <c r="AM153" s="1" t="n">
        <f aca="false">MEDIAN($G153)</f>
        <v>0</v>
      </c>
      <c r="AN153" s="1" t="n">
        <f aca="false">MEDIAN($H153)</f>
        <v>1</v>
      </c>
      <c r="AO153" s="1" t="n">
        <f aca="false">MEDIAN($I153)</f>
        <v>4.755</v>
      </c>
      <c r="AP153" s="1" t="n">
        <f aca="false">MEDIAN($J153)</f>
        <v>4.9</v>
      </c>
      <c r="AQ153" s="1" t="n">
        <f aca="false">MEDIAN($K153)</f>
        <v>0</v>
      </c>
      <c r="AR153" s="1" t="n">
        <f aca="false">MEDIAN($M153)</f>
        <v>1060084</v>
      </c>
      <c r="AS153" s="1" t="n">
        <f aca="false">MEDIAN($N153)</f>
        <v>0.04</v>
      </c>
      <c r="AT153" s="1" t="n">
        <f aca="false">MEDIAN($P153)</f>
        <v>4.9</v>
      </c>
      <c r="AU153" s="1" t="n">
        <f aca="false">MEDIAN($Q153)</f>
        <v>0</v>
      </c>
      <c r="AV153" s="1" t="n">
        <f aca="false">MEDIAN($R153)</f>
        <v>379388</v>
      </c>
      <c r="AW153" s="1" t="n">
        <f aca="false">MAX($B153)</f>
        <v>1183</v>
      </c>
      <c r="AX153" s="1" t="n">
        <f aca="false">MAX($C153)</f>
        <v>0</v>
      </c>
      <c r="AY153" s="1" t="n">
        <f aca="false">MAX($D153)</f>
        <v>646621</v>
      </c>
      <c r="AZ153" s="1" t="n">
        <f aca="false">MAX($E153)</f>
        <v>0</v>
      </c>
      <c r="BA153" s="1" t="n">
        <f aca="false">MAX($F153)</f>
        <v>385</v>
      </c>
      <c r="BB153" s="1" t="n">
        <f aca="false">MAX($G153)</f>
        <v>0</v>
      </c>
      <c r="BC153" s="1" t="n">
        <f aca="false">MAX($H153)</f>
        <v>1</v>
      </c>
      <c r="BD153" s="1" t="n">
        <f aca="false">MAX($I153)</f>
        <v>4.755</v>
      </c>
      <c r="BE153" s="1" t="n">
        <f aca="false">MAX($J153)</f>
        <v>4.9</v>
      </c>
      <c r="BF153" s="1" t="n">
        <f aca="false">MAX($K153)</f>
        <v>0</v>
      </c>
      <c r="BG153" s="1" t="n">
        <f aca="false">MAX($M153)</f>
        <v>1060084</v>
      </c>
      <c r="BH153" s="1" t="n">
        <f aca="false">MAX($N153)</f>
        <v>0.04</v>
      </c>
      <c r="BI153" s="1" t="n">
        <f aca="false">MAX($P153)</f>
        <v>4.9</v>
      </c>
      <c r="BJ153" s="1" t="n">
        <f aca="false">MAX($Q153)</f>
        <v>0</v>
      </c>
      <c r="BK153" s="1" t="n">
        <f aca="false">MAX($R153)</f>
        <v>379388</v>
      </c>
    </row>
    <row r="154" customFormat="false" ht="15" hidden="false" customHeight="false" outlineLevel="0" collapsed="false">
      <c r="A154" s="1" t="s">
        <v>171</v>
      </c>
      <c r="B154" s="1" t="n">
        <f aca="false" t="array" ref="B154:B154">_xlfn.SWITCH($A$2,"average", AVERAGE(Instances!B154:B154),"median", MEDIAN(Instances!B154:B154),"min", MIN(Instances!B154:B154),"max", MAX(Instances!B154:B154),"diff", MAX(Instances!B154:B154)-MIN(Instances!B154:B154))</f>
        <v>4522</v>
      </c>
      <c r="C154" s="1" t="n">
        <f aca="false" t="array" ref="C154:C154">_xlfn.SWITCH($A$2,"average", AVERAGE(Instances!C154:C154),"median", MEDIAN(Instances!C154:C154),"min", MIN(Instances!C154:C154),"max", MAX(Instances!C154:C154),"diff", MAX(Instances!C154:C154)-MIN(Instances!C154:C154))</f>
        <v>157</v>
      </c>
      <c r="D154" s="1" t="n">
        <f aca="false" t="array" ref="D154:D154">_xlfn.SWITCH($A$2,"average", AVERAGE(Instances!D154:D154),"median", MEDIAN(Instances!D154:D154),"min", MIN(Instances!D154:D154),"max", MAX(Instances!D154:D154),"diff", MAX(Instances!D154:D154)-MIN(Instances!D154:D154))</f>
        <v>840205</v>
      </c>
      <c r="E154" s="1" t="n">
        <f aca="false" t="array" ref="E154:E154">_xlfn.SWITCH($A$2,"average", AVERAGE(Instances!E154:E154),"median", MEDIAN(Instances!E154:E154),"min", MIN(Instances!E154:E154),"max", MAX(Instances!E154:E154),"diff", MAX(Instances!E154:E154)-MIN(Instances!E154:E154))</f>
        <v>0</v>
      </c>
      <c r="F154" s="1" t="n">
        <f aca="false" t="array" ref="F154:F154">_xlfn.SWITCH($A$2,"average", AVERAGE(Instances!F154:F154),"median", MEDIAN(Instances!F154:F154),"min", MIN(Instances!F154:F154),"max", MAX(Instances!F154:F154),"diff", MAX(Instances!F154:F154)-MIN(Instances!F154:F154))</f>
        <v>517</v>
      </c>
      <c r="G154" s="1" t="n">
        <f aca="false" t="array" ref="G154:G154">_xlfn.SWITCH($A$2,"average", AVERAGE(Instances!G154:G154),"median", MEDIAN(Instances!G154:G154),"min", MIN(Instances!G154:G154),"max", MAX(Instances!G154:G154),"diff", MAX(Instances!G154:G154)-MIN(Instances!G154:G154))</f>
        <v>0</v>
      </c>
      <c r="H154" s="1" t="n">
        <f aca="false" t="array" ref="H154:H154">_xlfn.SWITCH($A$2,"average", AVERAGE(Instances!H154:H154),"median", MEDIAN(Instances!H154:H154),"min", MIN(Instances!H154:H154),"max", MAX(Instances!H154:H154),"diff", MAX(Instances!H154:H154)-MIN(Instances!H154:H154))</f>
        <v>1</v>
      </c>
      <c r="I154" s="1" t="n">
        <f aca="false" t="array" ref="I154:I154">_xlfn.SWITCH($A$2,"average", AVERAGE(Instances!I154:I154),"median", MEDIAN(Instances!I154:I154),"min", MIN(Instances!I154:I154),"max", MAX(Instances!I154:I154),"diff", MAX(Instances!I154:I154)-MIN(Instances!I154:I154))</f>
        <v>7.126</v>
      </c>
      <c r="J154" s="1" t="n">
        <f aca="false" t="array" ref="J154:J154">_xlfn.SWITCH($A$2,"average", AVERAGE(Instances!J154:J154),"median", MEDIAN(Instances!J154:J154),"min", MIN(Instances!J154:J154),"max", MAX(Instances!J154:J154),"diff", MAX(Instances!J154:J154)-MIN(Instances!J154:J154))</f>
        <v>7.32</v>
      </c>
      <c r="K154" s="1" t="n">
        <f aca="false" t="array" ref="K154:K154">_xlfn.SWITCH($A$2,"average", AVERAGE(Instances!K154:K154),"median", MEDIAN(Instances!K154:K154),"min", MIN(Instances!K154:K154),"max", MAX(Instances!K154:K154),"diff", MAX(Instances!K154:K154)-MIN(Instances!K154:K154))</f>
        <v>2</v>
      </c>
      <c r="L154" s="1"/>
      <c r="M154" s="1" t="n">
        <f aca="false" t="array" ref="M154:M154">_xlfn.SWITCH($A$2,"average", AVERAGE(Instances!M154:M154),"median", MEDIAN(Instances!M154:M154),"min", MIN(Instances!M154:M154),"max", MAX(Instances!M154:M154),"diff", MAX(Instances!M154:M154)-MIN(Instances!M154:M154))</f>
        <v>1593170</v>
      </c>
      <c r="N154" s="1" t="n">
        <f aca="false" t="array" ref="N154:N154">_xlfn.SWITCH($A$2,"average", AVERAGE(Instances!N154:N154),"median", MEDIAN(Instances!N154:N154),"min", MIN(Instances!N154:N154),"max", MAX(Instances!N154:N154),"diff", MAX(Instances!N154:N154)-MIN(Instances!N154:N154))</f>
        <v>0.2</v>
      </c>
      <c r="O154" s="1"/>
      <c r="P154" s="1" t="n">
        <f aca="false" t="array" ref="P154:P154">_xlfn.SWITCH($A$2,"average", AVERAGE(Instances!P154:P154),"median", MEDIAN(Instances!P154:P154),"min", MIN(Instances!P154:P154),"max", MAX(Instances!P154:P154),"diff", MAX(Instances!P154:P154)-MIN(Instances!P154:P154))</f>
        <v>7.32</v>
      </c>
      <c r="Q154" s="1" t="n">
        <f aca="false" t="array" ref="Q154:Q154">_xlfn.SWITCH($A$2,"average", AVERAGE(Instances!Q154:Q154),"median", MEDIAN(Instances!Q154:Q154),"min", MIN(Instances!Q154:Q154),"max", MAX(Instances!Q154:Q154),"diff", MAX(Instances!Q154:Q154)-MIN(Instances!Q154:Q154))</f>
        <v>0</v>
      </c>
      <c r="R154" s="1" t="n">
        <f aca="false" t="array" ref="R154:R154">_xlfn.SWITCH($A$2,"average", AVERAGE(Instances!R154:R154),"median", MEDIAN(Instances!R154:R154),"min", MIN(Instances!R154:R154),"max", MAX(Instances!R154:R154),"diff", MAX(Instances!R154:R154)-MIN(Instances!R154:R154))</f>
        <v>522021</v>
      </c>
      <c r="S154" s="1" t="n">
        <f aca="false">MIN($B154)</f>
        <v>4522</v>
      </c>
      <c r="T154" s="1" t="n">
        <f aca="false">MIN($C154)</f>
        <v>157</v>
      </c>
      <c r="U154" s="1" t="n">
        <f aca="false">MIN($D154)</f>
        <v>840205</v>
      </c>
      <c r="V154" s="1" t="n">
        <f aca="false">MIN($E154)</f>
        <v>0</v>
      </c>
      <c r="W154" s="1" t="n">
        <f aca="false">MIN($F154)</f>
        <v>517</v>
      </c>
      <c r="X154" s="1" t="n">
        <f aca="false">MIN($G154)</f>
        <v>0</v>
      </c>
      <c r="Y154" s="1" t="n">
        <f aca="false">MIN($H154)</f>
        <v>1</v>
      </c>
      <c r="Z154" s="1" t="n">
        <f aca="false">MIN($I154)</f>
        <v>7.126</v>
      </c>
      <c r="AA154" s="1" t="n">
        <f aca="false">MIN($J154)</f>
        <v>7.32</v>
      </c>
      <c r="AB154" s="1" t="n">
        <f aca="false">MIN($K154)</f>
        <v>2</v>
      </c>
      <c r="AC154" s="1" t="n">
        <f aca="false">MIN($M154)</f>
        <v>1593170</v>
      </c>
      <c r="AD154" s="1" t="n">
        <f aca="false">MIN($N154)</f>
        <v>0.2</v>
      </c>
      <c r="AE154" s="1" t="n">
        <f aca="false">MIN($P154)</f>
        <v>7.32</v>
      </c>
      <c r="AF154" s="1" t="n">
        <f aca="false">MIN($Q154)</f>
        <v>0</v>
      </c>
      <c r="AG154" s="1" t="n">
        <f aca="false">MIN($R154)</f>
        <v>522021</v>
      </c>
      <c r="AH154" s="1" t="n">
        <f aca="false">MEDIAN($B154)</f>
        <v>4522</v>
      </c>
      <c r="AI154" s="1" t="n">
        <f aca="false">MEDIAN($C154)</f>
        <v>157</v>
      </c>
      <c r="AJ154" s="1" t="n">
        <f aca="false">MEDIAN($D154)</f>
        <v>840205</v>
      </c>
      <c r="AK154" s="1" t="n">
        <f aca="false">MEDIAN($E154)</f>
        <v>0</v>
      </c>
      <c r="AL154" s="1" t="n">
        <f aca="false">MEDIAN($F154)</f>
        <v>517</v>
      </c>
      <c r="AM154" s="1" t="n">
        <f aca="false">MEDIAN($G154)</f>
        <v>0</v>
      </c>
      <c r="AN154" s="1" t="n">
        <f aca="false">MEDIAN($H154)</f>
        <v>1</v>
      </c>
      <c r="AO154" s="1" t="n">
        <f aca="false">MEDIAN($I154)</f>
        <v>7.126</v>
      </c>
      <c r="AP154" s="1" t="n">
        <f aca="false">MEDIAN($J154)</f>
        <v>7.32</v>
      </c>
      <c r="AQ154" s="1" t="n">
        <f aca="false">MEDIAN($K154)</f>
        <v>2</v>
      </c>
      <c r="AR154" s="1" t="n">
        <f aca="false">MEDIAN($M154)</f>
        <v>1593170</v>
      </c>
      <c r="AS154" s="1" t="n">
        <f aca="false">MEDIAN($N154)</f>
        <v>0.2</v>
      </c>
      <c r="AT154" s="1" t="n">
        <f aca="false">MEDIAN($P154)</f>
        <v>7.32</v>
      </c>
      <c r="AU154" s="1" t="n">
        <f aca="false">MEDIAN($Q154)</f>
        <v>0</v>
      </c>
      <c r="AV154" s="1" t="n">
        <f aca="false">MEDIAN($R154)</f>
        <v>522021</v>
      </c>
      <c r="AW154" s="1" t="n">
        <f aca="false">MAX($B154)</f>
        <v>4522</v>
      </c>
      <c r="AX154" s="1" t="n">
        <f aca="false">MAX($C154)</f>
        <v>157</v>
      </c>
      <c r="AY154" s="1" t="n">
        <f aca="false">MAX($D154)</f>
        <v>840205</v>
      </c>
      <c r="AZ154" s="1" t="n">
        <f aca="false">MAX($E154)</f>
        <v>0</v>
      </c>
      <c r="BA154" s="1" t="n">
        <f aca="false">MAX($F154)</f>
        <v>517</v>
      </c>
      <c r="BB154" s="1" t="n">
        <f aca="false">MAX($G154)</f>
        <v>0</v>
      </c>
      <c r="BC154" s="1" t="n">
        <f aca="false">MAX($H154)</f>
        <v>1</v>
      </c>
      <c r="BD154" s="1" t="n">
        <f aca="false">MAX($I154)</f>
        <v>7.126</v>
      </c>
      <c r="BE154" s="1" t="n">
        <f aca="false">MAX($J154)</f>
        <v>7.32</v>
      </c>
      <c r="BF154" s="1" t="n">
        <f aca="false">MAX($K154)</f>
        <v>2</v>
      </c>
      <c r="BG154" s="1" t="n">
        <f aca="false">MAX($M154)</f>
        <v>1593170</v>
      </c>
      <c r="BH154" s="1" t="n">
        <f aca="false">MAX($N154)</f>
        <v>0.2</v>
      </c>
      <c r="BI154" s="1" t="n">
        <f aca="false">MAX($P154)</f>
        <v>7.32</v>
      </c>
      <c r="BJ154" s="1" t="n">
        <f aca="false">MAX($Q154)</f>
        <v>0</v>
      </c>
      <c r="BK154" s="1" t="n">
        <f aca="false">MAX($R154)</f>
        <v>522021</v>
      </c>
    </row>
    <row r="155" customFormat="false" ht="15" hidden="false" customHeight="false" outlineLevel="0" collapsed="false">
      <c r="A155" s="1" t="s">
        <v>172</v>
      </c>
      <c r="B155" s="1" t="n">
        <f aca="false" t="array" ref="B155:B155">_xlfn.SWITCH($A$2,"average", AVERAGE(Instances!B155:B155),"median", MEDIAN(Instances!B155:B155),"min", MIN(Instances!B155:B155),"max", MAX(Instances!B155:B155),"diff", MAX(Instances!B155:B155)-MIN(Instances!B155:B155))</f>
        <v>2382</v>
      </c>
      <c r="C155" s="1" t="n">
        <f aca="false" t="array" ref="C155:C155">_xlfn.SWITCH($A$2,"average", AVERAGE(Instances!C155:C155),"median", MEDIAN(Instances!C155:C155),"min", MIN(Instances!C155:C155),"max", MAX(Instances!C155:C155),"diff", MAX(Instances!C155:C155)-MIN(Instances!C155:C155))</f>
        <v>0</v>
      </c>
      <c r="D155" s="1" t="n">
        <f aca="false" t="array" ref="D155:D155">_xlfn.SWITCH($A$2,"average", AVERAGE(Instances!D155:D155),"median", MEDIAN(Instances!D155:D155),"min", MIN(Instances!D155:D155),"max", MAX(Instances!D155:D155),"diff", MAX(Instances!D155:D155)-MIN(Instances!D155:D155))</f>
        <v>789851</v>
      </c>
      <c r="E155" s="1" t="n">
        <f aca="false" t="array" ref="E155:E155">_xlfn.SWITCH($A$2,"average", AVERAGE(Instances!E155:E155),"median", MEDIAN(Instances!E155:E155),"min", MIN(Instances!E155:E155),"max", MAX(Instances!E155:E155),"diff", MAX(Instances!E155:E155)-MIN(Instances!E155:E155))</f>
        <v>0</v>
      </c>
      <c r="F155" s="1" t="n">
        <f aca="false" t="array" ref="F155:F155">_xlfn.SWITCH($A$2,"average", AVERAGE(Instances!F155:F155),"median", MEDIAN(Instances!F155:F155),"min", MIN(Instances!F155:F155),"max", MAX(Instances!F155:F155),"diff", MAX(Instances!F155:F155)-MIN(Instances!F155:F155))</f>
        <v>501</v>
      </c>
      <c r="G155" s="1" t="n">
        <f aca="false" t="array" ref="G155:G155">_xlfn.SWITCH($A$2,"average", AVERAGE(Instances!G155:G155),"median", MEDIAN(Instances!G155:G155),"min", MIN(Instances!G155:G155),"max", MAX(Instances!G155:G155),"diff", MAX(Instances!G155:G155)-MIN(Instances!G155:G155))</f>
        <v>0</v>
      </c>
      <c r="H155" s="1" t="n">
        <f aca="false" t="array" ref="H155:H155">_xlfn.SWITCH($A$2,"average", AVERAGE(Instances!H155:H155),"median", MEDIAN(Instances!H155:H155),"min", MIN(Instances!H155:H155),"max", MAX(Instances!H155:H155),"diff", MAX(Instances!H155:H155)-MIN(Instances!H155:H155))</f>
        <v>1</v>
      </c>
      <c r="I155" s="1" t="n">
        <f aca="false" t="array" ref="I155:I155">_xlfn.SWITCH($A$2,"average", AVERAGE(Instances!I155:I155),"median", MEDIAN(Instances!I155:I155),"min", MIN(Instances!I155:I155),"max", MAX(Instances!I155:I155),"diff", MAX(Instances!I155:I155)-MIN(Instances!I155:I155))</f>
        <v>6.523</v>
      </c>
      <c r="J155" s="1" t="n">
        <f aca="false" t="array" ref="J155:J155">_xlfn.SWITCH($A$2,"average", AVERAGE(Instances!J155:J155),"median", MEDIAN(Instances!J155:J155),"min", MIN(Instances!J155:J155),"max", MAX(Instances!J155:J155),"diff", MAX(Instances!J155:J155)-MIN(Instances!J155:J155))</f>
        <v>6.71</v>
      </c>
      <c r="K155" s="1" t="n">
        <f aca="false" t="array" ref="K155:K155">_xlfn.SWITCH($A$2,"average", AVERAGE(Instances!K155:K155),"median", MEDIAN(Instances!K155:K155),"min", MIN(Instances!K155:K155),"max", MAX(Instances!K155:K155),"diff", MAX(Instances!K155:K155)-MIN(Instances!K155:K155))</f>
        <v>0</v>
      </c>
      <c r="L155" s="1"/>
      <c r="M155" s="1" t="n">
        <f aca="false" t="array" ref="M155:M155">_xlfn.SWITCH($A$2,"average", AVERAGE(Instances!M155:M155),"median", MEDIAN(Instances!M155:M155),"min", MIN(Instances!M155:M155),"max", MAX(Instances!M155:M155),"diff", MAX(Instances!M155:M155)-MIN(Instances!M155:M155))</f>
        <v>1538903</v>
      </c>
      <c r="N155" s="1" t="n">
        <f aca="false" t="array" ref="N155:N155">_xlfn.SWITCH($A$2,"average", AVERAGE(Instances!N155:N155),"median", MEDIAN(Instances!N155:N155),"min", MIN(Instances!N155:N155),"max", MAX(Instances!N155:N155),"diff", MAX(Instances!N155:N155)-MIN(Instances!N155:N155))</f>
        <v>0.05</v>
      </c>
      <c r="O155" s="1"/>
      <c r="P155" s="1" t="n">
        <f aca="false" t="array" ref="P155:P155">_xlfn.SWITCH($A$2,"average", AVERAGE(Instances!P155:P155),"median", MEDIAN(Instances!P155:P155),"min", MIN(Instances!P155:P155),"max", MAX(Instances!P155:P155),"diff", MAX(Instances!P155:P155)-MIN(Instances!P155:P155))</f>
        <v>6.71</v>
      </c>
      <c r="Q155" s="1" t="n">
        <f aca="false" t="array" ref="Q155:Q155">_xlfn.SWITCH($A$2,"average", AVERAGE(Instances!Q155:Q155),"median", MEDIAN(Instances!Q155:Q155),"min", MIN(Instances!Q155:Q155),"max", MAX(Instances!Q155:Q155),"diff", MAX(Instances!Q155:Q155)-MIN(Instances!Q155:Q155))</f>
        <v>0</v>
      </c>
      <c r="R155" s="1" t="n">
        <f aca="false" t="array" ref="R155:R155">_xlfn.SWITCH($A$2,"average", AVERAGE(Instances!R155:R155),"median", MEDIAN(Instances!R155:R155),"min", MIN(Instances!R155:R155),"max", MAX(Instances!R155:R155),"diff", MAX(Instances!R155:R155)-MIN(Instances!R155:R155))</f>
        <v>507017</v>
      </c>
      <c r="S155" s="1" t="n">
        <f aca="false">MIN($B155)</f>
        <v>2382</v>
      </c>
      <c r="T155" s="1" t="n">
        <f aca="false">MIN($C155)</f>
        <v>0</v>
      </c>
      <c r="U155" s="1" t="n">
        <f aca="false">MIN($D155)</f>
        <v>789851</v>
      </c>
      <c r="V155" s="1" t="n">
        <f aca="false">MIN($E155)</f>
        <v>0</v>
      </c>
      <c r="W155" s="1" t="n">
        <f aca="false">MIN($F155)</f>
        <v>501</v>
      </c>
      <c r="X155" s="1" t="n">
        <f aca="false">MIN($G155)</f>
        <v>0</v>
      </c>
      <c r="Y155" s="1" t="n">
        <f aca="false">MIN($H155)</f>
        <v>1</v>
      </c>
      <c r="Z155" s="1" t="n">
        <f aca="false">MIN($I155)</f>
        <v>6.523</v>
      </c>
      <c r="AA155" s="1" t="n">
        <f aca="false">MIN($J155)</f>
        <v>6.71</v>
      </c>
      <c r="AB155" s="1" t="n">
        <f aca="false">MIN($K155)</f>
        <v>0</v>
      </c>
      <c r="AC155" s="1" t="n">
        <f aca="false">MIN($M155)</f>
        <v>1538903</v>
      </c>
      <c r="AD155" s="1" t="n">
        <f aca="false">MIN($N155)</f>
        <v>0.05</v>
      </c>
      <c r="AE155" s="1" t="n">
        <f aca="false">MIN($P155)</f>
        <v>6.71</v>
      </c>
      <c r="AF155" s="1" t="n">
        <f aca="false">MIN($Q155)</f>
        <v>0</v>
      </c>
      <c r="AG155" s="1" t="n">
        <f aca="false">MIN($R155)</f>
        <v>507017</v>
      </c>
      <c r="AH155" s="1" t="n">
        <f aca="false">MEDIAN($B155)</f>
        <v>2382</v>
      </c>
      <c r="AI155" s="1" t="n">
        <f aca="false">MEDIAN($C155)</f>
        <v>0</v>
      </c>
      <c r="AJ155" s="1" t="n">
        <f aca="false">MEDIAN($D155)</f>
        <v>789851</v>
      </c>
      <c r="AK155" s="1" t="n">
        <f aca="false">MEDIAN($E155)</f>
        <v>0</v>
      </c>
      <c r="AL155" s="1" t="n">
        <f aca="false">MEDIAN($F155)</f>
        <v>501</v>
      </c>
      <c r="AM155" s="1" t="n">
        <f aca="false">MEDIAN($G155)</f>
        <v>0</v>
      </c>
      <c r="AN155" s="1" t="n">
        <f aca="false">MEDIAN($H155)</f>
        <v>1</v>
      </c>
      <c r="AO155" s="1" t="n">
        <f aca="false">MEDIAN($I155)</f>
        <v>6.523</v>
      </c>
      <c r="AP155" s="1" t="n">
        <f aca="false">MEDIAN($J155)</f>
        <v>6.71</v>
      </c>
      <c r="AQ155" s="1" t="n">
        <f aca="false">MEDIAN($K155)</f>
        <v>0</v>
      </c>
      <c r="AR155" s="1" t="n">
        <f aca="false">MEDIAN($M155)</f>
        <v>1538903</v>
      </c>
      <c r="AS155" s="1" t="n">
        <f aca="false">MEDIAN($N155)</f>
        <v>0.05</v>
      </c>
      <c r="AT155" s="1" t="n">
        <f aca="false">MEDIAN($P155)</f>
        <v>6.71</v>
      </c>
      <c r="AU155" s="1" t="n">
        <f aca="false">MEDIAN($Q155)</f>
        <v>0</v>
      </c>
      <c r="AV155" s="1" t="n">
        <f aca="false">MEDIAN($R155)</f>
        <v>507017</v>
      </c>
      <c r="AW155" s="1" t="n">
        <f aca="false">MAX($B155)</f>
        <v>2382</v>
      </c>
      <c r="AX155" s="1" t="n">
        <f aca="false">MAX($C155)</f>
        <v>0</v>
      </c>
      <c r="AY155" s="1" t="n">
        <f aca="false">MAX($D155)</f>
        <v>789851</v>
      </c>
      <c r="AZ155" s="1" t="n">
        <f aca="false">MAX($E155)</f>
        <v>0</v>
      </c>
      <c r="BA155" s="1" t="n">
        <f aca="false">MAX($F155)</f>
        <v>501</v>
      </c>
      <c r="BB155" s="1" t="n">
        <f aca="false">MAX($G155)</f>
        <v>0</v>
      </c>
      <c r="BC155" s="1" t="n">
        <f aca="false">MAX($H155)</f>
        <v>1</v>
      </c>
      <c r="BD155" s="1" t="n">
        <f aca="false">MAX($I155)</f>
        <v>6.523</v>
      </c>
      <c r="BE155" s="1" t="n">
        <f aca="false">MAX($J155)</f>
        <v>6.71</v>
      </c>
      <c r="BF155" s="1" t="n">
        <f aca="false">MAX($K155)</f>
        <v>0</v>
      </c>
      <c r="BG155" s="1" t="n">
        <f aca="false">MAX($M155)</f>
        <v>1538903</v>
      </c>
      <c r="BH155" s="1" t="n">
        <f aca="false">MAX($N155)</f>
        <v>0.05</v>
      </c>
      <c r="BI155" s="1" t="n">
        <f aca="false">MAX($P155)</f>
        <v>6.71</v>
      </c>
      <c r="BJ155" s="1" t="n">
        <f aca="false">MAX($Q155)</f>
        <v>0</v>
      </c>
      <c r="BK155" s="1" t="n">
        <f aca="false">MAX($R155)</f>
        <v>507017</v>
      </c>
    </row>
    <row r="156" customFormat="false" ht="15" hidden="false" customHeight="false" outlineLevel="0" collapsed="false">
      <c r="A156" s="1" t="s">
        <v>173</v>
      </c>
      <c r="B156" s="1" t="n">
        <f aca="false" t="array" ref="B156:B156">_xlfn.SWITCH($A$2,"average", AVERAGE(Instances!B156:B156),"median", MEDIAN(Instances!B156:B156),"min", MIN(Instances!B156:B156),"max", MAX(Instances!B156:B156),"diff", MAX(Instances!B156:B156)-MIN(Instances!B156:B156))</f>
        <v>1878</v>
      </c>
      <c r="C156" s="1" t="n">
        <f aca="false" t="array" ref="C156:C156">_xlfn.SWITCH($A$2,"average", AVERAGE(Instances!C156:C156),"median", MEDIAN(Instances!C156:C156),"min", MIN(Instances!C156:C156),"max", MAX(Instances!C156:C156),"diff", MAX(Instances!C156:C156)-MIN(Instances!C156:C156))</f>
        <v>0</v>
      </c>
      <c r="D156" s="1" t="n">
        <f aca="false" t="array" ref="D156:D156">_xlfn.SWITCH($A$2,"average", AVERAGE(Instances!D156:D156),"median", MEDIAN(Instances!D156:D156),"min", MIN(Instances!D156:D156),"max", MAX(Instances!D156:D156),"diff", MAX(Instances!D156:D156)-MIN(Instances!D156:D156))</f>
        <v>747012</v>
      </c>
      <c r="E156" s="1" t="n">
        <f aca="false" t="array" ref="E156:E156">_xlfn.SWITCH($A$2,"average", AVERAGE(Instances!E156:E156),"median", MEDIAN(Instances!E156:E156),"min", MIN(Instances!E156:E156),"max", MAX(Instances!E156:E156),"diff", MAX(Instances!E156:E156)-MIN(Instances!E156:E156))</f>
        <v>0</v>
      </c>
      <c r="F156" s="1" t="n">
        <f aca="false" t="array" ref="F156:F156">_xlfn.SWITCH($A$2,"average", AVERAGE(Instances!F156:F156),"median", MEDIAN(Instances!F156:F156),"min", MIN(Instances!F156:F156),"max", MAX(Instances!F156:F156),"diff", MAX(Instances!F156:F156)-MIN(Instances!F156:F156))</f>
        <v>486</v>
      </c>
      <c r="G156" s="1" t="n">
        <f aca="false" t="array" ref="G156:G156">_xlfn.SWITCH($A$2,"average", AVERAGE(Instances!G156:G156),"median", MEDIAN(Instances!G156:G156),"min", MIN(Instances!G156:G156),"max", MAX(Instances!G156:G156),"diff", MAX(Instances!G156:G156)-MIN(Instances!G156:G156))</f>
        <v>0</v>
      </c>
      <c r="H156" s="1" t="n">
        <f aca="false" t="array" ref="H156:H156">_xlfn.SWITCH($A$2,"average", AVERAGE(Instances!H156:H156),"median", MEDIAN(Instances!H156:H156),"min", MIN(Instances!H156:H156),"max", MAX(Instances!H156:H156),"diff", MAX(Instances!H156:H156)-MIN(Instances!H156:H156))</f>
        <v>1</v>
      </c>
      <c r="I156" s="1" t="n">
        <f aca="false" t="array" ref="I156:I156">_xlfn.SWITCH($A$2,"average", AVERAGE(Instances!I156:I156),"median", MEDIAN(Instances!I156:I156),"min", MIN(Instances!I156:I156),"max", MAX(Instances!I156:I156),"diff", MAX(Instances!I156:I156)-MIN(Instances!I156:I156))</f>
        <v>6.602</v>
      </c>
      <c r="J156" s="1" t="n">
        <f aca="false" t="array" ref="J156:J156">_xlfn.SWITCH($A$2,"average", AVERAGE(Instances!J156:J156),"median", MEDIAN(Instances!J156:J156),"min", MIN(Instances!J156:J156),"max", MAX(Instances!J156:J156),"diff", MAX(Instances!J156:J156)-MIN(Instances!J156:J156))</f>
        <v>6.79</v>
      </c>
      <c r="K156" s="1" t="n">
        <f aca="false" t="array" ref="K156:K156">_xlfn.SWITCH($A$2,"average", AVERAGE(Instances!K156:K156),"median", MEDIAN(Instances!K156:K156),"min", MIN(Instances!K156:K156),"max", MAX(Instances!K156:K156),"diff", MAX(Instances!K156:K156)-MIN(Instances!K156:K156))</f>
        <v>0</v>
      </c>
      <c r="L156" s="1"/>
      <c r="M156" s="1" t="n">
        <f aca="false" t="array" ref="M156:M156">_xlfn.SWITCH($A$2,"average", AVERAGE(Instances!M156:M156),"median", MEDIAN(Instances!M156:M156),"min", MIN(Instances!M156:M156),"max", MAX(Instances!M156:M156),"diff", MAX(Instances!M156:M156)-MIN(Instances!M156:M156))</f>
        <v>1501580</v>
      </c>
      <c r="N156" s="1" t="n">
        <f aca="false" t="array" ref="N156:N156">_xlfn.SWITCH($A$2,"average", AVERAGE(Instances!N156:N156),"median", MEDIAN(Instances!N156:N156),"min", MIN(Instances!N156:N156),"max", MAX(Instances!N156:N156),"diff", MAX(Instances!N156:N156)-MIN(Instances!N156:N156))</f>
        <v>0.06</v>
      </c>
      <c r="O156" s="1"/>
      <c r="P156" s="1" t="n">
        <f aca="false" t="array" ref="P156:P156">_xlfn.SWITCH($A$2,"average", AVERAGE(Instances!P156:P156),"median", MEDIAN(Instances!P156:P156),"min", MIN(Instances!P156:P156),"max", MAX(Instances!P156:P156),"diff", MAX(Instances!P156:P156)-MIN(Instances!P156:P156))</f>
        <v>6.79</v>
      </c>
      <c r="Q156" s="1" t="n">
        <f aca="false" t="array" ref="Q156:Q156">_xlfn.SWITCH($A$2,"average", AVERAGE(Instances!Q156:Q156),"median", MEDIAN(Instances!Q156:Q156),"min", MIN(Instances!Q156:Q156),"max", MAX(Instances!Q156:Q156),"diff", MAX(Instances!Q156:Q156)-MIN(Instances!Q156:Q156))</f>
        <v>0</v>
      </c>
      <c r="R156" s="1" t="n">
        <f aca="false" t="array" ref="R156:R156">_xlfn.SWITCH($A$2,"average", AVERAGE(Instances!R156:R156),"median", MEDIAN(Instances!R156:R156),"min", MIN(Instances!R156:R156),"max", MAX(Instances!R156:R156),"diff", MAX(Instances!R156:R156)-MIN(Instances!R156:R156))</f>
        <v>491245</v>
      </c>
      <c r="S156" s="1" t="n">
        <f aca="false">MIN($B156)</f>
        <v>1878</v>
      </c>
      <c r="T156" s="1" t="n">
        <f aca="false">MIN($C156)</f>
        <v>0</v>
      </c>
      <c r="U156" s="1" t="n">
        <f aca="false">MIN($D156)</f>
        <v>747012</v>
      </c>
      <c r="V156" s="1" t="n">
        <f aca="false">MIN($E156)</f>
        <v>0</v>
      </c>
      <c r="W156" s="1" t="n">
        <f aca="false">MIN($F156)</f>
        <v>486</v>
      </c>
      <c r="X156" s="1" t="n">
        <f aca="false">MIN($G156)</f>
        <v>0</v>
      </c>
      <c r="Y156" s="1" t="n">
        <f aca="false">MIN($H156)</f>
        <v>1</v>
      </c>
      <c r="Z156" s="1" t="n">
        <f aca="false">MIN($I156)</f>
        <v>6.602</v>
      </c>
      <c r="AA156" s="1" t="n">
        <f aca="false">MIN($J156)</f>
        <v>6.79</v>
      </c>
      <c r="AB156" s="1" t="n">
        <f aca="false">MIN($K156)</f>
        <v>0</v>
      </c>
      <c r="AC156" s="1" t="n">
        <f aca="false">MIN($M156)</f>
        <v>1501580</v>
      </c>
      <c r="AD156" s="1" t="n">
        <f aca="false">MIN($N156)</f>
        <v>0.06</v>
      </c>
      <c r="AE156" s="1" t="n">
        <f aca="false">MIN($P156)</f>
        <v>6.79</v>
      </c>
      <c r="AF156" s="1" t="n">
        <f aca="false">MIN($Q156)</f>
        <v>0</v>
      </c>
      <c r="AG156" s="1" t="n">
        <f aca="false">MIN($R156)</f>
        <v>491245</v>
      </c>
      <c r="AH156" s="1" t="n">
        <f aca="false">MEDIAN($B156)</f>
        <v>1878</v>
      </c>
      <c r="AI156" s="1" t="n">
        <f aca="false">MEDIAN($C156)</f>
        <v>0</v>
      </c>
      <c r="AJ156" s="1" t="n">
        <f aca="false">MEDIAN($D156)</f>
        <v>747012</v>
      </c>
      <c r="AK156" s="1" t="n">
        <f aca="false">MEDIAN($E156)</f>
        <v>0</v>
      </c>
      <c r="AL156" s="1" t="n">
        <f aca="false">MEDIAN($F156)</f>
        <v>486</v>
      </c>
      <c r="AM156" s="1" t="n">
        <f aca="false">MEDIAN($G156)</f>
        <v>0</v>
      </c>
      <c r="AN156" s="1" t="n">
        <f aca="false">MEDIAN($H156)</f>
        <v>1</v>
      </c>
      <c r="AO156" s="1" t="n">
        <f aca="false">MEDIAN($I156)</f>
        <v>6.602</v>
      </c>
      <c r="AP156" s="1" t="n">
        <f aca="false">MEDIAN($J156)</f>
        <v>6.79</v>
      </c>
      <c r="AQ156" s="1" t="n">
        <f aca="false">MEDIAN($K156)</f>
        <v>0</v>
      </c>
      <c r="AR156" s="1" t="n">
        <f aca="false">MEDIAN($M156)</f>
        <v>1501580</v>
      </c>
      <c r="AS156" s="1" t="n">
        <f aca="false">MEDIAN($N156)</f>
        <v>0.06</v>
      </c>
      <c r="AT156" s="1" t="n">
        <f aca="false">MEDIAN($P156)</f>
        <v>6.79</v>
      </c>
      <c r="AU156" s="1" t="n">
        <f aca="false">MEDIAN($Q156)</f>
        <v>0</v>
      </c>
      <c r="AV156" s="1" t="n">
        <f aca="false">MEDIAN($R156)</f>
        <v>491245</v>
      </c>
      <c r="AW156" s="1" t="n">
        <f aca="false">MAX($B156)</f>
        <v>1878</v>
      </c>
      <c r="AX156" s="1" t="n">
        <f aca="false">MAX($C156)</f>
        <v>0</v>
      </c>
      <c r="AY156" s="1" t="n">
        <f aca="false">MAX($D156)</f>
        <v>747012</v>
      </c>
      <c r="AZ156" s="1" t="n">
        <f aca="false">MAX($E156)</f>
        <v>0</v>
      </c>
      <c r="BA156" s="1" t="n">
        <f aca="false">MAX($F156)</f>
        <v>486</v>
      </c>
      <c r="BB156" s="1" t="n">
        <f aca="false">MAX($G156)</f>
        <v>0</v>
      </c>
      <c r="BC156" s="1" t="n">
        <f aca="false">MAX($H156)</f>
        <v>1</v>
      </c>
      <c r="BD156" s="1" t="n">
        <f aca="false">MAX($I156)</f>
        <v>6.602</v>
      </c>
      <c r="BE156" s="1" t="n">
        <f aca="false">MAX($J156)</f>
        <v>6.79</v>
      </c>
      <c r="BF156" s="1" t="n">
        <f aca="false">MAX($K156)</f>
        <v>0</v>
      </c>
      <c r="BG156" s="1" t="n">
        <f aca="false">MAX($M156)</f>
        <v>1501580</v>
      </c>
      <c r="BH156" s="1" t="n">
        <f aca="false">MAX($N156)</f>
        <v>0.06</v>
      </c>
      <c r="BI156" s="1" t="n">
        <f aca="false">MAX($P156)</f>
        <v>6.79</v>
      </c>
      <c r="BJ156" s="1" t="n">
        <f aca="false">MAX($Q156)</f>
        <v>0</v>
      </c>
      <c r="BK156" s="1" t="n">
        <f aca="false">MAX($R156)</f>
        <v>491245</v>
      </c>
    </row>
    <row r="157" customFormat="false" ht="15" hidden="false" customHeight="false" outlineLevel="0" collapsed="false">
      <c r="A157" s="1" t="s">
        <v>174</v>
      </c>
      <c r="B157" s="1" t="n">
        <f aca="false" t="array" ref="B157:B157">_xlfn.SWITCH($A$2,"average", AVERAGE(Instances!B157:B157),"median", MEDIAN(Instances!B157:B157),"min", MIN(Instances!B157:B157),"max", MAX(Instances!B157:B157),"diff", MAX(Instances!B157:B157)-MIN(Instances!B157:B157))</f>
        <v>2356</v>
      </c>
      <c r="C157" s="1" t="n">
        <f aca="false" t="array" ref="C157:C157">_xlfn.SWITCH($A$2,"average", AVERAGE(Instances!C157:C157),"median", MEDIAN(Instances!C157:C157),"min", MIN(Instances!C157:C157),"max", MAX(Instances!C157:C157),"diff", MAX(Instances!C157:C157)-MIN(Instances!C157:C157))</f>
        <v>2</v>
      </c>
      <c r="D157" s="1" t="n">
        <f aca="false" t="array" ref="D157:D157">_xlfn.SWITCH($A$2,"average", AVERAGE(Instances!D157:D157),"median", MEDIAN(Instances!D157:D157),"min", MIN(Instances!D157:D157),"max", MAX(Instances!D157:D157),"diff", MAX(Instances!D157:D157)-MIN(Instances!D157:D157))</f>
        <v>761809</v>
      </c>
      <c r="E157" s="1" t="n">
        <f aca="false" t="array" ref="E157:E157">_xlfn.SWITCH($A$2,"average", AVERAGE(Instances!E157:E157),"median", MEDIAN(Instances!E157:E157),"min", MIN(Instances!E157:E157),"max", MAX(Instances!E157:E157),"diff", MAX(Instances!E157:E157)-MIN(Instances!E157:E157))</f>
        <v>0</v>
      </c>
      <c r="F157" s="1" t="n">
        <f aca="false" t="array" ref="F157:F157">_xlfn.SWITCH($A$2,"average", AVERAGE(Instances!F157:F157),"median", MEDIAN(Instances!F157:F157),"min", MIN(Instances!F157:F157),"max", MAX(Instances!F157:F157),"diff", MAX(Instances!F157:F157)-MIN(Instances!F157:F157))</f>
        <v>483</v>
      </c>
      <c r="G157" s="1" t="n">
        <f aca="false" t="array" ref="G157:G157">_xlfn.SWITCH($A$2,"average", AVERAGE(Instances!G157:G157),"median", MEDIAN(Instances!G157:G157),"min", MIN(Instances!G157:G157),"max", MAX(Instances!G157:G157),"diff", MAX(Instances!G157:G157)-MIN(Instances!G157:G157))</f>
        <v>0</v>
      </c>
      <c r="H157" s="1" t="n">
        <f aca="false" t="array" ref="H157:H157">_xlfn.SWITCH($A$2,"average", AVERAGE(Instances!H157:H157),"median", MEDIAN(Instances!H157:H157),"min", MIN(Instances!H157:H157),"max", MAX(Instances!H157:H157),"diff", MAX(Instances!H157:H157)-MIN(Instances!H157:H157))</f>
        <v>1</v>
      </c>
      <c r="I157" s="1" t="n">
        <f aca="false" t="array" ref="I157:I157">_xlfn.SWITCH($A$2,"average", AVERAGE(Instances!I157:I157),"median", MEDIAN(Instances!I157:I157),"min", MIN(Instances!I157:I157),"max", MAX(Instances!I157:I157),"diff", MAX(Instances!I157:I157)-MIN(Instances!I157:I157))</f>
        <v>6.364</v>
      </c>
      <c r="J157" s="1" t="n">
        <f aca="false" t="array" ref="J157:J157">_xlfn.SWITCH($A$2,"average", AVERAGE(Instances!J157:J157),"median", MEDIAN(Instances!J157:J157),"min", MIN(Instances!J157:J157),"max", MAX(Instances!J157:J157),"diff", MAX(Instances!J157:J157)-MIN(Instances!J157:J157))</f>
        <v>6.55</v>
      </c>
      <c r="K157" s="1" t="n">
        <f aca="false" t="array" ref="K157:K157">_xlfn.SWITCH($A$2,"average", AVERAGE(Instances!K157:K157),"median", MEDIAN(Instances!K157:K157),"min", MIN(Instances!K157:K157),"max", MAX(Instances!K157:K157),"diff", MAX(Instances!K157:K157)-MIN(Instances!K157:K157))</f>
        <v>0</v>
      </c>
      <c r="L157" s="1"/>
      <c r="M157" s="1" t="n">
        <f aca="false" t="array" ref="M157:M157">_xlfn.SWITCH($A$2,"average", AVERAGE(Instances!M157:M157),"median", MEDIAN(Instances!M157:M157),"min", MIN(Instances!M157:M157),"max", MAX(Instances!M157:M157),"diff", MAX(Instances!M157:M157)-MIN(Instances!M157:M157))</f>
        <v>1430918</v>
      </c>
      <c r="N157" s="1" t="n">
        <f aca="false" t="array" ref="N157:N157">_xlfn.SWITCH($A$2,"average", AVERAGE(Instances!N157:N157),"median", MEDIAN(Instances!N157:N157),"min", MIN(Instances!N157:N157),"max", MAX(Instances!N157:N157),"diff", MAX(Instances!N157:N157)-MIN(Instances!N157:N157))</f>
        <v>0.06</v>
      </c>
      <c r="O157" s="1"/>
      <c r="P157" s="1" t="n">
        <f aca="false" t="array" ref="P157:P157">_xlfn.SWITCH($A$2,"average", AVERAGE(Instances!P157:P157),"median", MEDIAN(Instances!P157:P157),"min", MIN(Instances!P157:P157),"max", MAX(Instances!P157:P157),"diff", MAX(Instances!P157:P157)-MIN(Instances!P157:P157))</f>
        <v>6.55</v>
      </c>
      <c r="Q157" s="1" t="n">
        <f aca="false" t="array" ref="Q157:Q157">_xlfn.SWITCH($A$2,"average", AVERAGE(Instances!Q157:Q157),"median", MEDIAN(Instances!Q157:Q157),"min", MIN(Instances!Q157:Q157),"max", MAX(Instances!Q157:Q157),"diff", MAX(Instances!Q157:Q157)-MIN(Instances!Q157:Q157))</f>
        <v>0</v>
      </c>
      <c r="R157" s="1" t="n">
        <f aca="false" t="array" ref="R157:R157">_xlfn.SWITCH($A$2,"average", AVERAGE(Instances!R157:R157),"median", MEDIAN(Instances!R157:R157),"min", MIN(Instances!R157:R157),"max", MAX(Instances!R157:R157),"diff", MAX(Instances!R157:R157)-MIN(Instances!R157:R157))</f>
        <v>483528</v>
      </c>
      <c r="S157" s="1" t="n">
        <f aca="false">MIN($B157)</f>
        <v>2356</v>
      </c>
      <c r="T157" s="1" t="n">
        <f aca="false">MIN($C157)</f>
        <v>2</v>
      </c>
      <c r="U157" s="1" t="n">
        <f aca="false">MIN($D157)</f>
        <v>761809</v>
      </c>
      <c r="V157" s="1" t="n">
        <f aca="false">MIN($E157)</f>
        <v>0</v>
      </c>
      <c r="W157" s="1" t="n">
        <f aca="false">MIN($F157)</f>
        <v>483</v>
      </c>
      <c r="X157" s="1" t="n">
        <f aca="false">MIN($G157)</f>
        <v>0</v>
      </c>
      <c r="Y157" s="1" t="n">
        <f aca="false">MIN($H157)</f>
        <v>1</v>
      </c>
      <c r="Z157" s="1" t="n">
        <f aca="false">MIN($I157)</f>
        <v>6.364</v>
      </c>
      <c r="AA157" s="1" t="n">
        <f aca="false">MIN($J157)</f>
        <v>6.55</v>
      </c>
      <c r="AB157" s="1" t="n">
        <f aca="false">MIN($K157)</f>
        <v>0</v>
      </c>
      <c r="AC157" s="1" t="n">
        <f aca="false">MIN($M157)</f>
        <v>1430918</v>
      </c>
      <c r="AD157" s="1" t="n">
        <f aca="false">MIN($N157)</f>
        <v>0.06</v>
      </c>
      <c r="AE157" s="1" t="n">
        <f aca="false">MIN($P157)</f>
        <v>6.55</v>
      </c>
      <c r="AF157" s="1" t="n">
        <f aca="false">MIN($Q157)</f>
        <v>0</v>
      </c>
      <c r="AG157" s="1" t="n">
        <f aca="false">MIN($R157)</f>
        <v>483528</v>
      </c>
      <c r="AH157" s="1" t="n">
        <f aca="false">MEDIAN($B157)</f>
        <v>2356</v>
      </c>
      <c r="AI157" s="1" t="n">
        <f aca="false">MEDIAN($C157)</f>
        <v>2</v>
      </c>
      <c r="AJ157" s="1" t="n">
        <f aca="false">MEDIAN($D157)</f>
        <v>761809</v>
      </c>
      <c r="AK157" s="1" t="n">
        <f aca="false">MEDIAN($E157)</f>
        <v>0</v>
      </c>
      <c r="AL157" s="1" t="n">
        <f aca="false">MEDIAN($F157)</f>
        <v>483</v>
      </c>
      <c r="AM157" s="1" t="n">
        <f aca="false">MEDIAN($G157)</f>
        <v>0</v>
      </c>
      <c r="AN157" s="1" t="n">
        <f aca="false">MEDIAN($H157)</f>
        <v>1</v>
      </c>
      <c r="AO157" s="1" t="n">
        <f aca="false">MEDIAN($I157)</f>
        <v>6.364</v>
      </c>
      <c r="AP157" s="1" t="n">
        <f aca="false">MEDIAN($J157)</f>
        <v>6.55</v>
      </c>
      <c r="AQ157" s="1" t="n">
        <f aca="false">MEDIAN($K157)</f>
        <v>0</v>
      </c>
      <c r="AR157" s="1" t="n">
        <f aca="false">MEDIAN($M157)</f>
        <v>1430918</v>
      </c>
      <c r="AS157" s="1" t="n">
        <f aca="false">MEDIAN($N157)</f>
        <v>0.06</v>
      </c>
      <c r="AT157" s="1" t="n">
        <f aca="false">MEDIAN($P157)</f>
        <v>6.55</v>
      </c>
      <c r="AU157" s="1" t="n">
        <f aca="false">MEDIAN($Q157)</f>
        <v>0</v>
      </c>
      <c r="AV157" s="1" t="n">
        <f aca="false">MEDIAN($R157)</f>
        <v>483528</v>
      </c>
      <c r="AW157" s="1" t="n">
        <f aca="false">MAX($B157)</f>
        <v>2356</v>
      </c>
      <c r="AX157" s="1" t="n">
        <f aca="false">MAX($C157)</f>
        <v>2</v>
      </c>
      <c r="AY157" s="1" t="n">
        <f aca="false">MAX($D157)</f>
        <v>761809</v>
      </c>
      <c r="AZ157" s="1" t="n">
        <f aca="false">MAX($E157)</f>
        <v>0</v>
      </c>
      <c r="BA157" s="1" t="n">
        <f aca="false">MAX($F157)</f>
        <v>483</v>
      </c>
      <c r="BB157" s="1" t="n">
        <f aca="false">MAX($G157)</f>
        <v>0</v>
      </c>
      <c r="BC157" s="1" t="n">
        <f aca="false">MAX($H157)</f>
        <v>1</v>
      </c>
      <c r="BD157" s="1" t="n">
        <f aca="false">MAX($I157)</f>
        <v>6.364</v>
      </c>
      <c r="BE157" s="1" t="n">
        <f aca="false">MAX($J157)</f>
        <v>6.55</v>
      </c>
      <c r="BF157" s="1" t="n">
        <f aca="false">MAX($K157)</f>
        <v>0</v>
      </c>
      <c r="BG157" s="1" t="n">
        <f aca="false">MAX($M157)</f>
        <v>1430918</v>
      </c>
      <c r="BH157" s="1" t="n">
        <f aca="false">MAX($N157)</f>
        <v>0.06</v>
      </c>
      <c r="BI157" s="1" t="n">
        <f aca="false">MAX($P157)</f>
        <v>6.55</v>
      </c>
      <c r="BJ157" s="1" t="n">
        <f aca="false">MAX($Q157)</f>
        <v>0</v>
      </c>
      <c r="BK157" s="1" t="n">
        <f aca="false">MAX($R157)</f>
        <v>483528</v>
      </c>
    </row>
    <row r="158" customFormat="false" ht="15" hidden="false" customHeight="false" outlineLevel="0" collapsed="false">
      <c r="A158" s="1" t="s">
        <v>175</v>
      </c>
      <c r="B158" s="1" t="n">
        <f aca="false" t="array" ref="B158:B158">_xlfn.SWITCH($A$2,"average", AVERAGE(Instances!B158:B158),"median", MEDIAN(Instances!B158:B158),"min", MIN(Instances!B158:B158),"max", MAX(Instances!B158:B158),"diff", MAX(Instances!B158:B158)-MIN(Instances!B158:B158))</f>
        <v>2417</v>
      </c>
      <c r="C158" s="1" t="n">
        <f aca="false" t="array" ref="C158:C158">_xlfn.SWITCH($A$2,"average", AVERAGE(Instances!C158:C158),"median", MEDIAN(Instances!C158:C158),"min", MIN(Instances!C158:C158),"max", MAX(Instances!C158:C158),"diff", MAX(Instances!C158:C158)-MIN(Instances!C158:C158))</f>
        <v>0</v>
      </c>
      <c r="D158" s="1" t="n">
        <f aca="false" t="array" ref="D158:D158">_xlfn.SWITCH($A$2,"average", AVERAGE(Instances!D158:D158),"median", MEDIAN(Instances!D158:D158),"min", MIN(Instances!D158:D158),"max", MAX(Instances!D158:D158),"diff", MAX(Instances!D158:D158)-MIN(Instances!D158:D158))</f>
        <v>938249</v>
      </c>
      <c r="E158" s="1" t="n">
        <f aca="false" t="array" ref="E158:E158">_xlfn.SWITCH($A$2,"average", AVERAGE(Instances!E158:E158),"median", MEDIAN(Instances!E158:E158),"min", MIN(Instances!E158:E158),"max", MAX(Instances!E158:E158),"diff", MAX(Instances!E158:E158)-MIN(Instances!E158:E158))</f>
        <v>0</v>
      </c>
      <c r="F158" s="1" t="n">
        <f aca="false" t="array" ref="F158:F158">_xlfn.SWITCH($A$2,"average", AVERAGE(Instances!F158:F158),"median", MEDIAN(Instances!F158:F158),"min", MIN(Instances!F158:F158),"max", MAX(Instances!F158:F158),"diff", MAX(Instances!F158:F158)-MIN(Instances!F158:F158))</f>
        <v>544</v>
      </c>
      <c r="G158" s="1" t="n">
        <f aca="false" t="array" ref="G158:G158">_xlfn.SWITCH($A$2,"average", AVERAGE(Instances!G158:G158),"median", MEDIAN(Instances!G158:G158),"min", MIN(Instances!G158:G158),"max", MAX(Instances!G158:G158),"diff", MAX(Instances!G158:G158)-MIN(Instances!G158:G158))</f>
        <v>0</v>
      </c>
      <c r="H158" s="1" t="n">
        <f aca="false" t="array" ref="H158:H158">_xlfn.SWITCH($A$2,"average", AVERAGE(Instances!H158:H158),"median", MEDIAN(Instances!H158:H158),"min", MIN(Instances!H158:H158),"max", MAX(Instances!H158:H158),"diff", MAX(Instances!H158:H158)-MIN(Instances!H158:H158))</f>
        <v>1</v>
      </c>
      <c r="I158" s="1" t="n">
        <f aca="false" t="array" ref="I158:I158">_xlfn.SWITCH($A$2,"average", AVERAGE(Instances!I158:I158),"median", MEDIAN(Instances!I158:I158),"min", MIN(Instances!I158:I158),"max", MAX(Instances!I158:I158),"diff", MAX(Instances!I158:I158)-MIN(Instances!I158:I158))</f>
        <v>7.454</v>
      </c>
      <c r="J158" s="1" t="n">
        <f aca="false" t="array" ref="J158:J158">_xlfn.SWITCH($A$2,"average", AVERAGE(Instances!J158:J158),"median", MEDIAN(Instances!J158:J158),"min", MIN(Instances!J158:J158),"max", MAX(Instances!J158:J158),"diff", MAX(Instances!J158:J158)-MIN(Instances!J158:J158))</f>
        <v>7.66</v>
      </c>
      <c r="K158" s="1" t="n">
        <f aca="false" t="array" ref="K158:K158">_xlfn.SWITCH($A$2,"average", AVERAGE(Instances!K158:K158),"median", MEDIAN(Instances!K158:K158),"min", MIN(Instances!K158:K158),"max", MAX(Instances!K158:K158),"diff", MAX(Instances!K158:K158)-MIN(Instances!K158:K158))</f>
        <v>0</v>
      </c>
      <c r="L158" s="1"/>
      <c r="M158" s="1" t="n">
        <f aca="false" t="array" ref="M158:M158">_xlfn.SWITCH($A$2,"average", AVERAGE(Instances!M158:M158),"median", MEDIAN(Instances!M158:M158),"min", MIN(Instances!M158:M158),"max", MAX(Instances!M158:M158),"diff", MAX(Instances!M158:M158)-MIN(Instances!M158:M158))</f>
        <v>1697038</v>
      </c>
      <c r="N158" s="1" t="n">
        <f aca="false" t="array" ref="N158:N158">_xlfn.SWITCH($A$2,"average", AVERAGE(Instances!N158:N158),"median", MEDIAN(Instances!N158:N158),"min", MIN(Instances!N158:N158),"max", MAX(Instances!N158:N158),"diff", MAX(Instances!N158:N158)-MIN(Instances!N158:N158))</f>
        <v>0.07</v>
      </c>
      <c r="O158" s="1"/>
      <c r="P158" s="1" t="n">
        <f aca="false" t="array" ref="P158:P158">_xlfn.SWITCH($A$2,"average", AVERAGE(Instances!P158:P158),"median", MEDIAN(Instances!P158:P158),"min", MIN(Instances!P158:P158),"max", MAX(Instances!P158:P158),"diff", MAX(Instances!P158:P158)-MIN(Instances!P158:P158))</f>
        <v>7.66</v>
      </c>
      <c r="Q158" s="1" t="n">
        <f aca="false" t="array" ref="Q158:Q158">_xlfn.SWITCH($A$2,"average", AVERAGE(Instances!Q158:Q158),"median", MEDIAN(Instances!Q158:Q158),"min", MIN(Instances!Q158:Q158),"max", MAX(Instances!Q158:Q158),"diff", MAX(Instances!Q158:Q158)-MIN(Instances!Q158:Q158))</f>
        <v>0</v>
      </c>
      <c r="R158" s="1" t="n">
        <f aca="false" t="array" ref="R158:R158">_xlfn.SWITCH($A$2,"average", AVERAGE(Instances!R158:R158),"median", MEDIAN(Instances!R158:R158),"min", MIN(Instances!R158:R158),"max", MAX(Instances!R158:R158),"diff", MAX(Instances!R158:R158)-MIN(Instances!R158:R158))</f>
        <v>551779</v>
      </c>
      <c r="S158" s="1" t="n">
        <f aca="false">MIN($B158)</f>
        <v>2417</v>
      </c>
      <c r="T158" s="1" t="n">
        <f aca="false">MIN($C158)</f>
        <v>0</v>
      </c>
      <c r="U158" s="1" t="n">
        <f aca="false">MIN($D158)</f>
        <v>938249</v>
      </c>
      <c r="V158" s="1" t="n">
        <f aca="false">MIN($E158)</f>
        <v>0</v>
      </c>
      <c r="W158" s="1" t="n">
        <f aca="false">MIN($F158)</f>
        <v>544</v>
      </c>
      <c r="X158" s="1" t="n">
        <f aca="false">MIN($G158)</f>
        <v>0</v>
      </c>
      <c r="Y158" s="1" t="n">
        <f aca="false">MIN($H158)</f>
        <v>1</v>
      </c>
      <c r="Z158" s="1" t="n">
        <f aca="false">MIN($I158)</f>
        <v>7.454</v>
      </c>
      <c r="AA158" s="1" t="n">
        <f aca="false">MIN($J158)</f>
        <v>7.66</v>
      </c>
      <c r="AB158" s="1" t="n">
        <f aca="false">MIN($K158)</f>
        <v>0</v>
      </c>
      <c r="AC158" s="1" t="n">
        <f aca="false">MIN($M158)</f>
        <v>1697038</v>
      </c>
      <c r="AD158" s="1" t="n">
        <f aca="false">MIN($N158)</f>
        <v>0.07</v>
      </c>
      <c r="AE158" s="1" t="n">
        <f aca="false">MIN($P158)</f>
        <v>7.66</v>
      </c>
      <c r="AF158" s="1" t="n">
        <f aca="false">MIN($Q158)</f>
        <v>0</v>
      </c>
      <c r="AG158" s="1" t="n">
        <f aca="false">MIN($R158)</f>
        <v>551779</v>
      </c>
      <c r="AH158" s="1" t="n">
        <f aca="false">MEDIAN($B158)</f>
        <v>2417</v>
      </c>
      <c r="AI158" s="1" t="n">
        <f aca="false">MEDIAN($C158)</f>
        <v>0</v>
      </c>
      <c r="AJ158" s="1" t="n">
        <f aca="false">MEDIAN($D158)</f>
        <v>938249</v>
      </c>
      <c r="AK158" s="1" t="n">
        <f aca="false">MEDIAN($E158)</f>
        <v>0</v>
      </c>
      <c r="AL158" s="1" t="n">
        <f aca="false">MEDIAN($F158)</f>
        <v>544</v>
      </c>
      <c r="AM158" s="1" t="n">
        <f aca="false">MEDIAN($G158)</f>
        <v>0</v>
      </c>
      <c r="AN158" s="1" t="n">
        <f aca="false">MEDIAN($H158)</f>
        <v>1</v>
      </c>
      <c r="AO158" s="1" t="n">
        <f aca="false">MEDIAN($I158)</f>
        <v>7.454</v>
      </c>
      <c r="AP158" s="1" t="n">
        <f aca="false">MEDIAN($J158)</f>
        <v>7.66</v>
      </c>
      <c r="AQ158" s="1" t="n">
        <f aca="false">MEDIAN($K158)</f>
        <v>0</v>
      </c>
      <c r="AR158" s="1" t="n">
        <f aca="false">MEDIAN($M158)</f>
        <v>1697038</v>
      </c>
      <c r="AS158" s="1" t="n">
        <f aca="false">MEDIAN($N158)</f>
        <v>0.07</v>
      </c>
      <c r="AT158" s="1" t="n">
        <f aca="false">MEDIAN($P158)</f>
        <v>7.66</v>
      </c>
      <c r="AU158" s="1" t="n">
        <f aca="false">MEDIAN($Q158)</f>
        <v>0</v>
      </c>
      <c r="AV158" s="1" t="n">
        <f aca="false">MEDIAN($R158)</f>
        <v>551779</v>
      </c>
      <c r="AW158" s="1" t="n">
        <f aca="false">MAX($B158)</f>
        <v>2417</v>
      </c>
      <c r="AX158" s="1" t="n">
        <f aca="false">MAX($C158)</f>
        <v>0</v>
      </c>
      <c r="AY158" s="1" t="n">
        <f aca="false">MAX($D158)</f>
        <v>938249</v>
      </c>
      <c r="AZ158" s="1" t="n">
        <f aca="false">MAX($E158)</f>
        <v>0</v>
      </c>
      <c r="BA158" s="1" t="n">
        <f aca="false">MAX($F158)</f>
        <v>544</v>
      </c>
      <c r="BB158" s="1" t="n">
        <f aca="false">MAX($G158)</f>
        <v>0</v>
      </c>
      <c r="BC158" s="1" t="n">
        <f aca="false">MAX($H158)</f>
        <v>1</v>
      </c>
      <c r="BD158" s="1" t="n">
        <f aca="false">MAX($I158)</f>
        <v>7.454</v>
      </c>
      <c r="BE158" s="1" t="n">
        <f aca="false">MAX($J158)</f>
        <v>7.66</v>
      </c>
      <c r="BF158" s="1" t="n">
        <f aca="false">MAX($K158)</f>
        <v>0</v>
      </c>
      <c r="BG158" s="1" t="n">
        <f aca="false">MAX($M158)</f>
        <v>1697038</v>
      </c>
      <c r="BH158" s="1" t="n">
        <f aca="false">MAX($N158)</f>
        <v>0.07</v>
      </c>
      <c r="BI158" s="1" t="n">
        <f aca="false">MAX($P158)</f>
        <v>7.66</v>
      </c>
      <c r="BJ158" s="1" t="n">
        <f aca="false">MAX($Q158)</f>
        <v>0</v>
      </c>
      <c r="BK158" s="1" t="n">
        <f aca="false">MAX($R158)</f>
        <v>551779</v>
      </c>
    </row>
    <row r="159" customFormat="false" ht="15" hidden="false" customHeight="false" outlineLevel="0" collapsed="false">
      <c r="A159" s="1" t="s">
        <v>176</v>
      </c>
      <c r="B159" s="1" t="n">
        <f aca="false" t="array" ref="B159:B159">_xlfn.SWITCH($A$2,"average", AVERAGE(Instances!B159:B159),"median", MEDIAN(Instances!B159:B159),"min", MIN(Instances!B159:B159),"max", MAX(Instances!B159:B159),"diff", MAX(Instances!B159:B159)-MIN(Instances!B159:B159))</f>
        <v>2115</v>
      </c>
      <c r="C159" s="1" t="n">
        <f aca="false" t="array" ref="C159:C159">_xlfn.SWITCH($A$2,"average", AVERAGE(Instances!C159:C159),"median", MEDIAN(Instances!C159:C159),"min", MIN(Instances!C159:C159),"max", MAX(Instances!C159:C159),"diff", MAX(Instances!C159:C159)-MIN(Instances!C159:C159))</f>
        <v>0</v>
      </c>
      <c r="D159" s="1" t="n">
        <f aca="false" t="array" ref="D159:D159">_xlfn.SWITCH($A$2,"average", AVERAGE(Instances!D159:D159),"median", MEDIAN(Instances!D159:D159),"min", MIN(Instances!D159:D159),"max", MAX(Instances!D159:D159),"diff", MAX(Instances!D159:D159)-MIN(Instances!D159:D159))</f>
        <v>950132</v>
      </c>
      <c r="E159" s="1" t="n">
        <f aca="false" t="array" ref="E159:E159">_xlfn.SWITCH($A$2,"average", AVERAGE(Instances!E159:E159),"median", MEDIAN(Instances!E159:E159),"min", MIN(Instances!E159:E159),"max", MAX(Instances!E159:E159),"diff", MAX(Instances!E159:E159)-MIN(Instances!E159:E159))</f>
        <v>0</v>
      </c>
      <c r="F159" s="1" t="n">
        <f aca="false" t="array" ref="F159:F159">_xlfn.SWITCH($A$2,"average", AVERAGE(Instances!F159:F159),"median", MEDIAN(Instances!F159:F159),"min", MIN(Instances!F159:F159),"max", MAX(Instances!F159:F159),"diff", MAX(Instances!F159:F159)-MIN(Instances!F159:F159))</f>
        <v>536</v>
      </c>
      <c r="G159" s="1" t="n">
        <f aca="false" t="array" ref="G159:G159">_xlfn.SWITCH($A$2,"average", AVERAGE(Instances!G159:G159),"median", MEDIAN(Instances!G159:G159),"min", MIN(Instances!G159:G159),"max", MAX(Instances!G159:G159),"diff", MAX(Instances!G159:G159)-MIN(Instances!G159:G159))</f>
        <v>0</v>
      </c>
      <c r="H159" s="1" t="n">
        <f aca="false" t="array" ref="H159:H159">_xlfn.SWITCH($A$2,"average", AVERAGE(Instances!H159:H159),"median", MEDIAN(Instances!H159:H159),"min", MIN(Instances!H159:H159),"max", MAX(Instances!H159:H159),"diff", MAX(Instances!H159:H159)-MIN(Instances!H159:H159))</f>
        <v>1</v>
      </c>
      <c r="I159" s="1" t="n">
        <f aca="false" t="array" ref="I159:I159">_xlfn.SWITCH($A$2,"average", AVERAGE(Instances!I159:I159),"median", MEDIAN(Instances!I159:I159),"min", MIN(Instances!I159:I159),"max", MAX(Instances!I159:I159),"diff", MAX(Instances!I159:I159)-MIN(Instances!I159:I159))</f>
        <v>6.731</v>
      </c>
      <c r="J159" s="1" t="n">
        <f aca="false" t="array" ref="J159:J159">_xlfn.SWITCH($A$2,"average", AVERAGE(Instances!J159:J159),"median", MEDIAN(Instances!J159:J159),"min", MIN(Instances!J159:J159),"max", MAX(Instances!J159:J159),"diff", MAX(Instances!J159:J159)-MIN(Instances!J159:J159))</f>
        <v>6.93</v>
      </c>
      <c r="K159" s="1" t="n">
        <f aca="false" t="array" ref="K159:K159">_xlfn.SWITCH($A$2,"average", AVERAGE(Instances!K159:K159),"median", MEDIAN(Instances!K159:K159),"min", MIN(Instances!K159:K159),"max", MAX(Instances!K159:K159),"diff", MAX(Instances!K159:K159)-MIN(Instances!K159:K159))</f>
        <v>0</v>
      </c>
      <c r="L159" s="1"/>
      <c r="M159" s="1" t="n">
        <f aca="false" t="array" ref="M159:M159">_xlfn.SWITCH($A$2,"average", AVERAGE(Instances!M159:M159),"median", MEDIAN(Instances!M159:M159),"min", MIN(Instances!M159:M159),"max", MAX(Instances!M159:M159),"diff", MAX(Instances!M159:M159)-MIN(Instances!M159:M159))</f>
        <v>1681952</v>
      </c>
      <c r="N159" s="1" t="n">
        <f aca="false" t="array" ref="N159:N159">_xlfn.SWITCH($A$2,"average", AVERAGE(Instances!N159:N159),"median", MEDIAN(Instances!N159:N159),"min", MIN(Instances!N159:N159),"max", MAX(Instances!N159:N159),"diff", MAX(Instances!N159:N159)-MIN(Instances!N159:N159))</f>
        <v>0.07</v>
      </c>
      <c r="O159" s="1"/>
      <c r="P159" s="1" t="n">
        <f aca="false" t="array" ref="P159:P159">_xlfn.SWITCH($A$2,"average", AVERAGE(Instances!P159:P159),"median", MEDIAN(Instances!P159:P159),"min", MIN(Instances!P159:P159),"max", MAX(Instances!P159:P159),"diff", MAX(Instances!P159:P159)-MIN(Instances!P159:P159))</f>
        <v>6.93</v>
      </c>
      <c r="Q159" s="1" t="n">
        <f aca="false" t="array" ref="Q159:Q159">_xlfn.SWITCH($A$2,"average", AVERAGE(Instances!Q159:Q159),"median", MEDIAN(Instances!Q159:Q159),"min", MIN(Instances!Q159:Q159),"max", MAX(Instances!Q159:Q159),"diff", MAX(Instances!Q159:Q159)-MIN(Instances!Q159:Q159))</f>
        <v>0</v>
      </c>
      <c r="R159" s="1" t="n">
        <f aca="false" t="array" ref="R159:R159">_xlfn.SWITCH($A$2,"average", AVERAGE(Instances!R159:R159),"median", MEDIAN(Instances!R159:R159),"min", MIN(Instances!R159:R159),"max", MAX(Instances!R159:R159),"diff", MAX(Instances!R159:R159)-MIN(Instances!R159:R159))</f>
        <v>548226</v>
      </c>
      <c r="S159" s="1" t="n">
        <f aca="false">MIN($B159)</f>
        <v>2115</v>
      </c>
      <c r="T159" s="1" t="n">
        <f aca="false">MIN($C159)</f>
        <v>0</v>
      </c>
      <c r="U159" s="1" t="n">
        <f aca="false">MIN($D159)</f>
        <v>950132</v>
      </c>
      <c r="V159" s="1" t="n">
        <f aca="false">MIN($E159)</f>
        <v>0</v>
      </c>
      <c r="W159" s="1" t="n">
        <f aca="false">MIN($F159)</f>
        <v>536</v>
      </c>
      <c r="X159" s="1" t="n">
        <f aca="false">MIN($G159)</f>
        <v>0</v>
      </c>
      <c r="Y159" s="1" t="n">
        <f aca="false">MIN($H159)</f>
        <v>1</v>
      </c>
      <c r="Z159" s="1" t="n">
        <f aca="false">MIN($I159)</f>
        <v>6.731</v>
      </c>
      <c r="AA159" s="1" t="n">
        <f aca="false">MIN($J159)</f>
        <v>6.93</v>
      </c>
      <c r="AB159" s="1" t="n">
        <f aca="false">MIN($K159)</f>
        <v>0</v>
      </c>
      <c r="AC159" s="1" t="n">
        <f aca="false">MIN($M159)</f>
        <v>1681952</v>
      </c>
      <c r="AD159" s="1" t="n">
        <f aca="false">MIN($N159)</f>
        <v>0.07</v>
      </c>
      <c r="AE159" s="1" t="n">
        <f aca="false">MIN($P159)</f>
        <v>6.93</v>
      </c>
      <c r="AF159" s="1" t="n">
        <f aca="false">MIN($Q159)</f>
        <v>0</v>
      </c>
      <c r="AG159" s="1" t="n">
        <f aca="false">MIN($R159)</f>
        <v>548226</v>
      </c>
      <c r="AH159" s="1" t="n">
        <f aca="false">MEDIAN($B159)</f>
        <v>2115</v>
      </c>
      <c r="AI159" s="1" t="n">
        <f aca="false">MEDIAN($C159)</f>
        <v>0</v>
      </c>
      <c r="AJ159" s="1" t="n">
        <f aca="false">MEDIAN($D159)</f>
        <v>950132</v>
      </c>
      <c r="AK159" s="1" t="n">
        <f aca="false">MEDIAN($E159)</f>
        <v>0</v>
      </c>
      <c r="AL159" s="1" t="n">
        <f aca="false">MEDIAN($F159)</f>
        <v>536</v>
      </c>
      <c r="AM159" s="1" t="n">
        <f aca="false">MEDIAN($G159)</f>
        <v>0</v>
      </c>
      <c r="AN159" s="1" t="n">
        <f aca="false">MEDIAN($H159)</f>
        <v>1</v>
      </c>
      <c r="AO159" s="1" t="n">
        <f aca="false">MEDIAN($I159)</f>
        <v>6.731</v>
      </c>
      <c r="AP159" s="1" t="n">
        <f aca="false">MEDIAN($J159)</f>
        <v>6.93</v>
      </c>
      <c r="AQ159" s="1" t="n">
        <f aca="false">MEDIAN($K159)</f>
        <v>0</v>
      </c>
      <c r="AR159" s="1" t="n">
        <f aca="false">MEDIAN($M159)</f>
        <v>1681952</v>
      </c>
      <c r="AS159" s="1" t="n">
        <f aca="false">MEDIAN($N159)</f>
        <v>0.07</v>
      </c>
      <c r="AT159" s="1" t="n">
        <f aca="false">MEDIAN($P159)</f>
        <v>6.93</v>
      </c>
      <c r="AU159" s="1" t="n">
        <f aca="false">MEDIAN($Q159)</f>
        <v>0</v>
      </c>
      <c r="AV159" s="1" t="n">
        <f aca="false">MEDIAN($R159)</f>
        <v>548226</v>
      </c>
      <c r="AW159" s="1" t="n">
        <f aca="false">MAX($B159)</f>
        <v>2115</v>
      </c>
      <c r="AX159" s="1" t="n">
        <f aca="false">MAX($C159)</f>
        <v>0</v>
      </c>
      <c r="AY159" s="1" t="n">
        <f aca="false">MAX($D159)</f>
        <v>950132</v>
      </c>
      <c r="AZ159" s="1" t="n">
        <f aca="false">MAX($E159)</f>
        <v>0</v>
      </c>
      <c r="BA159" s="1" t="n">
        <f aca="false">MAX($F159)</f>
        <v>536</v>
      </c>
      <c r="BB159" s="1" t="n">
        <f aca="false">MAX($G159)</f>
        <v>0</v>
      </c>
      <c r="BC159" s="1" t="n">
        <f aca="false">MAX($H159)</f>
        <v>1</v>
      </c>
      <c r="BD159" s="1" t="n">
        <f aca="false">MAX($I159)</f>
        <v>6.731</v>
      </c>
      <c r="BE159" s="1" t="n">
        <f aca="false">MAX($J159)</f>
        <v>6.93</v>
      </c>
      <c r="BF159" s="1" t="n">
        <f aca="false">MAX($K159)</f>
        <v>0</v>
      </c>
      <c r="BG159" s="1" t="n">
        <f aca="false">MAX($M159)</f>
        <v>1681952</v>
      </c>
      <c r="BH159" s="1" t="n">
        <f aca="false">MAX($N159)</f>
        <v>0.07</v>
      </c>
      <c r="BI159" s="1" t="n">
        <f aca="false">MAX($P159)</f>
        <v>6.93</v>
      </c>
      <c r="BJ159" s="1" t="n">
        <f aca="false">MAX($Q159)</f>
        <v>0</v>
      </c>
      <c r="BK159" s="1" t="n">
        <f aca="false">MAX($R159)</f>
        <v>548226</v>
      </c>
    </row>
    <row r="160" customFormat="false" ht="15" hidden="false" customHeight="false" outlineLevel="0" collapsed="false">
      <c r="A160" s="1" t="s">
        <v>177</v>
      </c>
      <c r="B160" s="1" t="n">
        <f aca="false" t="array" ref="B160:B160">_xlfn.SWITCH($A$2,"average", AVERAGE(Instances!B160:B160),"median", MEDIAN(Instances!B160:B160),"min", MIN(Instances!B160:B160),"max", MAX(Instances!B160:B160),"diff", MAX(Instances!B160:B160)-MIN(Instances!B160:B160))</f>
        <v>2401</v>
      </c>
      <c r="C160" s="1" t="n">
        <f aca="false" t="array" ref="C160:C160">_xlfn.SWITCH($A$2,"average", AVERAGE(Instances!C160:C160),"median", MEDIAN(Instances!C160:C160),"min", MIN(Instances!C160:C160),"max", MAX(Instances!C160:C160),"diff", MAX(Instances!C160:C160)-MIN(Instances!C160:C160))</f>
        <v>19</v>
      </c>
      <c r="D160" s="1" t="n">
        <f aca="false" t="array" ref="D160:D160">_xlfn.SWITCH($A$2,"average", AVERAGE(Instances!D160:D160),"median", MEDIAN(Instances!D160:D160),"min", MIN(Instances!D160:D160),"max", MAX(Instances!D160:D160),"diff", MAX(Instances!D160:D160)-MIN(Instances!D160:D160))</f>
        <v>639749</v>
      </c>
      <c r="E160" s="1" t="n">
        <f aca="false" t="array" ref="E160:E160">_xlfn.SWITCH($A$2,"average", AVERAGE(Instances!E160:E160),"median", MEDIAN(Instances!E160:E160),"min", MIN(Instances!E160:E160),"max", MAX(Instances!E160:E160),"diff", MAX(Instances!E160:E160)-MIN(Instances!E160:E160))</f>
        <v>0</v>
      </c>
      <c r="F160" s="1" t="n">
        <f aca="false" t="array" ref="F160:F160">_xlfn.SWITCH($A$2,"average", AVERAGE(Instances!F160:F160),"median", MEDIAN(Instances!F160:F160),"min", MIN(Instances!F160:F160),"max", MAX(Instances!F160:F160),"diff", MAX(Instances!F160:F160)-MIN(Instances!F160:F160))</f>
        <v>452</v>
      </c>
      <c r="G160" s="1" t="n">
        <f aca="false" t="array" ref="G160:G160">_xlfn.SWITCH($A$2,"average", AVERAGE(Instances!G160:G160),"median", MEDIAN(Instances!G160:G160),"min", MIN(Instances!G160:G160),"max", MAX(Instances!G160:G160),"diff", MAX(Instances!G160:G160)-MIN(Instances!G160:G160))</f>
        <v>0</v>
      </c>
      <c r="H160" s="1" t="n">
        <f aca="false" t="array" ref="H160:H160">_xlfn.SWITCH($A$2,"average", AVERAGE(Instances!H160:H160),"median", MEDIAN(Instances!H160:H160),"min", MIN(Instances!H160:H160),"max", MAX(Instances!H160:H160),"diff", MAX(Instances!H160:H160)-MIN(Instances!H160:H160))</f>
        <v>1</v>
      </c>
      <c r="I160" s="1" t="n">
        <f aca="false" t="array" ref="I160:I160">_xlfn.SWITCH($A$2,"average", AVERAGE(Instances!I160:I160),"median", MEDIAN(Instances!I160:I160),"min", MIN(Instances!I160:I160),"max", MAX(Instances!I160:I160),"diff", MAX(Instances!I160:I160)-MIN(Instances!I160:I160))</f>
        <v>5.916</v>
      </c>
      <c r="J160" s="1" t="n">
        <f aca="false" t="array" ref="J160:J160">_xlfn.SWITCH($A$2,"average", AVERAGE(Instances!J160:J160),"median", MEDIAN(Instances!J160:J160),"min", MIN(Instances!J160:J160),"max", MAX(Instances!J160:J160),"diff", MAX(Instances!J160:J160)-MIN(Instances!J160:J160))</f>
        <v>6.09</v>
      </c>
      <c r="K160" s="1" t="n">
        <f aca="false" t="array" ref="K160:K160">_xlfn.SWITCH($A$2,"average", AVERAGE(Instances!K160:K160),"median", MEDIAN(Instances!K160:K160),"min", MIN(Instances!K160:K160),"max", MAX(Instances!K160:K160),"diff", MAX(Instances!K160:K160)-MIN(Instances!K160:K160))</f>
        <v>0</v>
      </c>
      <c r="L160" s="1"/>
      <c r="M160" s="1" t="n">
        <f aca="false" t="array" ref="M160:M160">_xlfn.SWITCH($A$2,"average", AVERAGE(Instances!M160:M160),"median", MEDIAN(Instances!M160:M160),"min", MIN(Instances!M160:M160),"max", MAX(Instances!M160:M160),"diff", MAX(Instances!M160:M160)-MIN(Instances!M160:M160))</f>
        <v>1322387</v>
      </c>
      <c r="N160" s="1" t="n">
        <f aca="false" t="array" ref="N160:N160">_xlfn.SWITCH($A$2,"average", AVERAGE(Instances!N160:N160),"median", MEDIAN(Instances!N160:N160),"min", MIN(Instances!N160:N160),"max", MAX(Instances!N160:N160),"diff", MAX(Instances!N160:N160)-MIN(Instances!N160:N160))</f>
        <v>0.06</v>
      </c>
      <c r="O160" s="1"/>
      <c r="P160" s="1" t="n">
        <f aca="false" t="array" ref="P160:P160">_xlfn.SWITCH($A$2,"average", AVERAGE(Instances!P160:P160),"median", MEDIAN(Instances!P160:P160),"min", MIN(Instances!P160:P160),"max", MAX(Instances!P160:P160),"diff", MAX(Instances!P160:P160)-MIN(Instances!P160:P160))</f>
        <v>6.09</v>
      </c>
      <c r="Q160" s="1" t="n">
        <f aca="false" t="array" ref="Q160:Q160">_xlfn.SWITCH($A$2,"average", AVERAGE(Instances!Q160:Q160),"median", MEDIAN(Instances!Q160:Q160),"min", MIN(Instances!Q160:Q160),"max", MAX(Instances!Q160:Q160),"diff", MAX(Instances!Q160:Q160)-MIN(Instances!Q160:Q160))</f>
        <v>0</v>
      </c>
      <c r="R160" s="1" t="n">
        <f aca="false" t="array" ref="R160:R160">_xlfn.SWITCH($A$2,"average", AVERAGE(Instances!R160:R160),"median", MEDIAN(Instances!R160:R160),"min", MIN(Instances!R160:R160),"max", MAX(Instances!R160:R160),"diff", MAX(Instances!R160:R160)-MIN(Instances!R160:R160))</f>
        <v>449179</v>
      </c>
      <c r="S160" s="1" t="n">
        <f aca="false">MIN($B160)</f>
        <v>2401</v>
      </c>
      <c r="T160" s="1" t="n">
        <f aca="false">MIN($C160)</f>
        <v>19</v>
      </c>
      <c r="U160" s="1" t="n">
        <f aca="false">MIN($D160)</f>
        <v>639749</v>
      </c>
      <c r="V160" s="1" t="n">
        <f aca="false">MIN($E160)</f>
        <v>0</v>
      </c>
      <c r="W160" s="1" t="n">
        <f aca="false">MIN($F160)</f>
        <v>452</v>
      </c>
      <c r="X160" s="1" t="n">
        <f aca="false">MIN($G160)</f>
        <v>0</v>
      </c>
      <c r="Y160" s="1" t="n">
        <f aca="false">MIN($H160)</f>
        <v>1</v>
      </c>
      <c r="Z160" s="1" t="n">
        <f aca="false">MIN($I160)</f>
        <v>5.916</v>
      </c>
      <c r="AA160" s="1" t="n">
        <f aca="false">MIN($J160)</f>
        <v>6.09</v>
      </c>
      <c r="AB160" s="1" t="n">
        <f aca="false">MIN($K160)</f>
        <v>0</v>
      </c>
      <c r="AC160" s="1" t="n">
        <f aca="false">MIN($M160)</f>
        <v>1322387</v>
      </c>
      <c r="AD160" s="1" t="n">
        <f aca="false">MIN($N160)</f>
        <v>0.06</v>
      </c>
      <c r="AE160" s="1" t="n">
        <f aca="false">MIN($P160)</f>
        <v>6.09</v>
      </c>
      <c r="AF160" s="1" t="n">
        <f aca="false">MIN($Q160)</f>
        <v>0</v>
      </c>
      <c r="AG160" s="1" t="n">
        <f aca="false">MIN($R160)</f>
        <v>449179</v>
      </c>
      <c r="AH160" s="1" t="n">
        <f aca="false">MEDIAN($B160)</f>
        <v>2401</v>
      </c>
      <c r="AI160" s="1" t="n">
        <f aca="false">MEDIAN($C160)</f>
        <v>19</v>
      </c>
      <c r="AJ160" s="1" t="n">
        <f aca="false">MEDIAN($D160)</f>
        <v>639749</v>
      </c>
      <c r="AK160" s="1" t="n">
        <f aca="false">MEDIAN($E160)</f>
        <v>0</v>
      </c>
      <c r="AL160" s="1" t="n">
        <f aca="false">MEDIAN($F160)</f>
        <v>452</v>
      </c>
      <c r="AM160" s="1" t="n">
        <f aca="false">MEDIAN($G160)</f>
        <v>0</v>
      </c>
      <c r="AN160" s="1" t="n">
        <f aca="false">MEDIAN($H160)</f>
        <v>1</v>
      </c>
      <c r="AO160" s="1" t="n">
        <f aca="false">MEDIAN($I160)</f>
        <v>5.916</v>
      </c>
      <c r="AP160" s="1" t="n">
        <f aca="false">MEDIAN($J160)</f>
        <v>6.09</v>
      </c>
      <c r="AQ160" s="1" t="n">
        <f aca="false">MEDIAN($K160)</f>
        <v>0</v>
      </c>
      <c r="AR160" s="1" t="n">
        <f aca="false">MEDIAN($M160)</f>
        <v>1322387</v>
      </c>
      <c r="AS160" s="1" t="n">
        <f aca="false">MEDIAN($N160)</f>
        <v>0.06</v>
      </c>
      <c r="AT160" s="1" t="n">
        <f aca="false">MEDIAN($P160)</f>
        <v>6.09</v>
      </c>
      <c r="AU160" s="1" t="n">
        <f aca="false">MEDIAN($Q160)</f>
        <v>0</v>
      </c>
      <c r="AV160" s="1" t="n">
        <f aca="false">MEDIAN($R160)</f>
        <v>449179</v>
      </c>
      <c r="AW160" s="1" t="n">
        <f aca="false">MAX($B160)</f>
        <v>2401</v>
      </c>
      <c r="AX160" s="1" t="n">
        <f aca="false">MAX($C160)</f>
        <v>19</v>
      </c>
      <c r="AY160" s="1" t="n">
        <f aca="false">MAX($D160)</f>
        <v>639749</v>
      </c>
      <c r="AZ160" s="1" t="n">
        <f aca="false">MAX($E160)</f>
        <v>0</v>
      </c>
      <c r="BA160" s="1" t="n">
        <f aca="false">MAX($F160)</f>
        <v>452</v>
      </c>
      <c r="BB160" s="1" t="n">
        <f aca="false">MAX($G160)</f>
        <v>0</v>
      </c>
      <c r="BC160" s="1" t="n">
        <f aca="false">MAX($H160)</f>
        <v>1</v>
      </c>
      <c r="BD160" s="1" t="n">
        <f aca="false">MAX($I160)</f>
        <v>5.916</v>
      </c>
      <c r="BE160" s="1" t="n">
        <f aca="false">MAX($J160)</f>
        <v>6.09</v>
      </c>
      <c r="BF160" s="1" t="n">
        <f aca="false">MAX($K160)</f>
        <v>0</v>
      </c>
      <c r="BG160" s="1" t="n">
        <f aca="false">MAX($M160)</f>
        <v>1322387</v>
      </c>
      <c r="BH160" s="1" t="n">
        <f aca="false">MAX($N160)</f>
        <v>0.06</v>
      </c>
      <c r="BI160" s="1" t="n">
        <f aca="false">MAX($P160)</f>
        <v>6.09</v>
      </c>
      <c r="BJ160" s="1" t="n">
        <f aca="false">MAX($Q160)</f>
        <v>0</v>
      </c>
      <c r="BK160" s="1" t="n">
        <f aca="false">MAX($R160)</f>
        <v>449179</v>
      </c>
    </row>
    <row r="161" customFormat="false" ht="15" hidden="false" customHeight="false" outlineLevel="0" collapsed="false">
      <c r="A161" s="1" t="s">
        <v>178</v>
      </c>
      <c r="B161" s="1" t="n">
        <f aca="false" t="array" ref="B161:B161">_xlfn.SWITCH($A$2,"average", AVERAGE(Instances!B161:B161),"median", MEDIAN(Instances!B161:B161),"min", MIN(Instances!B161:B161),"max", MAX(Instances!B161:B161),"diff", MAX(Instances!B161:B161)-MIN(Instances!B161:B161))</f>
        <v>2782</v>
      </c>
      <c r="C161" s="1" t="n">
        <f aca="false" t="array" ref="C161:C161">_xlfn.SWITCH($A$2,"average", AVERAGE(Instances!C161:C161),"median", MEDIAN(Instances!C161:C161),"min", MIN(Instances!C161:C161),"max", MAX(Instances!C161:C161),"diff", MAX(Instances!C161:C161)-MIN(Instances!C161:C161))</f>
        <v>0</v>
      </c>
      <c r="D161" s="1" t="n">
        <f aca="false" t="array" ref="D161:D161">_xlfn.SWITCH($A$2,"average", AVERAGE(Instances!D161:D161),"median", MEDIAN(Instances!D161:D161),"min", MIN(Instances!D161:D161),"max", MAX(Instances!D161:D161),"diff", MAX(Instances!D161:D161)-MIN(Instances!D161:D161))</f>
        <v>965213</v>
      </c>
      <c r="E161" s="1" t="n">
        <f aca="false" t="array" ref="E161:E161">_xlfn.SWITCH($A$2,"average", AVERAGE(Instances!E161:E161),"median", MEDIAN(Instances!E161:E161),"min", MIN(Instances!E161:E161),"max", MAX(Instances!E161:E161),"diff", MAX(Instances!E161:E161)-MIN(Instances!E161:E161))</f>
        <v>0</v>
      </c>
      <c r="F161" s="1" t="n">
        <f aca="false" t="array" ref="F161:F161">_xlfn.SWITCH($A$2,"average", AVERAGE(Instances!F161:F161),"median", MEDIAN(Instances!F161:F161),"min", MIN(Instances!F161:F161),"max", MAX(Instances!F161:F161),"diff", MAX(Instances!F161:F161)-MIN(Instances!F161:F161))</f>
        <v>620</v>
      </c>
      <c r="G161" s="1" t="n">
        <f aca="false" t="array" ref="G161:G161">_xlfn.SWITCH($A$2,"average", AVERAGE(Instances!G161:G161),"median", MEDIAN(Instances!G161:G161),"min", MIN(Instances!G161:G161),"max", MAX(Instances!G161:G161),"diff", MAX(Instances!G161:G161)-MIN(Instances!G161:G161))</f>
        <v>0</v>
      </c>
      <c r="H161" s="1" t="n">
        <f aca="false" t="array" ref="H161:H161">_xlfn.SWITCH($A$2,"average", AVERAGE(Instances!H161:H161),"median", MEDIAN(Instances!H161:H161),"min", MIN(Instances!H161:H161),"max", MAX(Instances!H161:H161),"diff", MAX(Instances!H161:H161)-MIN(Instances!H161:H161))</f>
        <v>1</v>
      </c>
      <c r="I161" s="1" t="n">
        <f aca="false" t="array" ref="I161:I161">_xlfn.SWITCH($A$2,"average", AVERAGE(Instances!I161:I161),"median", MEDIAN(Instances!I161:I161),"min", MIN(Instances!I161:I161),"max", MAX(Instances!I161:I161),"diff", MAX(Instances!I161:I161)-MIN(Instances!I161:I161))</f>
        <v>8.756</v>
      </c>
      <c r="J161" s="1" t="n">
        <f aca="false" t="array" ref="J161:J161">_xlfn.SWITCH($A$2,"average", AVERAGE(Instances!J161:J161),"median", MEDIAN(Instances!J161:J161),"min", MIN(Instances!J161:J161),"max", MAX(Instances!J161:J161),"diff", MAX(Instances!J161:J161)-MIN(Instances!J161:J161))</f>
        <v>8.99</v>
      </c>
      <c r="K161" s="1" t="n">
        <f aca="false" t="array" ref="K161:K161">_xlfn.SWITCH($A$2,"average", AVERAGE(Instances!K161:K161),"median", MEDIAN(Instances!K161:K161),"min", MIN(Instances!K161:K161),"max", MAX(Instances!K161:K161),"diff", MAX(Instances!K161:K161)-MIN(Instances!K161:K161))</f>
        <v>0</v>
      </c>
      <c r="L161" s="1"/>
      <c r="M161" s="1" t="n">
        <f aca="false" t="array" ref="M161:M161">_xlfn.SWITCH($A$2,"average", AVERAGE(Instances!M161:M161),"median", MEDIAN(Instances!M161:M161),"min", MIN(Instances!M161:M161),"max", MAX(Instances!M161:M161),"diff", MAX(Instances!M161:M161)-MIN(Instances!M161:M161))</f>
        <v>2018541</v>
      </c>
      <c r="N161" s="1" t="n">
        <f aca="false" t="array" ref="N161:N161">_xlfn.SWITCH($A$2,"average", AVERAGE(Instances!N161:N161),"median", MEDIAN(Instances!N161:N161),"min", MIN(Instances!N161:N161),"max", MAX(Instances!N161:N161),"diff", MAX(Instances!N161:N161)-MIN(Instances!N161:N161))</f>
        <v>0.08</v>
      </c>
      <c r="O161" s="1"/>
      <c r="P161" s="1" t="n">
        <f aca="false" t="array" ref="P161:P161">_xlfn.SWITCH($A$2,"average", AVERAGE(Instances!P161:P161),"median", MEDIAN(Instances!P161:P161),"min", MIN(Instances!P161:P161),"max", MAX(Instances!P161:P161),"diff", MAX(Instances!P161:P161)-MIN(Instances!P161:P161))</f>
        <v>8.99</v>
      </c>
      <c r="Q161" s="1" t="n">
        <f aca="false" t="array" ref="Q161:Q161">_xlfn.SWITCH($A$2,"average", AVERAGE(Instances!Q161:Q161),"median", MEDIAN(Instances!Q161:Q161),"min", MIN(Instances!Q161:Q161),"max", MAX(Instances!Q161:Q161),"diff", MAX(Instances!Q161:Q161)-MIN(Instances!Q161:Q161))</f>
        <v>0</v>
      </c>
      <c r="R161" s="1" t="n">
        <f aca="false" t="array" ref="R161:R161">_xlfn.SWITCH($A$2,"average", AVERAGE(Instances!R161:R161),"median", MEDIAN(Instances!R161:R161),"min", MIN(Instances!R161:R161),"max", MAX(Instances!R161:R161),"diff", MAX(Instances!R161:R161)-MIN(Instances!R161:R161))</f>
        <v>625705</v>
      </c>
      <c r="S161" s="1" t="n">
        <f aca="false">MIN($B161)</f>
        <v>2782</v>
      </c>
      <c r="T161" s="1" t="n">
        <f aca="false">MIN($C161)</f>
        <v>0</v>
      </c>
      <c r="U161" s="1" t="n">
        <f aca="false">MIN($D161)</f>
        <v>965213</v>
      </c>
      <c r="V161" s="1" t="n">
        <f aca="false">MIN($E161)</f>
        <v>0</v>
      </c>
      <c r="W161" s="1" t="n">
        <f aca="false">MIN($F161)</f>
        <v>620</v>
      </c>
      <c r="X161" s="1" t="n">
        <f aca="false">MIN($G161)</f>
        <v>0</v>
      </c>
      <c r="Y161" s="1" t="n">
        <f aca="false">MIN($H161)</f>
        <v>1</v>
      </c>
      <c r="Z161" s="1" t="n">
        <f aca="false">MIN($I161)</f>
        <v>8.756</v>
      </c>
      <c r="AA161" s="1" t="n">
        <f aca="false">MIN($J161)</f>
        <v>8.99</v>
      </c>
      <c r="AB161" s="1" t="n">
        <f aca="false">MIN($K161)</f>
        <v>0</v>
      </c>
      <c r="AC161" s="1" t="n">
        <f aca="false">MIN($M161)</f>
        <v>2018541</v>
      </c>
      <c r="AD161" s="1" t="n">
        <f aca="false">MIN($N161)</f>
        <v>0.08</v>
      </c>
      <c r="AE161" s="1" t="n">
        <f aca="false">MIN($P161)</f>
        <v>8.99</v>
      </c>
      <c r="AF161" s="1" t="n">
        <f aca="false">MIN($Q161)</f>
        <v>0</v>
      </c>
      <c r="AG161" s="1" t="n">
        <f aca="false">MIN($R161)</f>
        <v>625705</v>
      </c>
      <c r="AH161" s="1" t="n">
        <f aca="false">MEDIAN($B161)</f>
        <v>2782</v>
      </c>
      <c r="AI161" s="1" t="n">
        <f aca="false">MEDIAN($C161)</f>
        <v>0</v>
      </c>
      <c r="AJ161" s="1" t="n">
        <f aca="false">MEDIAN($D161)</f>
        <v>965213</v>
      </c>
      <c r="AK161" s="1" t="n">
        <f aca="false">MEDIAN($E161)</f>
        <v>0</v>
      </c>
      <c r="AL161" s="1" t="n">
        <f aca="false">MEDIAN($F161)</f>
        <v>620</v>
      </c>
      <c r="AM161" s="1" t="n">
        <f aca="false">MEDIAN($G161)</f>
        <v>0</v>
      </c>
      <c r="AN161" s="1" t="n">
        <f aca="false">MEDIAN($H161)</f>
        <v>1</v>
      </c>
      <c r="AO161" s="1" t="n">
        <f aca="false">MEDIAN($I161)</f>
        <v>8.756</v>
      </c>
      <c r="AP161" s="1" t="n">
        <f aca="false">MEDIAN($J161)</f>
        <v>8.99</v>
      </c>
      <c r="AQ161" s="1" t="n">
        <f aca="false">MEDIAN($K161)</f>
        <v>0</v>
      </c>
      <c r="AR161" s="1" t="n">
        <f aca="false">MEDIAN($M161)</f>
        <v>2018541</v>
      </c>
      <c r="AS161" s="1" t="n">
        <f aca="false">MEDIAN($N161)</f>
        <v>0.08</v>
      </c>
      <c r="AT161" s="1" t="n">
        <f aca="false">MEDIAN($P161)</f>
        <v>8.99</v>
      </c>
      <c r="AU161" s="1" t="n">
        <f aca="false">MEDIAN($Q161)</f>
        <v>0</v>
      </c>
      <c r="AV161" s="1" t="n">
        <f aca="false">MEDIAN($R161)</f>
        <v>625705</v>
      </c>
      <c r="AW161" s="1" t="n">
        <f aca="false">MAX($B161)</f>
        <v>2782</v>
      </c>
      <c r="AX161" s="1" t="n">
        <f aca="false">MAX($C161)</f>
        <v>0</v>
      </c>
      <c r="AY161" s="1" t="n">
        <f aca="false">MAX($D161)</f>
        <v>965213</v>
      </c>
      <c r="AZ161" s="1" t="n">
        <f aca="false">MAX($E161)</f>
        <v>0</v>
      </c>
      <c r="BA161" s="1" t="n">
        <f aca="false">MAX($F161)</f>
        <v>620</v>
      </c>
      <c r="BB161" s="1" t="n">
        <f aca="false">MAX($G161)</f>
        <v>0</v>
      </c>
      <c r="BC161" s="1" t="n">
        <f aca="false">MAX($H161)</f>
        <v>1</v>
      </c>
      <c r="BD161" s="1" t="n">
        <f aca="false">MAX($I161)</f>
        <v>8.756</v>
      </c>
      <c r="BE161" s="1" t="n">
        <f aca="false">MAX($J161)</f>
        <v>8.99</v>
      </c>
      <c r="BF161" s="1" t="n">
        <f aca="false">MAX($K161)</f>
        <v>0</v>
      </c>
      <c r="BG161" s="1" t="n">
        <f aca="false">MAX($M161)</f>
        <v>2018541</v>
      </c>
      <c r="BH161" s="1" t="n">
        <f aca="false">MAX($N161)</f>
        <v>0.08</v>
      </c>
      <c r="BI161" s="1" t="n">
        <f aca="false">MAX($P161)</f>
        <v>8.99</v>
      </c>
      <c r="BJ161" s="1" t="n">
        <f aca="false">MAX($Q161)</f>
        <v>0</v>
      </c>
      <c r="BK161" s="1" t="n">
        <f aca="false">MAX($R161)</f>
        <v>625705</v>
      </c>
    </row>
    <row r="162" customFormat="false" ht="15" hidden="false" customHeight="false" outlineLevel="0" collapsed="false">
      <c r="A162" s="1" t="s">
        <v>179</v>
      </c>
      <c r="B162" s="1" t="n">
        <f aca="false" t="array" ref="B162:B162">_xlfn.SWITCH($A$2,"average", AVERAGE(Instances!B162:B162),"median", MEDIAN(Instances!B162:B162),"min", MIN(Instances!B162:B162),"max", MAX(Instances!B162:B162),"diff", MAX(Instances!B162:B162)-MIN(Instances!B162:B162))</f>
        <v>2763</v>
      </c>
      <c r="C162" s="1" t="n">
        <f aca="false" t="array" ref="C162:C162">_xlfn.SWITCH($A$2,"average", AVERAGE(Instances!C162:C162),"median", MEDIAN(Instances!C162:C162),"min", MIN(Instances!C162:C162),"max", MAX(Instances!C162:C162),"diff", MAX(Instances!C162:C162)-MIN(Instances!C162:C162))</f>
        <v>0</v>
      </c>
      <c r="D162" s="1" t="n">
        <f aca="false" t="array" ref="D162:D162">_xlfn.SWITCH($A$2,"average", AVERAGE(Instances!D162:D162),"median", MEDIAN(Instances!D162:D162),"min", MIN(Instances!D162:D162),"max", MAX(Instances!D162:D162),"diff", MAX(Instances!D162:D162)-MIN(Instances!D162:D162))</f>
        <v>1146116</v>
      </c>
      <c r="E162" s="1" t="n">
        <f aca="false" t="array" ref="E162:E162">_xlfn.SWITCH($A$2,"average", AVERAGE(Instances!E162:E162),"median", MEDIAN(Instances!E162:E162),"min", MIN(Instances!E162:E162),"max", MAX(Instances!E162:E162),"diff", MAX(Instances!E162:E162)-MIN(Instances!E162:E162))</f>
        <v>0</v>
      </c>
      <c r="F162" s="1" t="n">
        <f aca="false" t="array" ref="F162:F162">_xlfn.SWITCH($A$2,"average", AVERAGE(Instances!F162:F162),"median", MEDIAN(Instances!F162:F162),"min", MIN(Instances!F162:F162),"max", MAX(Instances!F162:F162),"diff", MAX(Instances!F162:F162)-MIN(Instances!F162:F162))</f>
        <v>674</v>
      </c>
      <c r="G162" s="1" t="n">
        <f aca="false" t="array" ref="G162:G162">_xlfn.SWITCH($A$2,"average", AVERAGE(Instances!G162:G162),"median", MEDIAN(Instances!G162:G162),"min", MIN(Instances!G162:G162),"max", MAX(Instances!G162:G162),"diff", MAX(Instances!G162:G162)-MIN(Instances!G162:G162))</f>
        <v>0</v>
      </c>
      <c r="H162" s="1" t="n">
        <f aca="false" t="array" ref="H162:H162">_xlfn.SWITCH($A$2,"average", AVERAGE(Instances!H162:H162),"median", MEDIAN(Instances!H162:H162),"min", MIN(Instances!H162:H162),"max", MAX(Instances!H162:H162),"diff", MAX(Instances!H162:H162)-MIN(Instances!H162:H162))</f>
        <v>1</v>
      </c>
      <c r="I162" s="1" t="n">
        <f aca="false" t="array" ref="I162:I162">_xlfn.SWITCH($A$2,"average", AVERAGE(Instances!I162:I162),"median", MEDIAN(Instances!I162:I162),"min", MIN(Instances!I162:I162),"max", MAX(Instances!I162:I162),"diff", MAX(Instances!I162:I162)-MIN(Instances!I162:I162))</f>
        <v>8.744</v>
      </c>
      <c r="J162" s="1" t="n">
        <f aca="false" t="array" ref="J162:J162">_xlfn.SWITCH($A$2,"average", AVERAGE(Instances!J162:J162),"median", MEDIAN(Instances!J162:J162),"min", MIN(Instances!J162:J162),"max", MAX(Instances!J162:J162),"diff", MAX(Instances!J162:J162)-MIN(Instances!J162:J162))</f>
        <v>8.98</v>
      </c>
      <c r="K162" s="1" t="n">
        <f aca="false" t="array" ref="K162:K162">_xlfn.SWITCH($A$2,"average", AVERAGE(Instances!K162:K162),"median", MEDIAN(Instances!K162:K162),"min", MIN(Instances!K162:K162),"max", MAX(Instances!K162:K162),"diff", MAX(Instances!K162:K162)-MIN(Instances!K162:K162))</f>
        <v>0</v>
      </c>
      <c r="L162" s="1"/>
      <c r="M162" s="1" t="n">
        <f aca="false" t="array" ref="M162:M162">_xlfn.SWITCH($A$2,"average", AVERAGE(Instances!M162:M162),"median", MEDIAN(Instances!M162:M162),"min", MIN(Instances!M162:M162),"max", MAX(Instances!M162:M162),"diff", MAX(Instances!M162:M162)-MIN(Instances!M162:M162))</f>
        <v>2197303</v>
      </c>
      <c r="N162" s="1" t="n">
        <f aca="false" t="array" ref="N162:N162">_xlfn.SWITCH($A$2,"average", AVERAGE(Instances!N162:N162),"median", MEDIAN(Instances!N162:N162),"min", MIN(Instances!N162:N162),"max", MAX(Instances!N162:N162),"diff", MAX(Instances!N162:N162)-MIN(Instances!N162:N162))</f>
        <v>0.08</v>
      </c>
      <c r="O162" s="1"/>
      <c r="P162" s="1" t="n">
        <f aca="false" t="array" ref="P162:P162">_xlfn.SWITCH($A$2,"average", AVERAGE(Instances!P162:P162),"median", MEDIAN(Instances!P162:P162),"min", MIN(Instances!P162:P162),"max", MAX(Instances!P162:P162),"diff", MAX(Instances!P162:P162)-MIN(Instances!P162:P162))</f>
        <v>8.98</v>
      </c>
      <c r="Q162" s="1" t="n">
        <f aca="false" t="array" ref="Q162:Q162">_xlfn.SWITCH($A$2,"average", AVERAGE(Instances!Q162:Q162),"median", MEDIAN(Instances!Q162:Q162),"min", MIN(Instances!Q162:Q162),"max", MAX(Instances!Q162:Q162),"diff", MAX(Instances!Q162:Q162)-MIN(Instances!Q162:Q162))</f>
        <v>0</v>
      </c>
      <c r="R162" s="1" t="n">
        <f aca="false" t="array" ref="R162:R162">_xlfn.SWITCH($A$2,"average", AVERAGE(Instances!R162:R162),"median", MEDIAN(Instances!R162:R162),"min", MIN(Instances!R162:R162),"max", MAX(Instances!R162:R162),"diff", MAX(Instances!R162:R162)-MIN(Instances!R162:R162))</f>
        <v>677086</v>
      </c>
      <c r="S162" s="1" t="n">
        <f aca="false">MIN($B162)</f>
        <v>2763</v>
      </c>
      <c r="T162" s="1" t="n">
        <f aca="false">MIN($C162)</f>
        <v>0</v>
      </c>
      <c r="U162" s="1" t="n">
        <f aca="false">MIN($D162)</f>
        <v>1146116</v>
      </c>
      <c r="V162" s="1" t="n">
        <f aca="false">MIN($E162)</f>
        <v>0</v>
      </c>
      <c r="W162" s="1" t="n">
        <f aca="false">MIN($F162)</f>
        <v>674</v>
      </c>
      <c r="X162" s="1" t="n">
        <f aca="false">MIN($G162)</f>
        <v>0</v>
      </c>
      <c r="Y162" s="1" t="n">
        <f aca="false">MIN($H162)</f>
        <v>1</v>
      </c>
      <c r="Z162" s="1" t="n">
        <f aca="false">MIN($I162)</f>
        <v>8.744</v>
      </c>
      <c r="AA162" s="1" t="n">
        <f aca="false">MIN($J162)</f>
        <v>8.98</v>
      </c>
      <c r="AB162" s="1" t="n">
        <f aca="false">MIN($K162)</f>
        <v>0</v>
      </c>
      <c r="AC162" s="1" t="n">
        <f aca="false">MIN($M162)</f>
        <v>2197303</v>
      </c>
      <c r="AD162" s="1" t="n">
        <f aca="false">MIN($N162)</f>
        <v>0.08</v>
      </c>
      <c r="AE162" s="1" t="n">
        <f aca="false">MIN($P162)</f>
        <v>8.98</v>
      </c>
      <c r="AF162" s="1" t="n">
        <f aca="false">MIN($Q162)</f>
        <v>0</v>
      </c>
      <c r="AG162" s="1" t="n">
        <f aca="false">MIN($R162)</f>
        <v>677086</v>
      </c>
      <c r="AH162" s="1" t="n">
        <f aca="false">MEDIAN($B162)</f>
        <v>2763</v>
      </c>
      <c r="AI162" s="1" t="n">
        <f aca="false">MEDIAN($C162)</f>
        <v>0</v>
      </c>
      <c r="AJ162" s="1" t="n">
        <f aca="false">MEDIAN($D162)</f>
        <v>1146116</v>
      </c>
      <c r="AK162" s="1" t="n">
        <f aca="false">MEDIAN($E162)</f>
        <v>0</v>
      </c>
      <c r="AL162" s="1" t="n">
        <f aca="false">MEDIAN($F162)</f>
        <v>674</v>
      </c>
      <c r="AM162" s="1" t="n">
        <f aca="false">MEDIAN($G162)</f>
        <v>0</v>
      </c>
      <c r="AN162" s="1" t="n">
        <f aca="false">MEDIAN($H162)</f>
        <v>1</v>
      </c>
      <c r="AO162" s="1" t="n">
        <f aca="false">MEDIAN($I162)</f>
        <v>8.744</v>
      </c>
      <c r="AP162" s="1" t="n">
        <f aca="false">MEDIAN($J162)</f>
        <v>8.98</v>
      </c>
      <c r="AQ162" s="1" t="n">
        <f aca="false">MEDIAN($K162)</f>
        <v>0</v>
      </c>
      <c r="AR162" s="1" t="n">
        <f aca="false">MEDIAN($M162)</f>
        <v>2197303</v>
      </c>
      <c r="AS162" s="1" t="n">
        <f aca="false">MEDIAN($N162)</f>
        <v>0.08</v>
      </c>
      <c r="AT162" s="1" t="n">
        <f aca="false">MEDIAN($P162)</f>
        <v>8.98</v>
      </c>
      <c r="AU162" s="1" t="n">
        <f aca="false">MEDIAN($Q162)</f>
        <v>0</v>
      </c>
      <c r="AV162" s="1" t="n">
        <f aca="false">MEDIAN($R162)</f>
        <v>677086</v>
      </c>
      <c r="AW162" s="1" t="n">
        <f aca="false">MAX($B162)</f>
        <v>2763</v>
      </c>
      <c r="AX162" s="1" t="n">
        <f aca="false">MAX($C162)</f>
        <v>0</v>
      </c>
      <c r="AY162" s="1" t="n">
        <f aca="false">MAX($D162)</f>
        <v>1146116</v>
      </c>
      <c r="AZ162" s="1" t="n">
        <f aca="false">MAX($E162)</f>
        <v>0</v>
      </c>
      <c r="BA162" s="1" t="n">
        <f aca="false">MAX($F162)</f>
        <v>674</v>
      </c>
      <c r="BB162" s="1" t="n">
        <f aca="false">MAX($G162)</f>
        <v>0</v>
      </c>
      <c r="BC162" s="1" t="n">
        <f aca="false">MAX($H162)</f>
        <v>1</v>
      </c>
      <c r="BD162" s="1" t="n">
        <f aca="false">MAX($I162)</f>
        <v>8.744</v>
      </c>
      <c r="BE162" s="1" t="n">
        <f aca="false">MAX($J162)</f>
        <v>8.98</v>
      </c>
      <c r="BF162" s="1" t="n">
        <f aca="false">MAX($K162)</f>
        <v>0</v>
      </c>
      <c r="BG162" s="1" t="n">
        <f aca="false">MAX($M162)</f>
        <v>2197303</v>
      </c>
      <c r="BH162" s="1" t="n">
        <f aca="false">MAX($N162)</f>
        <v>0.08</v>
      </c>
      <c r="BI162" s="1" t="n">
        <f aca="false">MAX($P162)</f>
        <v>8.98</v>
      </c>
      <c r="BJ162" s="1" t="n">
        <f aca="false">MAX($Q162)</f>
        <v>0</v>
      </c>
      <c r="BK162" s="1" t="n">
        <f aca="false">MAX($R162)</f>
        <v>677086</v>
      </c>
    </row>
    <row r="163" customFormat="false" ht="15" hidden="false" customHeight="false" outlineLevel="0" collapsed="false">
      <c r="A163" s="1" t="s">
        <v>180</v>
      </c>
      <c r="B163" s="1" t="n">
        <f aca="false" t="array" ref="B163:B163">_xlfn.SWITCH($A$2,"average", AVERAGE(Instances!B163:B163),"median", MEDIAN(Instances!B163:B163),"min", MIN(Instances!B163:B163),"max", MAX(Instances!B163:B163),"diff", MAX(Instances!B163:B163)-MIN(Instances!B163:B163))</f>
        <v>4075</v>
      </c>
      <c r="C163" s="1" t="n">
        <f aca="false" t="array" ref="C163:C163">_xlfn.SWITCH($A$2,"average", AVERAGE(Instances!C163:C163),"median", MEDIAN(Instances!C163:C163),"min", MIN(Instances!C163:C163),"max", MAX(Instances!C163:C163),"diff", MAX(Instances!C163:C163)-MIN(Instances!C163:C163))</f>
        <v>60</v>
      </c>
      <c r="D163" s="1" t="n">
        <f aca="false" t="array" ref="D163:D163">_xlfn.SWITCH($A$2,"average", AVERAGE(Instances!D163:D163),"median", MEDIAN(Instances!D163:D163),"min", MIN(Instances!D163:D163),"max", MAX(Instances!D163:D163),"diff", MAX(Instances!D163:D163)-MIN(Instances!D163:D163))</f>
        <v>1231281</v>
      </c>
      <c r="E163" s="1" t="n">
        <f aca="false" t="array" ref="E163:E163">_xlfn.SWITCH($A$2,"average", AVERAGE(Instances!E163:E163),"median", MEDIAN(Instances!E163:E163),"min", MIN(Instances!E163:E163),"max", MAX(Instances!E163:E163),"diff", MAX(Instances!E163:E163)-MIN(Instances!E163:E163))</f>
        <v>0</v>
      </c>
      <c r="F163" s="1" t="n">
        <f aca="false" t="array" ref="F163:F163">_xlfn.SWITCH($A$2,"average", AVERAGE(Instances!F163:F163),"median", MEDIAN(Instances!F163:F163),"min", MIN(Instances!F163:F163),"max", MAX(Instances!F163:F163),"diff", MAX(Instances!F163:F163)-MIN(Instances!F163:F163))</f>
        <v>698</v>
      </c>
      <c r="G163" s="1" t="n">
        <f aca="false" t="array" ref="G163:G163">_xlfn.SWITCH($A$2,"average", AVERAGE(Instances!G163:G163),"median", MEDIAN(Instances!G163:G163),"min", MIN(Instances!G163:G163),"max", MAX(Instances!G163:G163),"diff", MAX(Instances!G163:G163)-MIN(Instances!G163:G163))</f>
        <v>0</v>
      </c>
      <c r="H163" s="1" t="n">
        <f aca="false" t="array" ref="H163:H163">_xlfn.SWITCH($A$2,"average", AVERAGE(Instances!H163:H163),"median", MEDIAN(Instances!H163:H163),"min", MIN(Instances!H163:H163),"max", MAX(Instances!H163:H163),"diff", MAX(Instances!H163:H163)-MIN(Instances!H163:H163))</f>
        <v>1</v>
      </c>
      <c r="I163" s="1" t="n">
        <f aca="false" t="array" ref="I163:I163">_xlfn.SWITCH($A$2,"average", AVERAGE(Instances!I163:I163),"median", MEDIAN(Instances!I163:I163),"min", MIN(Instances!I163:I163),"max", MAX(Instances!I163:I163),"diff", MAX(Instances!I163:I163)-MIN(Instances!I163:I163))</f>
        <v>9.387</v>
      </c>
      <c r="J163" s="1" t="n">
        <f aca="false" t="array" ref="J163:J163">_xlfn.SWITCH($A$2,"average", AVERAGE(Instances!J163:J163),"median", MEDIAN(Instances!J163:J163),"min", MIN(Instances!J163:J163),"max", MAX(Instances!J163:J163),"diff", MAX(Instances!J163:J163)-MIN(Instances!J163:J163))</f>
        <v>9.64</v>
      </c>
      <c r="K163" s="1" t="n">
        <f aca="false" t="array" ref="K163:K163">_xlfn.SWITCH($A$2,"average", AVERAGE(Instances!K163:K163),"median", MEDIAN(Instances!K163:K163),"min", MIN(Instances!K163:K163),"max", MAX(Instances!K163:K163),"diff", MAX(Instances!K163:K163)-MIN(Instances!K163:K163))</f>
        <v>1</v>
      </c>
      <c r="L163" s="1"/>
      <c r="M163" s="1" t="n">
        <f aca="false" t="array" ref="M163:M163">_xlfn.SWITCH($A$2,"average", AVERAGE(Instances!M163:M163),"median", MEDIAN(Instances!M163:M163),"min", MIN(Instances!M163:M163),"max", MAX(Instances!M163:M163),"diff", MAX(Instances!M163:M163)-MIN(Instances!M163:M163))</f>
        <v>2353443</v>
      </c>
      <c r="N163" s="1" t="n">
        <f aca="false" t="array" ref="N163:N163">_xlfn.SWITCH($A$2,"average", AVERAGE(Instances!N163:N163),"median", MEDIAN(Instances!N163:N163),"min", MIN(Instances!N163:N163),"max", MAX(Instances!N163:N163),"diff", MAX(Instances!N163:N163)-MIN(Instances!N163:N163))</f>
        <v>0.15</v>
      </c>
      <c r="O163" s="1"/>
      <c r="P163" s="1" t="n">
        <f aca="false" t="array" ref="P163:P163">_xlfn.SWITCH($A$2,"average", AVERAGE(Instances!P163:P163),"median", MEDIAN(Instances!P163:P163),"min", MIN(Instances!P163:P163),"max", MAX(Instances!P163:P163),"diff", MAX(Instances!P163:P163)-MIN(Instances!P163:P163))</f>
        <v>9.64</v>
      </c>
      <c r="Q163" s="1" t="n">
        <f aca="false" t="array" ref="Q163:Q163">_xlfn.SWITCH($A$2,"average", AVERAGE(Instances!Q163:Q163),"median", MEDIAN(Instances!Q163:Q163),"min", MIN(Instances!Q163:Q163),"max", MAX(Instances!Q163:Q163),"diff", MAX(Instances!Q163:Q163)-MIN(Instances!Q163:Q163))</f>
        <v>0</v>
      </c>
      <c r="R163" s="1" t="n">
        <f aca="false" t="array" ref="R163:R163">_xlfn.SWITCH($A$2,"average", AVERAGE(Instances!R163:R163),"median", MEDIAN(Instances!R163:R163),"min", MIN(Instances!R163:R163),"max", MAX(Instances!R163:R163),"diff", MAX(Instances!R163:R163)-MIN(Instances!R163:R163))</f>
        <v>706445</v>
      </c>
      <c r="S163" s="1" t="n">
        <f aca="false">MIN($B163)</f>
        <v>4075</v>
      </c>
      <c r="T163" s="1" t="n">
        <f aca="false">MIN($C163)</f>
        <v>60</v>
      </c>
      <c r="U163" s="1" t="n">
        <f aca="false">MIN($D163)</f>
        <v>1231281</v>
      </c>
      <c r="V163" s="1" t="n">
        <f aca="false">MIN($E163)</f>
        <v>0</v>
      </c>
      <c r="W163" s="1" t="n">
        <f aca="false">MIN($F163)</f>
        <v>698</v>
      </c>
      <c r="X163" s="1" t="n">
        <f aca="false">MIN($G163)</f>
        <v>0</v>
      </c>
      <c r="Y163" s="1" t="n">
        <f aca="false">MIN($H163)</f>
        <v>1</v>
      </c>
      <c r="Z163" s="1" t="n">
        <f aca="false">MIN($I163)</f>
        <v>9.387</v>
      </c>
      <c r="AA163" s="1" t="n">
        <f aca="false">MIN($J163)</f>
        <v>9.64</v>
      </c>
      <c r="AB163" s="1" t="n">
        <f aca="false">MIN($K163)</f>
        <v>1</v>
      </c>
      <c r="AC163" s="1" t="n">
        <f aca="false">MIN($M163)</f>
        <v>2353443</v>
      </c>
      <c r="AD163" s="1" t="n">
        <f aca="false">MIN($N163)</f>
        <v>0.15</v>
      </c>
      <c r="AE163" s="1" t="n">
        <f aca="false">MIN($P163)</f>
        <v>9.64</v>
      </c>
      <c r="AF163" s="1" t="n">
        <f aca="false">MIN($Q163)</f>
        <v>0</v>
      </c>
      <c r="AG163" s="1" t="n">
        <f aca="false">MIN($R163)</f>
        <v>706445</v>
      </c>
      <c r="AH163" s="1" t="n">
        <f aca="false">MEDIAN($B163)</f>
        <v>4075</v>
      </c>
      <c r="AI163" s="1" t="n">
        <f aca="false">MEDIAN($C163)</f>
        <v>60</v>
      </c>
      <c r="AJ163" s="1" t="n">
        <f aca="false">MEDIAN($D163)</f>
        <v>1231281</v>
      </c>
      <c r="AK163" s="1" t="n">
        <f aca="false">MEDIAN($E163)</f>
        <v>0</v>
      </c>
      <c r="AL163" s="1" t="n">
        <f aca="false">MEDIAN($F163)</f>
        <v>698</v>
      </c>
      <c r="AM163" s="1" t="n">
        <f aca="false">MEDIAN($G163)</f>
        <v>0</v>
      </c>
      <c r="AN163" s="1" t="n">
        <f aca="false">MEDIAN($H163)</f>
        <v>1</v>
      </c>
      <c r="AO163" s="1" t="n">
        <f aca="false">MEDIAN($I163)</f>
        <v>9.387</v>
      </c>
      <c r="AP163" s="1" t="n">
        <f aca="false">MEDIAN($J163)</f>
        <v>9.64</v>
      </c>
      <c r="AQ163" s="1" t="n">
        <f aca="false">MEDIAN($K163)</f>
        <v>1</v>
      </c>
      <c r="AR163" s="1" t="n">
        <f aca="false">MEDIAN($M163)</f>
        <v>2353443</v>
      </c>
      <c r="AS163" s="1" t="n">
        <f aca="false">MEDIAN($N163)</f>
        <v>0.15</v>
      </c>
      <c r="AT163" s="1" t="n">
        <f aca="false">MEDIAN($P163)</f>
        <v>9.64</v>
      </c>
      <c r="AU163" s="1" t="n">
        <f aca="false">MEDIAN($Q163)</f>
        <v>0</v>
      </c>
      <c r="AV163" s="1" t="n">
        <f aca="false">MEDIAN($R163)</f>
        <v>706445</v>
      </c>
      <c r="AW163" s="1" t="n">
        <f aca="false">MAX($B163)</f>
        <v>4075</v>
      </c>
      <c r="AX163" s="1" t="n">
        <f aca="false">MAX($C163)</f>
        <v>60</v>
      </c>
      <c r="AY163" s="1" t="n">
        <f aca="false">MAX($D163)</f>
        <v>1231281</v>
      </c>
      <c r="AZ163" s="1" t="n">
        <f aca="false">MAX($E163)</f>
        <v>0</v>
      </c>
      <c r="BA163" s="1" t="n">
        <f aca="false">MAX($F163)</f>
        <v>698</v>
      </c>
      <c r="BB163" s="1" t="n">
        <f aca="false">MAX($G163)</f>
        <v>0</v>
      </c>
      <c r="BC163" s="1" t="n">
        <f aca="false">MAX($H163)</f>
        <v>1</v>
      </c>
      <c r="BD163" s="1" t="n">
        <f aca="false">MAX($I163)</f>
        <v>9.387</v>
      </c>
      <c r="BE163" s="1" t="n">
        <f aca="false">MAX($J163)</f>
        <v>9.64</v>
      </c>
      <c r="BF163" s="1" t="n">
        <f aca="false">MAX($K163)</f>
        <v>1</v>
      </c>
      <c r="BG163" s="1" t="n">
        <f aca="false">MAX($M163)</f>
        <v>2353443</v>
      </c>
      <c r="BH163" s="1" t="n">
        <f aca="false">MAX($N163)</f>
        <v>0.15</v>
      </c>
      <c r="BI163" s="1" t="n">
        <f aca="false">MAX($P163)</f>
        <v>9.64</v>
      </c>
      <c r="BJ163" s="1" t="n">
        <f aca="false">MAX($Q163)</f>
        <v>0</v>
      </c>
      <c r="BK163" s="1" t="n">
        <f aca="false">MAX($R163)</f>
        <v>706445</v>
      </c>
    </row>
    <row r="164" customFormat="false" ht="15" hidden="false" customHeight="false" outlineLevel="0" collapsed="false">
      <c r="A164" s="1" t="s">
        <v>181</v>
      </c>
      <c r="B164" s="1" t="n">
        <f aca="false" t="array" ref="B164:B164">_xlfn.SWITCH($A$2,"average", AVERAGE(Instances!B164:B164),"median", MEDIAN(Instances!B164:B164),"min", MIN(Instances!B164:B164),"max", MAX(Instances!B164:B164),"diff", MAX(Instances!B164:B164)-MIN(Instances!B164:B164))</f>
        <v>2120</v>
      </c>
      <c r="C164" s="1" t="n">
        <f aca="false" t="array" ref="C164:C164">_xlfn.SWITCH($A$2,"average", AVERAGE(Instances!C164:C164),"median", MEDIAN(Instances!C164:C164),"min", MIN(Instances!C164:C164),"max", MAX(Instances!C164:C164),"diff", MAX(Instances!C164:C164)-MIN(Instances!C164:C164))</f>
        <v>0</v>
      </c>
      <c r="D164" s="1" t="n">
        <f aca="false" t="array" ref="D164:D164">_xlfn.SWITCH($A$2,"average", AVERAGE(Instances!D164:D164),"median", MEDIAN(Instances!D164:D164),"min", MIN(Instances!D164:D164),"max", MAX(Instances!D164:D164),"diff", MAX(Instances!D164:D164)-MIN(Instances!D164:D164))</f>
        <v>1076653</v>
      </c>
      <c r="E164" s="1" t="n">
        <f aca="false" t="array" ref="E164:E164">_xlfn.SWITCH($A$2,"average", AVERAGE(Instances!E164:E164),"median", MEDIAN(Instances!E164:E164),"min", MIN(Instances!E164:E164),"max", MAX(Instances!E164:E164),"diff", MAX(Instances!E164:E164)-MIN(Instances!E164:E164))</f>
        <v>0</v>
      </c>
      <c r="F164" s="1" t="n">
        <f aca="false" t="array" ref="F164:F164">_xlfn.SWITCH($A$2,"average", AVERAGE(Instances!F164:F164),"median", MEDIAN(Instances!F164:F164),"min", MIN(Instances!F164:F164),"max", MAX(Instances!F164:F164),"diff", MAX(Instances!F164:F164)-MIN(Instances!F164:F164))</f>
        <v>666</v>
      </c>
      <c r="G164" s="1" t="n">
        <f aca="false" t="array" ref="G164:G164">_xlfn.SWITCH($A$2,"average", AVERAGE(Instances!G164:G164),"median", MEDIAN(Instances!G164:G164),"min", MIN(Instances!G164:G164),"max", MAX(Instances!G164:G164),"diff", MAX(Instances!G164:G164)-MIN(Instances!G164:G164))</f>
        <v>0</v>
      </c>
      <c r="H164" s="1" t="n">
        <f aca="false" t="array" ref="H164:H164">_xlfn.SWITCH($A$2,"average", AVERAGE(Instances!H164:H164),"median", MEDIAN(Instances!H164:H164),"min", MIN(Instances!H164:H164),"max", MAX(Instances!H164:H164),"diff", MAX(Instances!H164:H164)-MIN(Instances!H164:H164))</f>
        <v>1</v>
      </c>
      <c r="I164" s="1" t="n">
        <f aca="false" t="array" ref="I164:I164">_xlfn.SWITCH($A$2,"average", AVERAGE(Instances!I164:I164),"median", MEDIAN(Instances!I164:I164),"min", MIN(Instances!I164:I164),"max", MAX(Instances!I164:I164),"diff", MAX(Instances!I164:I164)-MIN(Instances!I164:I164))</f>
        <v>8.618</v>
      </c>
      <c r="J164" s="1" t="n">
        <f aca="false" t="array" ref="J164:J164">_xlfn.SWITCH($A$2,"average", AVERAGE(Instances!J164:J164),"median", MEDIAN(Instances!J164:J164),"min", MIN(Instances!J164:J164),"max", MAX(Instances!J164:J164),"diff", MAX(Instances!J164:J164)-MIN(Instances!J164:J164))</f>
        <v>8.86</v>
      </c>
      <c r="K164" s="1" t="n">
        <f aca="false" t="array" ref="K164:K164">_xlfn.SWITCH($A$2,"average", AVERAGE(Instances!K164:K164),"median", MEDIAN(Instances!K164:K164),"min", MIN(Instances!K164:K164),"max", MAX(Instances!K164:K164),"diff", MAX(Instances!K164:K164)-MIN(Instances!K164:K164))</f>
        <v>0</v>
      </c>
      <c r="L164" s="1"/>
      <c r="M164" s="1" t="n">
        <f aca="false" t="array" ref="M164:M164">_xlfn.SWITCH($A$2,"average", AVERAGE(Instances!M164:M164),"median", MEDIAN(Instances!M164:M164),"min", MIN(Instances!M164:M164),"max", MAX(Instances!M164:M164),"diff", MAX(Instances!M164:M164)-MIN(Instances!M164:M164))</f>
        <v>2140857</v>
      </c>
      <c r="N164" s="1" t="n">
        <f aca="false" t="array" ref="N164:N164">_xlfn.SWITCH($A$2,"average", AVERAGE(Instances!N164:N164),"median", MEDIAN(Instances!N164:N164),"min", MIN(Instances!N164:N164),"max", MAX(Instances!N164:N164),"diff", MAX(Instances!N164:N164)-MIN(Instances!N164:N164))</f>
        <v>0.08</v>
      </c>
      <c r="O164" s="1"/>
      <c r="P164" s="1" t="n">
        <f aca="false" t="array" ref="P164:P164">_xlfn.SWITCH($A$2,"average", AVERAGE(Instances!P164:P164),"median", MEDIAN(Instances!P164:P164),"min", MIN(Instances!P164:P164),"max", MAX(Instances!P164:P164),"diff", MAX(Instances!P164:P164)-MIN(Instances!P164:P164))</f>
        <v>8.86</v>
      </c>
      <c r="Q164" s="1" t="n">
        <f aca="false" t="array" ref="Q164:Q164">_xlfn.SWITCH($A$2,"average", AVERAGE(Instances!Q164:Q164),"median", MEDIAN(Instances!Q164:Q164),"min", MIN(Instances!Q164:Q164),"max", MAX(Instances!Q164:Q164),"diff", MAX(Instances!Q164:Q164)-MIN(Instances!Q164:Q164))</f>
        <v>0</v>
      </c>
      <c r="R164" s="1" t="n">
        <f aca="false" t="array" ref="R164:R164">_xlfn.SWITCH($A$2,"average", AVERAGE(Instances!R164:R164),"median", MEDIAN(Instances!R164:R164),"min", MIN(Instances!R164:R164),"max", MAX(Instances!R164:R164),"diff", MAX(Instances!R164:R164)-MIN(Instances!R164:R164))</f>
        <v>661915</v>
      </c>
      <c r="S164" s="1" t="n">
        <f aca="false">MIN($B164)</f>
        <v>2120</v>
      </c>
      <c r="T164" s="1" t="n">
        <f aca="false">MIN($C164)</f>
        <v>0</v>
      </c>
      <c r="U164" s="1" t="n">
        <f aca="false">MIN($D164)</f>
        <v>1076653</v>
      </c>
      <c r="V164" s="1" t="n">
        <f aca="false">MIN($E164)</f>
        <v>0</v>
      </c>
      <c r="W164" s="1" t="n">
        <f aca="false">MIN($F164)</f>
        <v>666</v>
      </c>
      <c r="X164" s="1" t="n">
        <f aca="false">MIN($G164)</f>
        <v>0</v>
      </c>
      <c r="Y164" s="1" t="n">
        <f aca="false">MIN($H164)</f>
        <v>1</v>
      </c>
      <c r="Z164" s="1" t="n">
        <f aca="false">MIN($I164)</f>
        <v>8.618</v>
      </c>
      <c r="AA164" s="1" t="n">
        <f aca="false">MIN($J164)</f>
        <v>8.86</v>
      </c>
      <c r="AB164" s="1" t="n">
        <f aca="false">MIN($K164)</f>
        <v>0</v>
      </c>
      <c r="AC164" s="1" t="n">
        <f aca="false">MIN($M164)</f>
        <v>2140857</v>
      </c>
      <c r="AD164" s="1" t="n">
        <f aca="false">MIN($N164)</f>
        <v>0.08</v>
      </c>
      <c r="AE164" s="1" t="n">
        <f aca="false">MIN($P164)</f>
        <v>8.86</v>
      </c>
      <c r="AF164" s="1" t="n">
        <f aca="false">MIN($Q164)</f>
        <v>0</v>
      </c>
      <c r="AG164" s="1" t="n">
        <f aca="false">MIN($R164)</f>
        <v>661915</v>
      </c>
      <c r="AH164" s="1" t="n">
        <f aca="false">MEDIAN($B164)</f>
        <v>2120</v>
      </c>
      <c r="AI164" s="1" t="n">
        <f aca="false">MEDIAN($C164)</f>
        <v>0</v>
      </c>
      <c r="AJ164" s="1" t="n">
        <f aca="false">MEDIAN($D164)</f>
        <v>1076653</v>
      </c>
      <c r="AK164" s="1" t="n">
        <f aca="false">MEDIAN($E164)</f>
        <v>0</v>
      </c>
      <c r="AL164" s="1" t="n">
        <f aca="false">MEDIAN($F164)</f>
        <v>666</v>
      </c>
      <c r="AM164" s="1" t="n">
        <f aca="false">MEDIAN($G164)</f>
        <v>0</v>
      </c>
      <c r="AN164" s="1" t="n">
        <f aca="false">MEDIAN($H164)</f>
        <v>1</v>
      </c>
      <c r="AO164" s="1" t="n">
        <f aca="false">MEDIAN($I164)</f>
        <v>8.618</v>
      </c>
      <c r="AP164" s="1" t="n">
        <f aca="false">MEDIAN($J164)</f>
        <v>8.86</v>
      </c>
      <c r="AQ164" s="1" t="n">
        <f aca="false">MEDIAN($K164)</f>
        <v>0</v>
      </c>
      <c r="AR164" s="1" t="n">
        <f aca="false">MEDIAN($M164)</f>
        <v>2140857</v>
      </c>
      <c r="AS164" s="1" t="n">
        <f aca="false">MEDIAN($N164)</f>
        <v>0.08</v>
      </c>
      <c r="AT164" s="1" t="n">
        <f aca="false">MEDIAN($P164)</f>
        <v>8.86</v>
      </c>
      <c r="AU164" s="1" t="n">
        <f aca="false">MEDIAN($Q164)</f>
        <v>0</v>
      </c>
      <c r="AV164" s="1" t="n">
        <f aca="false">MEDIAN($R164)</f>
        <v>661915</v>
      </c>
      <c r="AW164" s="1" t="n">
        <f aca="false">MAX($B164)</f>
        <v>2120</v>
      </c>
      <c r="AX164" s="1" t="n">
        <f aca="false">MAX($C164)</f>
        <v>0</v>
      </c>
      <c r="AY164" s="1" t="n">
        <f aca="false">MAX($D164)</f>
        <v>1076653</v>
      </c>
      <c r="AZ164" s="1" t="n">
        <f aca="false">MAX($E164)</f>
        <v>0</v>
      </c>
      <c r="BA164" s="1" t="n">
        <f aca="false">MAX($F164)</f>
        <v>666</v>
      </c>
      <c r="BB164" s="1" t="n">
        <f aca="false">MAX($G164)</f>
        <v>0</v>
      </c>
      <c r="BC164" s="1" t="n">
        <f aca="false">MAX($H164)</f>
        <v>1</v>
      </c>
      <c r="BD164" s="1" t="n">
        <f aca="false">MAX($I164)</f>
        <v>8.618</v>
      </c>
      <c r="BE164" s="1" t="n">
        <f aca="false">MAX($J164)</f>
        <v>8.86</v>
      </c>
      <c r="BF164" s="1" t="n">
        <f aca="false">MAX($K164)</f>
        <v>0</v>
      </c>
      <c r="BG164" s="1" t="n">
        <f aca="false">MAX($M164)</f>
        <v>2140857</v>
      </c>
      <c r="BH164" s="1" t="n">
        <f aca="false">MAX($N164)</f>
        <v>0.08</v>
      </c>
      <c r="BI164" s="1" t="n">
        <f aca="false">MAX($P164)</f>
        <v>8.86</v>
      </c>
      <c r="BJ164" s="1" t="n">
        <f aca="false">MAX($Q164)</f>
        <v>0</v>
      </c>
      <c r="BK164" s="1" t="n">
        <f aca="false">MAX($R164)</f>
        <v>661915</v>
      </c>
    </row>
    <row r="165" customFormat="false" ht="15" hidden="false" customHeight="false" outlineLevel="0" collapsed="false">
      <c r="A165" s="1" t="s">
        <v>182</v>
      </c>
      <c r="B165" s="1" t="n">
        <f aca="false" t="array" ref="B165:B165">_xlfn.SWITCH($A$2,"average", AVERAGE(Instances!B165:B165),"median", MEDIAN(Instances!B165:B165),"min", MIN(Instances!B165:B165),"max", MAX(Instances!B165:B165),"diff", MAX(Instances!B165:B165)-MIN(Instances!B165:B165))</f>
        <v>21990</v>
      </c>
      <c r="C165" s="1" t="n">
        <f aca="false" t="array" ref="C165:C165">_xlfn.SWITCH($A$2,"average", AVERAGE(Instances!C165:C165),"median", MEDIAN(Instances!C165:C165),"min", MIN(Instances!C165:C165),"max", MAX(Instances!C165:C165),"diff", MAX(Instances!C165:C165)-MIN(Instances!C165:C165))</f>
        <v>245</v>
      </c>
      <c r="D165" s="1" t="n">
        <f aca="false" t="array" ref="D165:D165">_xlfn.SWITCH($A$2,"average", AVERAGE(Instances!D165:D165),"median", MEDIAN(Instances!D165:D165),"min", MIN(Instances!D165:D165),"max", MAX(Instances!D165:D165),"diff", MAX(Instances!D165:D165)-MIN(Instances!D165:D165))</f>
        <v>1293864</v>
      </c>
      <c r="E165" s="1" t="n">
        <f aca="false" t="array" ref="E165:E165">_xlfn.SWITCH($A$2,"average", AVERAGE(Instances!E165:E165),"median", MEDIAN(Instances!E165:E165),"min", MIN(Instances!E165:E165),"max", MAX(Instances!E165:E165),"diff", MAX(Instances!E165:E165)-MIN(Instances!E165:E165))</f>
        <v>0</v>
      </c>
      <c r="F165" s="1" t="n">
        <f aca="false" t="array" ref="F165:F165">_xlfn.SWITCH($A$2,"average", AVERAGE(Instances!F165:F165),"median", MEDIAN(Instances!F165:F165),"min", MIN(Instances!F165:F165),"max", MAX(Instances!F165:F165),"diff", MAX(Instances!F165:F165)-MIN(Instances!F165:F165))</f>
        <v>735</v>
      </c>
      <c r="G165" s="1" t="n">
        <f aca="false" t="array" ref="G165:G165">_xlfn.SWITCH($A$2,"average", AVERAGE(Instances!G165:G165),"median", MEDIAN(Instances!G165:G165),"min", MIN(Instances!G165:G165),"max", MAX(Instances!G165:G165),"diff", MAX(Instances!G165:G165)-MIN(Instances!G165:G165))</f>
        <v>0</v>
      </c>
      <c r="H165" s="1" t="n">
        <f aca="false" t="array" ref="H165:H165">_xlfn.SWITCH($A$2,"average", AVERAGE(Instances!H165:H165),"median", MEDIAN(Instances!H165:H165),"min", MIN(Instances!H165:H165),"max", MAX(Instances!H165:H165),"diff", MAX(Instances!H165:H165)-MIN(Instances!H165:H165))</f>
        <v>1</v>
      </c>
      <c r="I165" s="1" t="n">
        <f aca="false" t="array" ref="I165:I165">_xlfn.SWITCH($A$2,"average", AVERAGE(Instances!I165:I165),"median", MEDIAN(Instances!I165:I165),"min", MIN(Instances!I165:I165),"max", MAX(Instances!I165:I165),"diff", MAX(Instances!I165:I165)-MIN(Instances!I165:I165))</f>
        <v>11.151</v>
      </c>
      <c r="J165" s="1" t="n">
        <f aca="false" t="array" ref="J165:J165">_xlfn.SWITCH($A$2,"average", AVERAGE(Instances!J165:J165),"median", MEDIAN(Instances!J165:J165),"min", MIN(Instances!J165:J165),"max", MAX(Instances!J165:J165),"diff", MAX(Instances!J165:J165)-MIN(Instances!J165:J165))</f>
        <v>11.42</v>
      </c>
      <c r="K165" s="1" t="n">
        <f aca="false" t="array" ref="K165:K165">_xlfn.SWITCH($A$2,"average", AVERAGE(Instances!K165:K165),"median", MEDIAN(Instances!K165:K165),"min", MIN(Instances!K165:K165),"max", MAX(Instances!K165:K165),"diff", MAX(Instances!K165:K165)-MIN(Instances!K165:K165))</f>
        <v>2</v>
      </c>
      <c r="L165" s="1"/>
      <c r="M165" s="1" t="n">
        <f aca="false" t="array" ref="M165:M165">_xlfn.SWITCH($A$2,"average", AVERAGE(Instances!M165:M165),"median", MEDIAN(Instances!M165:M165),"min", MIN(Instances!M165:M165),"max", MAX(Instances!M165:M165),"diff", MAX(Instances!M165:M165)-MIN(Instances!M165:M165))</f>
        <v>2422058</v>
      </c>
      <c r="N165" s="1" t="n">
        <f aca="false" t="array" ref="N165:N165">_xlfn.SWITCH($A$2,"average", AVERAGE(Instances!N165:N165),"median", MEDIAN(Instances!N165:N165),"min", MIN(Instances!N165:N165),"max", MAX(Instances!N165:N165),"diff", MAX(Instances!N165:N165)-MIN(Instances!N165:N165))</f>
        <v>0.82</v>
      </c>
      <c r="O165" s="1"/>
      <c r="P165" s="1" t="n">
        <f aca="false" t="array" ref="P165:P165">_xlfn.SWITCH($A$2,"average", AVERAGE(Instances!P165:P165),"median", MEDIAN(Instances!P165:P165),"min", MIN(Instances!P165:P165),"max", MAX(Instances!P165:P165),"diff", MAX(Instances!P165:P165)-MIN(Instances!P165:P165))</f>
        <v>11.42</v>
      </c>
      <c r="Q165" s="1" t="n">
        <f aca="false" t="array" ref="Q165:Q165">_xlfn.SWITCH($A$2,"average", AVERAGE(Instances!Q165:Q165),"median", MEDIAN(Instances!Q165:Q165),"min", MIN(Instances!Q165:Q165),"max", MAX(Instances!Q165:Q165),"diff", MAX(Instances!Q165:Q165)-MIN(Instances!Q165:Q165))</f>
        <v>0</v>
      </c>
      <c r="R165" s="1" t="n">
        <f aca="false" t="array" ref="R165:R165">_xlfn.SWITCH($A$2,"average", AVERAGE(Instances!R165:R165),"median", MEDIAN(Instances!R165:R165),"min", MIN(Instances!R165:R165),"max", MAX(Instances!R165:R165),"diff", MAX(Instances!R165:R165)-MIN(Instances!R165:R165))</f>
        <v>724819</v>
      </c>
      <c r="S165" s="1" t="n">
        <f aca="false">MIN($B165)</f>
        <v>21990</v>
      </c>
      <c r="T165" s="1" t="n">
        <f aca="false">MIN($C165)</f>
        <v>245</v>
      </c>
      <c r="U165" s="1" t="n">
        <f aca="false">MIN($D165)</f>
        <v>1293864</v>
      </c>
      <c r="V165" s="1" t="n">
        <f aca="false">MIN($E165)</f>
        <v>0</v>
      </c>
      <c r="W165" s="1" t="n">
        <f aca="false">MIN($F165)</f>
        <v>735</v>
      </c>
      <c r="X165" s="1" t="n">
        <f aca="false">MIN($G165)</f>
        <v>0</v>
      </c>
      <c r="Y165" s="1" t="n">
        <f aca="false">MIN($H165)</f>
        <v>1</v>
      </c>
      <c r="Z165" s="1" t="n">
        <f aca="false">MIN($I165)</f>
        <v>11.151</v>
      </c>
      <c r="AA165" s="1" t="n">
        <f aca="false">MIN($J165)</f>
        <v>11.42</v>
      </c>
      <c r="AB165" s="1" t="n">
        <f aca="false">MIN($K165)</f>
        <v>2</v>
      </c>
      <c r="AC165" s="1" t="n">
        <f aca="false">MIN($M165)</f>
        <v>2422058</v>
      </c>
      <c r="AD165" s="1" t="n">
        <f aca="false">MIN($N165)</f>
        <v>0.82</v>
      </c>
      <c r="AE165" s="1" t="n">
        <f aca="false">MIN($P165)</f>
        <v>11.42</v>
      </c>
      <c r="AF165" s="1" t="n">
        <f aca="false">MIN($Q165)</f>
        <v>0</v>
      </c>
      <c r="AG165" s="1" t="n">
        <f aca="false">MIN($R165)</f>
        <v>724819</v>
      </c>
      <c r="AH165" s="1" t="n">
        <f aca="false">MEDIAN($B165)</f>
        <v>21990</v>
      </c>
      <c r="AI165" s="1" t="n">
        <f aca="false">MEDIAN($C165)</f>
        <v>245</v>
      </c>
      <c r="AJ165" s="1" t="n">
        <f aca="false">MEDIAN($D165)</f>
        <v>1293864</v>
      </c>
      <c r="AK165" s="1" t="n">
        <f aca="false">MEDIAN($E165)</f>
        <v>0</v>
      </c>
      <c r="AL165" s="1" t="n">
        <f aca="false">MEDIAN($F165)</f>
        <v>735</v>
      </c>
      <c r="AM165" s="1" t="n">
        <f aca="false">MEDIAN($G165)</f>
        <v>0</v>
      </c>
      <c r="AN165" s="1" t="n">
        <f aca="false">MEDIAN($H165)</f>
        <v>1</v>
      </c>
      <c r="AO165" s="1" t="n">
        <f aca="false">MEDIAN($I165)</f>
        <v>11.151</v>
      </c>
      <c r="AP165" s="1" t="n">
        <f aca="false">MEDIAN($J165)</f>
        <v>11.42</v>
      </c>
      <c r="AQ165" s="1" t="n">
        <f aca="false">MEDIAN($K165)</f>
        <v>2</v>
      </c>
      <c r="AR165" s="1" t="n">
        <f aca="false">MEDIAN($M165)</f>
        <v>2422058</v>
      </c>
      <c r="AS165" s="1" t="n">
        <f aca="false">MEDIAN($N165)</f>
        <v>0.82</v>
      </c>
      <c r="AT165" s="1" t="n">
        <f aca="false">MEDIAN($P165)</f>
        <v>11.42</v>
      </c>
      <c r="AU165" s="1" t="n">
        <f aca="false">MEDIAN($Q165)</f>
        <v>0</v>
      </c>
      <c r="AV165" s="1" t="n">
        <f aca="false">MEDIAN($R165)</f>
        <v>724819</v>
      </c>
      <c r="AW165" s="1" t="n">
        <f aca="false">MAX($B165)</f>
        <v>21990</v>
      </c>
      <c r="AX165" s="1" t="n">
        <f aca="false">MAX($C165)</f>
        <v>245</v>
      </c>
      <c r="AY165" s="1" t="n">
        <f aca="false">MAX($D165)</f>
        <v>1293864</v>
      </c>
      <c r="AZ165" s="1" t="n">
        <f aca="false">MAX($E165)</f>
        <v>0</v>
      </c>
      <c r="BA165" s="1" t="n">
        <f aca="false">MAX($F165)</f>
        <v>735</v>
      </c>
      <c r="BB165" s="1" t="n">
        <f aca="false">MAX($G165)</f>
        <v>0</v>
      </c>
      <c r="BC165" s="1" t="n">
        <f aca="false">MAX($H165)</f>
        <v>1</v>
      </c>
      <c r="BD165" s="1" t="n">
        <f aca="false">MAX($I165)</f>
        <v>11.151</v>
      </c>
      <c r="BE165" s="1" t="n">
        <f aca="false">MAX($J165)</f>
        <v>11.42</v>
      </c>
      <c r="BF165" s="1" t="n">
        <f aca="false">MAX($K165)</f>
        <v>2</v>
      </c>
      <c r="BG165" s="1" t="n">
        <f aca="false">MAX($M165)</f>
        <v>2422058</v>
      </c>
      <c r="BH165" s="1" t="n">
        <f aca="false">MAX($N165)</f>
        <v>0.82</v>
      </c>
      <c r="BI165" s="1" t="n">
        <f aca="false">MAX($P165)</f>
        <v>11.42</v>
      </c>
      <c r="BJ165" s="1" t="n">
        <f aca="false">MAX($Q165)</f>
        <v>0</v>
      </c>
      <c r="BK165" s="1" t="n">
        <f aca="false">MAX($R165)</f>
        <v>724819</v>
      </c>
    </row>
    <row r="166" customFormat="false" ht="15" hidden="false" customHeight="false" outlineLevel="0" collapsed="false">
      <c r="A166" s="1" t="s">
        <v>183</v>
      </c>
      <c r="B166" s="1" t="n">
        <f aca="false" t="array" ref="B166:B166">_xlfn.SWITCH($A$2,"average", AVERAGE(Instances!B166:B166),"median", MEDIAN(Instances!B166:B166),"min", MIN(Instances!B166:B166),"max", MAX(Instances!B166:B166),"diff", MAX(Instances!B166:B166)-MIN(Instances!B166:B166))</f>
        <v>4803</v>
      </c>
      <c r="C166" s="1" t="n">
        <f aca="false" t="array" ref="C166:C166">_xlfn.SWITCH($A$2,"average", AVERAGE(Instances!C166:C166),"median", MEDIAN(Instances!C166:C166),"min", MIN(Instances!C166:C166),"max", MAX(Instances!C166:C166),"diff", MAX(Instances!C166:C166)-MIN(Instances!C166:C166))</f>
        <v>87</v>
      </c>
      <c r="D166" s="1" t="n">
        <f aca="false" t="array" ref="D166:D166">_xlfn.SWITCH($A$2,"average", AVERAGE(Instances!D166:D166),"median", MEDIAN(Instances!D166:D166),"min", MIN(Instances!D166:D166),"max", MAX(Instances!D166:D166),"diff", MAX(Instances!D166:D166)-MIN(Instances!D166:D166))</f>
        <v>1195450</v>
      </c>
      <c r="E166" s="1" t="n">
        <f aca="false" t="array" ref="E166:E166">_xlfn.SWITCH($A$2,"average", AVERAGE(Instances!E166:E166),"median", MEDIAN(Instances!E166:E166),"min", MIN(Instances!E166:E166),"max", MAX(Instances!E166:E166),"diff", MAX(Instances!E166:E166)-MIN(Instances!E166:E166))</f>
        <v>0</v>
      </c>
      <c r="F166" s="1" t="n">
        <f aca="false" t="array" ref="F166:F166">_xlfn.SWITCH($A$2,"average", AVERAGE(Instances!F166:F166),"median", MEDIAN(Instances!F166:F166),"min", MIN(Instances!F166:F166),"max", MAX(Instances!F166:F166),"diff", MAX(Instances!F166:F166)-MIN(Instances!F166:F166))</f>
        <v>690</v>
      </c>
      <c r="G166" s="1" t="n">
        <f aca="false" t="array" ref="G166:G166">_xlfn.SWITCH($A$2,"average", AVERAGE(Instances!G166:G166),"median", MEDIAN(Instances!G166:G166),"min", MIN(Instances!G166:G166),"max", MAX(Instances!G166:G166),"diff", MAX(Instances!G166:G166)-MIN(Instances!G166:G166))</f>
        <v>0</v>
      </c>
      <c r="H166" s="1" t="n">
        <f aca="false" t="array" ref="H166:H166">_xlfn.SWITCH($A$2,"average", AVERAGE(Instances!H166:H166),"median", MEDIAN(Instances!H166:H166),"min", MIN(Instances!H166:H166),"max", MAX(Instances!H166:H166),"diff", MAX(Instances!H166:H166)-MIN(Instances!H166:H166))</f>
        <v>1</v>
      </c>
      <c r="I166" s="1" t="n">
        <f aca="false" t="array" ref="I166:I166">_xlfn.SWITCH($A$2,"average", AVERAGE(Instances!I166:I166),"median", MEDIAN(Instances!I166:I166),"min", MIN(Instances!I166:I166),"max", MAX(Instances!I166:I166),"diff", MAX(Instances!I166:I166)-MIN(Instances!I166:I166))</f>
        <v>10.091</v>
      </c>
      <c r="J166" s="1" t="n">
        <f aca="false" t="array" ref="J166:J166">_xlfn.SWITCH($A$2,"average", AVERAGE(Instances!J166:J166),"median", MEDIAN(Instances!J166:J166),"min", MIN(Instances!J166:J166),"max", MAX(Instances!J166:J166),"diff", MAX(Instances!J166:J166)-MIN(Instances!J166:J166))</f>
        <v>10.32</v>
      </c>
      <c r="K166" s="1" t="n">
        <f aca="false" t="array" ref="K166:K166">_xlfn.SWITCH($A$2,"average", AVERAGE(Instances!K166:K166),"median", MEDIAN(Instances!K166:K166),"min", MIN(Instances!K166:K166),"max", MAX(Instances!K166:K166),"diff", MAX(Instances!K166:K166)-MIN(Instances!K166:K166))</f>
        <v>1</v>
      </c>
      <c r="L166" s="1"/>
      <c r="M166" s="1" t="n">
        <f aca="false" t="array" ref="M166:M166">_xlfn.SWITCH($A$2,"average", AVERAGE(Instances!M166:M166),"median", MEDIAN(Instances!M166:M166),"min", MIN(Instances!M166:M166),"max", MAX(Instances!M166:M166),"diff", MAX(Instances!M166:M166)-MIN(Instances!M166:M166))</f>
        <v>2314542</v>
      </c>
      <c r="N166" s="1" t="n">
        <f aca="false" t="array" ref="N166:N166">_xlfn.SWITCH($A$2,"average", AVERAGE(Instances!N166:N166),"median", MEDIAN(Instances!N166:N166),"min", MIN(Instances!N166:N166),"max", MAX(Instances!N166:N166),"diff", MAX(Instances!N166:N166)-MIN(Instances!N166:N166))</f>
        <v>0.19</v>
      </c>
      <c r="O166" s="1"/>
      <c r="P166" s="1" t="n">
        <f aca="false" t="array" ref="P166:P166">_xlfn.SWITCH($A$2,"average", AVERAGE(Instances!P166:P166),"median", MEDIAN(Instances!P166:P166),"min", MIN(Instances!P166:P166),"max", MAX(Instances!P166:P166),"diff", MAX(Instances!P166:P166)-MIN(Instances!P166:P166))</f>
        <v>10.32</v>
      </c>
      <c r="Q166" s="1" t="n">
        <f aca="false" t="array" ref="Q166:Q166">_xlfn.SWITCH($A$2,"average", AVERAGE(Instances!Q166:Q166),"median", MEDIAN(Instances!Q166:Q166),"min", MIN(Instances!Q166:Q166),"max", MAX(Instances!Q166:Q166),"diff", MAX(Instances!Q166:Q166)-MIN(Instances!Q166:Q166))</f>
        <v>0</v>
      </c>
      <c r="R166" s="1" t="n">
        <f aca="false" t="array" ref="R166:R166">_xlfn.SWITCH($A$2,"average", AVERAGE(Instances!R166:R166),"median", MEDIAN(Instances!R166:R166),"min", MIN(Instances!R166:R166),"max", MAX(Instances!R166:R166),"diff", MAX(Instances!R166:R166)-MIN(Instances!R166:R166))</f>
        <v>697372</v>
      </c>
      <c r="S166" s="1" t="n">
        <f aca="false">MIN($B166)</f>
        <v>4803</v>
      </c>
      <c r="T166" s="1" t="n">
        <f aca="false">MIN($C166)</f>
        <v>87</v>
      </c>
      <c r="U166" s="1" t="n">
        <f aca="false">MIN($D166)</f>
        <v>1195450</v>
      </c>
      <c r="V166" s="1" t="n">
        <f aca="false">MIN($E166)</f>
        <v>0</v>
      </c>
      <c r="W166" s="1" t="n">
        <f aca="false">MIN($F166)</f>
        <v>690</v>
      </c>
      <c r="X166" s="1" t="n">
        <f aca="false">MIN($G166)</f>
        <v>0</v>
      </c>
      <c r="Y166" s="1" t="n">
        <f aca="false">MIN($H166)</f>
        <v>1</v>
      </c>
      <c r="Z166" s="1" t="n">
        <f aca="false">MIN($I166)</f>
        <v>10.091</v>
      </c>
      <c r="AA166" s="1" t="n">
        <f aca="false">MIN($J166)</f>
        <v>10.32</v>
      </c>
      <c r="AB166" s="1" t="n">
        <f aca="false">MIN($K166)</f>
        <v>1</v>
      </c>
      <c r="AC166" s="1" t="n">
        <f aca="false">MIN($M166)</f>
        <v>2314542</v>
      </c>
      <c r="AD166" s="1" t="n">
        <f aca="false">MIN($N166)</f>
        <v>0.19</v>
      </c>
      <c r="AE166" s="1" t="n">
        <f aca="false">MIN($P166)</f>
        <v>10.32</v>
      </c>
      <c r="AF166" s="1" t="n">
        <f aca="false">MIN($Q166)</f>
        <v>0</v>
      </c>
      <c r="AG166" s="1" t="n">
        <f aca="false">MIN($R166)</f>
        <v>697372</v>
      </c>
      <c r="AH166" s="1" t="n">
        <f aca="false">MEDIAN($B166)</f>
        <v>4803</v>
      </c>
      <c r="AI166" s="1" t="n">
        <f aca="false">MEDIAN($C166)</f>
        <v>87</v>
      </c>
      <c r="AJ166" s="1" t="n">
        <f aca="false">MEDIAN($D166)</f>
        <v>1195450</v>
      </c>
      <c r="AK166" s="1" t="n">
        <f aca="false">MEDIAN($E166)</f>
        <v>0</v>
      </c>
      <c r="AL166" s="1" t="n">
        <f aca="false">MEDIAN($F166)</f>
        <v>690</v>
      </c>
      <c r="AM166" s="1" t="n">
        <f aca="false">MEDIAN($G166)</f>
        <v>0</v>
      </c>
      <c r="AN166" s="1" t="n">
        <f aca="false">MEDIAN($H166)</f>
        <v>1</v>
      </c>
      <c r="AO166" s="1" t="n">
        <f aca="false">MEDIAN($I166)</f>
        <v>10.091</v>
      </c>
      <c r="AP166" s="1" t="n">
        <f aca="false">MEDIAN($J166)</f>
        <v>10.32</v>
      </c>
      <c r="AQ166" s="1" t="n">
        <f aca="false">MEDIAN($K166)</f>
        <v>1</v>
      </c>
      <c r="AR166" s="1" t="n">
        <f aca="false">MEDIAN($M166)</f>
        <v>2314542</v>
      </c>
      <c r="AS166" s="1" t="n">
        <f aca="false">MEDIAN($N166)</f>
        <v>0.19</v>
      </c>
      <c r="AT166" s="1" t="n">
        <f aca="false">MEDIAN($P166)</f>
        <v>10.32</v>
      </c>
      <c r="AU166" s="1" t="n">
        <f aca="false">MEDIAN($Q166)</f>
        <v>0</v>
      </c>
      <c r="AV166" s="1" t="n">
        <f aca="false">MEDIAN($R166)</f>
        <v>697372</v>
      </c>
      <c r="AW166" s="1" t="n">
        <f aca="false">MAX($B166)</f>
        <v>4803</v>
      </c>
      <c r="AX166" s="1" t="n">
        <f aca="false">MAX($C166)</f>
        <v>87</v>
      </c>
      <c r="AY166" s="1" t="n">
        <f aca="false">MAX($D166)</f>
        <v>1195450</v>
      </c>
      <c r="AZ166" s="1" t="n">
        <f aca="false">MAX($E166)</f>
        <v>0</v>
      </c>
      <c r="BA166" s="1" t="n">
        <f aca="false">MAX($F166)</f>
        <v>690</v>
      </c>
      <c r="BB166" s="1" t="n">
        <f aca="false">MAX($G166)</f>
        <v>0</v>
      </c>
      <c r="BC166" s="1" t="n">
        <f aca="false">MAX($H166)</f>
        <v>1</v>
      </c>
      <c r="BD166" s="1" t="n">
        <f aca="false">MAX($I166)</f>
        <v>10.091</v>
      </c>
      <c r="BE166" s="1" t="n">
        <f aca="false">MAX($J166)</f>
        <v>10.32</v>
      </c>
      <c r="BF166" s="1" t="n">
        <f aca="false">MAX($K166)</f>
        <v>1</v>
      </c>
      <c r="BG166" s="1" t="n">
        <f aca="false">MAX($M166)</f>
        <v>2314542</v>
      </c>
      <c r="BH166" s="1" t="n">
        <f aca="false">MAX($N166)</f>
        <v>0.19</v>
      </c>
      <c r="BI166" s="1" t="n">
        <f aca="false">MAX($P166)</f>
        <v>10.32</v>
      </c>
      <c r="BJ166" s="1" t="n">
        <f aca="false">MAX($Q166)</f>
        <v>0</v>
      </c>
      <c r="BK166" s="1" t="n">
        <f aca="false">MAX($R166)</f>
        <v>697372</v>
      </c>
    </row>
    <row r="167" customFormat="false" ht="15" hidden="false" customHeight="false" outlineLevel="0" collapsed="false">
      <c r="A167" s="1" t="s">
        <v>184</v>
      </c>
      <c r="B167" s="1" t="n">
        <f aca="false" t="array" ref="B167:B167">_xlfn.SWITCH($A$2,"average", AVERAGE(Instances!B167:B167),"median", MEDIAN(Instances!B167:B167),"min", MIN(Instances!B167:B167),"max", MAX(Instances!B167:B167),"diff", MAX(Instances!B167:B167)-MIN(Instances!B167:B167))</f>
        <v>2636</v>
      </c>
      <c r="C167" s="1" t="n">
        <f aca="false" t="array" ref="C167:C167">_xlfn.SWITCH($A$2,"average", AVERAGE(Instances!C167:C167),"median", MEDIAN(Instances!C167:C167),"min", MIN(Instances!C167:C167),"max", MAX(Instances!C167:C167),"diff", MAX(Instances!C167:C167)-MIN(Instances!C167:C167))</f>
        <v>0</v>
      </c>
      <c r="D167" s="1" t="n">
        <f aca="false" t="array" ref="D167:D167">_xlfn.SWITCH($A$2,"average", AVERAGE(Instances!D167:D167),"median", MEDIAN(Instances!D167:D167),"min", MIN(Instances!D167:D167),"max", MAX(Instances!D167:D167),"diff", MAX(Instances!D167:D167)-MIN(Instances!D167:D167))</f>
        <v>1014256</v>
      </c>
      <c r="E167" s="1" t="n">
        <f aca="false" t="array" ref="E167:E167">_xlfn.SWITCH($A$2,"average", AVERAGE(Instances!E167:E167),"median", MEDIAN(Instances!E167:E167),"min", MIN(Instances!E167:E167),"max", MAX(Instances!E167:E167),"diff", MAX(Instances!E167:E167)-MIN(Instances!E167:E167))</f>
        <v>0</v>
      </c>
      <c r="F167" s="1" t="n">
        <f aca="false" t="array" ref="F167:F167">_xlfn.SWITCH($A$2,"average", AVERAGE(Instances!F167:F167),"median", MEDIAN(Instances!F167:F167),"min", MIN(Instances!F167:F167),"max", MAX(Instances!F167:F167),"diff", MAX(Instances!F167:F167)-MIN(Instances!F167:F167))</f>
        <v>635</v>
      </c>
      <c r="G167" s="1" t="n">
        <f aca="false" t="array" ref="G167:G167">_xlfn.SWITCH($A$2,"average", AVERAGE(Instances!G167:G167),"median", MEDIAN(Instances!G167:G167),"min", MIN(Instances!G167:G167),"max", MAX(Instances!G167:G167),"diff", MAX(Instances!G167:G167)-MIN(Instances!G167:G167))</f>
        <v>0</v>
      </c>
      <c r="H167" s="1" t="n">
        <f aca="false" t="array" ref="H167:H167">_xlfn.SWITCH($A$2,"average", AVERAGE(Instances!H167:H167),"median", MEDIAN(Instances!H167:H167),"min", MIN(Instances!H167:H167),"max", MAX(Instances!H167:H167),"diff", MAX(Instances!H167:H167)-MIN(Instances!H167:H167))</f>
        <v>1</v>
      </c>
      <c r="I167" s="1" t="n">
        <f aca="false" t="array" ref="I167:I167">_xlfn.SWITCH($A$2,"average", AVERAGE(Instances!I167:I167),"median", MEDIAN(Instances!I167:I167),"min", MIN(Instances!I167:I167),"max", MAX(Instances!I167:I167),"diff", MAX(Instances!I167:I167)-MIN(Instances!I167:I167))</f>
        <v>9.013</v>
      </c>
      <c r="J167" s="1" t="n">
        <f aca="false" t="array" ref="J167:J167">_xlfn.SWITCH($A$2,"average", AVERAGE(Instances!J167:J167),"median", MEDIAN(Instances!J167:J167),"min", MIN(Instances!J167:J167),"max", MAX(Instances!J167:J167),"diff", MAX(Instances!J167:J167)-MIN(Instances!J167:J167))</f>
        <v>9.25</v>
      </c>
      <c r="K167" s="1" t="n">
        <f aca="false" t="array" ref="K167:K167">_xlfn.SWITCH($A$2,"average", AVERAGE(Instances!K167:K167),"median", MEDIAN(Instances!K167:K167),"min", MIN(Instances!K167:K167),"max", MAX(Instances!K167:K167),"diff", MAX(Instances!K167:K167)-MIN(Instances!K167:K167))</f>
        <v>0</v>
      </c>
      <c r="L167" s="1"/>
      <c r="M167" s="1" t="n">
        <f aca="false" t="array" ref="M167:M167">_xlfn.SWITCH($A$2,"average", AVERAGE(Instances!M167:M167),"median", MEDIAN(Instances!M167:M167),"min", MIN(Instances!M167:M167),"max", MAX(Instances!M167:M167),"diff", MAX(Instances!M167:M167)-MIN(Instances!M167:M167))</f>
        <v>2071719</v>
      </c>
      <c r="N167" s="1" t="n">
        <f aca="false" t="array" ref="N167:N167">_xlfn.SWITCH($A$2,"average", AVERAGE(Instances!N167:N167),"median", MEDIAN(Instances!N167:N167),"min", MIN(Instances!N167:N167),"max", MAX(Instances!N167:N167),"diff", MAX(Instances!N167:N167)-MIN(Instances!N167:N167))</f>
        <v>0.08</v>
      </c>
      <c r="O167" s="1"/>
      <c r="P167" s="1" t="n">
        <f aca="false" t="array" ref="P167:P167">_xlfn.SWITCH($A$2,"average", AVERAGE(Instances!P167:P167),"median", MEDIAN(Instances!P167:P167),"min", MIN(Instances!P167:P167),"max", MAX(Instances!P167:P167),"diff", MAX(Instances!P167:P167)-MIN(Instances!P167:P167))</f>
        <v>9.25</v>
      </c>
      <c r="Q167" s="1" t="n">
        <f aca="false" t="array" ref="Q167:Q167">_xlfn.SWITCH($A$2,"average", AVERAGE(Instances!Q167:Q167),"median", MEDIAN(Instances!Q167:Q167),"min", MIN(Instances!Q167:Q167),"max", MAX(Instances!Q167:Q167),"diff", MAX(Instances!Q167:Q167)-MIN(Instances!Q167:Q167))</f>
        <v>0</v>
      </c>
      <c r="R167" s="1" t="n">
        <f aca="false" t="array" ref="R167:R167">_xlfn.SWITCH($A$2,"average", AVERAGE(Instances!R167:R167),"median", MEDIAN(Instances!R167:R167),"min", MIN(Instances!R167:R167),"max", MAX(Instances!R167:R167),"diff", MAX(Instances!R167:R167)-MIN(Instances!R167:R167))</f>
        <v>642988</v>
      </c>
      <c r="S167" s="1" t="n">
        <f aca="false">MIN($B167)</f>
        <v>2636</v>
      </c>
      <c r="T167" s="1" t="n">
        <f aca="false">MIN($C167)</f>
        <v>0</v>
      </c>
      <c r="U167" s="1" t="n">
        <f aca="false">MIN($D167)</f>
        <v>1014256</v>
      </c>
      <c r="V167" s="1" t="n">
        <f aca="false">MIN($E167)</f>
        <v>0</v>
      </c>
      <c r="W167" s="1" t="n">
        <f aca="false">MIN($F167)</f>
        <v>635</v>
      </c>
      <c r="X167" s="1" t="n">
        <f aca="false">MIN($G167)</f>
        <v>0</v>
      </c>
      <c r="Y167" s="1" t="n">
        <f aca="false">MIN($H167)</f>
        <v>1</v>
      </c>
      <c r="Z167" s="1" t="n">
        <f aca="false">MIN($I167)</f>
        <v>9.013</v>
      </c>
      <c r="AA167" s="1" t="n">
        <f aca="false">MIN($J167)</f>
        <v>9.25</v>
      </c>
      <c r="AB167" s="1" t="n">
        <f aca="false">MIN($K167)</f>
        <v>0</v>
      </c>
      <c r="AC167" s="1" t="n">
        <f aca="false">MIN($M167)</f>
        <v>2071719</v>
      </c>
      <c r="AD167" s="1" t="n">
        <f aca="false">MIN($N167)</f>
        <v>0.08</v>
      </c>
      <c r="AE167" s="1" t="n">
        <f aca="false">MIN($P167)</f>
        <v>9.25</v>
      </c>
      <c r="AF167" s="1" t="n">
        <f aca="false">MIN($Q167)</f>
        <v>0</v>
      </c>
      <c r="AG167" s="1" t="n">
        <f aca="false">MIN($R167)</f>
        <v>642988</v>
      </c>
      <c r="AH167" s="1" t="n">
        <f aca="false">MEDIAN($B167)</f>
        <v>2636</v>
      </c>
      <c r="AI167" s="1" t="n">
        <f aca="false">MEDIAN($C167)</f>
        <v>0</v>
      </c>
      <c r="AJ167" s="1" t="n">
        <f aca="false">MEDIAN($D167)</f>
        <v>1014256</v>
      </c>
      <c r="AK167" s="1" t="n">
        <f aca="false">MEDIAN($E167)</f>
        <v>0</v>
      </c>
      <c r="AL167" s="1" t="n">
        <f aca="false">MEDIAN($F167)</f>
        <v>635</v>
      </c>
      <c r="AM167" s="1" t="n">
        <f aca="false">MEDIAN($G167)</f>
        <v>0</v>
      </c>
      <c r="AN167" s="1" t="n">
        <f aca="false">MEDIAN($H167)</f>
        <v>1</v>
      </c>
      <c r="AO167" s="1" t="n">
        <f aca="false">MEDIAN($I167)</f>
        <v>9.013</v>
      </c>
      <c r="AP167" s="1" t="n">
        <f aca="false">MEDIAN($J167)</f>
        <v>9.25</v>
      </c>
      <c r="AQ167" s="1" t="n">
        <f aca="false">MEDIAN($K167)</f>
        <v>0</v>
      </c>
      <c r="AR167" s="1" t="n">
        <f aca="false">MEDIAN($M167)</f>
        <v>2071719</v>
      </c>
      <c r="AS167" s="1" t="n">
        <f aca="false">MEDIAN($N167)</f>
        <v>0.08</v>
      </c>
      <c r="AT167" s="1" t="n">
        <f aca="false">MEDIAN($P167)</f>
        <v>9.25</v>
      </c>
      <c r="AU167" s="1" t="n">
        <f aca="false">MEDIAN($Q167)</f>
        <v>0</v>
      </c>
      <c r="AV167" s="1" t="n">
        <f aca="false">MEDIAN($R167)</f>
        <v>642988</v>
      </c>
      <c r="AW167" s="1" t="n">
        <f aca="false">MAX($B167)</f>
        <v>2636</v>
      </c>
      <c r="AX167" s="1" t="n">
        <f aca="false">MAX($C167)</f>
        <v>0</v>
      </c>
      <c r="AY167" s="1" t="n">
        <f aca="false">MAX($D167)</f>
        <v>1014256</v>
      </c>
      <c r="AZ167" s="1" t="n">
        <f aca="false">MAX($E167)</f>
        <v>0</v>
      </c>
      <c r="BA167" s="1" t="n">
        <f aca="false">MAX($F167)</f>
        <v>635</v>
      </c>
      <c r="BB167" s="1" t="n">
        <f aca="false">MAX($G167)</f>
        <v>0</v>
      </c>
      <c r="BC167" s="1" t="n">
        <f aca="false">MAX($H167)</f>
        <v>1</v>
      </c>
      <c r="BD167" s="1" t="n">
        <f aca="false">MAX($I167)</f>
        <v>9.013</v>
      </c>
      <c r="BE167" s="1" t="n">
        <f aca="false">MAX($J167)</f>
        <v>9.25</v>
      </c>
      <c r="BF167" s="1" t="n">
        <f aca="false">MAX($K167)</f>
        <v>0</v>
      </c>
      <c r="BG167" s="1" t="n">
        <f aca="false">MAX($M167)</f>
        <v>2071719</v>
      </c>
      <c r="BH167" s="1" t="n">
        <f aca="false">MAX($N167)</f>
        <v>0.08</v>
      </c>
      <c r="BI167" s="1" t="n">
        <f aca="false">MAX($P167)</f>
        <v>9.25</v>
      </c>
      <c r="BJ167" s="1" t="n">
        <f aca="false">MAX($Q167)</f>
        <v>0</v>
      </c>
      <c r="BK167" s="1" t="n">
        <f aca="false">MAX($R167)</f>
        <v>642988</v>
      </c>
    </row>
    <row r="168" customFormat="false" ht="15" hidden="false" customHeight="false" outlineLevel="0" collapsed="false">
      <c r="A168" s="1" t="s">
        <v>185</v>
      </c>
      <c r="B168" s="1" t="n">
        <f aca="false" t="array" ref="B168:B168">_xlfn.SWITCH($A$2,"average", AVERAGE(Instances!B168:B168),"median", MEDIAN(Instances!B168:B168),"min", MIN(Instances!B168:B168),"max", MAX(Instances!B168:B168),"diff", MAX(Instances!B168:B168)-MIN(Instances!B168:B168))</f>
        <v>71208</v>
      </c>
      <c r="C168" s="1" t="n">
        <f aca="false" t="array" ref="C168:C168">_xlfn.SWITCH($A$2,"average", AVERAGE(Instances!C168:C168),"median", MEDIAN(Instances!C168:C168),"min", MIN(Instances!C168:C168),"max", MAX(Instances!C168:C168),"diff", MAX(Instances!C168:C168)-MIN(Instances!C168:C168))</f>
        <v>1541</v>
      </c>
      <c r="D168" s="1" t="n">
        <f aca="false" t="array" ref="D168:D168">_xlfn.SWITCH($A$2,"average", AVERAGE(Instances!D168:D168),"median", MEDIAN(Instances!D168:D168),"min", MIN(Instances!D168:D168),"max", MAX(Instances!D168:D168),"diff", MAX(Instances!D168:D168)-MIN(Instances!D168:D168))</f>
        <v>1555689</v>
      </c>
      <c r="E168" s="1" t="n">
        <f aca="false" t="array" ref="E168:E168">_xlfn.SWITCH($A$2,"average", AVERAGE(Instances!E168:E168),"median", MEDIAN(Instances!E168:E168),"min", MIN(Instances!E168:E168),"max", MAX(Instances!E168:E168),"diff", MAX(Instances!E168:E168)-MIN(Instances!E168:E168))</f>
        <v>0</v>
      </c>
      <c r="F168" s="1" t="n">
        <f aca="false" t="array" ref="F168:F168">_xlfn.SWITCH($A$2,"average", AVERAGE(Instances!F168:F168),"median", MEDIAN(Instances!F168:F168),"min", MIN(Instances!F168:F168),"max", MAX(Instances!F168:F168),"diff", MAX(Instances!F168:F168)-MIN(Instances!F168:F168))</f>
        <v>880</v>
      </c>
      <c r="G168" s="1" t="n">
        <f aca="false" t="array" ref="G168:G168">_xlfn.SWITCH($A$2,"average", AVERAGE(Instances!G168:G168),"median", MEDIAN(Instances!G168:G168),"min", MIN(Instances!G168:G168),"max", MAX(Instances!G168:G168),"diff", MAX(Instances!G168:G168)-MIN(Instances!G168:G168))</f>
        <v>0</v>
      </c>
      <c r="H168" s="1" t="n">
        <f aca="false" t="array" ref="H168:H168">_xlfn.SWITCH($A$2,"average", AVERAGE(Instances!H168:H168),"median", MEDIAN(Instances!H168:H168),"min", MIN(Instances!H168:H168),"max", MAX(Instances!H168:H168),"diff", MAX(Instances!H168:H168)-MIN(Instances!H168:H168))</f>
        <v>1</v>
      </c>
      <c r="I168" s="1" t="n">
        <f aca="false" t="array" ref="I168:I168">_xlfn.SWITCH($A$2,"average", AVERAGE(Instances!I168:I168),"median", MEDIAN(Instances!I168:I168),"min", MIN(Instances!I168:I168),"max", MAX(Instances!I168:I168),"diff", MAX(Instances!I168:I168)-MIN(Instances!I168:I168))</f>
        <v>14.893</v>
      </c>
      <c r="J168" s="1" t="n">
        <f aca="false" t="array" ref="J168:J168">_xlfn.SWITCH($A$2,"average", AVERAGE(Instances!J168:J168),"median", MEDIAN(Instances!J168:J168),"min", MIN(Instances!J168:J168),"max", MAX(Instances!J168:J168),"diff", MAX(Instances!J168:J168)-MIN(Instances!J168:J168))</f>
        <v>15.18</v>
      </c>
      <c r="K168" s="1" t="n">
        <f aca="false" t="array" ref="K168:K168">_xlfn.SWITCH($A$2,"average", AVERAGE(Instances!K168:K168),"median", MEDIAN(Instances!K168:K168),"min", MIN(Instances!K168:K168),"max", MAX(Instances!K168:K168),"diff", MAX(Instances!K168:K168)-MIN(Instances!K168:K168))</f>
        <v>11</v>
      </c>
      <c r="L168" s="1"/>
      <c r="M168" s="1" t="n">
        <f aca="false" t="array" ref="M168:M168">_xlfn.SWITCH($A$2,"average", AVERAGE(Instances!M168:M168),"median", MEDIAN(Instances!M168:M168),"min", MIN(Instances!M168:M168),"max", MAX(Instances!M168:M168),"diff", MAX(Instances!M168:M168)-MIN(Instances!M168:M168))</f>
        <v>3141740</v>
      </c>
      <c r="N168" s="1" t="n">
        <f aca="false" t="array" ref="N168:N168">_xlfn.SWITCH($A$2,"average", AVERAGE(Instances!N168:N168),"median", MEDIAN(Instances!N168:N168),"min", MIN(Instances!N168:N168),"max", MAX(Instances!N168:N168),"diff", MAX(Instances!N168:N168)-MIN(Instances!N168:N168))</f>
        <v>2.81</v>
      </c>
      <c r="O168" s="1"/>
      <c r="P168" s="1" t="n">
        <f aca="false" t="array" ref="P168:P168">_xlfn.SWITCH($A$2,"average", AVERAGE(Instances!P168:P168),"median", MEDIAN(Instances!P168:P168),"min", MIN(Instances!P168:P168),"max", MAX(Instances!P168:P168),"diff", MAX(Instances!P168:P168)-MIN(Instances!P168:P168))</f>
        <v>15.18</v>
      </c>
      <c r="Q168" s="1" t="n">
        <f aca="false" t="array" ref="Q168:Q168">_xlfn.SWITCH($A$2,"average", AVERAGE(Instances!Q168:Q168),"median", MEDIAN(Instances!Q168:Q168),"min", MIN(Instances!Q168:Q168),"max", MAX(Instances!Q168:Q168),"diff", MAX(Instances!Q168:Q168)-MIN(Instances!Q168:Q168))</f>
        <v>0</v>
      </c>
      <c r="R168" s="1" t="n">
        <f aca="false" t="array" ref="R168:R168">_xlfn.SWITCH($A$2,"average", AVERAGE(Instances!R168:R168),"median", MEDIAN(Instances!R168:R168),"min", MIN(Instances!R168:R168),"max", MAX(Instances!R168:R168),"diff", MAX(Instances!R168:R168)-MIN(Instances!R168:R168))</f>
        <v>870198</v>
      </c>
      <c r="S168" s="1" t="n">
        <f aca="false">MIN($B168)</f>
        <v>71208</v>
      </c>
      <c r="T168" s="1" t="n">
        <f aca="false">MIN($C168)</f>
        <v>1541</v>
      </c>
      <c r="U168" s="1" t="n">
        <f aca="false">MIN($D168)</f>
        <v>1555689</v>
      </c>
      <c r="V168" s="1" t="n">
        <f aca="false">MIN($E168)</f>
        <v>0</v>
      </c>
      <c r="W168" s="1" t="n">
        <f aca="false">MIN($F168)</f>
        <v>880</v>
      </c>
      <c r="X168" s="1" t="n">
        <f aca="false">MIN($G168)</f>
        <v>0</v>
      </c>
      <c r="Y168" s="1" t="n">
        <f aca="false">MIN($H168)</f>
        <v>1</v>
      </c>
      <c r="Z168" s="1" t="n">
        <f aca="false">MIN($I168)</f>
        <v>14.893</v>
      </c>
      <c r="AA168" s="1" t="n">
        <f aca="false">MIN($J168)</f>
        <v>15.18</v>
      </c>
      <c r="AB168" s="1" t="n">
        <f aca="false">MIN($K168)</f>
        <v>11</v>
      </c>
      <c r="AC168" s="1" t="n">
        <f aca="false">MIN($M168)</f>
        <v>3141740</v>
      </c>
      <c r="AD168" s="1" t="n">
        <f aca="false">MIN($N168)</f>
        <v>2.81</v>
      </c>
      <c r="AE168" s="1" t="n">
        <f aca="false">MIN($P168)</f>
        <v>15.18</v>
      </c>
      <c r="AF168" s="1" t="n">
        <f aca="false">MIN($Q168)</f>
        <v>0</v>
      </c>
      <c r="AG168" s="1" t="n">
        <f aca="false">MIN($R168)</f>
        <v>870198</v>
      </c>
      <c r="AH168" s="1" t="n">
        <f aca="false">MEDIAN($B168)</f>
        <v>71208</v>
      </c>
      <c r="AI168" s="1" t="n">
        <f aca="false">MEDIAN($C168)</f>
        <v>1541</v>
      </c>
      <c r="AJ168" s="1" t="n">
        <f aca="false">MEDIAN($D168)</f>
        <v>1555689</v>
      </c>
      <c r="AK168" s="1" t="n">
        <f aca="false">MEDIAN($E168)</f>
        <v>0</v>
      </c>
      <c r="AL168" s="1" t="n">
        <f aca="false">MEDIAN($F168)</f>
        <v>880</v>
      </c>
      <c r="AM168" s="1" t="n">
        <f aca="false">MEDIAN($G168)</f>
        <v>0</v>
      </c>
      <c r="AN168" s="1" t="n">
        <f aca="false">MEDIAN($H168)</f>
        <v>1</v>
      </c>
      <c r="AO168" s="1" t="n">
        <f aca="false">MEDIAN($I168)</f>
        <v>14.893</v>
      </c>
      <c r="AP168" s="1" t="n">
        <f aca="false">MEDIAN($J168)</f>
        <v>15.18</v>
      </c>
      <c r="AQ168" s="1" t="n">
        <f aca="false">MEDIAN($K168)</f>
        <v>11</v>
      </c>
      <c r="AR168" s="1" t="n">
        <f aca="false">MEDIAN($M168)</f>
        <v>3141740</v>
      </c>
      <c r="AS168" s="1" t="n">
        <f aca="false">MEDIAN($N168)</f>
        <v>2.81</v>
      </c>
      <c r="AT168" s="1" t="n">
        <f aca="false">MEDIAN($P168)</f>
        <v>15.18</v>
      </c>
      <c r="AU168" s="1" t="n">
        <f aca="false">MEDIAN($Q168)</f>
        <v>0</v>
      </c>
      <c r="AV168" s="1" t="n">
        <f aca="false">MEDIAN($R168)</f>
        <v>870198</v>
      </c>
      <c r="AW168" s="1" t="n">
        <f aca="false">MAX($B168)</f>
        <v>71208</v>
      </c>
      <c r="AX168" s="1" t="n">
        <f aca="false">MAX($C168)</f>
        <v>1541</v>
      </c>
      <c r="AY168" s="1" t="n">
        <f aca="false">MAX($D168)</f>
        <v>1555689</v>
      </c>
      <c r="AZ168" s="1" t="n">
        <f aca="false">MAX($E168)</f>
        <v>0</v>
      </c>
      <c r="BA168" s="1" t="n">
        <f aca="false">MAX($F168)</f>
        <v>880</v>
      </c>
      <c r="BB168" s="1" t="n">
        <f aca="false">MAX($G168)</f>
        <v>0</v>
      </c>
      <c r="BC168" s="1" t="n">
        <f aca="false">MAX($H168)</f>
        <v>1</v>
      </c>
      <c r="BD168" s="1" t="n">
        <f aca="false">MAX($I168)</f>
        <v>14.893</v>
      </c>
      <c r="BE168" s="1" t="n">
        <f aca="false">MAX($J168)</f>
        <v>15.18</v>
      </c>
      <c r="BF168" s="1" t="n">
        <f aca="false">MAX($K168)</f>
        <v>11</v>
      </c>
      <c r="BG168" s="1" t="n">
        <f aca="false">MAX($M168)</f>
        <v>3141740</v>
      </c>
      <c r="BH168" s="1" t="n">
        <f aca="false">MAX($N168)</f>
        <v>2.81</v>
      </c>
      <c r="BI168" s="1" t="n">
        <f aca="false">MAX($P168)</f>
        <v>15.18</v>
      </c>
      <c r="BJ168" s="1" t="n">
        <f aca="false">MAX($Q168)</f>
        <v>0</v>
      </c>
      <c r="BK168" s="1" t="n">
        <f aca="false">MAX($R168)</f>
        <v>870198</v>
      </c>
    </row>
    <row r="169" customFormat="false" ht="15" hidden="false" customHeight="false" outlineLevel="0" collapsed="false">
      <c r="A169" s="1" t="s">
        <v>186</v>
      </c>
      <c r="B169" s="1" t="n">
        <f aca="false" t="array" ref="B169:B169">_xlfn.SWITCH($A$2,"average", AVERAGE(Instances!B169:B169),"median", MEDIAN(Instances!B169:B169),"min", MIN(Instances!B169:B169),"max", MAX(Instances!B169:B169),"diff", MAX(Instances!B169:B169)-MIN(Instances!B169:B169))</f>
        <v>3253</v>
      </c>
      <c r="C169" s="1" t="n">
        <f aca="false" t="array" ref="C169:C169">_xlfn.SWITCH($A$2,"average", AVERAGE(Instances!C169:C169),"median", MEDIAN(Instances!C169:C169),"min", MIN(Instances!C169:C169),"max", MAX(Instances!C169:C169),"diff", MAX(Instances!C169:C169)-MIN(Instances!C169:C169))</f>
        <v>3</v>
      </c>
      <c r="D169" s="1" t="n">
        <f aca="false" t="array" ref="D169:D169">_xlfn.SWITCH($A$2,"average", AVERAGE(Instances!D169:D169),"median", MEDIAN(Instances!D169:D169),"min", MIN(Instances!D169:D169),"max", MAX(Instances!D169:D169),"diff", MAX(Instances!D169:D169)-MIN(Instances!D169:D169))</f>
        <v>1398791</v>
      </c>
      <c r="E169" s="1" t="n">
        <f aca="false" t="array" ref="E169:E169">_xlfn.SWITCH($A$2,"average", AVERAGE(Instances!E169:E169),"median", MEDIAN(Instances!E169:E169),"min", MIN(Instances!E169:E169),"max", MAX(Instances!E169:E169),"diff", MAX(Instances!E169:E169)-MIN(Instances!E169:E169))</f>
        <v>0</v>
      </c>
      <c r="F169" s="1" t="n">
        <f aca="false" t="array" ref="F169:F169">_xlfn.SWITCH($A$2,"average", AVERAGE(Instances!F169:F169),"median", MEDIAN(Instances!F169:F169),"min", MIN(Instances!F169:F169),"max", MAX(Instances!F169:F169),"diff", MAX(Instances!F169:F169)-MIN(Instances!F169:F169))</f>
        <v>833</v>
      </c>
      <c r="G169" s="1" t="n">
        <f aca="false" t="array" ref="G169:G169">_xlfn.SWITCH($A$2,"average", AVERAGE(Instances!G169:G169),"median", MEDIAN(Instances!G169:G169),"min", MIN(Instances!G169:G169),"max", MAX(Instances!G169:G169),"diff", MAX(Instances!G169:G169)-MIN(Instances!G169:G169))</f>
        <v>0</v>
      </c>
      <c r="H169" s="1" t="n">
        <f aca="false" t="array" ref="H169:H169">_xlfn.SWITCH($A$2,"average", AVERAGE(Instances!H169:H169),"median", MEDIAN(Instances!H169:H169),"min", MIN(Instances!H169:H169),"max", MAX(Instances!H169:H169),"diff", MAX(Instances!H169:H169)-MIN(Instances!H169:H169))</f>
        <v>1</v>
      </c>
      <c r="I169" s="1" t="n">
        <f aca="false" t="array" ref="I169:I169">_xlfn.SWITCH($A$2,"average", AVERAGE(Instances!I169:I169),"median", MEDIAN(Instances!I169:I169),"min", MIN(Instances!I169:I169),"max", MAX(Instances!I169:I169),"diff", MAX(Instances!I169:I169)-MIN(Instances!I169:I169))</f>
        <v>11.317</v>
      </c>
      <c r="J169" s="1" t="n">
        <f aca="false" t="array" ref="J169:J169">_xlfn.SWITCH($A$2,"average", AVERAGE(Instances!J169:J169),"median", MEDIAN(Instances!J169:J169),"min", MIN(Instances!J169:J169),"max", MAX(Instances!J169:J169),"diff", MAX(Instances!J169:J169)-MIN(Instances!J169:J169))</f>
        <v>11.59</v>
      </c>
      <c r="K169" s="1" t="n">
        <f aca="false" t="array" ref="K169:K169">_xlfn.SWITCH($A$2,"average", AVERAGE(Instances!K169:K169),"median", MEDIAN(Instances!K169:K169),"min", MIN(Instances!K169:K169),"max", MAX(Instances!K169:K169),"diff", MAX(Instances!K169:K169)-MIN(Instances!K169:K169))</f>
        <v>0</v>
      </c>
      <c r="L169" s="1"/>
      <c r="M169" s="1" t="n">
        <f aca="false" t="array" ref="M169:M169">_xlfn.SWITCH($A$2,"average", AVERAGE(Instances!M169:M169),"median", MEDIAN(Instances!M169:M169),"min", MIN(Instances!M169:M169),"max", MAX(Instances!M169:M169),"diff", MAX(Instances!M169:M169)-MIN(Instances!M169:M169))</f>
        <v>2879542</v>
      </c>
      <c r="N169" s="1" t="n">
        <f aca="false" t="array" ref="N169:N169">_xlfn.SWITCH($A$2,"average", AVERAGE(Instances!N169:N169),"median", MEDIAN(Instances!N169:N169),"min", MIN(Instances!N169:N169),"max", MAX(Instances!N169:N169),"diff", MAX(Instances!N169:N169)-MIN(Instances!N169:N169))</f>
        <v>0.1</v>
      </c>
      <c r="O169" s="1"/>
      <c r="P169" s="1" t="n">
        <f aca="false" t="array" ref="P169:P169">_xlfn.SWITCH($A$2,"average", AVERAGE(Instances!P169:P169),"median", MEDIAN(Instances!P169:P169),"min", MIN(Instances!P169:P169),"max", MAX(Instances!P169:P169),"diff", MAX(Instances!P169:P169)-MIN(Instances!P169:P169))</f>
        <v>11.59</v>
      </c>
      <c r="Q169" s="1" t="n">
        <f aca="false" t="array" ref="Q169:Q169">_xlfn.SWITCH($A$2,"average", AVERAGE(Instances!Q169:Q169),"median", MEDIAN(Instances!Q169:Q169),"min", MIN(Instances!Q169:Q169),"max", MAX(Instances!Q169:Q169),"diff", MAX(Instances!Q169:Q169)-MIN(Instances!Q169:Q169))</f>
        <v>0</v>
      </c>
      <c r="R169" s="1" t="n">
        <f aca="false" t="array" ref="R169:R169">_xlfn.SWITCH($A$2,"average", AVERAGE(Instances!R169:R169),"median", MEDIAN(Instances!R169:R169),"min", MIN(Instances!R169:R169),"max", MAX(Instances!R169:R169),"diff", MAX(Instances!R169:R169)-MIN(Instances!R169:R169))</f>
        <v>820930</v>
      </c>
      <c r="S169" s="1" t="n">
        <f aca="false">MIN($B169)</f>
        <v>3253</v>
      </c>
      <c r="T169" s="1" t="n">
        <f aca="false">MIN($C169)</f>
        <v>3</v>
      </c>
      <c r="U169" s="1" t="n">
        <f aca="false">MIN($D169)</f>
        <v>1398791</v>
      </c>
      <c r="V169" s="1" t="n">
        <f aca="false">MIN($E169)</f>
        <v>0</v>
      </c>
      <c r="W169" s="1" t="n">
        <f aca="false">MIN($F169)</f>
        <v>833</v>
      </c>
      <c r="X169" s="1" t="n">
        <f aca="false">MIN($G169)</f>
        <v>0</v>
      </c>
      <c r="Y169" s="1" t="n">
        <f aca="false">MIN($H169)</f>
        <v>1</v>
      </c>
      <c r="Z169" s="1" t="n">
        <f aca="false">MIN($I169)</f>
        <v>11.317</v>
      </c>
      <c r="AA169" s="1" t="n">
        <f aca="false">MIN($J169)</f>
        <v>11.59</v>
      </c>
      <c r="AB169" s="1" t="n">
        <f aca="false">MIN($K169)</f>
        <v>0</v>
      </c>
      <c r="AC169" s="1" t="n">
        <f aca="false">MIN($M169)</f>
        <v>2879542</v>
      </c>
      <c r="AD169" s="1" t="n">
        <f aca="false">MIN($N169)</f>
        <v>0.1</v>
      </c>
      <c r="AE169" s="1" t="n">
        <f aca="false">MIN($P169)</f>
        <v>11.59</v>
      </c>
      <c r="AF169" s="1" t="n">
        <f aca="false">MIN($Q169)</f>
        <v>0</v>
      </c>
      <c r="AG169" s="1" t="n">
        <f aca="false">MIN($R169)</f>
        <v>820930</v>
      </c>
      <c r="AH169" s="1" t="n">
        <f aca="false">MEDIAN($B169)</f>
        <v>3253</v>
      </c>
      <c r="AI169" s="1" t="n">
        <f aca="false">MEDIAN($C169)</f>
        <v>3</v>
      </c>
      <c r="AJ169" s="1" t="n">
        <f aca="false">MEDIAN($D169)</f>
        <v>1398791</v>
      </c>
      <c r="AK169" s="1" t="n">
        <f aca="false">MEDIAN($E169)</f>
        <v>0</v>
      </c>
      <c r="AL169" s="1" t="n">
        <f aca="false">MEDIAN($F169)</f>
        <v>833</v>
      </c>
      <c r="AM169" s="1" t="n">
        <f aca="false">MEDIAN($G169)</f>
        <v>0</v>
      </c>
      <c r="AN169" s="1" t="n">
        <f aca="false">MEDIAN($H169)</f>
        <v>1</v>
      </c>
      <c r="AO169" s="1" t="n">
        <f aca="false">MEDIAN($I169)</f>
        <v>11.317</v>
      </c>
      <c r="AP169" s="1" t="n">
        <f aca="false">MEDIAN($J169)</f>
        <v>11.59</v>
      </c>
      <c r="AQ169" s="1" t="n">
        <f aca="false">MEDIAN($K169)</f>
        <v>0</v>
      </c>
      <c r="AR169" s="1" t="n">
        <f aca="false">MEDIAN($M169)</f>
        <v>2879542</v>
      </c>
      <c r="AS169" s="1" t="n">
        <f aca="false">MEDIAN($N169)</f>
        <v>0.1</v>
      </c>
      <c r="AT169" s="1" t="n">
        <f aca="false">MEDIAN($P169)</f>
        <v>11.59</v>
      </c>
      <c r="AU169" s="1" t="n">
        <f aca="false">MEDIAN($Q169)</f>
        <v>0</v>
      </c>
      <c r="AV169" s="1" t="n">
        <f aca="false">MEDIAN($R169)</f>
        <v>820930</v>
      </c>
      <c r="AW169" s="1" t="n">
        <f aca="false">MAX($B169)</f>
        <v>3253</v>
      </c>
      <c r="AX169" s="1" t="n">
        <f aca="false">MAX($C169)</f>
        <v>3</v>
      </c>
      <c r="AY169" s="1" t="n">
        <f aca="false">MAX($D169)</f>
        <v>1398791</v>
      </c>
      <c r="AZ169" s="1" t="n">
        <f aca="false">MAX($E169)</f>
        <v>0</v>
      </c>
      <c r="BA169" s="1" t="n">
        <f aca="false">MAX($F169)</f>
        <v>833</v>
      </c>
      <c r="BB169" s="1" t="n">
        <f aca="false">MAX($G169)</f>
        <v>0</v>
      </c>
      <c r="BC169" s="1" t="n">
        <f aca="false">MAX($H169)</f>
        <v>1</v>
      </c>
      <c r="BD169" s="1" t="n">
        <f aca="false">MAX($I169)</f>
        <v>11.317</v>
      </c>
      <c r="BE169" s="1" t="n">
        <f aca="false">MAX($J169)</f>
        <v>11.59</v>
      </c>
      <c r="BF169" s="1" t="n">
        <f aca="false">MAX($K169)</f>
        <v>0</v>
      </c>
      <c r="BG169" s="1" t="n">
        <f aca="false">MAX($M169)</f>
        <v>2879542</v>
      </c>
      <c r="BH169" s="1" t="n">
        <f aca="false">MAX($N169)</f>
        <v>0.1</v>
      </c>
      <c r="BI169" s="1" t="n">
        <f aca="false">MAX($P169)</f>
        <v>11.59</v>
      </c>
      <c r="BJ169" s="1" t="n">
        <f aca="false">MAX($Q169)</f>
        <v>0</v>
      </c>
      <c r="BK169" s="1" t="n">
        <f aca="false">MAX($R169)</f>
        <v>820930</v>
      </c>
    </row>
    <row r="170" customFormat="false" ht="15" hidden="false" customHeight="false" outlineLevel="0" collapsed="false">
      <c r="A170" s="1" t="s">
        <v>187</v>
      </c>
      <c r="B170" s="1" t="n">
        <f aca="false" t="array" ref="B170:B170">_xlfn.SWITCH($A$2,"average", AVERAGE(Instances!B170:B170),"median", MEDIAN(Instances!B170:B170),"min", MIN(Instances!B170:B170),"max", MAX(Instances!B170:B170),"diff", MAX(Instances!B170:B170)-MIN(Instances!B170:B170))</f>
        <v>14068</v>
      </c>
      <c r="C170" s="1" t="n">
        <f aca="false" t="array" ref="C170:C170">_xlfn.SWITCH($A$2,"average", AVERAGE(Instances!C170:C170),"median", MEDIAN(Instances!C170:C170),"min", MIN(Instances!C170:C170),"max", MAX(Instances!C170:C170),"diff", MAX(Instances!C170:C170)-MIN(Instances!C170:C170))</f>
        <v>1166</v>
      </c>
      <c r="D170" s="1" t="n">
        <f aca="false" t="array" ref="D170:D170">_xlfn.SWITCH($A$2,"average", AVERAGE(Instances!D170:D170),"median", MEDIAN(Instances!D170:D170),"min", MIN(Instances!D170:D170),"max", MAX(Instances!D170:D170),"diff", MAX(Instances!D170:D170)-MIN(Instances!D170:D170))</f>
        <v>1302665</v>
      </c>
      <c r="E170" s="1" t="n">
        <f aca="false" t="array" ref="E170:E170">_xlfn.SWITCH($A$2,"average", AVERAGE(Instances!E170:E170),"median", MEDIAN(Instances!E170:E170),"min", MIN(Instances!E170:E170),"max", MAX(Instances!E170:E170),"diff", MAX(Instances!E170:E170)-MIN(Instances!E170:E170))</f>
        <v>0</v>
      </c>
      <c r="F170" s="1" t="n">
        <f aca="false" t="array" ref="F170:F170">_xlfn.SWITCH($A$2,"average", AVERAGE(Instances!F170:F170),"median", MEDIAN(Instances!F170:F170),"min", MIN(Instances!F170:F170),"max", MAX(Instances!F170:F170),"diff", MAX(Instances!F170:F170)-MIN(Instances!F170:F170))</f>
        <v>806</v>
      </c>
      <c r="G170" s="1" t="n">
        <f aca="false" t="array" ref="G170:G170">_xlfn.SWITCH($A$2,"average", AVERAGE(Instances!G170:G170),"median", MEDIAN(Instances!G170:G170),"min", MIN(Instances!G170:G170),"max", MAX(Instances!G170:G170),"diff", MAX(Instances!G170:G170)-MIN(Instances!G170:G170))</f>
        <v>0</v>
      </c>
      <c r="H170" s="1" t="n">
        <f aca="false" t="array" ref="H170:H170">_xlfn.SWITCH($A$2,"average", AVERAGE(Instances!H170:H170),"median", MEDIAN(Instances!H170:H170),"min", MIN(Instances!H170:H170),"max", MAX(Instances!H170:H170),"diff", MAX(Instances!H170:H170)-MIN(Instances!H170:H170))</f>
        <v>1</v>
      </c>
      <c r="I170" s="1" t="n">
        <f aca="false" t="array" ref="I170:I170">_xlfn.SWITCH($A$2,"average", AVERAGE(Instances!I170:I170),"median", MEDIAN(Instances!I170:I170),"min", MIN(Instances!I170:I170),"max", MAX(Instances!I170:I170),"diff", MAX(Instances!I170:I170)-MIN(Instances!I170:I170))</f>
        <v>11.573</v>
      </c>
      <c r="J170" s="1" t="n">
        <f aca="false" t="array" ref="J170:J170">_xlfn.SWITCH($A$2,"average", AVERAGE(Instances!J170:J170),"median", MEDIAN(Instances!J170:J170),"min", MIN(Instances!J170:J170),"max", MAX(Instances!J170:J170),"diff", MAX(Instances!J170:J170)-MIN(Instances!J170:J170))</f>
        <v>11.84</v>
      </c>
      <c r="K170" s="1" t="n">
        <f aca="false" t="array" ref="K170:K170">_xlfn.SWITCH($A$2,"average", AVERAGE(Instances!K170:K170),"median", MEDIAN(Instances!K170:K170),"min", MIN(Instances!K170:K170),"max", MAX(Instances!K170:K170),"diff", MAX(Instances!K170:K170)-MIN(Instances!K170:K170))</f>
        <v>8</v>
      </c>
      <c r="L170" s="1"/>
      <c r="M170" s="1" t="n">
        <f aca="false" t="array" ref="M170:M170">_xlfn.SWITCH($A$2,"average", AVERAGE(Instances!M170:M170),"median", MEDIAN(Instances!M170:M170),"min", MIN(Instances!M170:M170),"max", MAX(Instances!M170:M170),"diff", MAX(Instances!M170:M170)-MIN(Instances!M170:M170))</f>
        <v>2778898</v>
      </c>
      <c r="N170" s="1" t="n">
        <f aca="false" t="array" ref="N170:N170">_xlfn.SWITCH($A$2,"average", AVERAGE(Instances!N170:N170),"median", MEDIAN(Instances!N170:N170),"min", MIN(Instances!N170:N170),"max", MAX(Instances!N170:N170),"diff", MAX(Instances!N170:N170)-MIN(Instances!N170:N170))</f>
        <v>0.7</v>
      </c>
      <c r="O170" s="1"/>
      <c r="P170" s="1" t="n">
        <f aca="false" t="array" ref="P170:P170">_xlfn.SWITCH($A$2,"average", AVERAGE(Instances!P170:P170),"median", MEDIAN(Instances!P170:P170),"min", MIN(Instances!P170:P170),"max", MAX(Instances!P170:P170),"diff", MAX(Instances!P170:P170)-MIN(Instances!P170:P170))</f>
        <v>11.84</v>
      </c>
      <c r="Q170" s="1" t="n">
        <f aca="false" t="array" ref="Q170:Q170">_xlfn.SWITCH($A$2,"average", AVERAGE(Instances!Q170:Q170),"median", MEDIAN(Instances!Q170:Q170),"min", MIN(Instances!Q170:Q170),"max", MAX(Instances!Q170:Q170),"diff", MAX(Instances!Q170:Q170)-MIN(Instances!Q170:Q170))</f>
        <v>0</v>
      </c>
      <c r="R170" s="1" t="n">
        <f aca="false" t="array" ref="R170:R170">_xlfn.SWITCH($A$2,"average", AVERAGE(Instances!R170:R170),"median", MEDIAN(Instances!R170:R170),"min", MIN(Instances!R170:R170),"max", MAX(Instances!R170:R170),"diff", MAX(Instances!R170:R170)-MIN(Instances!R170:R170))</f>
        <v>793104</v>
      </c>
      <c r="S170" s="1" t="n">
        <f aca="false">MIN($B170)</f>
        <v>14068</v>
      </c>
      <c r="T170" s="1" t="n">
        <f aca="false">MIN($C170)</f>
        <v>1166</v>
      </c>
      <c r="U170" s="1" t="n">
        <f aca="false">MIN($D170)</f>
        <v>1302665</v>
      </c>
      <c r="V170" s="1" t="n">
        <f aca="false">MIN($E170)</f>
        <v>0</v>
      </c>
      <c r="W170" s="1" t="n">
        <f aca="false">MIN($F170)</f>
        <v>806</v>
      </c>
      <c r="X170" s="1" t="n">
        <f aca="false">MIN($G170)</f>
        <v>0</v>
      </c>
      <c r="Y170" s="1" t="n">
        <f aca="false">MIN($H170)</f>
        <v>1</v>
      </c>
      <c r="Z170" s="1" t="n">
        <f aca="false">MIN($I170)</f>
        <v>11.573</v>
      </c>
      <c r="AA170" s="1" t="n">
        <f aca="false">MIN($J170)</f>
        <v>11.84</v>
      </c>
      <c r="AB170" s="1" t="n">
        <f aca="false">MIN($K170)</f>
        <v>8</v>
      </c>
      <c r="AC170" s="1" t="n">
        <f aca="false">MIN($M170)</f>
        <v>2778898</v>
      </c>
      <c r="AD170" s="1" t="n">
        <f aca="false">MIN($N170)</f>
        <v>0.7</v>
      </c>
      <c r="AE170" s="1" t="n">
        <f aca="false">MIN($P170)</f>
        <v>11.84</v>
      </c>
      <c r="AF170" s="1" t="n">
        <f aca="false">MIN($Q170)</f>
        <v>0</v>
      </c>
      <c r="AG170" s="1" t="n">
        <f aca="false">MIN($R170)</f>
        <v>793104</v>
      </c>
      <c r="AH170" s="1" t="n">
        <f aca="false">MEDIAN($B170)</f>
        <v>14068</v>
      </c>
      <c r="AI170" s="1" t="n">
        <f aca="false">MEDIAN($C170)</f>
        <v>1166</v>
      </c>
      <c r="AJ170" s="1" t="n">
        <f aca="false">MEDIAN($D170)</f>
        <v>1302665</v>
      </c>
      <c r="AK170" s="1" t="n">
        <f aca="false">MEDIAN($E170)</f>
        <v>0</v>
      </c>
      <c r="AL170" s="1" t="n">
        <f aca="false">MEDIAN($F170)</f>
        <v>806</v>
      </c>
      <c r="AM170" s="1" t="n">
        <f aca="false">MEDIAN($G170)</f>
        <v>0</v>
      </c>
      <c r="AN170" s="1" t="n">
        <f aca="false">MEDIAN($H170)</f>
        <v>1</v>
      </c>
      <c r="AO170" s="1" t="n">
        <f aca="false">MEDIAN($I170)</f>
        <v>11.573</v>
      </c>
      <c r="AP170" s="1" t="n">
        <f aca="false">MEDIAN($J170)</f>
        <v>11.84</v>
      </c>
      <c r="AQ170" s="1" t="n">
        <f aca="false">MEDIAN($K170)</f>
        <v>8</v>
      </c>
      <c r="AR170" s="1" t="n">
        <f aca="false">MEDIAN($M170)</f>
        <v>2778898</v>
      </c>
      <c r="AS170" s="1" t="n">
        <f aca="false">MEDIAN($N170)</f>
        <v>0.7</v>
      </c>
      <c r="AT170" s="1" t="n">
        <f aca="false">MEDIAN($P170)</f>
        <v>11.84</v>
      </c>
      <c r="AU170" s="1" t="n">
        <f aca="false">MEDIAN($Q170)</f>
        <v>0</v>
      </c>
      <c r="AV170" s="1" t="n">
        <f aca="false">MEDIAN($R170)</f>
        <v>793104</v>
      </c>
      <c r="AW170" s="1" t="n">
        <f aca="false">MAX($B170)</f>
        <v>14068</v>
      </c>
      <c r="AX170" s="1" t="n">
        <f aca="false">MAX($C170)</f>
        <v>1166</v>
      </c>
      <c r="AY170" s="1" t="n">
        <f aca="false">MAX($D170)</f>
        <v>1302665</v>
      </c>
      <c r="AZ170" s="1" t="n">
        <f aca="false">MAX($E170)</f>
        <v>0</v>
      </c>
      <c r="BA170" s="1" t="n">
        <f aca="false">MAX($F170)</f>
        <v>806</v>
      </c>
      <c r="BB170" s="1" t="n">
        <f aca="false">MAX($G170)</f>
        <v>0</v>
      </c>
      <c r="BC170" s="1" t="n">
        <f aca="false">MAX($H170)</f>
        <v>1</v>
      </c>
      <c r="BD170" s="1" t="n">
        <f aca="false">MAX($I170)</f>
        <v>11.573</v>
      </c>
      <c r="BE170" s="1" t="n">
        <f aca="false">MAX($J170)</f>
        <v>11.84</v>
      </c>
      <c r="BF170" s="1" t="n">
        <f aca="false">MAX($K170)</f>
        <v>8</v>
      </c>
      <c r="BG170" s="1" t="n">
        <f aca="false">MAX($M170)</f>
        <v>2778898</v>
      </c>
      <c r="BH170" s="1" t="n">
        <f aca="false">MAX($N170)</f>
        <v>0.7</v>
      </c>
      <c r="BI170" s="1" t="n">
        <f aca="false">MAX($P170)</f>
        <v>11.84</v>
      </c>
      <c r="BJ170" s="1" t="n">
        <f aca="false">MAX($Q170)</f>
        <v>0</v>
      </c>
      <c r="BK170" s="1" t="n">
        <f aca="false">MAX($R170)</f>
        <v>793104</v>
      </c>
    </row>
    <row r="171" customFormat="false" ht="15" hidden="false" customHeight="false" outlineLevel="0" collapsed="false">
      <c r="A171" s="1" t="s">
        <v>188</v>
      </c>
      <c r="B171" s="1" t="n">
        <f aca="false" t="array" ref="B171:B171">_xlfn.SWITCH($A$2,"average", AVERAGE(Instances!B171:B171),"median", MEDIAN(Instances!B171:B171),"min", MIN(Instances!B171:B171),"max", MAX(Instances!B171:B171),"diff", MAX(Instances!B171:B171)-MIN(Instances!B171:B171))</f>
        <v>10001</v>
      </c>
      <c r="C171" s="1" t="n">
        <f aca="false" t="array" ref="C171:C171">_xlfn.SWITCH($A$2,"average", AVERAGE(Instances!C171:C171),"median", MEDIAN(Instances!C171:C171),"min", MIN(Instances!C171:C171),"max", MAX(Instances!C171:C171),"diff", MAX(Instances!C171:C171)-MIN(Instances!C171:C171))</f>
        <v>161</v>
      </c>
      <c r="D171" s="1" t="n">
        <f aca="false" t="array" ref="D171:D171">_xlfn.SWITCH($A$2,"average", AVERAGE(Instances!D171:D171),"median", MEDIAN(Instances!D171:D171),"min", MIN(Instances!D171:D171),"max", MAX(Instances!D171:D171),"diff", MAX(Instances!D171:D171)-MIN(Instances!D171:D171))</f>
        <v>1667872</v>
      </c>
      <c r="E171" s="1" t="n">
        <f aca="false" t="array" ref="E171:E171">_xlfn.SWITCH($A$2,"average", AVERAGE(Instances!E171:E171),"median", MEDIAN(Instances!E171:E171),"min", MIN(Instances!E171:E171),"max", MAX(Instances!E171:E171),"diff", MAX(Instances!E171:E171)-MIN(Instances!E171:E171))</f>
        <v>0</v>
      </c>
      <c r="F171" s="1" t="n">
        <f aca="false" t="array" ref="F171:F171">_xlfn.SWITCH($A$2,"average", AVERAGE(Instances!F171:F171),"median", MEDIAN(Instances!F171:F171),"min", MIN(Instances!F171:F171),"max", MAX(Instances!F171:F171),"diff", MAX(Instances!F171:F171)-MIN(Instances!F171:F171))</f>
        <v>904</v>
      </c>
      <c r="G171" s="1" t="n">
        <f aca="false" t="array" ref="G171:G171">_xlfn.SWITCH($A$2,"average", AVERAGE(Instances!G171:G171),"median", MEDIAN(Instances!G171:G171),"min", MIN(Instances!G171:G171),"max", MAX(Instances!G171:G171),"diff", MAX(Instances!G171:G171)-MIN(Instances!G171:G171))</f>
        <v>0</v>
      </c>
      <c r="H171" s="1" t="n">
        <f aca="false" t="array" ref="H171:H171">_xlfn.SWITCH($A$2,"average", AVERAGE(Instances!H171:H171),"median", MEDIAN(Instances!H171:H171),"min", MIN(Instances!H171:H171),"max", MAX(Instances!H171:H171),"diff", MAX(Instances!H171:H171)-MIN(Instances!H171:H171))</f>
        <v>1</v>
      </c>
      <c r="I171" s="1" t="n">
        <f aca="false" t="array" ref="I171:I171">_xlfn.SWITCH($A$2,"average", AVERAGE(Instances!I171:I171),"median", MEDIAN(Instances!I171:I171),"min", MIN(Instances!I171:I171),"max", MAX(Instances!I171:I171),"diff", MAX(Instances!I171:I171)-MIN(Instances!I171:I171))</f>
        <v>13.816</v>
      </c>
      <c r="J171" s="1" t="n">
        <f aca="false" t="array" ref="J171:J171">_xlfn.SWITCH($A$2,"average", AVERAGE(Instances!J171:J171),"median", MEDIAN(Instances!J171:J171),"min", MIN(Instances!J171:J171),"max", MAX(Instances!J171:J171),"diff", MAX(Instances!J171:J171)-MIN(Instances!J171:J171))</f>
        <v>14.14</v>
      </c>
      <c r="K171" s="1" t="n">
        <f aca="false" t="array" ref="K171:K171">_xlfn.SWITCH($A$2,"average", AVERAGE(Instances!K171:K171),"median", MEDIAN(Instances!K171:K171),"min", MIN(Instances!K171:K171),"max", MAX(Instances!K171:K171),"diff", MAX(Instances!K171:K171)-MIN(Instances!K171:K171))</f>
        <v>2</v>
      </c>
      <c r="L171" s="1"/>
      <c r="M171" s="1" t="n">
        <f aca="false" t="array" ref="M171:M171">_xlfn.SWITCH($A$2,"average", AVERAGE(Instances!M171:M171),"median", MEDIAN(Instances!M171:M171),"min", MIN(Instances!M171:M171),"max", MAX(Instances!M171:M171),"diff", MAX(Instances!M171:M171)-MIN(Instances!M171:M171))</f>
        <v>3272230</v>
      </c>
      <c r="N171" s="1" t="n">
        <f aca="false" t="array" ref="N171:N171">_xlfn.SWITCH($A$2,"average", AVERAGE(Instances!N171:N171),"median", MEDIAN(Instances!N171:N171),"min", MIN(Instances!N171:N171),"max", MAX(Instances!N171:N171),"diff", MAX(Instances!N171:N171)-MIN(Instances!N171:N171))</f>
        <v>0.35</v>
      </c>
      <c r="O171" s="1"/>
      <c r="P171" s="1" t="n">
        <f aca="false" t="array" ref="P171:P171">_xlfn.SWITCH($A$2,"average", AVERAGE(Instances!P171:P171),"median", MEDIAN(Instances!P171:P171),"min", MIN(Instances!P171:P171),"max", MAX(Instances!P171:P171),"diff", MAX(Instances!P171:P171)-MIN(Instances!P171:P171))</f>
        <v>14.14</v>
      </c>
      <c r="Q171" s="1" t="n">
        <f aca="false" t="array" ref="Q171:Q171">_xlfn.SWITCH($A$2,"average", AVERAGE(Instances!Q171:Q171),"median", MEDIAN(Instances!Q171:Q171),"min", MIN(Instances!Q171:Q171),"max", MAX(Instances!Q171:Q171),"diff", MAX(Instances!Q171:Q171)-MIN(Instances!Q171:Q171))</f>
        <v>0</v>
      </c>
      <c r="R171" s="1" t="n">
        <f aca="false" t="array" ref="R171:R171">_xlfn.SWITCH($A$2,"average", AVERAGE(Instances!R171:R171),"median", MEDIAN(Instances!R171:R171),"min", MIN(Instances!R171:R171),"max", MAX(Instances!R171:R171),"diff", MAX(Instances!R171:R171)-MIN(Instances!R171:R171))</f>
        <v>902490</v>
      </c>
      <c r="S171" s="1" t="n">
        <f aca="false">MIN($B171)</f>
        <v>10001</v>
      </c>
      <c r="T171" s="1" t="n">
        <f aca="false">MIN($C171)</f>
        <v>161</v>
      </c>
      <c r="U171" s="1" t="n">
        <f aca="false">MIN($D171)</f>
        <v>1667872</v>
      </c>
      <c r="V171" s="1" t="n">
        <f aca="false">MIN($E171)</f>
        <v>0</v>
      </c>
      <c r="W171" s="1" t="n">
        <f aca="false">MIN($F171)</f>
        <v>904</v>
      </c>
      <c r="X171" s="1" t="n">
        <f aca="false">MIN($G171)</f>
        <v>0</v>
      </c>
      <c r="Y171" s="1" t="n">
        <f aca="false">MIN($H171)</f>
        <v>1</v>
      </c>
      <c r="Z171" s="1" t="n">
        <f aca="false">MIN($I171)</f>
        <v>13.816</v>
      </c>
      <c r="AA171" s="1" t="n">
        <f aca="false">MIN($J171)</f>
        <v>14.14</v>
      </c>
      <c r="AB171" s="1" t="n">
        <f aca="false">MIN($K171)</f>
        <v>2</v>
      </c>
      <c r="AC171" s="1" t="n">
        <f aca="false">MIN($M171)</f>
        <v>3272230</v>
      </c>
      <c r="AD171" s="1" t="n">
        <f aca="false">MIN($N171)</f>
        <v>0.35</v>
      </c>
      <c r="AE171" s="1" t="n">
        <f aca="false">MIN($P171)</f>
        <v>14.14</v>
      </c>
      <c r="AF171" s="1" t="n">
        <f aca="false">MIN($Q171)</f>
        <v>0</v>
      </c>
      <c r="AG171" s="1" t="n">
        <f aca="false">MIN($R171)</f>
        <v>902490</v>
      </c>
      <c r="AH171" s="1" t="n">
        <f aca="false">MEDIAN($B171)</f>
        <v>10001</v>
      </c>
      <c r="AI171" s="1" t="n">
        <f aca="false">MEDIAN($C171)</f>
        <v>161</v>
      </c>
      <c r="AJ171" s="1" t="n">
        <f aca="false">MEDIAN($D171)</f>
        <v>1667872</v>
      </c>
      <c r="AK171" s="1" t="n">
        <f aca="false">MEDIAN($E171)</f>
        <v>0</v>
      </c>
      <c r="AL171" s="1" t="n">
        <f aca="false">MEDIAN($F171)</f>
        <v>904</v>
      </c>
      <c r="AM171" s="1" t="n">
        <f aca="false">MEDIAN($G171)</f>
        <v>0</v>
      </c>
      <c r="AN171" s="1" t="n">
        <f aca="false">MEDIAN($H171)</f>
        <v>1</v>
      </c>
      <c r="AO171" s="1" t="n">
        <f aca="false">MEDIAN($I171)</f>
        <v>13.816</v>
      </c>
      <c r="AP171" s="1" t="n">
        <f aca="false">MEDIAN($J171)</f>
        <v>14.14</v>
      </c>
      <c r="AQ171" s="1" t="n">
        <f aca="false">MEDIAN($K171)</f>
        <v>2</v>
      </c>
      <c r="AR171" s="1" t="n">
        <f aca="false">MEDIAN($M171)</f>
        <v>3272230</v>
      </c>
      <c r="AS171" s="1" t="n">
        <f aca="false">MEDIAN($N171)</f>
        <v>0.35</v>
      </c>
      <c r="AT171" s="1" t="n">
        <f aca="false">MEDIAN($P171)</f>
        <v>14.14</v>
      </c>
      <c r="AU171" s="1" t="n">
        <f aca="false">MEDIAN($Q171)</f>
        <v>0</v>
      </c>
      <c r="AV171" s="1" t="n">
        <f aca="false">MEDIAN($R171)</f>
        <v>902490</v>
      </c>
      <c r="AW171" s="1" t="n">
        <f aca="false">MAX($B171)</f>
        <v>10001</v>
      </c>
      <c r="AX171" s="1" t="n">
        <f aca="false">MAX($C171)</f>
        <v>161</v>
      </c>
      <c r="AY171" s="1" t="n">
        <f aca="false">MAX($D171)</f>
        <v>1667872</v>
      </c>
      <c r="AZ171" s="1" t="n">
        <f aca="false">MAX($E171)</f>
        <v>0</v>
      </c>
      <c r="BA171" s="1" t="n">
        <f aca="false">MAX($F171)</f>
        <v>904</v>
      </c>
      <c r="BB171" s="1" t="n">
        <f aca="false">MAX($G171)</f>
        <v>0</v>
      </c>
      <c r="BC171" s="1" t="n">
        <f aca="false">MAX($H171)</f>
        <v>1</v>
      </c>
      <c r="BD171" s="1" t="n">
        <f aca="false">MAX($I171)</f>
        <v>13.816</v>
      </c>
      <c r="BE171" s="1" t="n">
        <f aca="false">MAX($J171)</f>
        <v>14.14</v>
      </c>
      <c r="BF171" s="1" t="n">
        <f aca="false">MAX($K171)</f>
        <v>2</v>
      </c>
      <c r="BG171" s="1" t="n">
        <f aca="false">MAX($M171)</f>
        <v>3272230</v>
      </c>
      <c r="BH171" s="1" t="n">
        <f aca="false">MAX($N171)</f>
        <v>0.35</v>
      </c>
      <c r="BI171" s="1" t="n">
        <f aca="false">MAX($P171)</f>
        <v>14.14</v>
      </c>
      <c r="BJ171" s="1" t="n">
        <f aca="false">MAX($Q171)</f>
        <v>0</v>
      </c>
      <c r="BK171" s="1" t="n">
        <f aca="false">MAX($R171)</f>
        <v>902490</v>
      </c>
    </row>
    <row r="172" customFormat="false" ht="15" hidden="false" customHeight="false" outlineLevel="0" collapsed="false">
      <c r="A172" s="1" t="s">
        <v>189</v>
      </c>
      <c r="B172" s="1" t="n">
        <f aca="false" t="array" ref="B172:B172">_xlfn.SWITCH($A$2,"average", AVERAGE(Instances!B172:B172),"median", MEDIAN(Instances!B172:B172),"min", MIN(Instances!B172:B172),"max", MAX(Instances!B172:B172),"diff", MAX(Instances!B172:B172)-MIN(Instances!B172:B172))</f>
        <v>3099</v>
      </c>
      <c r="C172" s="1" t="n">
        <f aca="false" t="array" ref="C172:C172">_xlfn.SWITCH($A$2,"average", AVERAGE(Instances!C172:C172),"median", MEDIAN(Instances!C172:C172),"min", MIN(Instances!C172:C172),"max", MAX(Instances!C172:C172),"diff", MAX(Instances!C172:C172)-MIN(Instances!C172:C172))</f>
        <v>3</v>
      </c>
      <c r="D172" s="1" t="n">
        <f aca="false" t="array" ref="D172:D172">_xlfn.SWITCH($A$2,"average", AVERAGE(Instances!D172:D172),"median", MEDIAN(Instances!D172:D172),"min", MIN(Instances!D172:D172),"max", MAX(Instances!D172:D172),"diff", MAX(Instances!D172:D172)-MIN(Instances!D172:D172))</f>
        <v>1419099</v>
      </c>
      <c r="E172" s="1" t="n">
        <f aca="false" t="array" ref="E172:E172">_xlfn.SWITCH($A$2,"average", AVERAGE(Instances!E172:E172),"median", MEDIAN(Instances!E172:E172),"min", MIN(Instances!E172:E172),"max", MAX(Instances!E172:E172),"diff", MAX(Instances!E172:E172)-MIN(Instances!E172:E172))</f>
        <v>0</v>
      </c>
      <c r="F172" s="1" t="n">
        <f aca="false" t="array" ref="F172:F172">_xlfn.SWITCH($A$2,"average", AVERAGE(Instances!F172:F172),"median", MEDIAN(Instances!F172:F172),"min", MIN(Instances!F172:F172),"max", MAX(Instances!F172:F172),"diff", MAX(Instances!F172:F172)-MIN(Instances!F172:F172))</f>
        <v>837</v>
      </c>
      <c r="G172" s="1" t="n">
        <f aca="false" t="array" ref="G172:G172">_xlfn.SWITCH($A$2,"average", AVERAGE(Instances!G172:G172),"median", MEDIAN(Instances!G172:G172),"min", MIN(Instances!G172:G172),"max", MAX(Instances!G172:G172),"diff", MAX(Instances!G172:G172)-MIN(Instances!G172:G172))</f>
        <v>0</v>
      </c>
      <c r="H172" s="1" t="n">
        <f aca="false" t="array" ref="H172:H172">_xlfn.SWITCH($A$2,"average", AVERAGE(Instances!H172:H172),"median", MEDIAN(Instances!H172:H172),"min", MIN(Instances!H172:H172),"max", MAX(Instances!H172:H172),"diff", MAX(Instances!H172:H172)-MIN(Instances!H172:H172))</f>
        <v>1</v>
      </c>
      <c r="I172" s="1" t="n">
        <f aca="false" t="array" ref="I172:I172">_xlfn.SWITCH($A$2,"average", AVERAGE(Instances!I172:I172),"median", MEDIAN(Instances!I172:I172),"min", MIN(Instances!I172:I172),"max", MAX(Instances!I172:I172),"diff", MAX(Instances!I172:I172)-MIN(Instances!I172:I172))</f>
        <v>12.38</v>
      </c>
      <c r="J172" s="1" t="n">
        <f aca="false" t="array" ref="J172:J172">_xlfn.SWITCH($A$2,"average", AVERAGE(Instances!J172:J172),"median", MEDIAN(Instances!J172:J172),"min", MIN(Instances!J172:J172),"max", MAX(Instances!J172:J172),"diff", MAX(Instances!J172:J172)-MIN(Instances!J172:J172))</f>
        <v>12.69</v>
      </c>
      <c r="K172" s="1" t="n">
        <f aca="false" t="array" ref="K172:K172">_xlfn.SWITCH($A$2,"average", AVERAGE(Instances!K172:K172),"median", MEDIAN(Instances!K172:K172),"min", MIN(Instances!K172:K172),"max", MAX(Instances!K172:K172),"diff", MAX(Instances!K172:K172)-MIN(Instances!K172:K172))</f>
        <v>0</v>
      </c>
      <c r="L172" s="1"/>
      <c r="M172" s="1" t="n">
        <f aca="false" t="array" ref="M172:M172">_xlfn.SWITCH($A$2,"average", AVERAGE(Instances!M172:M172),"median", MEDIAN(Instances!M172:M172),"min", MIN(Instances!M172:M172),"max", MAX(Instances!M172:M172),"diff", MAX(Instances!M172:M172)-MIN(Instances!M172:M172))</f>
        <v>2904720</v>
      </c>
      <c r="N172" s="1" t="n">
        <f aca="false" t="array" ref="N172:N172">_xlfn.SWITCH($A$2,"average", AVERAGE(Instances!N172:N172),"median", MEDIAN(Instances!N172:N172),"min", MIN(Instances!N172:N172),"max", MAX(Instances!N172:N172),"diff", MAX(Instances!N172:N172)-MIN(Instances!N172:N172))</f>
        <v>0.1</v>
      </c>
      <c r="O172" s="1"/>
      <c r="P172" s="1" t="n">
        <f aca="false" t="array" ref="P172:P172">_xlfn.SWITCH($A$2,"average", AVERAGE(Instances!P172:P172),"median", MEDIAN(Instances!P172:P172),"min", MIN(Instances!P172:P172),"max", MAX(Instances!P172:P172),"diff", MAX(Instances!P172:P172)-MIN(Instances!P172:P172))</f>
        <v>12.69</v>
      </c>
      <c r="Q172" s="1" t="n">
        <f aca="false" t="array" ref="Q172:Q172">_xlfn.SWITCH($A$2,"average", AVERAGE(Instances!Q172:Q172),"median", MEDIAN(Instances!Q172:Q172),"min", MIN(Instances!Q172:Q172),"max", MAX(Instances!Q172:Q172),"diff", MAX(Instances!Q172:Q172)-MIN(Instances!Q172:Q172))</f>
        <v>0</v>
      </c>
      <c r="R172" s="1" t="n">
        <f aca="false" t="array" ref="R172:R172">_xlfn.SWITCH($A$2,"average", AVERAGE(Instances!R172:R172),"median", MEDIAN(Instances!R172:R172),"min", MIN(Instances!R172:R172),"max", MAX(Instances!R172:R172),"diff", MAX(Instances!R172:R172)-MIN(Instances!R172:R172))</f>
        <v>829578</v>
      </c>
      <c r="S172" s="1" t="n">
        <f aca="false">MIN($B172)</f>
        <v>3099</v>
      </c>
      <c r="T172" s="1" t="n">
        <f aca="false">MIN($C172)</f>
        <v>3</v>
      </c>
      <c r="U172" s="1" t="n">
        <f aca="false">MIN($D172)</f>
        <v>1419099</v>
      </c>
      <c r="V172" s="1" t="n">
        <f aca="false">MIN($E172)</f>
        <v>0</v>
      </c>
      <c r="W172" s="1" t="n">
        <f aca="false">MIN($F172)</f>
        <v>837</v>
      </c>
      <c r="X172" s="1" t="n">
        <f aca="false">MIN($G172)</f>
        <v>0</v>
      </c>
      <c r="Y172" s="1" t="n">
        <f aca="false">MIN($H172)</f>
        <v>1</v>
      </c>
      <c r="Z172" s="1" t="n">
        <f aca="false">MIN($I172)</f>
        <v>12.38</v>
      </c>
      <c r="AA172" s="1" t="n">
        <f aca="false">MIN($J172)</f>
        <v>12.69</v>
      </c>
      <c r="AB172" s="1" t="n">
        <f aca="false">MIN($K172)</f>
        <v>0</v>
      </c>
      <c r="AC172" s="1" t="n">
        <f aca="false">MIN($M172)</f>
        <v>2904720</v>
      </c>
      <c r="AD172" s="1" t="n">
        <f aca="false">MIN($N172)</f>
        <v>0.1</v>
      </c>
      <c r="AE172" s="1" t="n">
        <f aca="false">MIN($P172)</f>
        <v>12.69</v>
      </c>
      <c r="AF172" s="1" t="n">
        <f aca="false">MIN($Q172)</f>
        <v>0</v>
      </c>
      <c r="AG172" s="1" t="n">
        <f aca="false">MIN($R172)</f>
        <v>829578</v>
      </c>
      <c r="AH172" s="1" t="n">
        <f aca="false">MEDIAN($B172)</f>
        <v>3099</v>
      </c>
      <c r="AI172" s="1" t="n">
        <f aca="false">MEDIAN($C172)</f>
        <v>3</v>
      </c>
      <c r="AJ172" s="1" t="n">
        <f aca="false">MEDIAN($D172)</f>
        <v>1419099</v>
      </c>
      <c r="AK172" s="1" t="n">
        <f aca="false">MEDIAN($E172)</f>
        <v>0</v>
      </c>
      <c r="AL172" s="1" t="n">
        <f aca="false">MEDIAN($F172)</f>
        <v>837</v>
      </c>
      <c r="AM172" s="1" t="n">
        <f aca="false">MEDIAN($G172)</f>
        <v>0</v>
      </c>
      <c r="AN172" s="1" t="n">
        <f aca="false">MEDIAN($H172)</f>
        <v>1</v>
      </c>
      <c r="AO172" s="1" t="n">
        <f aca="false">MEDIAN($I172)</f>
        <v>12.38</v>
      </c>
      <c r="AP172" s="1" t="n">
        <f aca="false">MEDIAN($J172)</f>
        <v>12.69</v>
      </c>
      <c r="AQ172" s="1" t="n">
        <f aca="false">MEDIAN($K172)</f>
        <v>0</v>
      </c>
      <c r="AR172" s="1" t="n">
        <f aca="false">MEDIAN($M172)</f>
        <v>2904720</v>
      </c>
      <c r="AS172" s="1" t="n">
        <f aca="false">MEDIAN($N172)</f>
        <v>0.1</v>
      </c>
      <c r="AT172" s="1" t="n">
        <f aca="false">MEDIAN($P172)</f>
        <v>12.69</v>
      </c>
      <c r="AU172" s="1" t="n">
        <f aca="false">MEDIAN($Q172)</f>
        <v>0</v>
      </c>
      <c r="AV172" s="1" t="n">
        <f aca="false">MEDIAN($R172)</f>
        <v>829578</v>
      </c>
      <c r="AW172" s="1" t="n">
        <f aca="false">MAX($B172)</f>
        <v>3099</v>
      </c>
      <c r="AX172" s="1" t="n">
        <f aca="false">MAX($C172)</f>
        <v>3</v>
      </c>
      <c r="AY172" s="1" t="n">
        <f aca="false">MAX($D172)</f>
        <v>1419099</v>
      </c>
      <c r="AZ172" s="1" t="n">
        <f aca="false">MAX($E172)</f>
        <v>0</v>
      </c>
      <c r="BA172" s="1" t="n">
        <f aca="false">MAX($F172)</f>
        <v>837</v>
      </c>
      <c r="BB172" s="1" t="n">
        <f aca="false">MAX($G172)</f>
        <v>0</v>
      </c>
      <c r="BC172" s="1" t="n">
        <f aca="false">MAX($H172)</f>
        <v>1</v>
      </c>
      <c r="BD172" s="1" t="n">
        <f aca="false">MAX($I172)</f>
        <v>12.38</v>
      </c>
      <c r="BE172" s="1" t="n">
        <f aca="false">MAX($J172)</f>
        <v>12.69</v>
      </c>
      <c r="BF172" s="1" t="n">
        <f aca="false">MAX($K172)</f>
        <v>0</v>
      </c>
      <c r="BG172" s="1" t="n">
        <f aca="false">MAX($M172)</f>
        <v>2904720</v>
      </c>
      <c r="BH172" s="1" t="n">
        <f aca="false">MAX($N172)</f>
        <v>0.1</v>
      </c>
      <c r="BI172" s="1" t="n">
        <f aca="false">MAX($P172)</f>
        <v>12.69</v>
      </c>
      <c r="BJ172" s="1" t="n">
        <f aca="false">MAX($Q172)</f>
        <v>0</v>
      </c>
      <c r="BK172" s="1" t="n">
        <f aca="false">MAX($R172)</f>
        <v>829578</v>
      </c>
    </row>
    <row r="173" customFormat="false" ht="15" hidden="false" customHeight="false" outlineLevel="0" collapsed="false">
      <c r="A173" s="1" t="s">
        <v>190</v>
      </c>
      <c r="B173" s="1" t="n">
        <f aca="false" t="array" ref="B173:B173">_xlfn.SWITCH($A$2,"average", AVERAGE(Instances!B173:B173),"median", MEDIAN(Instances!B173:B173),"min", MIN(Instances!B173:B173),"max", MAX(Instances!B173:B173),"diff", MAX(Instances!B173:B173)-MIN(Instances!B173:B173))</f>
        <v>5438</v>
      </c>
      <c r="C173" s="1" t="n">
        <f aca="false" t="array" ref="C173:C173">_xlfn.SWITCH($A$2,"average", AVERAGE(Instances!C173:C173),"median", MEDIAN(Instances!C173:C173),"min", MIN(Instances!C173:C173),"max", MAX(Instances!C173:C173),"diff", MAX(Instances!C173:C173)-MIN(Instances!C173:C173))</f>
        <v>139</v>
      </c>
      <c r="D173" s="1" t="n">
        <f aca="false" t="array" ref="D173:D173">_xlfn.SWITCH($A$2,"average", AVERAGE(Instances!D173:D173),"median", MEDIAN(Instances!D173:D173),"min", MIN(Instances!D173:D173),"max", MAX(Instances!D173:D173),"diff", MAX(Instances!D173:D173)-MIN(Instances!D173:D173))</f>
        <v>1282029</v>
      </c>
      <c r="E173" s="1" t="n">
        <f aca="false" t="array" ref="E173:E173">_xlfn.SWITCH($A$2,"average", AVERAGE(Instances!E173:E173),"median", MEDIAN(Instances!E173:E173),"min", MIN(Instances!E173:E173),"max", MAX(Instances!E173:E173),"diff", MAX(Instances!E173:E173)-MIN(Instances!E173:E173))</f>
        <v>0</v>
      </c>
      <c r="F173" s="1" t="n">
        <f aca="false" t="array" ref="F173:F173">_xlfn.SWITCH($A$2,"average", AVERAGE(Instances!F173:F173),"median", MEDIAN(Instances!F173:F173),"min", MIN(Instances!F173:F173),"max", MAX(Instances!F173:F173),"diff", MAX(Instances!F173:F173)-MIN(Instances!F173:F173))</f>
        <v>808</v>
      </c>
      <c r="G173" s="1" t="n">
        <f aca="false" t="array" ref="G173:G173">_xlfn.SWITCH($A$2,"average", AVERAGE(Instances!G173:G173),"median", MEDIAN(Instances!G173:G173),"min", MIN(Instances!G173:G173),"max", MAX(Instances!G173:G173),"diff", MAX(Instances!G173:G173)-MIN(Instances!G173:G173))</f>
        <v>0</v>
      </c>
      <c r="H173" s="1" t="n">
        <f aca="false" t="array" ref="H173:H173">_xlfn.SWITCH($A$2,"average", AVERAGE(Instances!H173:H173),"median", MEDIAN(Instances!H173:H173),"min", MIN(Instances!H173:H173),"max", MAX(Instances!H173:H173),"diff", MAX(Instances!H173:H173)-MIN(Instances!H173:H173))</f>
        <v>1</v>
      </c>
      <c r="I173" s="1" t="n">
        <f aca="false" t="array" ref="I173:I173">_xlfn.SWITCH($A$2,"average", AVERAGE(Instances!I173:I173),"median", MEDIAN(Instances!I173:I173),"min", MIN(Instances!I173:I173),"max", MAX(Instances!I173:I173),"diff", MAX(Instances!I173:I173)-MIN(Instances!I173:I173))</f>
        <v>11.974</v>
      </c>
      <c r="J173" s="1" t="n">
        <f aca="false" t="array" ref="J173:J173">_xlfn.SWITCH($A$2,"average", AVERAGE(Instances!J173:J173),"median", MEDIAN(Instances!J173:J173),"min", MIN(Instances!J173:J173),"max", MAX(Instances!J173:J173),"diff", MAX(Instances!J173:J173)-MIN(Instances!J173:J173))</f>
        <v>12.27</v>
      </c>
      <c r="K173" s="1" t="n">
        <f aca="false" t="array" ref="K173:K173">_xlfn.SWITCH($A$2,"average", AVERAGE(Instances!K173:K173),"median", MEDIAN(Instances!K173:K173),"min", MIN(Instances!K173:K173),"max", MAX(Instances!K173:K173),"diff", MAX(Instances!K173:K173)-MIN(Instances!K173:K173))</f>
        <v>1</v>
      </c>
      <c r="L173" s="1"/>
      <c r="M173" s="1" t="n">
        <f aca="false" t="array" ref="M173:M173">_xlfn.SWITCH($A$2,"average", AVERAGE(Instances!M173:M173),"median", MEDIAN(Instances!M173:M173),"min", MIN(Instances!M173:M173),"max", MAX(Instances!M173:M173),"diff", MAX(Instances!M173:M173)-MIN(Instances!M173:M173))</f>
        <v>2782886</v>
      </c>
      <c r="N173" s="1" t="n">
        <f aca="false" t="array" ref="N173:N173">_xlfn.SWITCH($A$2,"average", AVERAGE(Instances!N173:N173),"median", MEDIAN(Instances!N173:N173),"min", MIN(Instances!N173:N173),"max", MAX(Instances!N173:N173),"diff", MAX(Instances!N173:N173)-MIN(Instances!N173:N173))</f>
        <v>0.24</v>
      </c>
      <c r="O173" s="1"/>
      <c r="P173" s="1" t="n">
        <f aca="false" t="array" ref="P173:P173">_xlfn.SWITCH($A$2,"average", AVERAGE(Instances!P173:P173),"median", MEDIAN(Instances!P173:P173),"min", MIN(Instances!P173:P173),"max", MAX(Instances!P173:P173),"diff", MAX(Instances!P173:P173)-MIN(Instances!P173:P173))</f>
        <v>12.27</v>
      </c>
      <c r="Q173" s="1" t="n">
        <f aca="false" t="array" ref="Q173:Q173">_xlfn.SWITCH($A$2,"average", AVERAGE(Instances!Q173:Q173),"median", MEDIAN(Instances!Q173:Q173),"min", MIN(Instances!Q173:Q173),"max", MAX(Instances!Q173:Q173),"diff", MAX(Instances!Q173:Q173)-MIN(Instances!Q173:Q173))</f>
        <v>0</v>
      </c>
      <c r="R173" s="1" t="n">
        <f aca="false" t="array" ref="R173:R173">_xlfn.SWITCH($A$2,"average", AVERAGE(Instances!R173:R173),"median", MEDIAN(Instances!R173:R173),"min", MIN(Instances!R173:R173),"max", MAX(Instances!R173:R173),"diff", MAX(Instances!R173:R173)-MIN(Instances!R173:R173))</f>
        <v>794761</v>
      </c>
      <c r="S173" s="1" t="n">
        <f aca="false">MIN($B173)</f>
        <v>5438</v>
      </c>
      <c r="T173" s="1" t="n">
        <f aca="false">MIN($C173)</f>
        <v>139</v>
      </c>
      <c r="U173" s="1" t="n">
        <f aca="false">MIN($D173)</f>
        <v>1282029</v>
      </c>
      <c r="V173" s="1" t="n">
        <f aca="false">MIN($E173)</f>
        <v>0</v>
      </c>
      <c r="W173" s="1" t="n">
        <f aca="false">MIN($F173)</f>
        <v>808</v>
      </c>
      <c r="X173" s="1" t="n">
        <f aca="false">MIN($G173)</f>
        <v>0</v>
      </c>
      <c r="Y173" s="1" t="n">
        <f aca="false">MIN($H173)</f>
        <v>1</v>
      </c>
      <c r="Z173" s="1" t="n">
        <f aca="false">MIN($I173)</f>
        <v>11.974</v>
      </c>
      <c r="AA173" s="1" t="n">
        <f aca="false">MIN($J173)</f>
        <v>12.27</v>
      </c>
      <c r="AB173" s="1" t="n">
        <f aca="false">MIN($K173)</f>
        <v>1</v>
      </c>
      <c r="AC173" s="1" t="n">
        <f aca="false">MIN($M173)</f>
        <v>2782886</v>
      </c>
      <c r="AD173" s="1" t="n">
        <f aca="false">MIN($N173)</f>
        <v>0.24</v>
      </c>
      <c r="AE173" s="1" t="n">
        <f aca="false">MIN($P173)</f>
        <v>12.27</v>
      </c>
      <c r="AF173" s="1" t="n">
        <f aca="false">MIN($Q173)</f>
        <v>0</v>
      </c>
      <c r="AG173" s="1" t="n">
        <f aca="false">MIN($R173)</f>
        <v>794761</v>
      </c>
      <c r="AH173" s="1" t="n">
        <f aca="false">MEDIAN($B173)</f>
        <v>5438</v>
      </c>
      <c r="AI173" s="1" t="n">
        <f aca="false">MEDIAN($C173)</f>
        <v>139</v>
      </c>
      <c r="AJ173" s="1" t="n">
        <f aca="false">MEDIAN($D173)</f>
        <v>1282029</v>
      </c>
      <c r="AK173" s="1" t="n">
        <f aca="false">MEDIAN($E173)</f>
        <v>0</v>
      </c>
      <c r="AL173" s="1" t="n">
        <f aca="false">MEDIAN($F173)</f>
        <v>808</v>
      </c>
      <c r="AM173" s="1" t="n">
        <f aca="false">MEDIAN($G173)</f>
        <v>0</v>
      </c>
      <c r="AN173" s="1" t="n">
        <f aca="false">MEDIAN($H173)</f>
        <v>1</v>
      </c>
      <c r="AO173" s="1" t="n">
        <f aca="false">MEDIAN($I173)</f>
        <v>11.974</v>
      </c>
      <c r="AP173" s="1" t="n">
        <f aca="false">MEDIAN($J173)</f>
        <v>12.27</v>
      </c>
      <c r="AQ173" s="1" t="n">
        <f aca="false">MEDIAN($K173)</f>
        <v>1</v>
      </c>
      <c r="AR173" s="1" t="n">
        <f aca="false">MEDIAN($M173)</f>
        <v>2782886</v>
      </c>
      <c r="AS173" s="1" t="n">
        <f aca="false">MEDIAN($N173)</f>
        <v>0.24</v>
      </c>
      <c r="AT173" s="1" t="n">
        <f aca="false">MEDIAN($P173)</f>
        <v>12.27</v>
      </c>
      <c r="AU173" s="1" t="n">
        <f aca="false">MEDIAN($Q173)</f>
        <v>0</v>
      </c>
      <c r="AV173" s="1" t="n">
        <f aca="false">MEDIAN($R173)</f>
        <v>794761</v>
      </c>
      <c r="AW173" s="1" t="n">
        <f aca="false">MAX($B173)</f>
        <v>5438</v>
      </c>
      <c r="AX173" s="1" t="n">
        <f aca="false">MAX($C173)</f>
        <v>139</v>
      </c>
      <c r="AY173" s="1" t="n">
        <f aca="false">MAX($D173)</f>
        <v>1282029</v>
      </c>
      <c r="AZ173" s="1" t="n">
        <f aca="false">MAX($E173)</f>
        <v>0</v>
      </c>
      <c r="BA173" s="1" t="n">
        <f aca="false">MAX($F173)</f>
        <v>808</v>
      </c>
      <c r="BB173" s="1" t="n">
        <f aca="false">MAX($G173)</f>
        <v>0</v>
      </c>
      <c r="BC173" s="1" t="n">
        <f aca="false">MAX($H173)</f>
        <v>1</v>
      </c>
      <c r="BD173" s="1" t="n">
        <f aca="false">MAX($I173)</f>
        <v>11.974</v>
      </c>
      <c r="BE173" s="1" t="n">
        <f aca="false">MAX($J173)</f>
        <v>12.27</v>
      </c>
      <c r="BF173" s="1" t="n">
        <f aca="false">MAX($K173)</f>
        <v>1</v>
      </c>
      <c r="BG173" s="1" t="n">
        <f aca="false">MAX($M173)</f>
        <v>2782886</v>
      </c>
      <c r="BH173" s="1" t="n">
        <f aca="false">MAX($N173)</f>
        <v>0.24</v>
      </c>
      <c r="BI173" s="1" t="n">
        <f aca="false">MAX($P173)</f>
        <v>12.27</v>
      </c>
      <c r="BJ173" s="1" t="n">
        <f aca="false">MAX($Q173)</f>
        <v>0</v>
      </c>
      <c r="BK173" s="1" t="n">
        <f aca="false">MAX($R173)</f>
        <v>794761</v>
      </c>
    </row>
    <row r="174" customFormat="false" ht="15" hidden="false" customHeight="false" outlineLevel="0" collapsed="false">
      <c r="A174" s="1" t="s">
        <v>191</v>
      </c>
      <c r="B174" s="1" t="n">
        <f aca="false" t="array" ref="B174:B174">_xlfn.SWITCH($A$2,"average", AVERAGE(Instances!B174:B174),"median", MEDIAN(Instances!B174:B174),"min", MIN(Instances!B174:B174),"max", MAX(Instances!B174:B174),"diff", MAX(Instances!B174:B174)-MIN(Instances!B174:B174))</f>
        <v>3312</v>
      </c>
      <c r="C174" s="1" t="n">
        <f aca="false" t="array" ref="C174:C174">_xlfn.SWITCH($A$2,"average", AVERAGE(Instances!C174:C174),"median", MEDIAN(Instances!C174:C174),"min", MIN(Instances!C174:C174),"max", MAX(Instances!C174:C174),"diff", MAX(Instances!C174:C174)-MIN(Instances!C174:C174))</f>
        <v>0</v>
      </c>
      <c r="D174" s="1" t="n">
        <f aca="false" t="array" ref="D174:D174">_xlfn.SWITCH($A$2,"average", AVERAGE(Instances!D174:D174),"median", MEDIAN(Instances!D174:D174),"min", MIN(Instances!D174:D174),"max", MAX(Instances!D174:D174),"diff", MAX(Instances!D174:D174)-MIN(Instances!D174:D174))</f>
        <v>1403436</v>
      </c>
      <c r="E174" s="1" t="n">
        <f aca="false" t="array" ref="E174:E174">_xlfn.SWITCH($A$2,"average", AVERAGE(Instances!E174:E174),"median", MEDIAN(Instances!E174:E174),"min", MIN(Instances!E174:E174),"max", MAX(Instances!E174:E174),"diff", MAX(Instances!E174:E174)-MIN(Instances!E174:E174))</f>
        <v>0</v>
      </c>
      <c r="F174" s="1" t="n">
        <f aca="false" t="array" ref="F174:F174">_xlfn.SWITCH($A$2,"average", AVERAGE(Instances!F174:F174),"median", MEDIAN(Instances!F174:F174),"min", MIN(Instances!F174:F174),"max", MAX(Instances!F174:F174),"diff", MAX(Instances!F174:F174)-MIN(Instances!F174:F174))</f>
        <v>836</v>
      </c>
      <c r="G174" s="1" t="n">
        <f aca="false" t="array" ref="G174:G174">_xlfn.SWITCH($A$2,"average", AVERAGE(Instances!G174:G174),"median", MEDIAN(Instances!G174:G174),"min", MIN(Instances!G174:G174),"max", MAX(Instances!G174:G174),"diff", MAX(Instances!G174:G174)-MIN(Instances!G174:G174))</f>
        <v>0</v>
      </c>
      <c r="H174" s="1" t="n">
        <f aca="false" t="array" ref="H174:H174">_xlfn.SWITCH($A$2,"average", AVERAGE(Instances!H174:H174),"median", MEDIAN(Instances!H174:H174),"min", MIN(Instances!H174:H174),"max", MAX(Instances!H174:H174),"diff", MAX(Instances!H174:H174)-MIN(Instances!H174:H174))</f>
        <v>1</v>
      </c>
      <c r="I174" s="1" t="n">
        <f aca="false" t="array" ref="I174:I174">_xlfn.SWITCH($A$2,"average", AVERAGE(Instances!I174:I174),"median", MEDIAN(Instances!I174:I174),"min", MIN(Instances!I174:I174),"max", MAX(Instances!I174:I174),"diff", MAX(Instances!I174:I174)-MIN(Instances!I174:I174))</f>
        <v>11.4</v>
      </c>
      <c r="J174" s="1" t="n">
        <f aca="false" t="array" ref="J174:J174">_xlfn.SWITCH($A$2,"average", AVERAGE(Instances!J174:J174),"median", MEDIAN(Instances!J174:J174),"min", MIN(Instances!J174:J174),"max", MAX(Instances!J174:J174),"diff", MAX(Instances!J174:J174)-MIN(Instances!J174:J174))</f>
        <v>11.67</v>
      </c>
      <c r="K174" s="1" t="n">
        <f aca="false" t="array" ref="K174:K174">_xlfn.SWITCH($A$2,"average", AVERAGE(Instances!K174:K174),"median", MEDIAN(Instances!K174:K174),"min", MIN(Instances!K174:K174),"max", MAX(Instances!K174:K174),"diff", MAX(Instances!K174:K174)-MIN(Instances!K174:K174))</f>
        <v>0</v>
      </c>
      <c r="L174" s="1"/>
      <c r="M174" s="1" t="n">
        <f aca="false" t="array" ref="M174:M174">_xlfn.SWITCH($A$2,"average", AVERAGE(Instances!M174:M174),"median", MEDIAN(Instances!M174:M174),"min", MIN(Instances!M174:M174),"max", MAX(Instances!M174:M174),"diff", MAX(Instances!M174:M174)-MIN(Instances!M174:M174))</f>
        <v>2883530</v>
      </c>
      <c r="N174" s="1" t="n">
        <f aca="false" t="array" ref="N174:N174">_xlfn.SWITCH($A$2,"average", AVERAGE(Instances!N174:N174),"median", MEDIAN(Instances!N174:N174),"min", MIN(Instances!N174:N174),"max", MAX(Instances!N174:N174),"diff", MAX(Instances!N174:N174)-MIN(Instances!N174:N174))</f>
        <v>0.09</v>
      </c>
      <c r="O174" s="1"/>
      <c r="P174" s="1" t="n">
        <f aca="false" t="array" ref="P174:P174">_xlfn.SWITCH($A$2,"average", AVERAGE(Instances!P174:P174),"median", MEDIAN(Instances!P174:P174),"min", MIN(Instances!P174:P174),"max", MAX(Instances!P174:P174),"diff", MAX(Instances!P174:P174)-MIN(Instances!P174:P174))</f>
        <v>11.67</v>
      </c>
      <c r="Q174" s="1" t="n">
        <f aca="false" t="array" ref="Q174:Q174">_xlfn.SWITCH($A$2,"average", AVERAGE(Instances!Q174:Q174),"median", MEDIAN(Instances!Q174:Q174),"min", MIN(Instances!Q174:Q174),"max", MAX(Instances!Q174:Q174),"diff", MAX(Instances!Q174:Q174)-MIN(Instances!Q174:Q174))</f>
        <v>0</v>
      </c>
      <c r="R174" s="1" t="n">
        <f aca="false" t="array" ref="R174:R174">_xlfn.SWITCH($A$2,"average", AVERAGE(Instances!R174:R174),"median", MEDIAN(Instances!R174:R174),"min", MIN(Instances!R174:R174),"max", MAX(Instances!R174:R174),"diff", MAX(Instances!R174:R174)-MIN(Instances!R174:R174))</f>
        <v>822584</v>
      </c>
      <c r="S174" s="1" t="n">
        <f aca="false">MIN($B174)</f>
        <v>3312</v>
      </c>
      <c r="T174" s="1" t="n">
        <f aca="false">MIN($C174)</f>
        <v>0</v>
      </c>
      <c r="U174" s="1" t="n">
        <f aca="false">MIN($D174)</f>
        <v>1403436</v>
      </c>
      <c r="V174" s="1" t="n">
        <f aca="false">MIN($E174)</f>
        <v>0</v>
      </c>
      <c r="W174" s="1" t="n">
        <f aca="false">MIN($F174)</f>
        <v>836</v>
      </c>
      <c r="X174" s="1" t="n">
        <f aca="false">MIN($G174)</f>
        <v>0</v>
      </c>
      <c r="Y174" s="1" t="n">
        <f aca="false">MIN($H174)</f>
        <v>1</v>
      </c>
      <c r="Z174" s="1" t="n">
        <f aca="false">MIN($I174)</f>
        <v>11.4</v>
      </c>
      <c r="AA174" s="1" t="n">
        <f aca="false">MIN($J174)</f>
        <v>11.67</v>
      </c>
      <c r="AB174" s="1" t="n">
        <f aca="false">MIN($K174)</f>
        <v>0</v>
      </c>
      <c r="AC174" s="1" t="n">
        <f aca="false">MIN($M174)</f>
        <v>2883530</v>
      </c>
      <c r="AD174" s="1" t="n">
        <f aca="false">MIN($N174)</f>
        <v>0.09</v>
      </c>
      <c r="AE174" s="1" t="n">
        <f aca="false">MIN($P174)</f>
        <v>11.67</v>
      </c>
      <c r="AF174" s="1" t="n">
        <f aca="false">MIN($Q174)</f>
        <v>0</v>
      </c>
      <c r="AG174" s="1" t="n">
        <f aca="false">MIN($R174)</f>
        <v>822584</v>
      </c>
      <c r="AH174" s="1" t="n">
        <f aca="false">MEDIAN($B174)</f>
        <v>3312</v>
      </c>
      <c r="AI174" s="1" t="n">
        <f aca="false">MEDIAN($C174)</f>
        <v>0</v>
      </c>
      <c r="AJ174" s="1" t="n">
        <f aca="false">MEDIAN($D174)</f>
        <v>1403436</v>
      </c>
      <c r="AK174" s="1" t="n">
        <f aca="false">MEDIAN($E174)</f>
        <v>0</v>
      </c>
      <c r="AL174" s="1" t="n">
        <f aca="false">MEDIAN($F174)</f>
        <v>836</v>
      </c>
      <c r="AM174" s="1" t="n">
        <f aca="false">MEDIAN($G174)</f>
        <v>0</v>
      </c>
      <c r="AN174" s="1" t="n">
        <f aca="false">MEDIAN($H174)</f>
        <v>1</v>
      </c>
      <c r="AO174" s="1" t="n">
        <f aca="false">MEDIAN($I174)</f>
        <v>11.4</v>
      </c>
      <c r="AP174" s="1" t="n">
        <f aca="false">MEDIAN($J174)</f>
        <v>11.67</v>
      </c>
      <c r="AQ174" s="1" t="n">
        <f aca="false">MEDIAN($K174)</f>
        <v>0</v>
      </c>
      <c r="AR174" s="1" t="n">
        <f aca="false">MEDIAN($M174)</f>
        <v>2883530</v>
      </c>
      <c r="AS174" s="1" t="n">
        <f aca="false">MEDIAN($N174)</f>
        <v>0.09</v>
      </c>
      <c r="AT174" s="1" t="n">
        <f aca="false">MEDIAN($P174)</f>
        <v>11.67</v>
      </c>
      <c r="AU174" s="1" t="n">
        <f aca="false">MEDIAN($Q174)</f>
        <v>0</v>
      </c>
      <c r="AV174" s="1" t="n">
        <f aca="false">MEDIAN($R174)</f>
        <v>822584</v>
      </c>
      <c r="AW174" s="1" t="n">
        <f aca="false">MAX($B174)</f>
        <v>3312</v>
      </c>
      <c r="AX174" s="1" t="n">
        <f aca="false">MAX($C174)</f>
        <v>0</v>
      </c>
      <c r="AY174" s="1" t="n">
        <f aca="false">MAX($D174)</f>
        <v>1403436</v>
      </c>
      <c r="AZ174" s="1" t="n">
        <f aca="false">MAX($E174)</f>
        <v>0</v>
      </c>
      <c r="BA174" s="1" t="n">
        <f aca="false">MAX($F174)</f>
        <v>836</v>
      </c>
      <c r="BB174" s="1" t="n">
        <f aca="false">MAX($G174)</f>
        <v>0</v>
      </c>
      <c r="BC174" s="1" t="n">
        <f aca="false">MAX($H174)</f>
        <v>1</v>
      </c>
      <c r="BD174" s="1" t="n">
        <f aca="false">MAX($I174)</f>
        <v>11.4</v>
      </c>
      <c r="BE174" s="1" t="n">
        <f aca="false">MAX($J174)</f>
        <v>11.67</v>
      </c>
      <c r="BF174" s="1" t="n">
        <f aca="false">MAX($K174)</f>
        <v>0</v>
      </c>
      <c r="BG174" s="1" t="n">
        <f aca="false">MAX($M174)</f>
        <v>2883530</v>
      </c>
      <c r="BH174" s="1" t="n">
        <f aca="false">MAX($N174)</f>
        <v>0.09</v>
      </c>
      <c r="BI174" s="1" t="n">
        <f aca="false">MAX($P174)</f>
        <v>11.67</v>
      </c>
      <c r="BJ174" s="1" t="n">
        <f aca="false">MAX($Q174)</f>
        <v>0</v>
      </c>
      <c r="BK174" s="1" t="n">
        <f aca="false">MAX($R174)</f>
        <v>822584</v>
      </c>
    </row>
    <row r="175" customFormat="false" ht="15" hidden="false" customHeight="false" outlineLevel="0" collapsed="false">
      <c r="A175" s="1" t="s">
        <v>192</v>
      </c>
      <c r="B175" s="1" t="n">
        <f aca="false" t="array" ref="B175:B175">_xlfn.SWITCH($A$2,"average", AVERAGE(Instances!B175:B175),"median", MEDIAN(Instances!B175:B175),"min", MIN(Instances!B175:B175),"max", MAX(Instances!B175:B175),"diff", MAX(Instances!B175:B175)-MIN(Instances!B175:B175))</f>
        <v>2852</v>
      </c>
      <c r="C175" s="1" t="n">
        <f aca="false" t="array" ref="C175:C175">_xlfn.SWITCH($A$2,"average", AVERAGE(Instances!C175:C175),"median", MEDIAN(Instances!C175:C175),"min", MIN(Instances!C175:C175),"max", MAX(Instances!C175:C175),"diff", MAX(Instances!C175:C175)-MIN(Instances!C175:C175))</f>
        <v>2</v>
      </c>
      <c r="D175" s="1" t="n">
        <f aca="false" t="array" ref="D175:D175">_xlfn.SWITCH($A$2,"average", AVERAGE(Instances!D175:D175),"median", MEDIAN(Instances!D175:D175),"min", MIN(Instances!D175:D175),"max", MAX(Instances!D175:D175),"diff", MAX(Instances!D175:D175)-MIN(Instances!D175:D175))</f>
        <v>1744593</v>
      </c>
      <c r="E175" s="1" t="n">
        <f aca="false" t="array" ref="E175:E175">_xlfn.SWITCH($A$2,"average", AVERAGE(Instances!E175:E175),"median", MEDIAN(Instances!E175:E175),"min", MIN(Instances!E175:E175),"max", MAX(Instances!E175:E175),"diff", MAX(Instances!E175:E175)-MIN(Instances!E175:E175))</f>
        <v>0</v>
      </c>
      <c r="F175" s="1" t="n">
        <f aca="false" t="array" ref="F175:F175">_xlfn.SWITCH($A$2,"average", AVERAGE(Instances!F175:F175),"median", MEDIAN(Instances!F175:F175),"min", MIN(Instances!F175:F175),"max", MAX(Instances!F175:F175),"diff", MAX(Instances!F175:F175)-MIN(Instances!F175:F175))</f>
        <v>979</v>
      </c>
      <c r="G175" s="1" t="n">
        <f aca="false" t="array" ref="G175:G175">_xlfn.SWITCH($A$2,"average", AVERAGE(Instances!G175:G175),"median", MEDIAN(Instances!G175:G175),"min", MIN(Instances!G175:G175),"max", MAX(Instances!G175:G175),"diff", MAX(Instances!G175:G175)-MIN(Instances!G175:G175))</f>
        <v>0</v>
      </c>
      <c r="H175" s="1" t="n">
        <f aca="false" t="array" ref="H175:H175">_xlfn.SWITCH($A$2,"average", AVERAGE(Instances!H175:H175),"median", MEDIAN(Instances!H175:H175),"min", MIN(Instances!H175:H175),"max", MAX(Instances!H175:H175),"diff", MAX(Instances!H175:H175)-MIN(Instances!H175:H175))</f>
        <v>1</v>
      </c>
      <c r="I175" s="1" t="n">
        <f aca="false" t="array" ref="I175:I175">_xlfn.SWITCH($A$2,"average", AVERAGE(Instances!I175:I175),"median", MEDIAN(Instances!I175:I175),"min", MIN(Instances!I175:I175),"max", MAX(Instances!I175:I175),"diff", MAX(Instances!I175:I175)-MIN(Instances!I175:I175))</f>
        <v>15.649</v>
      </c>
      <c r="J175" s="1" t="n">
        <f aca="false" t="array" ref="J175:J175">_xlfn.SWITCH($A$2,"average", AVERAGE(Instances!J175:J175),"median", MEDIAN(Instances!J175:J175),"min", MIN(Instances!J175:J175),"max", MAX(Instances!J175:J175),"diff", MAX(Instances!J175:J175)-MIN(Instances!J175:J175))</f>
        <v>16.03</v>
      </c>
      <c r="K175" s="1" t="n">
        <f aca="false" t="array" ref="K175:K175">_xlfn.SWITCH($A$2,"average", AVERAGE(Instances!K175:K175),"median", MEDIAN(Instances!K175:K175),"min", MIN(Instances!K175:K175),"max", MAX(Instances!K175:K175),"diff", MAX(Instances!K175:K175)-MIN(Instances!K175:K175))</f>
        <v>0</v>
      </c>
      <c r="L175" s="1"/>
      <c r="M175" s="1" t="n">
        <f aca="false" t="array" ref="M175:M175">_xlfn.SWITCH($A$2,"average", AVERAGE(Instances!M175:M175),"median", MEDIAN(Instances!M175:M175),"min", MIN(Instances!M175:M175),"max", MAX(Instances!M175:M175),"diff", MAX(Instances!M175:M175)-MIN(Instances!M175:M175))</f>
        <v>3746765</v>
      </c>
      <c r="N175" s="1" t="n">
        <f aca="false" t="array" ref="N175:N175">_xlfn.SWITCH($A$2,"average", AVERAGE(Instances!N175:N175),"median", MEDIAN(Instances!N175:N175),"min", MIN(Instances!N175:N175),"max", MAX(Instances!N175:N175),"diff", MAX(Instances!N175:N175)-MIN(Instances!N175:N175))</f>
        <v>0.14</v>
      </c>
      <c r="O175" s="1"/>
      <c r="P175" s="1" t="n">
        <f aca="false" t="array" ref="P175:P175">_xlfn.SWITCH($A$2,"average", AVERAGE(Instances!P175:P175),"median", MEDIAN(Instances!P175:P175),"min", MIN(Instances!P175:P175),"max", MAX(Instances!P175:P175),"diff", MAX(Instances!P175:P175)-MIN(Instances!P175:P175))</f>
        <v>16.03</v>
      </c>
      <c r="Q175" s="1" t="n">
        <f aca="false" t="array" ref="Q175:Q175">_xlfn.SWITCH($A$2,"average", AVERAGE(Instances!Q175:Q175),"median", MEDIAN(Instances!Q175:Q175),"min", MIN(Instances!Q175:Q175),"max", MAX(Instances!Q175:Q175),"diff", MAX(Instances!Q175:Q175)-MIN(Instances!Q175:Q175))</f>
        <v>0</v>
      </c>
      <c r="R175" s="1" t="n">
        <f aca="false" t="array" ref="R175:R175">_xlfn.SWITCH($A$2,"average", AVERAGE(Instances!R175:R175),"median", MEDIAN(Instances!R175:R175),"min", MIN(Instances!R175:R175),"max", MAX(Instances!R175:R175),"diff", MAX(Instances!R175:R175)-MIN(Instances!R175:R175))</f>
        <v>990949</v>
      </c>
      <c r="S175" s="1" t="n">
        <f aca="false">MIN($B175)</f>
        <v>2852</v>
      </c>
      <c r="T175" s="1" t="n">
        <f aca="false">MIN($C175)</f>
        <v>2</v>
      </c>
      <c r="U175" s="1" t="n">
        <f aca="false">MIN($D175)</f>
        <v>1744593</v>
      </c>
      <c r="V175" s="1" t="n">
        <f aca="false">MIN($E175)</f>
        <v>0</v>
      </c>
      <c r="W175" s="1" t="n">
        <f aca="false">MIN($F175)</f>
        <v>979</v>
      </c>
      <c r="X175" s="1" t="n">
        <f aca="false">MIN($G175)</f>
        <v>0</v>
      </c>
      <c r="Y175" s="1" t="n">
        <f aca="false">MIN($H175)</f>
        <v>1</v>
      </c>
      <c r="Z175" s="1" t="n">
        <f aca="false">MIN($I175)</f>
        <v>15.649</v>
      </c>
      <c r="AA175" s="1" t="n">
        <f aca="false">MIN($J175)</f>
        <v>16.03</v>
      </c>
      <c r="AB175" s="1" t="n">
        <f aca="false">MIN($K175)</f>
        <v>0</v>
      </c>
      <c r="AC175" s="1" t="n">
        <f aca="false">MIN($M175)</f>
        <v>3746765</v>
      </c>
      <c r="AD175" s="1" t="n">
        <f aca="false">MIN($N175)</f>
        <v>0.14</v>
      </c>
      <c r="AE175" s="1" t="n">
        <f aca="false">MIN($P175)</f>
        <v>16.03</v>
      </c>
      <c r="AF175" s="1" t="n">
        <f aca="false">MIN($Q175)</f>
        <v>0</v>
      </c>
      <c r="AG175" s="1" t="n">
        <f aca="false">MIN($R175)</f>
        <v>990949</v>
      </c>
      <c r="AH175" s="1" t="n">
        <f aca="false">MEDIAN($B175)</f>
        <v>2852</v>
      </c>
      <c r="AI175" s="1" t="n">
        <f aca="false">MEDIAN($C175)</f>
        <v>2</v>
      </c>
      <c r="AJ175" s="1" t="n">
        <f aca="false">MEDIAN($D175)</f>
        <v>1744593</v>
      </c>
      <c r="AK175" s="1" t="n">
        <f aca="false">MEDIAN($E175)</f>
        <v>0</v>
      </c>
      <c r="AL175" s="1" t="n">
        <f aca="false">MEDIAN($F175)</f>
        <v>979</v>
      </c>
      <c r="AM175" s="1" t="n">
        <f aca="false">MEDIAN($G175)</f>
        <v>0</v>
      </c>
      <c r="AN175" s="1" t="n">
        <f aca="false">MEDIAN($H175)</f>
        <v>1</v>
      </c>
      <c r="AO175" s="1" t="n">
        <f aca="false">MEDIAN($I175)</f>
        <v>15.649</v>
      </c>
      <c r="AP175" s="1" t="n">
        <f aca="false">MEDIAN($J175)</f>
        <v>16.03</v>
      </c>
      <c r="AQ175" s="1" t="n">
        <f aca="false">MEDIAN($K175)</f>
        <v>0</v>
      </c>
      <c r="AR175" s="1" t="n">
        <f aca="false">MEDIAN($M175)</f>
        <v>3746765</v>
      </c>
      <c r="AS175" s="1" t="n">
        <f aca="false">MEDIAN($N175)</f>
        <v>0.14</v>
      </c>
      <c r="AT175" s="1" t="n">
        <f aca="false">MEDIAN($P175)</f>
        <v>16.03</v>
      </c>
      <c r="AU175" s="1" t="n">
        <f aca="false">MEDIAN($Q175)</f>
        <v>0</v>
      </c>
      <c r="AV175" s="1" t="n">
        <f aca="false">MEDIAN($R175)</f>
        <v>990949</v>
      </c>
      <c r="AW175" s="1" t="n">
        <f aca="false">MAX($B175)</f>
        <v>2852</v>
      </c>
      <c r="AX175" s="1" t="n">
        <f aca="false">MAX($C175)</f>
        <v>2</v>
      </c>
      <c r="AY175" s="1" t="n">
        <f aca="false">MAX($D175)</f>
        <v>1744593</v>
      </c>
      <c r="AZ175" s="1" t="n">
        <f aca="false">MAX($E175)</f>
        <v>0</v>
      </c>
      <c r="BA175" s="1" t="n">
        <f aca="false">MAX($F175)</f>
        <v>979</v>
      </c>
      <c r="BB175" s="1" t="n">
        <f aca="false">MAX($G175)</f>
        <v>0</v>
      </c>
      <c r="BC175" s="1" t="n">
        <f aca="false">MAX($H175)</f>
        <v>1</v>
      </c>
      <c r="BD175" s="1" t="n">
        <f aca="false">MAX($I175)</f>
        <v>15.649</v>
      </c>
      <c r="BE175" s="1" t="n">
        <f aca="false">MAX($J175)</f>
        <v>16.03</v>
      </c>
      <c r="BF175" s="1" t="n">
        <f aca="false">MAX($K175)</f>
        <v>0</v>
      </c>
      <c r="BG175" s="1" t="n">
        <f aca="false">MAX($M175)</f>
        <v>3746765</v>
      </c>
      <c r="BH175" s="1" t="n">
        <f aca="false">MAX($N175)</f>
        <v>0.14</v>
      </c>
      <c r="BI175" s="1" t="n">
        <f aca="false">MAX($P175)</f>
        <v>16.03</v>
      </c>
      <c r="BJ175" s="1" t="n">
        <f aca="false">MAX($Q175)</f>
        <v>0</v>
      </c>
      <c r="BK175" s="1" t="n">
        <f aca="false">MAX($R175)</f>
        <v>990949</v>
      </c>
    </row>
    <row r="176" customFormat="false" ht="15" hidden="false" customHeight="false" outlineLevel="0" collapsed="false">
      <c r="A176" s="1" t="s">
        <v>193</v>
      </c>
      <c r="B176" s="1" t="n">
        <f aca="false" t="array" ref="B176:B176">_xlfn.SWITCH($A$2,"average", AVERAGE(Instances!B176:B176),"median", MEDIAN(Instances!B176:B176),"min", MIN(Instances!B176:B176),"max", MAX(Instances!B176:B176),"diff", MAX(Instances!B176:B176)-MIN(Instances!B176:B176))</f>
        <v>15496</v>
      </c>
      <c r="C176" s="1" t="n">
        <f aca="false" t="array" ref="C176:C176">_xlfn.SWITCH($A$2,"average", AVERAGE(Instances!C176:C176),"median", MEDIAN(Instances!C176:C176),"min", MIN(Instances!C176:C176),"max", MAX(Instances!C176:C176),"diff", MAX(Instances!C176:C176)-MIN(Instances!C176:C176))</f>
        <v>702</v>
      </c>
      <c r="D176" s="1" t="n">
        <f aca="false" t="array" ref="D176:D176">_xlfn.SWITCH($A$2,"average", AVERAGE(Instances!D176:D176),"median", MEDIAN(Instances!D176:D176),"min", MIN(Instances!D176:D176),"max", MAX(Instances!D176:D176),"diff", MAX(Instances!D176:D176)-MIN(Instances!D176:D176))</f>
        <v>1871121</v>
      </c>
      <c r="E176" s="1" t="n">
        <f aca="false" t="array" ref="E176:E176">_xlfn.SWITCH($A$2,"average", AVERAGE(Instances!E176:E176),"median", MEDIAN(Instances!E176:E176),"min", MIN(Instances!E176:E176),"max", MAX(Instances!E176:E176),"diff", MAX(Instances!E176:E176)-MIN(Instances!E176:E176))</f>
        <v>0</v>
      </c>
      <c r="F176" s="1" t="n">
        <f aca="false" t="array" ref="F176:F176">_xlfn.SWITCH($A$2,"average", AVERAGE(Instances!F176:F176),"median", MEDIAN(Instances!F176:F176),"min", MIN(Instances!F176:F176),"max", MAX(Instances!F176:F176),"diff", MAX(Instances!F176:F176)-MIN(Instances!F176:F176))</f>
        <v>1016</v>
      </c>
      <c r="G176" s="1" t="n">
        <f aca="false" t="array" ref="G176:G176">_xlfn.SWITCH($A$2,"average", AVERAGE(Instances!G176:G176),"median", MEDIAN(Instances!G176:G176),"min", MIN(Instances!G176:G176),"max", MAX(Instances!G176:G176),"diff", MAX(Instances!G176:G176)-MIN(Instances!G176:G176))</f>
        <v>0</v>
      </c>
      <c r="H176" s="1" t="n">
        <f aca="false" t="array" ref="H176:H176">_xlfn.SWITCH($A$2,"average", AVERAGE(Instances!H176:H176),"median", MEDIAN(Instances!H176:H176),"min", MIN(Instances!H176:H176),"max", MAX(Instances!H176:H176),"diff", MAX(Instances!H176:H176)-MIN(Instances!H176:H176))</f>
        <v>1</v>
      </c>
      <c r="I176" s="1" t="n">
        <f aca="false" t="array" ref="I176:I176">_xlfn.SWITCH($A$2,"average", AVERAGE(Instances!I176:I176),"median", MEDIAN(Instances!I176:I176),"min", MIN(Instances!I176:I176),"max", MAX(Instances!I176:I176),"diff", MAX(Instances!I176:I176)-MIN(Instances!I176:I176))</f>
        <v>16.865</v>
      </c>
      <c r="J176" s="1" t="n">
        <f aca="false" t="array" ref="J176:J176">_xlfn.SWITCH($A$2,"average", AVERAGE(Instances!J176:J176),"median", MEDIAN(Instances!J176:J176),"min", MIN(Instances!J176:J176),"max", MAX(Instances!J176:J176),"diff", MAX(Instances!J176:J176)-MIN(Instances!J176:J176))</f>
        <v>17.26</v>
      </c>
      <c r="K176" s="1" t="n">
        <f aca="false" t="array" ref="K176:K176">_xlfn.SWITCH($A$2,"average", AVERAGE(Instances!K176:K176),"median", MEDIAN(Instances!K176:K176),"min", MIN(Instances!K176:K176),"max", MAX(Instances!K176:K176),"diff", MAX(Instances!K176:K176)-MIN(Instances!K176:K176))</f>
        <v>3</v>
      </c>
      <c r="L176" s="1"/>
      <c r="M176" s="1" t="n">
        <f aca="false" t="array" ref="M176:M176">_xlfn.SWITCH($A$2,"average", AVERAGE(Instances!M176:M176),"median", MEDIAN(Instances!M176:M176),"min", MIN(Instances!M176:M176),"max", MAX(Instances!M176:M176),"diff", MAX(Instances!M176:M176)-MIN(Instances!M176:M176))</f>
        <v>3892879</v>
      </c>
      <c r="N176" s="1" t="n">
        <f aca="false" t="array" ref="N176:N176">_xlfn.SWITCH($A$2,"average", AVERAGE(Instances!N176:N176),"median", MEDIAN(Instances!N176:N176),"min", MIN(Instances!N176:N176),"max", MAX(Instances!N176:N176),"diff", MAX(Instances!N176:N176)-MIN(Instances!N176:N176))</f>
        <v>0.83</v>
      </c>
      <c r="O176" s="1"/>
      <c r="P176" s="1" t="n">
        <f aca="false" t="array" ref="P176:P176">_xlfn.SWITCH($A$2,"average", AVERAGE(Instances!P176:P176),"median", MEDIAN(Instances!P176:P176),"min", MIN(Instances!P176:P176),"max", MAX(Instances!P176:P176),"diff", MAX(Instances!P176:P176)-MIN(Instances!P176:P176))</f>
        <v>17.26</v>
      </c>
      <c r="Q176" s="1" t="n">
        <f aca="false" t="array" ref="Q176:Q176">_xlfn.SWITCH($A$2,"average", AVERAGE(Instances!Q176:Q176),"median", MEDIAN(Instances!Q176:Q176),"min", MIN(Instances!Q176:Q176),"max", MAX(Instances!Q176:Q176),"diff", MAX(Instances!Q176:Q176)-MIN(Instances!Q176:Q176))</f>
        <v>0</v>
      </c>
      <c r="R176" s="1" t="n">
        <f aca="false" t="array" ref="R176:R176">_xlfn.SWITCH($A$2,"average", AVERAGE(Instances!R176:R176),"median", MEDIAN(Instances!R176:R176),"min", MIN(Instances!R176:R176),"max", MAX(Instances!R176:R176),"diff", MAX(Instances!R176:R176)-MIN(Instances!R176:R176))</f>
        <v>1027564</v>
      </c>
      <c r="S176" s="1" t="n">
        <f aca="false">MIN($B176)</f>
        <v>15496</v>
      </c>
      <c r="T176" s="1" t="n">
        <f aca="false">MIN($C176)</f>
        <v>702</v>
      </c>
      <c r="U176" s="1" t="n">
        <f aca="false">MIN($D176)</f>
        <v>1871121</v>
      </c>
      <c r="V176" s="1" t="n">
        <f aca="false">MIN($E176)</f>
        <v>0</v>
      </c>
      <c r="W176" s="1" t="n">
        <f aca="false">MIN($F176)</f>
        <v>1016</v>
      </c>
      <c r="X176" s="1" t="n">
        <f aca="false">MIN($G176)</f>
        <v>0</v>
      </c>
      <c r="Y176" s="1" t="n">
        <f aca="false">MIN($H176)</f>
        <v>1</v>
      </c>
      <c r="Z176" s="1" t="n">
        <f aca="false">MIN($I176)</f>
        <v>16.865</v>
      </c>
      <c r="AA176" s="1" t="n">
        <f aca="false">MIN($J176)</f>
        <v>17.26</v>
      </c>
      <c r="AB176" s="1" t="n">
        <f aca="false">MIN($K176)</f>
        <v>3</v>
      </c>
      <c r="AC176" s="1" t="n">
        <f aca="false">MIN($M176)</f>
        <v>3892879</v>
      </c>
      <c r="AD176" s="1" t="n">
        <f aca="false">MIN($N176)</f>
        <v>0.83</v>
      </c>
      <c r="AE176" s="1" t="n">
        <f aca="false">MIN($P176)</f>
        <v>17.26</v>
      </c>
      <c r="AF176" s="1" t="n">
        <f aca="false">MIN($Q176)</f>
        <v>0</v>
      </c>
      <c r="AG176" s="1" t="n">
        <f aca="false">MIN($R176)</f>
        <v>1027564</v>
      </c>
      <c r="AH176" s="1" t="n">
        <f aca="false">MEDIAN($B176)</f>
        <v>15496</v>
      </c>
      <c r="AI176" s="1" t="n">
        <f aca="false">MEDIAN($C176)</f>
        <v>702</v>
      </c>
      <c r="AJ176" s="1" t="n">
        <f aca="false">MEDIAN($D176)</f>
        <v>1871121</v>
      </c>
      <c r="AK176" s="1" t="n">
        <f aca="false">MEDIAN($E176)</f>
        <v>0</v>
      </c>
      <c r="AL176" s="1" t="n">
        <f aca="false">MEDIAN($F176)</f>
        <v>1016</v>
      </c>
      <c r="AM176" s="1" t="n">
        <f aca="false">MEDIAN($G176)</f>
        <v>0</v>
      </c>
      <c r="AN176" s="1" t="n">
        <f aca="false">MEDIAN($H176)</f>
        <v>1</v>
      </c>
      <c r="AO176" s="1" t="n">
        <f aca="false">MEDIAN($I176)</f>
        <v>16.865</v>
      </c>
      <c r="AP176" s="1" t="n">
        <f aca="false">MEDIAN($J176)</f>
        <v>17.26</v>
      </c>
      <c r="AQ176" s="1" t="n">
        <f aca="false">MEDIAN($K176)</f>
        <v>3</v>
      </c>
      <c r="AR176" s="1" t="n">
        <f aca="false">MEDIAN($M176)</f>
        <v>3892879</v>
      </c>
      <c r="AS176" s="1" t="n">
        <f aca="false">MEDIAN($N176)</f>
        <v>0.83</v>
      </c>
      <c r="AT176" s="1" t="n">
        <f aca="false">MEDIAN($P176)</f>
        <v>17.26</v>
      </c>
      <c r="AU176" s="1" t="n">
        <f aca="false">MEDIAN($Q176)</f>
        <v>0</v>
      </c>
      <c r="AV176" s="1" t="n">
        <f aca="false">MEDIAN($R176)</f>
        <v>1027564</v>
      </c>
      <c r="AW176" s="1" t="n">
        <f aca="false">MAX($B176)</f>
        <v>15496</v>
      </c>
      <c r="AX176" s="1" t="n">
        <f aca="false">MAX($C176)</f>
        <v>702</v>
      </c>
      <c r="AY176" s="1" t="n">
        <f aca="false">MAX($D176)</f>
        <v>1871121</v>
      </c>
      <c r="AZ176" s="1" t="n">
        <f aca="false">MAX($E176)</f>
        <v>0</v>
      </c>
      <c r="BA176" s="1" t="n">
        <f aca="false">MAX($F176)</f>
        <v>1016</v>
      </c>
      <c r="BB176" s="1" t="n">
        <f aca="false">MAX($G176)</f>
        <v>0</v>
      </c>
      <c r="BC176" s="1" t="n">
        <f aca="false">MAX($H176)</f>
        <v>1</v>
      </c>
      <c r="BD176" s="1" t="n">
        <f aca="false">MAX($I176)</f>
        <v>16.865</v>
      </c>
      <c r="BE176" s="1" t="n">
        <f aca="false">MAX($J176)</f>
        <v>17.26</v>
      </c>
      <c r="BF176" s="1" t="n">
        <f aca="false">MAX($K176)</f>
        <v>3</v>
      </c>
      <c r="BG176" s="1" t="n">
        <f aca="false">MAX($M176)</f>
        <v>3892879</v>
      </c>
      <c r="BH176" s="1" t="n">
        <f aca="false">MAX($N176)</f>
        <v>0.83</v>
      </c>
      <c r="BI176" s="1" t="n">
        <f aca="false">MAX($P176)</f>
        <v>17.26</v>
      </c>
      <c r="BJ176" s="1" t="n">
        <f aca="false">MAX($Q176)</f>
        <v>0</v>
      </c>
      <c r="BK176" s="1" t="n">
        <f aca="false">MAX($R176)</f>
        <v>1027564</v>
      </c>
    </row>
    <row r="177" customFormat="false" ht="15" hidden="false" customHeight="false" outlineLevel="0" collapsed="false">
      <c r="A177" s="1" t="s">
        <v>194</v>
      </c>
      <c r="B177" s="1" t="n">
        <f aca="false" t="array" ref="B177:B177">_xlfn.SWITCH($A$2,"average", AVERAGE(Instances!B177:B177),"median", MEDIAN(Instances!B177:B177),"min", MIN(Instances!B177:B177),"max", MAX(Instances!B177:B177),"diff", MAX(Instances!B177:B177)-MIN(Instances!B177:B177))</f>
        <v>188156</v>
      </c>
      <c r="C177" s="1" t="n">
        <f aca="false" t="array" ref="C177:C177">_xlfn.SWITCH($A$2,"average", AVERAGE(Instances!C177:C177),"median", MEDIAN(Instances!C177:C177),"min", MIN(Instances!C177:C177),"max", MAX(Instances!C177:C177),"diff", MAX(Instances!C177:C177)-MIN(Instances!C177:C177))</f>
        <v>2257</v>
      </c>
      <c r="D177" s="1" t="n">
        <f aca="false" t="array" ref="D177:D177">_xlfn.SWITCH($A$2,"average", AVERAGE(Instances!D177:D177),"median", MEDIAN(Instances!D177:D177),"min", MIN(Instances!D177:D177),"max", MAX(Instances!D177:D177),"diff", MAX(Instances!D177:D177)-MIN(Instances!D177:D177))</f>
        <v>1798356</v>
      </c>
      <c r="E177" s="1" t="n">
        <f aca="false" t="array" ref="E177:E177">_xlfn.SWITCH($A$2,"average", AVERAGE(Instances!E177:E177),"median", MEDIAN(Instances!E177:E177),"min", MIN(Instances!E177:E177),"max", MAX(Instances!E177:E177),"diff", MAX(Instances!E177:E177)-MIN(Instances!E177:E177))</f>
        <v>0</v>
      </c>
      <c r="F177" s="1" t="n">
        <f aca="false" t="array" ref="F177:F177">_xlfn.SWITCH($A$2,"average", AVERAGE(Instances!F177:F177),"median", MEDIAN(Instances!F177:F177),"min", MIN(Instances!F177:F177),"max", MAX(Instances!F177:F177),"diff", MAX(Instances!F177:F177)-MIN(Instances!F177:F177))</f>
        <v>1001</v>
      </c>
      <c r="G177" s="1" t="n">
        <f aca="false" t="array" ref="G177:G177">_xlfn.SWITCH($A$2,"average", AVERAGE(Instances!G177:G177),"median", MEDIAN(Instances!G177:G177),"min", MIN(Instances!G177:G177),"max", MAX(Instances!G177:G177),"diff", MAX(Instances!G177:G177)-MIN(Instances!G177:G177))</f>
        <v>0</v>
      </c>
      <c r="H177" s="1" t="n">
        <f aca="false" t="array" ref="H177:H177">_xlfn.SWITCH($A$2,"average", AVERAGE(Instances!H177:H177),"median", MEDIAN(Instances!H177:H177),"min", MIN(Instances!H177:H177),"max", MAX(Instances!H177:H177),"diff", MAX(Instances!H177:H177)-MIN(Instances!H177:H177))</f>
        <v>1</v>
      </c>
      <c r="I177" s="1" t="n">
        <f aca="false" t="array" ref="I177:I177">_xlfn.SWITCH($A$2,"average", AVERAGE(Instances!I177:I177),"median", MEDIAN(Instances!I177:I177),"min", MIN(Instances!I177:I177),"max", MAX(Instances!I177:I177),"diff", MAX(Instances!I177:I177)-MIN(Instances!I177:I177))</f>
        <v>22.666</v>
      </c>
      <c r="J177" s="1" t="n">
        <f aca="false" t="array" ref="J177:J177">_xlfn.SWITCH($A$2,"average", AVERAGE(Instances!J177:J177),"median", MEDIAN(Instances!J177:J177),"min", MIN(Instances!J177:J177),"max", MAX(Instances!J177:J177),"diff", MAX(Instances!J177:J177)-MIN(Instances!J177:J177))</f>
        <v>22.99</v>
      </c>
      <c r="K177" s="1" t="n">
        <f aca="false" t="array" ref="K177:K177">_xlfn.SWITCH($A$2,"average", AVERAGE(Instances!K177:K177),"median", MEDIAN(Instances!K177:K177),"min", MIN(Instances!K177:K177),"max", MAX(Instances!K177:K177),"diff", MAX(Instances!K177:K177)-MIN(Instances!K177:K177))</f>
        <v>12</v>
      </c>
      <c r="L177" s="1"/>
      <c r="M177" s="1" t="n">
        <f aca="false" t="array" ref="M177:M177">_xlfn.SWITCH($A$2,"average", AVERAGE(Instances!M177:M177),"median", MEDIAN(Instances!M177:M177),"min", MIN(Instances!M177:M177),"max", MAX(Instances!M177:M177),"diff", MAX(Instances!M177:M177)-MIN(Instances!M177:M177))</f>
        <v>3808462</v>
      </c>
      <c r="N177" s="1" t="n">
        <f aca="false" t="array" ref="N177:N177">_xlfn.SWITCH($A$2,"average", AVERAGE(Instances!N177:N177),"median", MEDIAN(Instances!N177:N177),"min", MIN(Instances!N177:N177),"max", MAX(Instances!N177:N177),"diff", MAX(Instances!N177:N177)-MIN(Instances!N177:N177))</f>
        <v>7.93</v>
      </c>
      <c r="O177" s="1"/>
      <c r="P177" s="1" t="n">
        <f aca="false" t="array" ref="P177:P177">_xlfn.SWITCH($A$2,"average", AVERAGE(Instances!P177:P177),"median", MEDIAN(Instances!P177:P177),"min", MIN(Instances!P177:P177),"max", MAX(Instances!P177:P177),"diff", MAX(Instances!P177:P177)-MIN(Instances!P177:P177))</f>
        <v>22.99</v>
      </c>
      <c r="Q177" s="1" t="n">
        <f aca="false" t="array" ref="Q177:Q177">_xlfn.SWITCH($A$2,"average", AVERAGE(Instances!Q177:Q177),"median", MEDIAN(Instances!Q177:Q177),"min", MIN(Instances!Q177:Q177),"max", MAX(Instances!Q177:Q177),"diff", MAX(Instances!Q177:Q177)-MIN(Instances!Q177:Q177))</f>
        <v>0</v>
      </c>
      <c r="R177" s="1" t="n">
        <f aca="false" t="array" ref="R177:R177">_xlfn.SWITCH($A$2,"average", AVERAGE(Instances!R177:R177),"median", MEDIAN(Instances!R177:R177),"min", MIN(Instances!R177:R177),"max", MAX(Instances!R177:R177),"diff", MAX(Instances!R177:R177)-MIN(Instances!R177:R177))</f>
        <v>1008407</v>
      </c>
      <c r="S177" s="1" t="n">
        <f aca="false">MIN($B177)</f>
        <v>188156</v>
      </c>
      <c r="T177" s="1" t="n">
        <f aca="false">MIN($C177)</f>
        <v>2257</v>
      </c>
      <c r="U177" s="1" t="n">
        <f aca="false">MIN($D177)</f>
        <v>1798356</v>
      </c>
      <c r="V177" s="1" t="n">
        <f aca="false">MIN($E177)</f>
        <v>0</v>
      </c>
      <c r="W177" s="1" t="n">
        <f aca="false">MIN($F177)</f>
        <v>1001</v>
      </c>
      <c r="X177" s="1" t="n">
        <f aca="false">MIN($G177)</f>
        <v>0</v>
      </c>
      <c r="Y177" s="1" t="n">
        <f aca="false">MIN($H177)</f>
        <v>1</v>
      </c>
      <c r="Z177" s="1" t="n">
        <f aca="false">MIN($I177)</f>
        <v>22.666</v>
      </c>
      <c r="AA177" s="1" t="n">
        <f aca="false">MIN($J177)</f>
        <v>22.99</v>
      </c>
      <c r="AB177" s="1" t="n">
        <f aca="false">MIN($K177)</f>
        <v>12</v>
      </c>
      <c r="AC177" s="1" t="n">
        <f aca="false">MIN($M177)</f>
        <v>3808462</v>
      </c>
      <c r="AD177" s="1" t="n">
        <f aca="false">MIN($N177)</f>
        <v>7.93</v>
      </c>
      <c r="AE177" s="1" t="n">
        <f aca="false">MIN($P177)</f>
        <v>22.99</v>
      </c>
      <c r="AF177" s="1" t="n">
        <f aca="false">MIN($Q177)</f>
        <v>0</v>
      </c>
      <c r="AG177" s="1" t="n">
        <f aca="false">MIN($R177)</f>
        <v>1008407</v>
      </c>
      <c r="AH177" s="1" t="n">
        <f aca="false">MEDIAN($B177)</f>
        <v>188156</v>
      </c>
      <c r="AI177" s="1" t="n">
        <f aca="false">MEDIAN($C177)</f>
        <v>2257</v>
      </c>
      <c r="AJ177" s="1" t="n">
        <f aca="false">MEDIAN($D177)</f>
        <v>1798356</v>
      </c>
      <c r="AK177" s="1" t="n">
        <f aca="false">MEDIAN($E177)</f>
        <v>0</v>
      </c>
      <c r="AL177" s="1" t="n">
        <f aca="false">MEDIAN($F177)</f>
        <v>1001</v>
      </c>
      <c r="AM177" s="1" t="n">
        <f aca="false">MEDIAN($G177)</f>
        <v>0</v>
      </c>
      <c r="AN177" s="1" t="n">
        <f aca="false">MEDIAN($H177)</f>
        <v>1</v>
      </c>
      <c r="AO177" s="1" t="n">
        <f aca="false">MEDIAN($I177)</f>
        <v>22.666</v>
      </c>
      <c r="AP177" s="1" t="n">
        <f aca="false">MEDIAN($J177)</f>
        <v>22.99</v>
      </c>
      <c r="AQ177" s="1" t="n">
        <f aca="false">MEDIAN($K177)</f>
        <v>12</v>
      </c>
      <c r="AR177" s="1" t="n">
        <f aca="false">MEDIAN($M177)</f>
        <v>3808462</v>
      </c>
      <c r="AS177" s="1" t="n">
        <f aca="false">MEDIAN($N177)</f>
        <v>7.93</v>
      </c>
      <c r="AT177" s="1" t="n">
        <f aca="false">MEDIAN($P177)</f>
        <v>22.99</v>
      </c>
      <c r="AU177" s="1" t="n">
        <f aca="false">MEDIAN($Q177)</f>
        <v>0</v>
      </c>
      <c r="AV177" s="1" t="n">
        <f aca="false">MEDIAN($R177)</f>
        <v>1008407</v>
      </c>
      <c r="AW177" s="1" t="n">
        <f aca="false">MAX($B177)</f>
        <v>188156</v>
      </c>
      <c r="AX177" s="1" t="n">
        <f aca="false">MAX($C177)</f>
        <v>2257</v>
      </c>
      <c r="AY177" s="1" t="n">
        <f aca="false">MAX($D177)</f>
        <v>1798356</v>
      </c>
      <c r="AZ177" s="1" t="n">
        <f aca="false">MAX($E177)</f>
        <v>0</v>
      </c>
      <c r="BA177" s="1" t="n">
        <f aca="false">MAX($F177)</f>
        <v>1001</v>
      </c>
      <c r="BB177" s="1" t="n">
        <f aca="false">MAX($G177)</f>
        <v>0</v>
      </c>
      <c r="BC177" s="1" t="n">
        <f aca="false">MAX($H177)</f>
        <v>1</v>
      </c>
      <c r="BD177" s="1" t="n">
        <f aca="false">MAX($I177)</f>
        <v>22.666</v>
      </c>
      <c r="BE177" s="1" t="n">
        <f aca="false">MAX($J177)</f>
        <v>22.99</v>
      </c>
      <c r="BF177" s="1" t="n">
        <f aca="false">MAX($K177)</f>
        <v>12</v>
      </c>
      <c r="BG177" s="1" t="n">
        <f aca="false">MAX($M177)</f>
        <v>3808462</v>
      </c>
      <c r="BH177" s="1" t="n">
        <f aca="false">MAX($N177)</f>
        <v>7.93</v>
      </c>
      <c r="BI177" s="1" t="n">
        <f aca="false">MAX($P177)</f>
        <v>22.99</v>
      </c>
      <c r="BJ177" s="1" t="n">
        <f aca="false">MAX($Q177)</f>
        <v>0</v>
      </c>
      <c r="BK177" s="1" t="n">
        <f aca="false">MAX($R177)</f>
        <v>1008407</v>
      </c>
    </row>
    <row r="178" customFormat="false" ht="15" hidden="false" customHeight="false" outlineLevel="0" collapsed="false">
      <c r="A178" s="1" t="s">
        <v>195</v>
      </c>
      <c r="B178" s="1" t="n">
        <f aca="false" t="array" ref="B178:B178">_xlfn.SWITCH($A$2,"average", AVERAGE(Instances!B178:B178),"median", MEDIAN(Instances!B178:B178),"min", MIN(Instances!B178:B178),"max", MAX(Instances!B178:B178),"diff", MAX(Instances!B178:B178)-MIN(Instances!B178:B178))</f>
        <v>49883</v>
      </c>
      <c r="C178" s="1" t="n">
        <f aca="false" t="array" ref="C178:C178">_xlfn.SWITCH($A$2,"average", AVERAGE(Instances!C178:C178),"median", MEDIAN(Instances!C178:C178),"min", MIN(Instances!C178:C178),"max", MAX(Instances!C178:C178),"diff", MAX(Instances!C178:C178)-MIN(Instances!C178:C178))</f>
        <v>1512</v>
      </c>
      <c r="D178" s="1" t="n">
        <f aca="false" t="array" ref="D178:D178">_xlfn.SWITCH($A$2,"average", AVERAGE(Instances!D178:D178),"median", MEDIAN(Instances!D178:D178),"min", MIN(Instances!D178:D178),"max", MAX(Instances!D178:D178),"diff", MAX(Instances!D178:D178)-MIN(Instances!D178:D178))</f>
        <v>2008833</v>
      </c>
      <c r="E178" s="1" t="n">
        <f aca="false" t="array" ref="E178:E178">_xlfn.SWITCH($A$2,"average", AVERAGE(Instances!E178:E178),"median", MEDIAN(Instances!E178:E178),"min", MIN(Instances!E178:E178),"max", MAX(Instances!E178:E178),"diff", MAX(Instances!E178:E178)-MIN(Instances!E178:E178))</f>
        <v>0</v>
      </c>
      <c r="F178" s="1" t="n">
        <f aca="false" t="array" ref="F178:F178">_xlfn.SWITCH($A$2,"average", AVERAGE(Instances!F178:F178),"median", MEDIAN(Instances!F178:F178),"min", MIN(Instances!F178:F178),"max", MAX(Instances!F178:F178),"diff", MAX(Instances!F178:F178)-MIN(Instances!F178:F178))</f>
        <v>1055</v>
      </c>
      <c r="G178" s="1" t="n">
        <f aca="false" t="array" ref="G178:G178">_xlfn.SWITCH($A$2,"average", AVERAGE(Instances!G178:G178),"median", MEDIAN(Instances!G178:G178),"min", MIN(Instances!G178:G178),"max", MAX(Instances!G178:G178),"diff", MAX(Instances!G178:G178)-MIN(Instances!G178:G178))</f>
        <v>0</v>
      </c>
      <c r="H178" s="1" t="n">
        <f aca="false" t="array" ref="H178:H178">_xlfn.SWITCH($A$2,"average", AVERAGE(Instances!H178:H178),"median", MEDIAN(Instances!H178:H178),"min", MIN(Instances!H178:H178),"max", MAX(Instances!H178:H178),"diff", MAX(Instances!H178:H178)-MIN(Instances!H178:H178))</f>
        <v>1</v>
      </c>
      <c r="I178" s="1" t="n">
        <f aca="false" t="array" ref="I178:I178">_xlfn.SWITCH($A$2,"average", AVERAGE(Instances!I178:I178),"median", MEDIAN(Instances!I178:I178),"min", MIN(Instances!I178:I178),"max", MAX(Instances!I178:I178),"diff", MAX(Instances!I178:I178)-MIN(Instances!I178:I178))</f>
        <v>19.979</v>
      </c>
      <c r="J178" s="1" t="n">
        <f aca="false" t="array" ref="J178:J178">_xlfn.SWITCH($A$2,"average", AVERAGE(Instances!J178:J178),"median", MEDIAN(Instances!J178:J178),"min", MIN(Instances!J178:J178),"max", MAX(Instances!J178:J178),"diff", MAX(Instances!J178:J178)-MIN(Instances!J178:J178))</f>
        <v>20.38</v>
      </c>
      <c r="K178" s="1" t="n">
        <f aca="false" t="array" ref="K178:K178">_xlfn.SWITCH($A$2,"average", AVERAGE(Instances!K178:K178),"median", MEDIAN(Instances!K178:K178),"min", MIN(Instances!K178:K178),"max", MAX(Instances!K178:K178),"diff", MAX(Instances!K178:K178)-MIN(Instances!K178:K178))</f>
        <v>9</v>
      </c>
      <c r="L178" s="1"/>
      <c r="M178" s="1" t="n">
        <f aca="false" t="array" ref="M178:M178">_xlfn.SWITCH($A$2,"average", AVERAGE(Instances!M178:M178),"median", MEDIAN(Instances!M178:M178),"min", MIN(Instances!M178:M178),"max", MAX(Instances!M178:M178),"diff", MAX(Instances!M178:M178)-MIN(Instances!M178:M178))</f>
        <v>4146423</v>
      </c>
      <c r="N178" s="1" t="n">
        <f aca="false" t="array" ref="N178:N178">_xlfn.SWITCH($A$2,"average", AVERAGE(Instances!N178:N178),"median", MEDIAN(Instances!N178:N178),"min", MIN(Instances!N178:N178),"max", MAX(Instances!N178:N178),"diff", MAX(Instances!N178:N178)-MIN(Instances!N178:N178))</f>
        <v>2.81</v>
      </c>
      <c r="O178" s="1"/>
      <c r="P178" s="1" t="n">
        <f aca="false" t="array" ref="P178:P178">_xlfn.SWITCH($A$2,"average", AVERAGE(Instances!P178:P178),"median", MEDIAN(Instances!P178:P178),"min", MIN(Instances!P178:P178),"max", MAX(Instances!P178:P178),"diff", MAX(Instances!P178:P178)-MIN(Instances!P178:P178))</f>
        <v>20.38</v>
      </c>
      <c r="Q178" s="1" t="n">
        <f aca="false" t="array" ref="Q178:Q178">_xlfn.SWITCH($A$2,"average", AVERAGE(Instances!Q178:Q178),"median", MEDIAN(Instances!Q178:Q178),"min", MIN(Instances!Q178:Q178),"max", MAX(Instances!Q178:Q178),"diff", MAX(Instances!Q178:Q178)-MIN(Instances!Q178:Q178))</f>
        <v>0</v>
      </c>
      <c r="R178" s="1" t="n">
        <f aca="false" t="array" ref="R178:R178">_xlfn.SWITCH($A$2,"average", AVERAGE(Instances!R178:R178),"median", MEDIAN(Instances!R178:R178),"min", MIN(Instances!R178:R178),"max", MAX(Instances!R178:R178),"diff", MAX(Instances!R178:R178)-MIN(Instances!R178:R178))</f>
        <v>1064215</v>
      </c>
      <c r="S178" s="1" t="n">
        <f aca="false">MIN($B178)</f>
        <v>49883</v>
      </c>
      <c r="T178" s="1" t="n">
        <f aca="false">MIN($C178)</f>
        <v>1512</v>
      </c>
      <c r="U178" s="1" t="n">
        <f aca="false">MIN($D178)</f>
        <v>2008833</v>
      </c>
      <c r="V178" s="1" t="n">
        <f aca="false">MIN($E178)</f>
        <v>0</v>
      </c>
      <c r="W178" s="1" t="n">
        <f aca="false">MIN($F178)</f>
        <v>1055</v>
      </c>
      <c r="X178" s="1" t="n">
        <f aca="false">MIN($G178)</f>
        <v>0</v>
      </c>
      <c r="Y178" s="1" t="n">
        <f aca="false">MIN($H178)</f>
        <v>1</v>
      </c>
      <c r="Z178" s="1" t="n">
        <f aca="false">MIN($I178)</f>
        <v>19.979</v>
      </c>
      <c r="AA178" s="1" t="n">
        <f aca="false">MIN($J178)</f>
        <v>20.38</v>
      </c>
      <c r="AB178" s="1" t="n">
        <f aca="false">MIN($K178)</f>
        <v>9</v>
      </c>
      <c r="AC178" s="1" t="n">
        <f aca="false">MIN($M178)</f>
        <v>4146423</v>
      </c>
      <c r="AD178" s="1" t="n">
        <f aca="false">MIN($N178)</f>
        <v>2.81</v>
      </c>
      <c r="AE178" s="1" t="n">
        <f aca="false">MIN($P178)</f>
        <v>20.38</v>
      </c>
      <c r="AF178" s="1" t="n">
        <f aca="false">MIN($Q178)</f>
        <v>0</v>
      </c>
      <c r="AG178" s="1" t="n">
        <f aca="false">MIN($R178)</f>
        <v>1064215</v>
      </c>
      <c r="AH178" s="1" t="n">
        <f aca="false">MEDIAN($B178)</f>
        <v>49883</v>
      </c>
      <c r="AI178" s="1" t="n">
        <f aca="false">MEDIAN($C178)</f>
        <v>1512</v>
      </c>
      <c r="AJ178" s="1" t="n">
        <f aca="false">MEDIAN($D178)</f>
        <v>2008833</v>
      </c>
      <c r="AK178" s="1" t="n">
        <f aca="false">MEDIAN($E178)</f>
        <v>0</v>
      </c>
      <c r="AL178" s="1" t="n">
        <f aca="false">MEDIAN($F178)</f>
        <v>1055</v>
      </c>
      <c r="AM178" s="1" t="n">
        <f aca="false">MEDIAN($G178)</f>
        <v>0</v>
      </c>
      <c r="AN178" s="1" t="n">
        <f aca="false">MEDIAN($H178)</f>
        <v>1</v>
      </c>
      <c r="AO178" s="1" t="n">
        <f aca="false">MEDIAN($I178)</f>
        <v>19.979</v>
      </c>
      <c r="AP178" s="1" t="n">
        <f aca="false">MEDIAN($J178)</f>
        <v>20.38</v>
      </c>
      <c r="AQ178" s="1" t="n">
        <f aca="false">MEDIAN($K178)</f>
        <v>9</v>
      </c>
      <c r="AR178" s="1" t="n">
        <f aca="false">MEDIAN($M178)</f>
        <v>4146423</v>
      </c>
      <c r="AS178" s="1" t="n">
        <f aca="false">MEDIAN($N178)</f>
        <v>2.81</v>
      </c>
      <c r="AT178" s="1" t="n">
        <f aca="false">MEDIAN($P178)</f>
        <v>20.38</v>
      </c>
      <c r="AU178" s="1" t="n">
        <f aca="false">MEDIAN($Q178)</f>
        <v>0</v>
      </c>
      <c r="AV178" s="1" t="n">
        <f aca="false">MEDIAN($R178)</f>
        <v>1064215</v>
      </c>
      <c r="AW178" s="1" t="n">
        <f aca="false">MAX($B178)</f>
        <v>49883</v>
      </c>
      <c r="AX178" s="1" t="n">
        <f aca="false">MAX($C178)</f>
        <v>1512</v>
      </c>
      <c r="AY178" s="1" t="n">
        <f aca="false">MAX($D178)</f>
        <v>2008833</v>
      </c>
      <c r="AZ178" s="1" t="n">
        <f aca="false">MAX($E178)</f>
        <v>0</v>
      </c>
      <c r="BA178" s="1" t="n">
        <f aca="false">MAX($F178)</f>
        <v>1055</v>
      </c>
      <c r="BB178" s="1" t="n">
        <f aca="false">MAX($G178)</f>
        <v>0</v>
      </c>
      <c r="BC178" s="1" t="n">
        <f aca="false">MAX($H178)</f>
        <v>1</v>
      </c>
      <c r="BD178" s="1" t="n">
        <f aca="false">MAX($I178)</f>
        <v>19.979</v>
      </c>
      <c r="BE178" s="1" t="n">
        <f aca="false">MAX($J178)</f>
        <v>20.38</v>
      </c>
      <c r="BF178" s="1" t="n">
        <f aca="false">MAX($K178)</f>
        <v>9</v>
      </c>
      <c r="BG178" s="1" t="n">
        <f aca="false">MAX($M178)</f>
        <v>4146423</v>
      </c>
      <c r="BH178" s="1" t="n">
        <f aca="false">MAX($N178)</f>
        <v>2.81</v>
      </c>
      <c r="BI178" s="1" t="n">
        <f aca="false">MAX($P178)</f>
        <v>20.38</v>
      </c>
      <c r="BJ178" s="1" t="n">
        <f aca="false">MAX($Q178)</f>
        <v>0</v>
      </c>
      <c r="BK178" s="1" t="n">
        <f aca="false">MAX($R178)</f>
        <v>1064215</v>
      </c>
    </row>
    <row r="179" customFormat="false" ht="15" hidden="false" customHeight="false" outlineLevel="0" collapsed="false">
      <c r="A179" s="1" t="s">
        <v>196</v>
      </c>
      <c r="B179" s="1" t="n">
        <f aca="false" t="array" ref="B179:B179">_xlfn.SWITCH($A$2,"average", AVERAGE(Instances!B179:B179),"median", MEDIAN(Instances!B179:B179),"min", MIN(Instances!B179:B179),"max", MAX(Instances!B179:B179),"diff", MAX(Instances!B179:B179)-MIN(Instances!B179:B179))</f>
        <v>86172</v>
      </c>
      <c r="C179" s="1" t="n">
        <f aca="false" t="array" ref="C179:C179">_xlfn.SWITCH($A$2,"average", AVERAGE(Instances!C179:C179),"median", MEDIAN(Instances!C179:C179),"min", MIN(Instances!C179:C179),"max", MAX(Instances!C179:C179),"diff", MAX(Instances!C179:C179)-MIN(Instances!C179:C179))</f>
        <v>2972</v>
      </c>
      <c r="D179" s="1" t="n">
        <f aca="false" t="array" ref="D179:D179">_xlfn.SWITCH($A$2,"average", AVERAGE(Instances!D179:D179),"median", MEDIAN(Instances!D179:D179),"min", MIN(Instances!D179:D179),"max", MAX(Instances!D179:D179),"diff", MAX(Instances!D179:D179)-MIN(Instances!D179:D179))</f>
        <v>1723833</v>
      </c>
      <c r="E179" s="1" t="n">
        <f aca="false" t="array" ref="E179:E179">_xlfn.SWITCH($A$2,"average", AVERAGE(Instances!E179:E179),"median", MEDIAN(Instances!E179:E179),"min", MIN(Instances!E179:E179),"max", MAX(Instances!E179:E179),"diff", MAX(Instances!E179:E179)-MIN(Instances!E179:E179))</f>
        <v>0</v>
      </c>
      <c r="F179" s="1" t="n">
        <f aca="false" t="array" ref="F179:F179">_xlfn.SWITCH($A$2,"average", AVERAGE(Instances!F179:F179),"median", MEDIAN(Instances!F179:F179),"min", MIN(Instances!F179:F179),"max", MAX(Instances!F179:F179),"diff", MAX(Instances!F179:F179)-MIN(Instances!F179:F179))</f>
        <v>985</v>
      </c>
      <c r="G179" s="1" t="n">
        <f aca="false" t="array" ref="G179:G179">_xlfn.SWITCH($A$2,"average", AVERAGE(Instances!G179:G179),"median", MEDIAN(Instances!G179:G179),"min", MIN(Instances!G179:G179),"max", MAX(Instances!G179:G179),"diff", MAX(Instances!G179:G179)-MIN(Instances!G179:G179))</f>
        <v>0</v>
      </c>
      <c r="H179" s="1" t="n">
        <f aca="false" t="array" ref="H179:H179">_xlfn.SWITCH($A$2,"average", AVERAGE(Instances!H179:H179),"median", MEDIAN(Instances!H179:H179),"min", MIN(Instances!H179:H179),"max", MAX(Instances!H179:H179),"diff", MAX(Instances!H179:H179)-MIN(Instances!H179:H179))</f>
        <v>1</v>
      </c>
      <c r="I179" s="1" t="n">
        <f aca="false" t="array" ref="I179:I179">_xlfn.SWITCH($A$2,"average", AVERAGE(Instances!I179:I179),"median", MEDIAN(Instances!I179:I179),"min", MIN(Instances!I179:I179),"max", MAX(Instances!I179:I179),"diff", MAX(Instances!I179:I179)-MIN(Instances!I179:I179))</f>
        <v>20.669</v>
      </c>
      <c r="J179" s="1" t="n">
        <f aca="false" t="array" ref="J179:J179">_xlfn.SWITCH($A$2,"average", AVERAGE(Instances!J179:J179),"median", MEDIAN(Instances!J179:J179),"min", MIN(Instances!J179:J179),"max", MAX(Instances!J179:J179),"diff", MAX(Instances!J179:J179)-MIN(Instances!J179:J179))</f>
        <v>21</v>
      </c>
      <c r="K179" s="1" t="n">
        <f aca="false" t="array" ref="K179:K179">_xlfn.SWITCH($A$2,"average", AVERAGE(Instances!K179:K179),"median", MEDIAN(Instances!K179:K179),"min", MIN(Instances!K179:K179),"max", MAX(Instances!K179:K179),"diff", MAX(Instances!K179:K179)-MIN(Instances!K179:K179))</f>
        <v>20</v>
      </c>
      <c r="L179" s="1"/>
      <c r="M179" s="1" t="n">
        <f aca="false" t="array" ref="M179:M179">_xlfn.SWITCH($A$2,"average", AVERAGE(Instances!M179:M179),"median", MEDIAN(Instances!M179:M179),"min", MIN(Instances!M179:M179),"max", MAX(Instances!M179:M179),"diff", MAX(Instances!M179:M179)-MIN(Instances!M179:M179))</f>
        <v>3750773</v>
      </c>
      <c r="N179" s="1" t="n">
        <f aca="false" t="array" ref="N179:N179">_xlfn.SWITCH($A$2,"average", AVERAGE(Instances!N179:N179),"median", MEDIAN(Instances!N179:N179),"min", MIN(Instances!N179:N179),"max", MAX(Instances!N179:N179),"diff", MAX(Instances!N179:N179)-MIN(Instances!N179:N179))</f>
        <v>6.2</v>
      </c>
      <c r="O179" s="1"/>
      <c r="P179" s="1" t="n">
        <f aca="false" t="array" ref="P179:P179">_xlfn.SWITCH($A$2,"average", AVERAGE(Instances!P179:P179),"median", MEDIAN(Instances!P179:P179),"min", MIN(Instances!P179:P179),"max", MAX(Instances!P179:P179),"diff", MAX(Instances!P179:P179)-MIN(Instances!P179:P179))</f>
        <v>21</v>
      </c>
      <c r="Q179" s="1" t="n">
        <f aca="false" t="array" ref="Q179:Q179">_xlfn.SWITCH($A$2,"average", AVERAGE(Instances!Q179:Q179),"median", MEDIAN(Instances!Q179:Q179),"min", MIN(Instances!Q179:Q179),"max", MAX(Instances!Q179:Q179),"diff", MAX(Instances!Q179:Q179)-MIN(Instances!Q179:Q179))</f>
        <v>0</v>
      </c>
      <c r="R179" s="1" t="n">
        <f aca="false" t="array" ref="R179:R179">_xlfn.SWITCH($A$2,"average", AVERAGE(Instances!R179:R179),"median", MEDIAN(Instances!R179:R179),"min", MIN(Instances!R179:R179),"max", MAX(Instances!R179:R179),"diff", MAX(Instances!R179:R179)-MIN(Instances!R179:R179))</f>
        <v>992614</v>
      </c>
      <c r="S179" s="1" t="n">
        <f aca="false">MIN($B179)</f>
        <v>86172</v>
      </c>
      <c r="T179" s="1" t="n">
        <f aca="false">MIN($C179)</f>
        <v>2972</v>
      </c>
      <c r="U179" s="1" t="n">
        <f aca="false">MIN($D179)</f>
        <v>1723833</v>
      </c>
      <c r="V179" s="1" t="n">
        <f aca="false">MIN($E179)</f>
        <v>0</v>
      </c>
      <c r="W179" s="1" t="n">
        <f aca="false">MIN($F179)</f>
        <v>985</v>
      </c>
      <c r="X179" s="1" t="n">
        <f aca="false">MIN($G179)</f>
        <v>0</v>
      </c>
      <c r="Y179" s="1" t="n">
        <f aca="false">MIN($H179)</f>
        <v>1</v>
      </c>
      <c r="Z179" s="1" t="n">
        <f aca="false">MIN($I179)</f>
        <v>20.669</v>
      </c>
      <c r="AA179" s="1" t="n">
        <f aca="false">MIN($J179)</f>
        <v>21</v>
      </c>
      <c r="AB179" s="1" t="n">
        <f aca="false">MIN($K179)</f>
        <v>20</v>
      </c>
      <c r="AC179" s="1" t="n">
        <f aca="false">MIN($M179)</f>
        <v>3750773</v>
      </c>
      <c r="AD179" s="1" t="n">
        <f aca="false">MIN($N179)</f>
        <v>6.2</v>
      </c>
      <c r="AE179" s="1" t="n">
        <f aca="false">MIN($P179)</f>
        <v>21</v>
      </c>
      <c r="AF179" s="1" t="n">
        <f aca="false">MIN($Q179)</f>
        <v>0</v>
      </c>
      <c r="AG179" s="1" t="n">
        <f aca="false">MIN($R179)</f>
        <v>992614</v>
      </c>
      <c r="AH179" s="1" t="n">
        <f aca="false">MEDIAN($B179)</f>
        <v>86172</v>
      </c>
      <c r="AI179" s="1" t="n">
        <f aca="false">MEDIAN($C179)</f>
        <v>2972</v>
      </c>
      <c r="AJ179" s="1" t="n">
        <f aca="false">MEDIAN($D179)</f>
        <v>1723833</v>
      </c>
      <c r="AK179" s="1" t="n">
        <f aca="false">MEDIAN($E179)</f>
        <v>0</v>
      </c>
      <c r="AL179" s="1" t="n">
        <f aca="false">MEDIAN($F179)</f>
        <v>985</v>
      </c>
      <c r="AM179" s="1" t="n">
        <f aca="false">MEDIAN($G179)</f>
        <v>0</v>
      </c>
      <c r="AN179" s="1" t="n">
        <f aca="false">MEDIAN($H179)</f>
        <v>1</v>
      </c>
      <c r="AO179" s="1" t="n">
        <f aca="false">MEDIAN($I179)</f>
        <v>20.669</v>
      </c>
      <c r="AP179" s="1" t="n">
        <f aca="false">MEDIAN($J179)</f>
        <v>21</v>
      </c>
      <c r="AQ179" s="1" t="n">
        <f aca="false">MEDIAN($K179)</f>
        <v>20</v>
      </c>
      <c r="AR179" s="1" t="n">
        <f aca="false">MEDIAN($M179)</f>
        <v>3750773</v>
      </c>
      <c r="AS179" s="1" t="n">
        <f aca="false">MEDIAN($N179)</f>
        <v>6.2</v>
      </c>
      <c r="AT179" s="1" t="n">
        <f aca="false">MEDIAN($P179)</f>
        <v>21</v>
      </c>
      <c r="AU179" s="1" t="n">
        <f aca="false">MEDIAN($Q179)</f>
        <v>0</v>
      </c>
      <c r="AV179" s="1" t="n">
        <f aca="false">MEDIAN($R179)</f>
        <v>992614</v>
      </c>
      <c r="AW179" s="1" t="n">
        <f aca="false">MAX($B179)</f>
        <v>86172</v>
      </c>
      <c r="AX179" s="1" t="n">
        <f aca="false">MAX($C179)</f>
        <v>2972</v>
      </c>
      <c r="AY179" s="1" t="n">
        <f aca="false">MAX($D179)</f>
        <v>1723833</v>
      </c>
      <c r="AZ179" s="1" t="n">
        <f aca="false">MAX($E179)</f>
        <v>0</v>
      </c>
      <c r="BA179" s="1" t="n">
        <f aca="false">MAX($F179)</f>
        <v>985</v>
      </c>
      <c r="BB179" s="1" t="n">
        <f aca="false">MAX($G179)</f>
        <v>0</v>
      </c>
      <c r="BC179" s="1" t="n">
        <f aca="false">MAX($H179)</f>
        <v>1</v>
      </c>
      <c r="BD179" s="1" t="n">
        <f aca="false">MAX($I179)</f>
        <v>20.669</v>
      </c>
      <c r="BE179" s="1" t="n">
        <f aca="false">MAX($J179)</f>
        <v>21</v>
      </c>
      <c r="BF179" s="1" t="n">
        <f aca="false">MAX($K179)</f>
        <v>20</v>
      </c>
      <c r="BG179" s="1" t="n">
        <f aca="false">MAX($M179)</f>
        <v>3750773</v>
      </c>
      <c r="BH179" s="1" t="n">
        <f aca="false">MAX($N179)</f>
        <v>6.2</v>
      </c>
      <c r="BI179" s="1" t="n">
        <f aca="false">MAX($P179)</f>
        <v>21</v>
      </c>
      <c r="BJ179" s="1" t="n">
        <f aca="false">MAX($Q179)</f>
        <v>0</v>
      </c>
      <c r="BK179" s="1" t="n">
        <f aca="false">MAX($R179)</f>
        <v>992614</v>
      </c>
    </row>
    <row r="180" customFormat="false" ht="15" hidden="false" customHeight="false" outlineLevel="0" collapsed="false">
      <c r="A180" s="1" t="s">
        <v>197</v>
      </c>
      <c r="B180" s="1" t="n">
        <f aca="false" t="array" ref="B180:B180">_xlfn.SWITCH($A$2,"average", AVERAGE(Instances!B180:B180),"median", MEDIAN(Instances!B180:B180),"min", MIN(Instances!B180:B180),"max", MAX(Instances!B180:B180),"diff", MAX(Instances!B180:B180)-MIN(Instances!B180:B180))</f>
        <v>124084</v>
      </c>
      <c r="C180" s="1" t="n">
        <f aca="false" t="array" ref="C180:C180">_xlfn.SWITCH($A$2,"average", AVERAGE(Instances!C180:C180),"median", MEDIAN(Instances!C180:C180),"min", MIN(Instances!C180:C180),"max", MAX(Instances!C180:C180),"diff", MAX(Instances!C180:C180)-MIN(Instances!C180:C180))</f>
        <v>693</v>
      </c>
      <c r="D180" s="1" t="n">
        <f aca="false" t="array" ref="D180:D180">_xlfn.SWITCH($A$2,"average", AVERAGE(Instances!D180:D180),"median", MEDIAN(Instances!D180:D180),"min", MIN(Instances!D180:D180),"max", MAX(Instances!D180:D180),"diff", MAX(Instances!D180:D180)-MIN(Instances!D180:D180))</f>
        <v>1854286</v>
      </c>
      <c r="E180" s="1" t="n">
        <f aca="false" t="array" ref="E180:E180">_xlfn.SWITCH($A$2,"average", AVERAGE(Instances!E180:E180),"median", MEDIAN(Instances!E180:E180),"min", MIN(Instances!E180:E180),"max", MAX(Instances!E180:E180),"diff", MAX(Instances!E180:E180)-MIN(Instances!E180:E180))</f>
        <v>0</v>
      </c>
      <c r="F180" s="1" t="n">
        <f aca="false" t="array" ref="F180:F180">_xlfn.SWITCH($A$2,"average", AVERAGE(Instances!F180:F180),"median", MEDIAN(Instances!F180:F180),"min", MIN(Instances!F180:F180),"max", MAX(Instances!F180:F180),"diff", MAX(Instances!F180:F180)-MIN(Instances!F180:F180))</f>
        <v>1010</v>
      </c>
      <c r="G180" s="1" t="n">
        <f aca="false" t="array" ref="G180:G180">_xlfn.SWITCH($A$2,"average", AVERAGE(Instances!G180:G180),"median", MEDIAN(Instances!G180:G180),"min", MIN(Instances!G180:G180),"max", MAX(Instances!G180:G180),"diff", MAX(Instances!G180:G180)-MIN(Instances!G180:G180))</f>
        <v>0</v>
      </c>
      <c r="H180" s="1" t="n">
        <f aca="false" t="array" ref="H180:H180">_xlfn.SWITCH($A$2,"average", AVERAGE(Instances!H180:H180),"median", MEDIAN(Instances!H180:H180),"min", MIN(Instances!H180:H180),"max", MAX(Instances!H180:H180),"diff", MAX(Instances!H180:H180)-MIN(Instances!H180:H180))</f>
        <v>1</v>
      </c>
      <c r="I180" s="1" t="n">
        <f aca="false" t="array" ref="I180:I180">_xlfn.SWITCH($A$2,"average", AVERAGE(Instances!I180:I180),"median", MEDIAN(Instances!I180:I180),"min", MIN(Instances!I180:I180),"max", MAX(Instances!I180:I180),"diff", MAX(Instances!I180:I180)-MIN(Instances!I180:I180))</f>
        <v>20.022</v>
      </c>
      <c r="J180" s="1" t="n">
        <f aca="false" t="array" ref="J180:J180">_xlfn.SWITCH($A$2,"average", AVERAGE(Instances!J180:J180),"median", MEDIAN(Instances!J180:J180),"min", MIN(Instances!J180:J180),"max", MAX(Instances!J180:J180),"diff", MAX(Instances!J180:J180)-MIN(Instances!J180:J180))</f>
        <v>20.39</v>
      </c>
      <c r="K180" s="1" t="n">
        <f aca="false" t="array" ref="K180:K180">_xlfn.SWITCH($A$2,"average", AVERAGE(Instances!K180:K180),"median", MEDIAN(Instances!K180:K180),"min", MIN(Instances!K180:K180),"max", MAX(Instances!K180:K180),"diff", MAX(Instances!K180:K180)-MIN(Instances!K180:K180))</f>
        <v>6</v>
      </c>
      <c r="L180" s="1"/>
      <c r="M180" s="1" t="n">
        <f aca="false" t="array" ref="M180:M180">_xlfn.SWITCH($A$2,"average", AVERAGE(Instances!M180:M180),"median", MEDIAN(Instances!M180:M180),"min", MIN(Instances!M180:M180),"max", MAX(Instances!M180:M180),"diff", MAX(Instances!M180:M180)-MIN(Instances!M180:M180))</f>
        <v>3868547</v>
      </c>
      <c r="N180" s="1" t="n">
        <f aca="false" t="array" ref="N180:N180">_xlfn.SWITCH($A$2,"average", AVERAGE(Instances!N180:N180),"median", MEDIAN(Instances!N180:N180),"min", MIN(Instances!N180:N180),"max", MAX(Instances!N180:N180),"diff", MAX(Instances!N180:N180)-MIN(Instances!N180:N180))</f>
        <v>3.98</v>
      </c>
      <c r="O180" s="1"/>
      <c r="P180" s="1" t="n">
        <f aca="false" t="array" ref="P180:P180">_xlfn.SWITCH($A$2,"average", AVERAGE(Instances!P180:P180),"median", MEDIAN(Instances!P180:P180),"min", MIN(Instances!P180:P180),"max", MAX(Instances!P180:P180),"diff", MAX(Instances!P180:P180)-MIN(Instances!P180:P180))</f>
        <v>20.39</v>
      </c>
      <c r="Q180" s="1" t="n">
        <f aca="false" t="array" ref="Q180:Q180">_xlfn.SWITCH($A$2,"average", AVERAGE(Instances!Q180:Q180),"median", MEDIAN(Instances!Q180:Q180),"min", MIN(Instances!Q180:Q180),"max", MAX(Instances!Q180:Q180),"diff", MAX(Instances!Q180:Q180)-MIN(Instances!Q180:Q180))</f>
        <v>0</v>
      </c>
      <c r="R180" s="1" t="n">
        <f aca="false" t="array" ref="R180:R180">_xlfn.SWITCH($A$2,"average", AVERAGE(Instances!R180:R180),"median", MEDIAN(Instances!R180:R180),"min", MIN(Instances!R180:R180),"max", MAX(Instances!R180:R180),"diff", MAX(Instances!R180:R180)-MIN(Instances!R180:R180))</f>
        <v>1020061</v>
      </c>
      <c r="S180" s="1" t="n">
        <f aca="false">MIN($B180)</f>
        <v>124084</v>
      </c>
      <c r="T180" s="1" t="n">
        <f aca="false">MIN($C180)</f>
        <v>693</v>
      </c>
      <c r="U180" s="1" t="n">
        <f aca="false">MIN($D180)</f>
        <v>1854286</v>
      </c>
      <c r="V180" s="1" t="n">
        <f aca="false">MIN($E180)</f>
        <v>0</v>
      </c>
      <c r="W180" s="1" t="n">
        <f aca="false">MIN($F180)</f>
        <v>1010</v>
      </c>
      <c r="X180" s="1" t="n">
        <f aca="false">MIN($G180)</f>
        <v>0</v>
      </c>
      <c r="Y180" s="1" t="n">
        <f aca="false">MIN($H180)</f>
        <v>1</v>
      </c>
      <c r="Z180" s="1" t="n">
        <f aca="false">MIN($I180)</f>
        <v>20.022</v>
      </c>
      <c r="AA180" s="1" t="n">
        <f aca="false">MIN($J180)</f>
        <v>20.39</v>
      </c>
      <c r="AB180" s="1" t="n">
        <f aca="false">MIN($K180)</f>
        <v>6</v>
      </c>
      <c r="AC180" s="1" t="n">
        <f aca="false">MIN($M180)</f>
        <v>3868547</v>
      </c>
      <c r="AD180" s="1" t="n">
        <f aca="false">MIN($N180)</f>
        <v>3.98</v>
      </c>
      <c r="AE180" s="1" t="n">
        <f aca="false">MIN($P180)</f>
        <v>20.39</v>
      </c>
      <c r="AF180" s="1" t="n">
        <f aca="false">MIN($Q180)</f>
        <v>0</v>
      </c>
      <c r="AG180" s="1" t="n">
        <f aca="false">MIN($R180)</f>
        <v>1020061</v>
      </c>
      <c r="AH180" s="1" t="n">
        <f aca="false">MEDIAN($B180)</f>
        <v>124084</v>
      </c>
      <c r="AI180" s="1" t="n">
        <f aca="false">MEDIAN($C180)</f>
        <v>693</v>
      </c>
      <c r="AJ180" s="1" t="n">
        <f aca="false">MEDIAN($D180)</f>
        <v>1854286</v>
      </c>
      <c r="AK180" s="1" t="n">
        <f aca="false">MEDIAN($E180)</f>
        <v>0</v>
      </c>
      <c r="AL180" s="1" t="n">
        <f aca="false">MEDIAN($F180)</f>
        <v>1010</v>
      </c>
      <c r="AM180" s="1" t="n">
        <f aca="false">MEDIAN($G180)</f>
        <v>0</v>
      </c>
      <c r="AN180" s="1" t="n">
        <f aca="false">MEDIAN($H180)</f>
        <v>1</v>
      </c>
      <c r="AO180" s="1" t="n">
        <f aca="false">MEDIAN($I180)</f>
        <v>20.022</v>
      </c>
      <c r="AP180" s="1" t="n">
        <f aca="false">MEDIAN($J180)</f>
        <v>20.39</v>
      </c>
      <c r="AQ180" s="1" t="n">
        <f aca="false">MEDIAN($K180)</f>
        <v>6</v>
      </c>
      <c r="AR180" s="1" t="n">
        <f aca="false">MEDIAN($M180)</f>
        <v>3868547</v>
      </c>
      <c r="AS180" s="1" t="n">
        <f aca="false">MEDIAN($N180)</f>
        <v>3.98</v>
      </c>
      <c r="AT180" s="1" t="n">
        <f aca="false">MEDIAN($P180)</f>
        <v>20.39</v>
      </c>
      <c r="AU180" s="1" t="n">
        <f aca="false">MEDIAN($Q180)</f>
        <v>0</v>
      </c>
      <c r="AV180" s="1" t="n">
        <f aca="false">MEDIAN($R180)</f>
        <v>1020061</v>
      </c>
      <c r="AW180" s="1" t="n">
        <f aca="false">MAX($B180)</f>
        <v>124084</v>
      </c>
      <c r="AX180" s="1" t="n">
        <f aca="false">MAX($C180)</f>
        <v>693</v>
      </c>
      <c r="AY180" s="1" t="n">
        <f aca="false">MAX($D180)</f>
        <v>1854286</v>
      </c>
      <c r="AZ180" s="1" t="n">
        <f aca="false">MAX($E180)</f>
        <v>0</v>
      </c>
      <c r="BA180" s="1" t="n">
        <f aca="false">MAX($F180)</f>
        <v>1010</v>
      </c>
      <c r="BB180" s="1" t="n">
        <f aca="false">MAX($G180)</f>
        <v>0</v>
      </c>
      <c r="BC180" s="1" t="n">
        <f aca="false">MAX($H180)</f>
        <v>1</v>
      </c>
      <c r="BD180" s="1" t="n">
        <f aca="false">MAX($I180)</f>
        <v>20.022</v>
      </c>
      <c r="BE180" s="1" t="n">
        <f aca="false">MAX($J180)</f>
        <v>20.39</v>
      </c>
      <c r="BF180" s="1" t="n">
        <f aca="false">MAX($K180)</f>
        <v>6</v>
      </c>
      <c r="BG180" s="1" t="n">
        <f aca="false">MAX($M180)</f>
        <v>3868547</v>
      </c>
      <c r="BH180" s="1" t="n">
        <f aca="false">MAX($N180)</f>
        <v>3.98</v>
      </c>
      <c r="BI180" s="1" t="n">
        <f aca="false">MAX($P180)</f>
        <v>20.39</v>
      </c>
      <c r="BJ180" s="1" t="n">
        <f aca="false">MAX($Q180)</f>
        <v>0</v>
      </c>
      <c r="BK180" s="1" t="n">
        <f aca="false">MAX($R180)</f>
        <v>1020061</v>
      </c>
    </row>
    <row r="181" customFormat="false" ht="15" hidden="false" customHeight="false" outlineLevel="0" collapsed="false">
      <c r="A181" s="1" t="s">
        <v>198</v>
      </c>
      <c r="B181" s="1" t="n">
        <f aca="false" t="array" ref="B181:B181">_xlfn.SWITCH($A$2,"average", AVERAGE(Instances!B181:B181),"median", MEDIAN(Instances!B181:B181),"min", MIN(Instances!B181:B181),"max", MAX(Instances!B181:B181),"diff", MAX(Instances!B181:B181)-MIN(Instances!B181:B181))</f>
        <v>225819</v>
      </c>
      <c r="C181" s="1" t="n">
        <f aca="false" t="array" ref="C181:C181">_xlfn.SWITCH($A$2,"average", AVERAGE(Instances!C181:C181),"median", MEDIAN(Instances!C181:C181),"min", MIN(Instances!C181:C181),"max", MAX(Instances!C181:C181),"diff", MAX(Instances!C181:C181)-MIN(Instances!C181:C181))</f>
        <v>11030</v>
      </c>
      <c r="D181" s="1" t="n">
        <f aca="false" t="array" ref="D181:D181">_xlfn.SWITCH($A$2,"average", AVERAGE(Instances!D181:D181),"median", MEDIAN(Instances!D181:D181),"min", MIN(Instances!D181:D181),"max", MAX(Instances!D181:D181),"diff", MAX(Instances!D181:D181)-MIN(Instances!D181:D181))</f>
        <v>1749320</v>
      </c>
      <c r="E181" s="1" t="n">
        <f aca="false" t="array" ref="E181:E181">_xlfn.SWITCH($A$2,"average", AVERAGE(Instances!E181:E181),"median", MEDIAN(Instances!E181:E181),"min", MIN(Instances!E181:E181),"max", MAX(Instances!E181:E181),"diff", MAX(Instances!E181:E181)-MIN(Instances!E181:E181))</f>
        <v>0</v>
      </c>
      <c r="F181" s="1" t="n">
        <f aca="false" t="array" ref="F181:F181">_xlfn.SWITCH($A$2,"average", AVERAGE(Instances!F181:F181),"median", MEDIAN(Instances!F181:F181),"min", MIN(Instances!F181:F181),"max", MAX(Instances!F181:F181),"diff", MAX(Instances!F181:F181)-MIN(Instances!F181:F181))</f>
        <v>986</v>
      </c>
      <c r="G181" s="1" t="n">
        <f aca="false" t="array" ref="G181:G181">_xlfn.SWITCH($A$2,"average", AVERAGE(Instances!G181:G181),"median", MEDIAN(Instances!G181:G181),"min", MIN(Instances!G181:G181),"max", MAX(Instances!G181:G181),"diff", MAX(Instances!G181:G181)-MIN(Instances!G181:G181))</f>
        <v>0</v>
      </c>
      <c r="H181" s="1" t="n">
        <f aca="false" t="array" ref="H181:H181">_xlfn.SWITCH($A$2,"average", AVERAGE(Instances!H181:H181),"median", MEDIAN(Instances!H181:H181),"min", MIN(Instances!H181:H181),"max", MAX(Instances!H181:H181),"diff", MAX(Instances!H181:H181)-MIN(Instances!H181:H181))</f>
        <v>1</v>
      </c>
      <c r="I181" s="1" t="n">
        <f aca="false" t="array" ref="I181:I181">_xlfn.SWITCH($A$2,"average", AVERAGE(Instances!I181:I181),"median", MEDIAN(Instances!I181:I181),"min", MIN(Instances!I181:I181),"max", MAX(Instances!I181:I181),"diff", MAX(Instances!I181:I181)-MIN(Instances!I181:I181))</f>
        <v>30.745</v>
      </c>
      <c r="J181" s="1" t="n">
        <f aca="false" t="array" ref="J181:J181">_xlfn.SWITCH($A$2,"average", AVERAGE(Instances!J181:J181),"median", MEDIAN(Instances!J181:J181),"min", MIN(Instances!J181:J181),"max", MAX(Instances!J181:J181),"diff", MAX(Instances!J181:J181)-MIN(Instances!J181:J181))</f>
        <v>31.07</v>
      </c>
      <c r="K181" s="1" t="n">
        <f aca="false" t="array" ref="K181:K181">_xlfn.SWITCH($A$2,"average", AVERAGE(Instances!K181:K181),"median", MEDIAN(Instances!K181:K181),"min", MIN(Instances!K181:K181),"max", MAX(Instances!K181:K181),"diff", MAX(Instances!K181:K181)-MIN(Instances!K181:K181))</f>
        <v>50</v>
      </c>
      <c r="L181" s="1"/>
      <c r="M181" s="1" t="n">
        <f aca="false" t="array" ref="M181:M181">_xlfn.SWITCH($A$2,"average", AVERAGE(Instances!M181:M181),"median", MEDIAN(Instances!M181:M181),"min", MIN(Instances!M181:M181),"max", MAX(Instances!M181:M181),"diff", MAX(Instances!M181:M181)-MIN(Instances!M181:M181))</f>
        <v>3750773</v>
      </c>
      <c r="N181" s="1" t="n">
        <f aca="false" t="array" ref="N181:N181">_xlfn.SWITCH($A$2,"average", AVERAGE(Instances!N181:N181),"median", MEDIAN(Instances!N181:N181),"min", MIN(Instances!N181:N181),"max", MAX(Instances!N181:N181),"diff", MAX(Instances!N181:N181)-MIN(Instances!N181:N181))</f>
        <v>15.2</v>
      </c>
      <c r="O181" s="1"/>
      <c r="P181" s="1" t="n">
        <f aca="false" t="array" ref="P181:P181">_xlfn.SWITCH($A$2,"average", AVERAGE(Instances!P181:P181),"median", MEDIAN(Instances!P181:P181),"min", MIN(Instances!P181:P181),"max", MAX(Instances!P181:P181),"diff", MAX(Instances!P181:P181)-MIN(Instances!P181:P181))</f>
        <v>31.07</v>
      </c>
      <c r="Q181" s="1" t="n">
        <f aca="false" t="array" ref="Q181:Q181">_xlfn.SWITCH($A$2,"average", AVERAGE(Instances!Q181:Q181),"median", MEDIAN(Instances!Q181:Q181),"min", MIN(Instances!Q181:Q181),"max", MAX(Instances!Q181:Q181),"diff", MAX(Instances!Q181:Q181)-MIN(Instances!Q181:Q181))</f>
        <v>0</v>
      </c>
      <c r="R181" s="1" t="n">
        <f aca="false" t="array" ref="R181:R181">_xlfn.SWITCH($A$2,"average", AVERAGE(Instances!R181:R181),"median", MEDIAN(Instances!R181:R181),"min", MIN(Instances!R181:R181),"max", MAX(Instances!R181:R181),"diff", MAX(Instances!R181:R181)-MIN(Instances!R181:R181))</f>
        <v>992615</v>
      </c>
      <c r="S181" s="1" t="n">
        <f aca="false">MIN($B181)</f>
        <v>225819</v>
      </c>
      <c r="T181" s="1" t="n">
        <f aca="false">MIN($C181)</f>
        <v>11030</v>
      </c>
      <c r="U181" s="1" t="n">
        <f aca="false">MIN($D181)</f>
        <v>1749320</v>
      </c>
      <c r="V181" s="1" t="n">
        <f aca="false">MIN($E181)</f>
        <v>0</v>
      </c>
      <c r="W181" s="1" t="n">
        <f aca="false">MIN($F181)</f>
        <v>986</v>
      </c>
      <c r="X181" s="1" t="n">
        <f aca="false">MIN($G181)</f>
        <v>0</v>
      </c>
      <c r="Y181" s="1" t="n">
        <f aca="false">MIN($H181)</f>
        <v>1</v>
      </c>
      <c r="Z181" s="1" t="n">
        <f aca="false">MIN($I181)</f>
        <v>30.745</v>
      </c>
      <c r="AA181" s="1" t="n">
        <f aca="false">MIN($J181)</f>
        <v>31.07</v>
      </c>
      <c r="AB181" s="1" t="n">
        <f aca="false">MIN($K181)</f>
        <v>50</v>
      </c>
      <c r="AC181" s="1" t="n">
        <f aca="false">MIN($M181)</f>
        <v>3750773</v>
      </c>
      <c r="AD181" s="1" t="n">
        <f aca="false">MIN($N181)</f>
        <v>15.2</v>
      </c>
      <c r="AE181" s="1" t="n">
        <f aca="false">MIN($P181)</f>
        <v>31.07</v>
      </c>
      <c r="AF181" s="1" t="n">
        <f aca="false">MIN($Q181)</f>
        <v>0</v>
      </c>
      <c r="AG181" s="1" t="n">
        <f aca="false">MIN($R181)</f>
        <v>992615</v>
      </c>
      <c r="AH181" s="1" t="n">
        <f aca="false">MEDIAN($B181)</f>
        <v>225819</v>
      </c>
      <c r="AI181" s="1" t="n">
        <f aca="false">MEDIAN($C181)</f>
        <v>11030</v>
      </c>
      <c r="AJ181" s="1" t="n">
        <f aca="false">MEDIAN($D181)</f>
        <v>1749320</v>
      </c>
      <c r="AK181" s="1" t="n">
        <f aca="false">MEDIAN($E181)</f>
        <v>0</v>
      </c>
      <c r="AL181" s="1" t="n">
        <f aca="false">MEDIAN($F181)</f>
        <v>986</v>
      </c>
      <c r="AM181" s="1" t="n">
        <f aca="false">MEDIAN($G181)</f>
        <v>0</v>
      </c>
      <c r="AN181" s="1" t="n">
        <f aca="false">MEDIAN($H181)</f>
        <v>1</v>
      </c>
      <c r="AO181" s="1" t="n">
        <f aca="false">MEDIAN($I181)</f>
        <v>30.745</v>
      </c>
      <c r="AP181" s="1" t="n">
        <f aca="false">MEDIAN($J181)</f>
        <v>31.07</v>
      </c>
      <c r="AQ181" s="1" t="n">
        <f aca="false">MEDIAN($K181)</f>
        <v>50</v>
      </c>
      <c r="AR181" s="1" t="n">
        <f aca="false">MEDIAN($M181)</f>
        <v>3750773</v>
      </c>
      <c r="AS181" s="1" t="n">
        <f aca="false">MEDIAN($N181)</f>
        <v>15.2</v>
      </c>
      <c r="AT181" s="1" t="n">
        <f aca="false">MEDIAN($P181)</f>
        <v>31.07</v>
      </c>
      <c r="AU181" s="1" t="n">
        <f aca="false">MEDIAN($Q181)</f>
        <v>0</v>
      </c>
      <c r="AV181" s="1" t="n">
        <f aca="false">MEDIAN($R181)</f>
        <v>992615</v>
      </c>
      <c r="AW181" s="1" t="n">
        <f aca="false">MAX($B181)</f>
        <v>225819</v>
      </c>
      <c r="AX181" s="1" t="n">
        <f aca="false">MAX($C181)</f>
        <v>11030</v>
      </c>
      <c r="AY181" s="1" t="n">
        <f aca="false">MAX($D181)</f>
        <v>1749320</v>
      </c>
      <c r="AZ181" s="1" t="n">
        <f aca="false">MAX($E181)</f>
        <v>0</v>
      </c>
      <c r="BA181" s="1" t="n">
        <f aca="false">MAX($F181)</f>
        <v>986</v>
      </c>
      <c r="BB181" s="1" t="n">
        <f aca="false">MAX($G181)</f>
        <v>0</v>
      </c>
      <c r="BC181" s="1" t="n">
        <f aca="false">MAX($H181)</f>
        <v>1</v>
      </c>
      <c r="BD181" s="1" t="n">
        <f aca="false">MAX($I181)</f>
        <v>30.745</v>
      </c>
      <c r="BE181" s="1" t="n">
        <f aca="false">MAX($J181)</f>
        <v>31.07</v>
      </c>
      <c r="BF181" s="1" t="n">
        <f aca="false">MAX($K181)</f>
        <v>50</v>
      </c>
      <c r="BG181" s="1" t="n">
        <f aca="false">MAX($M181)</f>
        <v>3750773</v>
      </c>
      <c r="BH181" s="1" t="n">
        <f aca="false">MAX($N181)</f>
        <v>15.2</v>
      </c>
      <c r="BI181" s="1" t="n">
        <f aca="false">MAX($P181)</f>
        <v>31.07</v>
      </c>
      <c r="BJ181" s="1" t="n">
        <f aca="false">MAX($Q181)</f>
        <v>0</v>
      </c>
      <c r="BK181" s="1" t="n">
        <f aca="false">MAX($R181)</f>
        <v>992615</v>
      </c>
    </row>
    <row r="182" customFormat="false" ht="15" hidden="false" customHeight="false" outlineLevel="0" collapsed="false">
      <c r="A182" s="1" t="s">
        <v>199</v>
      </c>
      <c r="B182" s="1" t="n">
        <f aca="false" t="array" ref="B182:B182">_xlfn.SWITCH($A$2,"average", AVERAGE(Instances!B182:B182),"median", MEDIAN(Instances!B182:B182),"min", MIN(Instances!B182:B182),"max", MAX(Instances!B182:B182),"diff", MAX(Instances!B182:B182)-MIN(Instances!B182:B182))</f>
        <v>178184</v>
      </c>
      <c r="C182" s="1" t="n">
        <f aca="false" t="array" ref="C182:C182">_xlfn.SWITCH($A$2,"average", AVERAGE(Instances!C182:C182),"median", MEDIAN(Instances!C182:C182),"min", MIN(Instances!C182:C182),"max", MAX(Instances!C182:C182),"diff", MAX(Instances!C182:C182)-MIN(Instances!C182:C182))</f>
        <v>1916</v>
      </c>
      <c r="D182" s="1" t="n">
        <f aca="false" t="array" ref="D182:D182">_xlfn.SWITCH($A$2,"average", AVERAGE(Instances!D182:D182),"median", MEDIAN(Instances!D182:D182),"min", MIN(Instances!D182:D182),"max", MAX(Instances!D182:D182),"diff", MAX(Instances!D182:D182)-MIN(Instances!D182:D182))</f>
        <v>2098324</v>
      </c>
      <c r="E182" s="1" t="n">
        <f aca="false" t="array" ref="E182:E182">_xlfn.SWITCH($A$2,"average", AVERAGE(Instances!E182:E182),"median", MEDIAN(Instances!E182:E182),"min", MIN(Instances!E182:E182),"max", MAX(Instances!E182:E182),"diff", MAX(Instances!E182:E182)-MIN(Instances!E182:E182))</f>
        <v>0</v>
      </c>
      <c r="F182" s="1" t="n">
        <f aca="false" t="array" ref="F182:F182">_xlfn.SWITCH($A$2,"average", AVERAGE(Instances!F182:F182),"median", MEDIAN(Instances!F182:F182),"min", MIN(Instances!F182:F182),"max", MAX(Instances!F182:F182),"diff", MAX(Instances!F182:F182)-MIN(Instances!F182:F182))</f>
        <v>1169</v>
      </c>
      <c r="G182" s="1" t="n">
        <f aca="false" t="array" ref="G182:G182">_xlfn.SWITCH($A$2,"average", AVERAGE(Instances!G182:G182),"median", MEDIAN(Instances!G182:G182),"min", MIN(Instances!G182:G182),"max", MAX(Instances!G182:G182),"diff", MAX(Instances!G182:G182)-MIN(Instances!G182:G182))</f>
        <v>0</v>
      </c>
      <c r="H182" s="1" t="n">
        <f aca="false" t="array" ref="H182:H182">_xlfn.SWITCH($A$2,"average", AVERAGE(Instances!H182:H182),"median", MEDIAN(Instances!H182:H182),"min", MIN(Instances!H182:H182),"max", MAX(Instances!H182:H182),"diff", MAX(Instances!H182:H182)-MIN(Instances!H182:H182))</f>
        <v>1</v>
      </c>
      <c r="I182" s="1" t="n">
        <f aca="false" t="array" ref="I182:I182">_xlfn.SWITCH($A$2,"average", AVERAGE(Instances!I182:I182),"median", MEDIAN(Instances!I182:I182),"min", MIN(Instances!I182:I182),"max", MAX(Instances!I182:I182),"diff", MAX(Instances!I182:I182)-MIN(Instances!I182:I182))</f>
        <v>26.546</v>
      </c>
      <c r="J182" s="1" t="n">
        <f aca="false" t="array" ref="J182:J182">_xlfn.SWITCH($A$2,"average", AVERAGE(Instances!J182:J182),"median", MEDIAN(Instances!J182:J182),"min", MIN(Instances!J182:J182),"max", MAX(Instances!J182:J182),"diff", MAX(Instances!J182:J182)-MIN(Instances!J182:J182))</f>
        <v>26.97</v>
      </c>
      <c r="K182" s="1" t="n">
        <f aca="false" t="array" ref="K182:K182">_xlfn.SWITCH($A$2,"average", AVERAGE(Instances!K182:K182),"median", MEDIAN(Instances!K182:K182),"min", MIN(Instances!K182:K182),"max", MAX(Instances!K182:K182),"diff", MAX(Instances!K182:K182)-MIN(Instances!K182:K182))</f>
        <v>13</v>
      </c>
      <c r="L182" s="1"/>
      <c r="M182" s="1" t="n">
        <f aca="false" t="array" ref="M182:M182">_xlfn.SWITCH($A$2,"average", AVERAGE(Instances!M182:M182),"median", MEDIAN(Instances!M182:M182),"min", MIN(Instances!M182:M182),"max", MAX(Instances!M182:M182),"diff", MAX(Instances!M182:M182)-MIN(Instances!M182:M182))</f>
        <v>4638537</v>
      </c>
      <c r="N182" s="1" t="n">
        <f aca="false" t="array" ref="N182:N182">_xlfn.SWITCH($A$2,"average", AVERAGE(Instances!N182:N182),"median", MEDIAN(Instances!N182:N182),"min", MIN(Instances!N182:N182),"max", MAX(Instances!N182:N182),"diff", MAX(Instances!N182:N182)-MIN(Instances!N182:N182))</f>
        <v>7.27</v>
      </c>
      <c r="O182" s="1"/>
      <c r="P182" s="1" t="n">
        <f aca="false" t="array" ref="P182:P182">_xlfn.SWITCH($A$2,"average", AVERAGE(Instances!P182:P182),"median", MEDIAN(Instances!P182:P182),"min", MIN(Instances!P182:P182),"max", MAX(Instances!P182:P182),"diff", MAX(Instances!P182:P182)-MIN(Instances!P182:P182))</f>
        <v>26.97</v>
      </c>
      <c r="Q182" s="1" t="n">
        <f aca="false" t="array" ref="Q182:Q182">_xlfn.SWITCH($A$2,"average", AVERAGE(Instances!Q182:Q182),"median", MEDIAN(Instances!Q182:Q182),"min", MIN(Instances!Q182:Q182),"max", MAX(Instances!Q182:Q182),"diff", MAX(Instances!Q182:Q182)-MIN(Instances!Q182:Q182))</f>
        <v>0</v>
      </c>
      <c r="R182" s="1" t="n">
        <f aca="false" t="array" ref="R182:R182">_xlfn.SWITCH($A$2,"average", AVERAGE(Instances!R182:R182),"median", MEDIAN(Instances!R182:R182),"min", MIN(Instances!R182:R182),"max", MAX(Instances!R182:R182),"diff", MAX(Instances!R182:R182)-MIN(Instances!R182:R182))</f>
        <v>1192305</v>
      </c>
      <c r="S182" s="1" t="n">
        <f aca="false">MIN($B182)</f>
        <v>178184</v>
      </c>
      <c r="T182" s="1" t="n">
        <f aca="false">MIN($C182)</f>
        <v>1916</v>
      </c>
      <c r="U182" s="1" t="n">
        <f aca="false">MIN($D182)</f>
        <v>2098324</v>
      </c>
      <c r="V182" s="1" t="n">
        <f aca="false">MIN($E182)</f>
        <v>0</v>
      </c>
      <c r="W182" s="1" t="n">
        <f aca="false">MIN($F182)</f>
        <v>1169</v>
      </c>
      <c r="X182" s="1" t="n">
        <f aca="false">MIN($G182)</f>
        <v>0</v>
      </c>
      <c r="Y182" s="1" t="n">
        <f aca="false">MIN($H182)</f>
        <v>1</v>
      </c>
      <c r="Z182" s="1" t="n">
        <f aca="false">MIN($I182)</f>
        <v>26.546</v>
      </c>
      <c r="AA182" s="1" t="n">
        <f aca="false">MIN($J182)</f>
        <v>26.97</v>
      </c>
      <c r="AB182" s="1" t="n">
        <f aca="false">MIN($K182)</f>
        <v>13</v>
      </c>
      <c r="AC182" s="1" t="n">
        <f aca="false">MIN($M182)</f>
        <v>4638537</v>
      </c>
      <c r="AD182" s="1" t="n">
        <f aca="false">MIN($N182)</f>
        <v>7.27</v>
      </c>
      <c r="AE182" s="1" t="n">
        <f aca="false">MIN($P182)</f>
        <v>26.97</v>
      </c>
      <c r="AF182" s="1" t="n">
        <f aca="false">MIN($Q182)</f>
        <v>0</v>
      </c>
      <c r="AG182" s="1" t="n">
        <f aca="false">MIN($R182)</f>
        <v>1192305</v>
      </c>
      <c r="AH182" s="1" t="n">
        <f aca="false">MEDIAN($B182)</f>
        <v>178184</v>
      </c>
      <c r="AI182" s="1" t="n">
        <f aca="false">MEDIAN($C182)</f>
        <v>1916</v>
      </c>
      <c r="AJ182" s="1" t="n">
        <f aca="false">MEDIAN($D182)</f>
        <v>2098324</v>
      </c>
      <c r="AK182" s="1" t="n">
        <f aca="false">MEDIAN($E182)</f>
        <v>0</v>
      </c>
      <c r="AL182" s="1" t="n">
        <f aca="false">MEDIAN($F182)</f>
        <v>1169</v>
      </c>
      <c r="AM182" s="1" t="n">
        <f aca="false">MEDIAN($G182)</f>
        <v>0</v>
      </c>
      <c r="AN182" s="1" t="n">
        <f aca="false">MEDIAN($H182)</f>
        <v>1</v>
      </c>
      <c r="AO182" s="1" t="n">
        <f aca="false">MEDIAN($I182)</f>
        <v>26.546</v>
      </c>
      <c r="AP182" s="1" t="n">
        <f aca="false">MEDIAN($J182)</f>
        <v>26.97</v>
      </c>
      <c r="AQ182" s="1" t="n">
        <f aca="false">MEDIAN($K182)</f>
        <v>13</v>
      </c>
      <c r="AR182" s="1" t="n">
        <f aca="false">MEDIAN($M182)</f>
        <v>4638537</v>
      </c>
      <c r="AS182" s="1" t="n">
        <f aca="false">MEDIAN($N182)</f>
        <v>7.27</v>
      </c>
      <c r="AT182" s="1" t="n">
        <f aca="false">MEDIAN($P182)</f>
        <v>26.97</v>
      </c>
      <c r="AU182" s="1" t="n">
        <f aca="false">MEDIAN($Q182)</f>
        <v>0</v>
      </c>
      <c r="AV182" s="1" t="n">
        <f aca="false">MEDIAN($R182)</f>
        <v>1192305</v>
      </c>
      <c r="AW182" s="1" t="n">
        <f aca="false">MAX($B182)</f>
        <v>178184</v>
      </c>
      <c r="AX182" s="1" t="n">
        <f aca="false">MAX($C182)</f>
        <v>1916</v>
      </c>
      <c r="AY182" s="1" t="n">
        <f aca="false">MAX($D182)</f>
        <v>2098324</v>
      </c>
      <c r="AZ182" s="1" t="n">
        <f aca="false">MAX($E182)</f>
        <v>0</v>
      </c>
      <c r="BA182" s="1" t="n">
        <f aca="false">MAX($F182)</f>
        <v>1169</v>
      </c>
      <c r="BB182" s="1" t="n">
        <f aca="false">MAX($G182)</f>
        <v>0</v>
      </c>
      <c r="BC182" s="1" t="n">
        <f aca="false">MAX($H182)</f>
        <v>1</v>
      </c>
      <c r="BD182" s="1" t="n">
        <f aca="false">MAX($I182)</f>
        <v>26.546</v>
      </c>
      <c r="BE182" s="1" t="n">
        <f aca="false">MAX($J182)</f>
        <v>26.97</v>
      </c>
      <c r="BF182" s="1" t="n">
        <f aca="false">MAX($K182)</f>
        <v>13</v>
      </c>
      <c r="BG182" s="1" t="n">
        <f aca="false">MAX($M182)</f>
        <v>4638537</v>
      </c>
      <c r="BH182" s="1" t="n">
        <f aca="false">MAX($N182)</f>
        <v>7.27</v>
      </c>
      <c r="BI182" s="1" t="n">
        <f aca="false">MAX($P182)</f>
        <v>26.97</v>
      </c>
      <c r="BJ182" s="1" t="n">
        <f aca="false">MAX($Q182)</f>
        <v>0</v>
      </c>
      <c r="BK182" s="1" t="n">
        <f aca="false">MAX($R182)</f>
        <v>1192305</v>
      </c>
    </row>
    <row r="183" customFormat="false" ht="15" hidden="false" customHeight="false" outlineLevel="0" collapsed="false">
      <c r="A183" s="1" t="s">
        <v>200</v>
      </c>
      <c r="B183" s="1" t="n">
        <f aca="false" t="array" ref="B183:B183">_xlfn.SWITCH($A$2,"average", AVERAGE(Instances!B183:B183),"median", MEDIAN(Instances!B183:B183),"min", MIN(Instances!B183:B183),"max", MAX(Instances!B183:B183),"diff", MAX(Instances!B183:B183)-MIN(Instances!B183:B183))</f>
        <v>621</v>
      </c>
      <c r="C183" s="1" t="n">
        <f aca="false" t="array" ref="C183:C183">_xlfn.SWITCH($A$2,"average", AVERAGE(Instances!C183:C183),"median", MEDIAN(Instances!C183:C183),"min", MIN(Instances!C183:C183),"max", MAX(Instances!C183:C183),"diff", MAX(Instances!C183:C183)-MIN(Instances!C183:C183))</f>
        <v>0</v>
      </c>
      <c r="D183" s="1" t="n">
        <f aca="false" t="array" ref="D183:D183">_xlfn.SWITCH($A$2,"average", AVERAGE(Instances!D183:D183),"median", MEDIAN(Instances!D183:D183),"min", MIN(Instances!D183:D183),"max", MAX(Instances!D183:D183),"diff", MAX(Instances!D183:D183)-MIN(Instances!D183:D183))</f>
        <v>98217</v>
      </c>
      <c r="E183" s="1" t="n">
        <f aca="false" t="array" ref="E183:E183">_xlfn.SWITCH($A$2,"average", AVERAGE(Instances!E183:E183),"median", MEDIAN(Instances!E183:E183),"min", MIN(Instances!E183:E183),"max", MAX(Instances!E183:E183),"diff", MAX(Instances!E183:E183)-MIN(Instances!E183:E183))</f>
        <v>0</v>
      </c>
      <c r="F183" s="1" t="n">
        <f aca="false" t="array" ref="F183:F183">_xlfn.SWITCH($A$2,"average", AVERAGE(Instances!F183:F183),"median", MEDIAN(Instances!F183:F183),"min", MIN(Instances!F183:F183),"max", MAX(Instances!F183:F183),"diff", MAX(Instances!F183:F183)-MIN(Instances!F183:F183))</f>
        <v>194</v>
      </c>
      <c r="G183" s="1" t="n">
        <f aca="false" t="array" ref="G183:G183">_xlfn.SWITCH($A$2,"average", AVERAGE(Instances!G183:G183),"median", MEDIAN(Instances!G183:G183),"min", MIN(Instances!G183:G183),"max", MAX(Instances!G183:G183),"diff", MAX(Instances!G183:G183)-MIN(Instances!G183:G183))</f>
        <v>0</v>
      </c>
      <c r="H183" s="1" t="n">
        <f aca="false" t="array" ref="H183:H183">_xlfn.SWITCH($A$2,"average", AVERAGE(Instances!H183:H183),"median", MEDIAN(Instances!H183:H183),"min", MIN(Instances!H183:H183),"max", MAX(Instances!H183:H183),"diff", MAX(Instances!H183:H183)-MIN(Instances!H183:H183))</f>
        <v>1</v>
      </c>
      <c r="I183" s="1" t="n">
        <f aca="false" t="array" ref="I183:I183">_xlfn.SWITCH($A$2,"average", AVERAGE(Instances!I183:I183),"median", MEDIAN(Instances!I183:I183),"min", MIN(Instances!I183:I183),"max", MAX(Instances!I183:I183),"diff", MAX(Instances!I183:I183)-MIN(Instances!I183:I183))</f>
        <v>2.499</v>
      </c>
      <c r="J183" s="1" t="n">
        <f aca="false" t="array" ref="J183:J183">_xlfn.SWITCH($A$2,"average", AVERAGE(Instances!J183:J183),"median", MEDIAN(Instances!J183:J183),"min", MIN(Instances!J183:J183),"max", MAX(Instances!J183:J183),"diff", MAX(Instances!J183:J183)-MIN(Instances!J183:J183))</f>
        <v>2.57</v>
      </c>
      <c r="K183" s="1" t="n">
        <f aca="false" t="array" ref="K183:K183">_xlfn.SWITCH($A$2,"average", AVERAGE(Instances!K183:K183),"median", MEDIAN(Instances!K183:K183),"min", MIN(Instances!K183:K183),"max", MAX(Instances!K183:K183),"diff", MAX(Instances!K183:K183)-MIN(Instances!K183:K183))</f>
        <v>0</v>
      </c>
      <c r="L183" s="1"/>
      <c r="M183" s="1" t="n">
        <f aca="false" t="array" ref="M183:M183">_xlfn.SWITCH($A$2,"average", AVERAGE(Instances!M183:M183),"median", MEDIAN(Instances!M183:M183),"min", MIN(Instances!M183:M183),"max", MAX(Instances!M183:M183),"diff", MAX(Instances!M183:M183)-MIN(Instances!M183:M183))</f>
        <v>541138</v>
      </c>
      <c r="N183" s="1" t="n">
        <f aca="false" t="array" ref="N183:N183">_xlfn.SWITCH($A$2,"average", AVERAGE(Instances!N183:N183),"median", MEDIAN(Instances!N183:N183),"min", MIN(Instances!N183:N183),"max", MAX(Instances!N183:N183),"diff", MAX(Instances!N183:N183)-MIN(Instances!N183:N183))</f>
        <v>0.01</v>
      </c>
      <c r="O183" s="1"/>
      <c r="P183" s="1" t="n">
        <f aca="false" t="array" ref="P183:P183">_xlfn.SWITCH($A$2,"average", AVERAGE(Instances!P183:P183),"median", MEDIAN(Instances!P183:P183),"min", MIN(Instances!P183:P183),"max", MAX(Instances!P183:P183),"diff", MAX(Instances!P183:P183)-MIN(Instances!P183:P183))</f>
        <v>2.57</v>
      </c>
      <c r="Q183" s="1" t="n">
        <f aca="false" t="array" ref="Q183:Q183">_xlfn.SWITCH($A$2,"average", AVERAGE(Instances!Q183:Q183),"median", MEDIAN(Instances!Q183:Q183),"min", MIN(Instances!Q183:Q183),"max", MAX(Instances!Q183:Q183),"diff", MAX(Instances!Q183:Q183)-MIN(Instances!Q183:Q183))</f>
        <v>0</v>
      </c>
      <c r="R183" s="1" t="n">
        <f aca="false" t="array" ref="R183:R183">_xlfn.SWITCH($A$2,"average", AVERAGE(Instances!R183:R183),"median", MEDIAN(Instances!R183:R183),"min", MIN(Instances!R183:R183),"max", MAX(Instances!R183:R183),"diff", MAX(Instances!R183:R183)-MIN(Instances!R183:R183))</f>
        <v>195361</v>
      </c>
      <c r="S183" s="1" t="n">
        <f aca="false">MIN($B183)</f>
        <v>621</v>
      </c>
      <c r="T183" s="1" t="n">
        <f aca="false">MIN($C183)</f>
        <v>0</v>
      </c>
      <c r="U183" s="1" t="n">
        <f aca="false">MIN($D183)</f>
        <v>98217</v>
      </c>
      <c r="V183" s="1" t="n">
        <f aca="false">MIN($E183)</f>
        <v>0</v>
      </c>
      <c r="W183" s="1" t="n">
        <f aca="false">MIN($F183)</f>
        <v>194</v>
      </c>
      <c r="X183" s="1" t="n">
        <f aca="false">MIN($G183)</f>
        <v>0</v>
      </c>
      <c r="Y183" s="1" t="n">
        <f aca="false">MIN($H183)</f>
        <v>1</v>
      </c>
      <c r="Z183" s="1" t="n">
        <f aca="false">MIN($I183)</f>
        <v>2.499</v>
      </c>
      <c r="AA183" s="1" t="n">
        <f aca="false">MIN($J183)</f>
        <v>2.57</v>
      </c>
      <c r="AB183" s="1" t="n">
        <f aca="false">MIN($K183)</f>
        <v>0</v>
      </c>
      <c r="AC183" s="1" t="n">
        <f aca="false">MIN($M183)</f>
        <v>541138</v>
      </c>
      <c r="AD183" s="1" t="n">
        <f aca="false">MIN($N183)</f>
        <v>0.01</v>
      </c>
      <c r="AE183" s="1" t="n">
        <f aca="false">MIN($P183)</f>
        <v>2.57</v>
      </c>
      <c r="AF183" s="1" t="n">
        <f aca="false">MIN($Q183)</f>
        <v>0</v>
      </c>
      <c r="AG183" s="1" t="n">
        <f aca="false">MIN($R183)</f>
        <v>195361</v>
      </c>
      <c r="AH183" s="1" t="n">
        <f aca="false">MEDIAN($B183)</f>
        <v>621</v>
      </c>
      <c r="AI183" s="1" t="n">
        <f aca="false">MEDIAN($C183)</f>
        <v>0</v>
      </c>
      <c r="AJ183" s="1" t="n">
        <f aca="false">MEDIAN($D183)</f>
        <v>98217</v>
      </c>
      <c r="AK183" s="1" t="n">
        <f aca="false">MEDIAN($E183)</f>
        <v>0</v>
      </c>
      <c r="AL183" s="1" t="n">
        <f aca="false">MEDIAN($F183)</f>
        <v>194</v>
      </c>
      <c r="AM183" s="1" t="n">
        <f aca="false">MEDIAN($G183)</f>
        <v>0</v>
      </c>
      <c r="AN183" s="1" t="n">
        <f aca="false">MEDIAN($H183)</f>
        <v>1</v>
      </c>
      <c r="AO183" s="1" t="n">
        <f aca="false">MEDIAN($I183)</f>
        <v>2.499</v>
      </c>
      <c r="AP183" s="1" t="n">
        <f aca="false">MEDIAN($J183)</f>
        <v>2.57</v>
      </c>
      <c r="AQ183" s="1" t="n">
        <f aca="false">MEDIAN($K183)</f>
        <v>0</v>
      </c>
      <c r="AR183" s="1" t="n">
        <f aca="false">MEDIAN($M183)</f>
        <v>541138</v>
      </c>
      <c r="AS183" s="1" t="n">
        <f aca="false">MEDIAN($N183)</f>
        <v>0.01</v>
      </c>
      <c r="AT183" s="1" t="n">
        <f aca="false">MEDIAN($P183)</f>
        <v>2.57</v>
      </c>
      <c r="AU183" s="1" t="n">
        <f aca="false">MEDIAN($Q183)</f>
        <v>0</v>
      </c>
      <c r="AV183" s="1" t="n">
        <f aca="false">MEDIAN($R183)</f>
        <v>195361</v>
      </c>
      <c r="AW183" s="1" t="n">
        <f aca="false">MAX($B183)</f>
        <v>621</v>
      </c>
      <c r="AX183" s="1" t="n">
        <f aca="false">MAX($C183)</f>
        <v>0</v>
      </c>
      <c r="AY183" s="1" t="n">
        <f aca="false">MAX($D183)</f>
        <v>98217</v>
      </c>
      <c r="AZ183" s="1" t="n">
        <f aca="false">MAX($E183)</f>
        <v>0</v>
      </c>
      <c r="BA183" s="1" t="n">
        <f aca="false">MAX($F183)</f>
        <v>194</v>
      </c>
      <c r="BB183" s="1" t="n">
        <f aca="false">MAX($G183)</f>
        <v>0</v>
      </c>
      <c r="BC183" s="1" t="n">
        <f aca="false">MAX($H183)</f>
        <v>1</v>
      </c>
      <c r="BD183" s="1" t="n">
        <f aca="false">MAX($I183)</f>
        <v>2.499</v>
      </c>
      <c r="BE183" s="1" t="n">
        <f aca="false">MAX($J183)</f>
        <v>2.57</v>
      </c>
      <c r="BF183" s="1" t="n">
        <f aca="false">MAX($K183)</f>
        <v>0</v>
      </c>
      <c r="BG183" s="1" t="n">
        <f aca="false">MAX($M183)</f>
        <v>541138</v>
      </c>
      <c r="BH183" s="1" t="n">
        <f aca="false">MAX($N183)</f>
        <v>0.01</v>
      </c>
      <c r="BI183" s="1" t="n">
        <f aca="false">MAX($P183)</f>
        <v>2.57</v>
      </c>
      <c r="BJ183" s="1" t="n">
        <f aca="false">MAX($Q183)</f>
        <v>0</v>
      </c>
      <c r="BK183" s="1" t="n">
        <f aca="false">MAX($R183)</f>
        <v>195361</v>
      </c>
    </row>
    <row r="184" customFormat="false" ht="15" hidden="false" customHeight="false" outlineLevel="0" collapsed="false">
      <c r="A184" s="1" t="s">
        <v>201</v>
      </c>
      <c r="B184" s="1" t="n">
        <f aca="false" t="array" ref="B184:B184">_xlfn.SWITCH($A$2,"average", AVERAGE(Instances!B184:B184),"median", MEDIAN(Instances!B184:B184),"min", MIN(Instances!B184:B184),"max", MAX(Instances!B184:B184),"diff", MAX(Instances!B184:B184)-MIN(Instances!B184:B184))</f>
        <v>319</v>
      </c>
      <c r="C184" s="1" t="n">
        <f aca="false" t="array" ref="C184:C184">_xlfn.SWITCH($A$2,"average", AVERAGE(Instances!C184:C184),"median", MEDIAN(Instances!C184:C184),"min", MIN(Instances!C184:C184),"max", MAX(Instances!C184:C184),"diff", MAX(Instances!C184:C184)-MIN(Instances!C184:C184))</f>
        <v>0</v>
      </c>
      <c r="D184" s="1" t="n">
        <f aca="false" t="array" ref="D184:D184">_xlfn.SWITCH($A$2,"average", AVERAGE(Instances!D184:D184),"median", MEDIAN(Instances!D184:D184),"min", MIN(Instances!D184:D184),"max", MAX(Instances!D184:D184),"diff", MAX(Instances!D184:D184)-MIN(Instances!D184:D184))</f>
        <v>98267</v>
      </c>
      <c r="E184" s="1" t="n">
        <f aca="false" t="array" ref="E184:E184">_xlfn.SWITCH($A$2,"average", AVERAGE(Instances!E184:E184),"median", MEDIAN(Instances!E184:E184),"min", MIN(Instances!E184:E184),"max", MAX(Instances!E184:E184),"diff", MAX(Instances!E184:E184)-MIN(Instances!E184:E184))</f>
        <v>0</v>
      </c>
      <c r="F184" s="1" t="n">
        <f aca="false" t="array" ref="F184:F184">_xlfn.SWITCH($A$2,"average", AVERAGE(Instances!F184:F184),"median", MEDIAN(Instances!F184:F184),"min", MIN(Instances!F184:F184),"max", MAX(Instances!F184:F184),"diff", MAX(Instances!F184:F184)-MIN(Instances!F184:F184))</f>
        <v>137</v>
      </c>
      <c r="G184" s="1" t="n">
        <f aca="false" t="array" ref="G184:G184">_xlfn.SWITCH($A$2,"average", AVERAGE(Instances!G184:G184),"median", MEDIAN(Instances!G184:G184),"min", MIN(Instances!G184:G184),"max", MAX(Instances!G184:G184),"diff", MAX(Instances!G184:G184)-MIN(Instances!G184:G184))</f>
        <v>0</v>
      </c>
      <c r="H184" s="1" t="n">
        <f aca="false" t="array" ref="H184:H184">_xlfn.SWITCH($A$2,"average", AVERAGE(Instances!H184:H184),"median", MEDIAN(Instances!H184:H184),"min", MIN(Instances!H184:H184),"max", MAX(Instances!H184:H184),"diff", MAX(Instances!H184:H184)-MIN(Instances!H184:H184))</f>
        <v>1</v>
      </c>
      <c r="I184" s="1" t="n">
        <f aca="false" t="array" ref="I184:I184">_xlfn.SWITCH($A$2,"average", AVERAGE(Instances!I184:I184),"median", MEDIAN(Instances!I184:I184),"min", MIN(Instances!I184:I184),"max", MAX(Instances!I184:I184),"diff", MAX(Instances!I184:I184)-MIN(Instances!I184:I184))</f>
        <v>1.913</v>
      </c>
      <c r="J184" s="1" t="n">
        <f aca="false" t="array" ref="J184:J184">_xlfn.SWITCH($A$2,"average", AVERAGE(Instances!J184:J184),"median", MEDIAN(Instances!J184:J184),"min", MIN(Instances!J184:J184),"max", MAX(Instances!J184:J184),"diff", MAX(Instances!J184:J184)-MIN(Instances!J184:J184))</f>
        <v>1.96</v>
      </c>
      <c r="K184" s="1" t="n">
        <f aca="false" t="array" ref="K184:K184">_xlfn.SWITCH($A$2,"average", AVERAGE(Instances!K184:K184),"median", MEDIAN(Instances!K184:K184),"min", MIN(Instances!K184:K184),"max", MAX(Instances!K184:K184),"diff", MAX(Instances!K184:K184)-MIN(Instances!K184:K184))</f>
        <v>0</v>
      </c>
      <c r="L184" s="1"/>
      <c r="M184" s="1" t="n">
        <f aca="false" t="array" ref="M184:M184">_xlfn.SWITCH($A$2,"average", AVERAGE(Instances!M184:M184),"median", MEDIAN(Instances!M184:M184),"min", MIN(Instances!M184:M184),"max", MAX(Instances!M184:M184),"diff", MAX(Instances!M184:M184)-MIN(Instances!M184:M184))</f>
        <v>399212</v>
      </c>
      <c r="N184" s="1" t="n">
        <f aca="false" t="array" ref="N184:N184">_xlfn.SWITCH($A$2,"average", AVERAGE(Instances!N184:N184),"median", MEDIAN(Instances!N184:N184),"min", MIN(Instances!N184:N184),"max", MAX(Instances!N184:N184),"diff", MAX(Instances!N184:N184)-MIN(Instances!N184:N184))</f>
        <v>0.01</v>
      </c>
      <c r="O184" s="1"/>
      <c r="P184" s="1" t="n">
        <f aca="false" t="array" ref="P184:P184">_xlfn.SWITCH($A$2,"average", AVERAGE(Instances!P184:P184),"median", MEDIAN(Instances!P184:P184),"min", MIN(Instances!P184:P184),"max", MAX(Instances!P184:P184),"diff", MAX(Instances!P184:P184)-MIN(Instances!P184:P184))</f>
        <v>1.96</v>
      </c>
      <c r="Q184" s="1" t="n">
        <f aca="false" t="array" ref="Q184:Q184">_xlfn.SWITCH($A$2,"average", AVERAGE(Instances!Q184:Q184),"median", MEDIAN(Instances!Q184:Q184),"min", MIN(Instances!Q184:Q184),"max", MAX(Instances!Q184:Q184),"diff", MAX(Instances!Q184:Q184)-MIN(Instances!Q184:Q184))</f>
        <v>0</v>
      </c>
      <c r="R184" s="1" t="n">
        <f aca="false" t="array" ref="R184:R184">_xlfn.SWITCH($A$2,"average", AVERAGE(Instances!R184:R184),"median", MEDIAN(Instances!R184:R184),"min", MIN(Instances!R184:R184),"max", MAX(Instances!R184:R184),"diff", MAX(Instances!R184:R184)-MIN(Instances!R184:R184))</f>
        <v>143113</v>
      </c>
      <c r="S184" s="1" t="n">
        <f aca="false">MIN($B184)</f>
        <v>319</v>
      </c>
      <c r="T184" s="1" t="n">
        <f aca="false">MIN($C184)</f>
        <v>0</v>
      </c>
      <c r="U184" s="1" t="n">
        <f aca="false">MIN($D184)</f>
        <v>98267</v>
      </c>
      <c r="V184" s="1" t="n">
        <f aca="false">MIN($E184)</f>
        <v>0</v>
      </c>
      <c r="W184" s="1" t="n">
        <f aca="false">MIN($F184)</f>
        <v>137</v>
      </c>
      <c r="X184" s="1" t="n">
        <f aca="false">MIN($G184)</f>
        <v>0</v>
      </c>
      <c r="Y184" s="1" t="n">
        <f aca="false">MIN($H184)</f>
        <v>1</v>
      </c>
      <c r="Z184" s="1" t="n">
        <f aca="false">MIN($I184)</f>
        <v>1.913</v>
      </c>
      <c r="AA184" s="1" t="n">
        <f aca="false">MIN($J184)</f>
        <v>1.96</v>
      </c>
      <c r="AB184" s="1" t="n">
        <f aca="false">MIN($K184)</f>
        <v>0</v>
      </c>
      <c r="AC184" s="1" t="n">
        <f aca="false">MIN($M184)</f>
        <v>399212</v>
      </c>
      <c r="AD184" s="1" t="n">
        <f aca="false">MIN($N184)</f>
        <v>0.01</v>
      </c>
      <c r="AE184" s="1" t="n">
        <f aca="false">MIN($P184)</f>
        <v>1.96</v>
      </c>
      <c r="AF184" s="1" t="n">
        <f aca="false">MIN($Q184)</f>
        <v>0</v>
      </c>
      <c r="AG184" s="1" t="n">
        <f aca="false">MIN($R184)</f>
        <v>143113</v>
      </c>
      <c r="AH184" s="1" t="n">
        <f aca="false">MEDIAN($B184)</f>
        <v>319</v>
      </c>
      <c r="AI184" s="1" t="n">
        <f aca="false">MEDIAN($C184)</f>
        <v>0</v>
      </c>
      <c r="AJ184" s="1" t="n">
        <f aca="false">MEDIAN($D184)</f>
        <v>98267</v>
      </c>
      <c r="AK184" s="1" t="n">
        <f aca="false">MEDIAN($E184)</f>
        <v>0</v>
      </c>
      <c r="AL184" s="1" t="n">
        <f aca="false">MEDIAN($F184)</f>
        <v>137</v>
      </c>
      <c r="AM184" s="1" t="n">
        <f aca="false">MEDIAN($G184)</f>
        <v>0</v>
      </c>
      <c r="AN184" s="1" t="n">
        <f aca="false">MEDIAN($H184)</f>
        <v>1</v>
      </c>
      <c r="AO184" s="1" t="n">
        <f aca="false">MEDIAN($I184)</f>
        <v>1.913</v>
      </c>
      <c r="AP184" s="1" t="n">
        <f aca="false">MEDIAN($J184)</f>
        <v>1.96</v>
      </c>
      <c r="AQ184" s="1" t="n">
        <f aca="false">MEDIAN($K184)</f>
        <v>0</v>
      </c>
      <c r="AR184" s="1" t="n">
        <f aca="false">MEDIAN($M184)</f>
        <v>399212</v>
      </c>
      <c r="AS184" s="1" t="n">
        <f aca="false">MEDIAN($N184)</f>
        <v>0.01</v>
      </c>
      <c r="AT184" s="1" t="n">
        <f aca="false">MEDIAN($P184)</f>
        <v>1.96</v>
      </c>
      <c r="AU184" s="1" t="n">
        <f aca="false">MEDIAN($Q184)</f>
        <v>0</v>
      </c>
      <c r="AV184" s="1" t="n">
        <f aca="false">MEDIAN($R184)</f>
        <v>143113</v>
      </c>
      <c r="AW184" s="1" t="n">
        <f aca="false">MAX($B184)</f>
        <v>319</v>
      </c>
      <c r="AX184" s="1" t="n">
        <f aca="false">MAX($C184)</f>
        <v>0</v>
      </c>
      <c r="AY184" s="1" t="n">
        <f aca="false">MAX($D184)</f>
        <v>98267</v>
      </c>
      <c r="AZ184" s="1" t="n">
        <f aca="false">MAX($E184)</f>
        <v>0</v>
      </c>
      <c r="BA184" s="1" t="n">
        <f aca="false">MAX($F184)</f>
        <v>137</v>
      </c>
      <c r="BB184" s="1" t="n">
        <f aca="false">MAX($G184)</f>
        <v>0</v>
      </c>
      <c r="BC184" s="1" t="n">
        <f aca="false">MAX($H184)</f>
        <v>1</v>
      </c>
      <c r="BD184" s="1" t="n">
        <f aca="false">MAX($I184)</f>
        <v>1.913</v>
      </c>
      <c r="BE184" s="1" t="n">
        <f aca="false">MAX($J184)</f>
        <v>1.96</v>
      </c>
      <c r="BF184" s="1" t="n">
        <f aca="false">MAX($K184)</f>
        <v>0</v>
      </c>
      <c r="BG184" s="1" t="n">
        <f aca="false">MAX($M184)</f>
        <v>399212</v>
      </c>
      <c r="BH184" s="1" t="n">
        <f aca="false">MAX($N184)</f>
        <v>0.01</v>
      </c>
      <c r="BI184" s="1" t="n">
        <f aca="false">MAX($P184)</f>
        <v>1.96</v>
      </c>
      <c r="BJ184" s="1" t="n">
        <f aca="false">MAX($Q184)</f>
        <v>0</v>
      </c>
      <c r="BK184" s="1" t="n">
        <f aca="false">MAX($R184)</f>
        <v>143113</v>
      </c>
    </row>
    <row r="185" customFormat="false" ht="15" hidden="false" customHeight="false" outlineLevel="0" collapsed="false">
      <c r="A185" s="1" t="s">
        <v>202</v>
      </c>
      <c r="B185" s="1" t="n">
        <f aca="false" t="array" ref="B185:B185">_xlfn.SWITCH($A$2,"average", AVERAGE(Instances!B185:B185),"median", MEDIAN(Instances!B185:B185),"min", MIN(Instances!B185:B185),"max", MAX(Instances!B185:B185),"diff", MAX(Instances!B185:B185)-MIN(Instances!B185:B185))</f>
        <v>532</v>
      </c>
      <c r="C185" s="1" t="n">
        <f aca="false" t="array" ref="C185:C185">_xlfn.SWITCH($A$2,"average", AVERAGE(Instances!C185:C185),"median", MEDIAN(Instances!C185:C185),"min", MIN(Instances!C185:C185),"max", MAX(Instances!C185:C185),"diff", MAX(Instances!C185:C185)-MIN(Instances!C185:C185))</f>
        <v>0</v>
      </c>
      <c r="D185" s="1" t="n">
        <f aca="false" t="array" ref="D185:D185">_xlfn.SWITCH($A$2,"average", AVERAGE(Instances!D185:D185),"median", MEDIAN(Instances!D185:D185),"min", MIN(Instances!D185:D185),"max", MAX(Instances!D185:D185),"diff", MAX(Instances!D185:D185)-MIN(Instances!D185:D185))</f>
        <v>141055</v>
      </c>
      <c r="E185" s="1" t="n">
        <f aca="false" t="array" ref="E185:E185">_xlfn.SWITCH($A$2,"average", AVERAGE(Instances!E185:E185),"median", MEDIAN(Instances!E185:E185),"min", MIN(Instances!E185:E185),"max", MAX(Instances!E185:E185),"diff", MAX(Instances!E185:E185)-MIN(Instances!E185:E185))</f>
        <v>0</v>
      </c>
      <c r="F185" s="1" t="n">
        <f aca="false" t="array" ref="F185:F185">_xlfn.SWITCH($A$2,"average", AVERAGE(Instances!F185:F185),"median", MEDIAN(Instances!F185:F185),"min", MIN(Instances!F185:F185),"max", MAX(Instances!F185:F185),"diff", MAX(Instances!F185:F185)-MIN(Instances!F185:F185))</f>
        <v>191</v>
      </c>
      <c r="G185" s="1" t="n">
        <f aca="false" t="array" ref="G185:G185">_xlfn.SWITCH($A$2,"average", AVERAGE(Instances!G185:G185),"median", MEDIAN(Instances!G185:G185),"min", MIN(Instances!G185:G185),"max", MAX(Instances!G185:G185),"diff", MAX(Instances!G185:G185)-MIN(Instances!G185:G185))</f>
        <v>0</v>
      </c>
      <c r="H185" s="1" t="n">
        <f aca="false" t="array" ref="H185:H185">_xlfn.SWITCH($A$2,"average", AVERAGE(Instances!H185:H185),"median", MEDIAN(Instances!H185:H185),"min", MIN(Instances!H185:H185),"max", MAX(Instances!H185:H185),"diff", MAX(Instances!H185:H185)-MIN(Instances!H185:H185))</f>
        <v>1</v>
      </c>
      <c r="I185" s="1" t="n">
        <f aca="false" t="array" ref="I185:I185">_xlfn.SWITCH($A$2,"average", AVERAGE(Instances!I185:I185),"median", MEDIAN(Instances!I185:I185),"min", MIN(Instances!I185:I185),"max", MAX(Instances!I185:I185),"diff", MAX(Instances!I185:I185)-MIN(Instances!I185:I185))</f>
        <v>2.446</v>
      </c>
      <c r="J185" s="1" t="n">
        <f aca="false" t="array" ref="J185:J185">_xlfn.SWITCH($A$2,"average", AVERAGE(Instances!J185:J185),"median", MEDIAN(Instances!J185:J185),"min", MIN(Instances!J185:J185),"max", MAX(Instances!J185:J185),"diff", MAX(Instances!J185:J185)-MIN(Instances!J185:J185))</f>
        <v>2.51</v>
      </c>
      <c r="K185" s="1" t="n">
        <f aca="false" t="array" ref="K185:K185">_xlfn.SWITCH($A$2,"average", AVERAGE(Instances!K185:K185),"median", MEDIAN(Instances!K185:K185),"min", MIN(Instances!K185:K185),"max", MAX(Instances!K185:K185),"diff", MAX(Instances!K185:K185)-MIN(Instances!K185:K185))</f>
        <v>0</v>
      </c>
      <c r="L185" s="1"/>
      <c r="M185" s="1" t="n">
        <f aca="false" t="array" ref="M185:M185">_xlfn.SWITCH($A$2,"average", AVERAGE(Instances!M185:M185),"median", MEDIAN(Instances!M185:M185),"min", MIN(Instances!M185:M185),"max", MAX(Instances!M185:M185),"diff", MAX(Instances!M185:M185)-MIN(Instances!M185:M185))</f>
        <v>533326</v>
      </c>
      <c r="N185" s="1" t="n">
        <f aca="false" t="array" ref="N185:N185">_xlfn.SWITCH($A$2,"average", AVERAGE(Instances!N185:N185),"median", MEDIAN(Instances!N185:N185),"min", MIN(Instances!N185:N185),"max", MAX(Instances!N185:N185),"diff", MAX(Instances!N185:N185)-MIN(Instances!N185:N185))</f>
        <v>0.01</v>
      </c>
      <c r="O185" s="1"/>
      <c r="P185" s="1" t="n">
        <f aca="false" t="array" ref="P185:P185">_xlfn.SWITCH($A$2,"average", AVERAGE(Instances!P185:P185),"median", MEDIAN(Instances!P185:P185),"min", MIN(Instances!P185:P185),"max", MAX(Instances!P185:P185),"diff", MAX(Instances!P185:P185)-MIN(Instances!P185:P185))</f>
        <v>2.51</v>
      </c>
      <c r="Q185" s="1" t="n">
        <f aca="false" t="array" ref="Q185:Q185">_xlfn.SWITCH($A$2,"average", AVERAGE(Instances!Q185:Q185),"median", MEDIAN(Instances!Q185:Q185),"min", MIN(Instances!Q185:Q185),"max", MAX(Instances!Q185:Q185),"diff", MAX(Instances!Q185:Q185)-MIN(Instances!Q185:Q185))</f>
        <v>0</v>
      </c>
      <c r="R185" s="1" t="n">
        <f aca="false" t="array" ref="R185:R185">_xlfn.SWITCH($A$2,"average", AVERAGE(Instances!R185:R185),"median", MEDIAN(Instances!R185:R185),"min", MIN(Instances!R185:R185),"max", MAX(Instances!R185:R185),"diff", MAX(Instances!R185:R185)-MIN(Instances!R185:R185))</f>
        <v>193487</v>
      </c>
      <c r="S185" s="1" t="n">
        <f aca="false">MIN($B185)</f>
        <v>532</v>
      </c>
      <c r="T185" s="1" t="n">
        <f aca="false">MIN($C185)</f>
        <v>0</v>
      </c>
      <c r="U185" s="1" t="n">
        <f aca="false">MIN($D185)</f>
        <v>141055</v>
      </c>
      <c r="V185" s="1" t="n">
        <f aca="false">MIN($E185)</f>
        <v>0</v>
      </c>
      <c r="W185" s="1" t="n">
        <f aca="false">MIN($F185)</f>
        <v>191</v>
      </c>
      <c r="X185" s="1" t="n">
        <f aca="false">MIN($G185)</f>
        <v>0</v>
      </c>
      <c r="Y185" s="1" t="n">
        <f aca="false">MIN($H185)</f>
        <v>1</v>
      </c>
      <c r="Z185" s="1" t="n">
        <f aca="false">MIN($I185)</f>
        <v>2.446</v>
      </c>
      <c r="AA185" s="1" t="n">
        <f aca="false">MIN($J185)</f>
        <v>2.51</v>
      </c>
      <c r="AB185" s="1" t="n">
        <f aca="false">MIN($K185)</f>
        <v>0</v>
      </c>
      <c r="AC185" s="1" t="n">
        <f aca="false">MIN($M185)</f>
        <v>533326</v>
      </c>
      <c r="AD185" s="1" t="n">
        <f aca="false">MIN($N185)</f>
        <v>0.01</v>
      </c>
      <c r="AE185" s="1" t="n">
        <f aca="false">MIN($P185)</f>
        <v>2.51</v>
      </c>
      <c r="AF185" s="1" t="n">
        <f aca="false">MIN($Q185)</f>
        <v>0</v>
      </c>
      <c r="AG185" s="1" t="n">
        <f aca="false">MIN($R185)</f>
        <v>193487</v>
      </c>
      <c r="AH185" s="1" t="n">
        <f aca="false">MEDIAN($B185)</f>
        <v>532</v>
      </c>
      <c r="AI185" s="1" t="n">
        <f aca="false">MEDIAN($C185)</f>
        <v>0</v>
      </c>
      <c r="AJ185" s="1" t="n">
        <f aca="false">MEDIAN($D185)</f>
        <v>141055</v>
      </c>
      <c r="AK185" s="1" t="n">
        <f aca="false">MEDIAN($E185)</f>
        <v>0</v>
      </c>
      <c r="AL185" s="1" t="n">
        <f aca="false">MEDIAN($F185)</f>
        <v>191</v>
      </c>
      <c r="AM185" s="1" t="n">
        <f aca="false">MEDIAN($G185)</f>
        <v>0</v>
      </c>
      <c r="AN185" s="1" t="n">
        <f aca="false">MEDIAN($H185)</f>
        <v>1</v>
      </c>
      <c r="AO185" s="1" t="n">
        <f aca="false">MEDIAN($I185)</f>
        <v>2.446</v>
      </c>
      <c r="AP185" s="1" t="n">
        <f aca="false">MEDIAN($J185)</f>
        <v>2.51</v>
      </c>
      <c r="AQ185" s="1" t="n">
        <f aca="false">MEDIAN($K185)</f>
        <v>0</v>
      </c>
      <c r="AR185" s="1" t="n">
        <f aca="false">MEDIAN($M185)</f>
        <v>533326</v>
      </c>
      <c r="AS185" s="1" t="n">
        <f aca="false">MEDIAN($N185)</f>
        <v>0.01</v>
      </c>
      <c r="AT185" s="1" t="n">
        <f aca="false">MEDIAN($P185)</f>
        <v>2.51</v>
      </c>
      <c r="AU185" s="1" t="n">
        <f aca="false">MEDIAN($Q185)</f>
        <v>0</v>
      </c>
      <c r="AV185" s="1" t="n">
        <f aca="false">MEDIAN($R185)</f>
        <v>193487</v>
      </c>
      <c r="AW185" s="1" t="n">
        <f aca="false">MAX($B185)</f>
        <v>532</v>
      </c>
      <c r="AX185" s="1" t="n">
        <f aca="false">MAX($C185)</f>
        <v>0</v>
      </c>
      <c r="AY185" s="1" t="n">
        <f aca="false">MAX($D185)</f>
        <v>141055</v>
      </c>
      <c r="AZ185" s="1" t="n">
        <f aca="false">MAX($E185)</f>
        <v>0</v>
      </c>
      <c r="BA185" s="1" t="n">
        <f aca="false">MAX($F185)</f>
        <v>191</v>
      </c>
      <c r="BB185" s="1" t="n">
        <f aca="false">MAX($G185)</f>
        <v>0</v>
      </c>
      <c r="BC185" s="1" t="n">
        <f aca="false">MAX($H185)</f>
        <v>1</v>
      </c>
      <c r="BD185" s="1" t="n">
        <f aca="false">MAX($I185)</f>
        <v>2.446</v>
      </c>
      <c r="BE185" s="1" t="n">
        <f aca="false">MAX($J185)</f>
        <v>2.51</v>
      </c>
      <c r="BF185" s="1" t="n">
        <f aca="false">MAX($K185)</f>
        <v>0</v>
      </c>
      <c r="BG185" s="1" t="n">
        <f aca="false">MAX($M185)</f>
        <v>533326</v>
      </c>
      <c r="BH185" s="1" t="n">
        <f aca="false">MAX($N185)</f>
        <v>0.01</v>
      </c>
      <c r="BI185" s="1" t="n">
        <f aca="false">MAX($P185)</f>
        <v>2.51</v>
      </c>
      <c r="BJ185" s="1" t="n">
        <f aca="false">MAX($Q185)</f>
        <v>0</v>
      </c>
      <c r="BK185" s="1" t="n">
        <f aca="false">MAX($R185)</f>
        <v>193487</v>
      </c>
    </row>
    <row r="186" customFormat="false" ht="15" hidden="false" customHeight="false" outlineLevel="0" collapsed="false">
      <c r="A186" s="1" t="s">
        <v>203</v>
      </c>
      <c r="B186" s="1" t="n">
        <f aca="false" t="array" ref="B186:B186">_xlfn.SWITCH($A$2,"average", AVERAGE(Instances!B186:B186),"median", MEDIAN(Instances!B186:B186),"min", MIN(Instances!B186:B186),"max", MAX(Instances!B186:B186),"diff", MAX(Instances!B186:B186)-MIN(Instances!B186:B186))</f>
        <v>645</v>
      </c>
      <c r="C186" s="1" t="n">
        <f aca="false" t="array" ref="C186:C186">_xlfn.SWITCH($A$2,"average", AVERAGE(Instances!C186:C186),"median", MEDIAN(Instances!C186:C186),"min", MIN(Instances!C186:C186),"max", MAX(Instances!C186:C186),"diff", MAX(Instances!C186:C186)-MIN(Instances!C186:C186))</f>
        <v>0</v>
      </c>
      <c r="D186" s="1" t="n">
        <f aca="false" t="array" ref="D186:D186">_xlfn.SWITCH($A$2,"average", AVERAGE(Instances!D186:D186),"median", MEDIAN(Instances!D186:D186),"min", MIN(Instances!D186:D186),"max", MAX(Instances!D186:D186),"diff", MAX(Instances!D186:D186)-MIN(Instances!D186:D186))</f>
        <v>166526</v>
      </c>
      <c r="E186" s="1" t="n">
        <f aca="false" t="array" ref="E186:E186">_xlfn.SWITCH($A$2,"average", AVERAGE(Instances!E186:E186),"median", MEDIAN(Instances!E186:E186),"min", MIN(Instances!E186:E186),"max", MAX(Instances!E186:E186),"diff", MAX(Instances!E186:E186)-MIN(Instances!E186:E186))</f>
        <v>0</v>
      </c>
      <c r="F186" s="1" t="n">
        <f aca="false" t="array" ref="F186:F186">_xlfn.SWITCH($A$2,"average", AVERAGE(Instances!F186:F186),"median", MEDIAN(Instances!F186:F186),"min", MIN(Instances!F186:F186),"max", MAX(Instances!F186:F186),"diff", MAX(Instances!F186:F186)-MIN(Instances!F186:F186))</f>
        <v>173</v>
      </c>
      <c r="G186" s="1" t="n">
        <f aca="false" t="array" ref="G186:G186">_xlfn.SWITCH($A$2,"average", AVERAGE(Instances!G186:G186),"median", MEDIAN(Instances!G186:G186),"min", MIN(Instances!G186:G186),"max", MAX(Instances!G186:G186),"diff", MAX(Instances!G186:G186)-MIN(Instances!G186:G186))</f>
        <v>0</v>
      </c>
      <c r="H186" s="1" t="n">
        <f aca="false" t="array" ref="H186:H186">_xlfn.SWITCH($A$2,"average", AVERAGE(Instances!H186:H186),"median", MEDIAN(Instances!H186:H186),"min", MIN(Instances!H186:H186),"max", MAX(Instances!H186:H186),"diff", MAX(Instances!H186:H186)-MIN(Instances!H186:H186))</f>
        <v>1</v>
      </c>
      <c r="I186" s="1" t="n">
        <f aca="false" t="array" ref="I186:I186">_xlfn.SWITCH($A$2,"average", AVERAGE(Instances!I186:I186),"median", MEDIAN(Instances!I186:I186),"min", MIN(Instances!I186:I186),"max", MAX(Instances!I186:I186),"diff", MAX(Instances!I186:I186)-MIN(Instances!I186:I186))</f>
        <v>1.925</v>
      </c>
      <c r="J186" s="1" t="n">
        <f aca="false" t="array" ref="J186:J186">_xlfn.SWITCH($A$2,"average", AVERAGE(Instances!J186:J186),"median", MEDIAN(Instances!J186:J186),"min", MIN(Instances!J186:J186),"max", MAX(Instances!J186:J186),"diff", MAX(Instances!J186:J186)-MIN(Instances!J186:J186))</f>
        <v>1.99</v>
      </c>
      <c r="K186" s="1" t="n">
        <f aca="false" t="array" ref="K186:K186">_xlfn.SWITCH($A$2,"average", AVERAGE(Instances!K186:K186),"median", MEDIAN(Instances!K186:K186),"min", MIN(Instances!K186:K186),"max", MAX(Instances!K186:K186),"diff", MAX(Instances!K186:K186)-MIN(Instances!K186:K186))</f>
        <v>0</v>
      </c>
      <c r="L186" s="1"/>
      <c r="M186" s="1" t="n">
        <f aca="false" t="array" ref="M186:M186">_xlfn.SWITCH($A$2,"average", AVERAGE(Instances!M186:M186),"median", MEDIAN(Instances!M186:M186),"min", MIN(Instances!M186:M186),"max", MAX(Instances!M186:M186),"diff", MAX(Instances!M186:M186)-MIN(Instances!M186:M186))</f>
        <v>472331</v>
      </c>
      <c r="N186" s="1" t="n">
        <f aca="false" t="array" ref="N186:N186">_xlfn.SWITCH($A$2,"average", AVERAGE(Instances!N186:N186),"median", MEDIAN(Instances!N186:N186),"min", MIN(Instances!N186:N186),"max", MAX(Instances!N186:N186),"diff", MAX(Instances!N186:N186)-MIN(Instances!N186:N186))</f>
        <v>0.01</v>
      </c>
      <c r="O186" s="1"/>
      <c r="P186" s="1" t="n">
        <f aca="false" t="array" ref="P186:P186">_xlfn.SWITCH($A$2,"average", AVERAGE(Instances!P186:P186),"median", MEDIAN(Instances!P186:P186),"min", MIN(Instances!P186:P186),"max", MAX(Instances!P186:P186),"diff", MAX(Instances!P186:P186)-MIN(Instances!P186:P186))</f>
        <v>1.99</v>
      </c>
      <c r="Q186" s="1" t="n">
        <f aca="false" t="array" ref="Q186:Q186">_xlfn.SWITCH($A$2,"average", AVERAGE(Instances!Q186:Q186),"median", MEDIAN(Instances!Q186:Q186),"min", MIN(Instances!Q186:Q186),"max", MAX(Instances!Q186:Q186),"diff", MAX(Instances!Q186:Q186)-MIN(Instances!Q186:Q186))</f>
        <v>0</v>
      </c>
      <c r="R186" s="1" t="n">
        <f aca="false" t="array" ref="R186:R186">_xlfn.SWITCH($A$2,"average", AVERAGE(Instances!R186:R186),"median", MEDIAN(Instances!R186:R186),"min", MIN(Instances!R186:R186),"max", MAX(Instances!R186:R186),"diff", MAX(Instances!R186:R186)-MIN(Instances!R186:R186))</f>
        <v>173907</v>
      </c>
      <c r="S186" s="1" t="n">
        <f aca="false">MIN($B186)</f>
        <v>645</v>
      </c>
      <c r="T186" s="1" t="n">
        <f aca="false">MIN($C186)</f>
        <v>0</v>
      </c>
      <c r="U186" s="1" t="n">
        <f aca="false">MIN($D186)</f>
        <v>166526</v>
      </c>
      <c r="V186" s="1" t="n">
        <f aca="false">MIN($E186)</f>
        <v>0</v>
      </c>
      <c r="W186" s="1" t="n">
        <f aca="false">MIN($F186)</f>
        <v>173</v>
      </c>
      <c r="X186" s="1" t="n">
        <f aca="false">MIN($G186)</f>
        <v>0</v>
      </c>
      <c r="Y186" s="1" t="n">
        <f aca="false">MIN($H186)</f>
        <v>1</v>
      </c>
      <c r="Z186" s="1" t="n">
        <f aca="false">MIN($I186)</f>
        <v>1.925</v>
      </c>
      <c r="AA186" s="1" t="n">
        <f aca="false">MIN($J186)</f>
        <v>1.99</v>
      </c>
      <c r="AB186" s="1" t="n">
        <f aca="false">MIN($K186)</f>
        <v>0</v>
      </c>
      <c r="AC186" s="1" t="n">
        <f aca="false">MIN($M186)</f>
        <v>472331</v>
      </c>
      <c r="AD186" s="1" t="n">
        <f aca="false">MIN($N186)</f>
        <v>0.01</v>
      </c>
      <c r="AE186" s="1" t="n">
        <f aca="false">MIN($P186)</f>
        <v>1.99</v>
      </c>
      <c r="AF186" s="1" t="n">
        <f aca="false">MIN($Q186)</f>
        <v>0</v>
      </c>
      <c r="AG186" s="1" t="n">
        <f aca="false">MIN($R186)</f>
        <v>173907</v>
      </c>
      <c r="AH186" s="1" t="n">
        <f aca="false">MEDIAN($B186)</f>
        <v>645</v>
      </c>
      <c r="AI186" s="1" t="n">
        <f aca="false">MEDIAN($C186)</f>
        <v>0</v>
      </c>
      <c r="AJ186" s="1" t="n">
        <f aca="false">MEDIAN($D186)</f>
        <v>166526</v>
      </c>
      <c r="AK186" s="1" t="n">
        <f aca="false">MEDIAN($E186)</f>
        <v>0</v>
      </c>
      <c r="AL186" s="1" t="n">
        <f aca="false">MEDIAN($F186)</f>
        <v>173</v>
      </c>
      <c r="AM186" s="1" t="n">
        <f aca="false">MEDIAN($G186)</f>
        <v>0</v>
      </c>
      <c r="AN186" s="1" t="n">
        <f aca="false">MEDIAN($H186)</f>
        <v>1</v>
      </c>
      <c r="AO186" s="1" t="n">
        <f aca="false">MEDIAN($I186)</f>
        <v>1.925</v>
      </c>
      <c r="AP186" s="1" t="n">
        <f aca="false">MEDIAN($J186)</f>
        <v>1.99</v>
      </c>
      <c r="AQ186" s="1" t="n">
        <f aca="false">MEDIAN($K186)</f>
        <v>0</v>
      </c>
      <c r="AR186" s="1" t="n">
        <f aca="false">MEDIAN($M186)</f>
        <v>472331</v>
      </c>
      <c r="AS186" s="1" t="n">
        <f aca="false">MEDIAN($N186)</f>
        <v>0.01</v>
      </c>
      <c r="AT186" s="1" t="n">
        <f aca="false">MEDIAN($P186)</f>
        <v>1.99</v>
      </c>
      <c r="AU186" s="1" t="n">
        <f aca="false">MEDIAN($Q186)</f>
        <v>0</v>
      </c>
      <c r="AV186" s="1" t="n">
        <f aca="false">MEDIAN($R186)</f>
        <v>173907</v>
      </c>
      <c r="AW186" s="1" t="n">
        <f aca="false">MAX($B186)</f>
        <v>645</v>
      </c>
      <c r="AX186" s="1" t="n">
        <f aca="false">MAX($C186)</f>
        <v>0</v>
      </c>
      <c r="AY186" s="1" t="n">
        <f aca="false">MAX($D186)</f>
        <v>166526</v>
      </c>
      <c r="AZ186" s="1" t="n">
        <f aca="false">MAX($E186)</f>
        <v>0</v>
      </c>
      <c r="BA186" s="1" t="n">
        <f aca="false">MAX($F186)</f>
        <v>173</v>
      </c>
      <c r="BB186" s="1" t="n">
        <f aca="false">MAX($G186)</f>
        <v>0</v>
      </c>
      <c r="BC186" s="1" t="n">
        <f aca="false">MAX($H186)</f>
        <v>1</v>
      </c>
      <c r="BD186" s="1" t="n">
        <f aca="false">MAX($I186)</f>
        <v>1.925</v>
      </c>
      <c r="BE186" s="1" t="n">
        <f aca="false">MAX($J186)</f>
        <v>1.99</v>
      </c>
      <c r="BF186" s="1" t="n">
        <f aca="false">MAX($K186)</f>
        <v>0</v>
      </c>
      <c r="BG186" s="1" t="n">
        <f aca="false">MAX($M186)</f>
        <v>472331</v>
      </c>
      <c r="BH186" s="1" t="n">
        <f aca="false">MAX($N186)</f>
        <v>0.01</v>
      </c>
      <c r="BI186" s="1" t="n">
        <f aca="false">MAX($P186)</f>
        <v>1.99</v>
      </c>
      <c r="BJ186" s="1" t="n">
        <f aca="false">MAX($Q186)</f>
        <v>0</v>
      </c>
      <c r="BK186" s="1" t="n">
        <f aca="false">MAX($R186)</f>
        <v>173907</v>
      </c>
    </row>
    <row r="187" customFormat="false" ht="15" hidden="false" customHeight="false" outlineLevel="0" collapsed="false">
      <c r="A187" s="1" t="s">
        <v>204</v>
      </c>
      <c r="B187" s="1" t="n">
        <f aca="false" t="array" ref="B187:B187">_xlfn.SWITCH($A$2,"average", AVERAGE(Instances!B187:B187),"median", MEDIAN(Instances!B187:B187),"min", MIN(Instances!B187:B187),"max", MAX(Instances!B187:B187),"diff", MAX(Instances!B187:B187)-MIN(Instances!B187:B187))</f>
        <v>589</v>
      </c>
      <c r="C187" s="1" t="n">
        <f aca="false" t="array" ref="C187:C187">_xlfn.SWITCH($A$2,"average", AVERAGE(Instances!C187:C187),"median", MEDIAN(Instances!C187:C187),"min", MIN(Instances!C187:C187),"max", MAX(Instances!C187:C187),"diff", MAX(Instances!C187:C187)-MIN(Instances!C187:C187))</f>
        <v>0</v>
      </c>
      <c r="D187" s="1" t="n">
        <f aca="false" t="array" ref="D187:D187">_xlfn.SWITCH($A$2,"average", AVERAGE(Instances!D187:D187),"median", MEDIAN(Instances!D187:D187),"min", MIN(Instances!D187:D187),"max", MAX(Instances!D187:D187),"diff", MAX(Instances!D187:D187)-MIN(Instances!D187:D187))</f>
        <v>133677</v>
      </c>
      <c r="E187" s="1" t="n">
        <f aca="false" t="array" ref="E187:E187">_xlfn.SWITCH($A$2,"average", AVERAGE(Instances!E187:E187),"median", MEDIAN(Instances!E187:E187),"min", MIN(Instances!E187:E187),"max", MAX(Instances!E187:E187),"diff", MAX(Instances!E187:E187)-MIN(Instances!E187:E187))</f>
        <v>0</v>
      </c>
      <c r="F187" s="1" t="n">
        <f aca="false" t="array" ref="F187:F187">_xlfn.SWITCH($A$2,"average", AVERAGE(Instances!F187:F187),"median", MEDIAN(Instances!F187:F187),"min", MIN(Instances!F187:F187),"max", MAX(Instances!F187:F187),"diff", MAX(Instances!F187:F187)-MIN(Instances!F187:F187))</f>
        <v>150</v>
      </c>
      <c r="G187" s="1" t="n">
        <f aca="false" t="array" ref="G187:G187">_xlfn.SWITCH($A$2,"average", AVERAGE(Instances!G187:G187),"median", MEDIAN(Instances!G187:G187),"min", MIN(Instances!G187:G187),"max", MAX(Instances!G187:G187),"diff", MAX(Instances!G187:G187)-MIN(Instances!G187:G187))</f>
        <v>0</v>
      </c>
      <c r="H187" s="1" t="n">
        <f aca="false" t="array" ref="H187:H187">_xlfn.SWITCH($A$2,"average", AVERAGE(Instances!H187:H187),"median", MEDIAN(Instances!H187:H187),"min", MIN(Instances!H187:H187),"max", MAX(Instances!H187:H187),"diff", MAX(Instances!H187:H187)-MIN(Instances!H187:H187))</f>
        <v>1</v>
      </c>
      <c r="I187" s="1" t="n">
        <f aca="false" t="array" ref="I187:I187">_xlfn.SWITCH($A$2,"average", AVERAGE(Instances!I187:I187),"median", MEDIAN(Instances!I187:I187),"min", MIN(Instances!I187:I187),"max", MAX(Instances!I187:I187),"diff", MAX(Instances!I187:I187)-MIN(Instances!I187:I187))</f>
        <v>1.927</v>
      </c>
      <c r="J187" s="1" t="n">
        <f aca="false" t="array" ref="J187:J187">_xlfn.SWITCH($A$2,"average", AVERAGE(Instances!J187:J187),"median", MEDIAN(Instances!J187:J187),"min", MIN(Instances!J187:J187),"max", MAX(Instances!J187:J187),"diff", MAX(Instances!J187:J187)-MIN(Instances!J187:J187))</f>
        <v>1.98</v>
      </c>
      <c r="K187" s="1" t="n">
        <f aca="false" t="array" ref="K187:K187">_xlfn.SWITCH($A$2,"average", AVERAGE(Instances!K187:K187),"median", MEDIAN(Instances!K187:K187),"min", MIN(Instances!K187:K187),"max", MAX(Instances!K187:K187),"diff", MAX(Instances!K187:K187)-MIN(Instances!K187:K187))</f>
        <v>0</v>
      </c>
      <c r="L187" s="1"/>
      <c r="M187" s="1" t="n">
        <f aca="false" t="array" ref="M187:M187">_xlfn.SWITCH($A$2,"average", AVERAGE(Instances!M187:M187),"median", MEDIAN(Instances!M187:M187),"min", MIN(Instances!M187:M187),"max", MAX(Instances!M187:M187),"diff", MAX(Instances!M187:M187)-MIN(Instances!M187:M187))</f>
        <v>410883</v>
      </c>
      <c r="N187" s="1" t="n">
        <f aca="false" t="array" ref="N187:N187">_xlfn.SWITCH($A$2,"average", AVERAGE(Instances!N187:N187),"median", MEDIAN(Instances!N187:N187),"min", MIN(Instances!N187:N187),"max", MAX(Instances!N187:N187),"diff", MAX(Instances!N187:N187)-MIN(Instances!N187:N187))</f>
        <v>0.01</v>
      </c>
      <c r="O187" s="1"/>
      <c r="P187" s="1" t="n">
        <f aca="false" t="array" ref="P187:P187">_xlfn.SWITCH($A$2,"average", AVERAGE(Instances!P187:P187),"median", MEDIAN(Instances!P187:P187),"min", MIN(Instances!P187:P187),"max", MAX(Instances!P187:P187),"diff", MAX(Instances!P187:P187)-MIN(Instances!P187:P187))</f>
        <v>1.98</v>
      </c>
      <c r="Q187" s="1" t="n">
        <f aca="false" t="array" ref="Q187:Q187">_xlfn.SWITCH($A$2,"average", AVERAGE(Instances!Q187:Q187),"median", MEDIAN(Instances!Q187:Q187),"min", MIN(Instances!Q187:Q187),"max", MAX(Instances!Q187:Q187),"diff", MAX(Instances!Q187:Q187)-MIN(Instances!Q187:Q187))</f>
        <v>0</v>
      </c>
      <c r="R187" s="1" t="n">
        <f aca="false" t="array" ref="R187:R187">_xlfn.SWITCH($A$2,"average", AVERAGE(Instances!R187:R187),"median", MEDIAN(Instances!R187:R187),"min", MIN(Instances!R187:R187),"max", MAX(Instances!R187:R187),"diff", MAX(Instances!R187:R187)-MIN(Instances!R187:R187))</f>
        <v>151514</v>
      </c>
      <c r="S187" s="1" t="n">
        <f aca="false">MIN($B187)</f>
        <v>589</v>
      </c>
      <c r="T187" s="1" t="n">
        <f aca="false">MIN($C187)</f>
        <v>0</v>
      </c>
      <c r="U187" s="1" t="n">
        <f aca="false">MIN($D187)</f>
        <v>133677</v>
      </c>
      <c r="V187" s="1" t="n">
        <f aca="false">MIN($E187)</f>
        <v>0</v>
      </c>
      <c r="W187" s="1" t="n">
        <f aca="false">MIN($F187)</f>
        <v>150</v>
      </c>
      <c r="X187" s="1" t="n">
        <f aca="false">MIN($G187)</f>
        <v>0</v>
      </c>
      <c r="Y187" s="1" t="n">
        <f aca="false">MIN($H187)</f>
        <v>1</v>
      </c>
      <c r="Z187" s="1" t="n">
        <f aca="false">MIN($I187)</f>
        <v>1.927</v>
      </c>
      <c r="AA187" s="1" t="n">
        <f aca="false">MIN($J187)</f>
        <v>1.98</v>
      </c>
      <c r="AB187" s="1" t="n">
        <f aca="false">MIN($K187)</f>
        <v>0</v>
      </c>
      <c r="AC187" s="1" t="n">
        <f aca="false">MIN($M187)</f>
        <v>410883</v>
      </c>
      <c r="AD187" s="1" t="n">
        <f aca="false">MIN($N187)</f>
        <v>0.01</v>
      </c>
      <c r="AE187" s="1" t="n">
        <f aca="false">MIN($P187)</f>
        <v>1.98</v>
      </c>
      <c r="AF187" s="1" t="n">
        <f aca="false">MIN($Q187)</f>
        <v>0</v>
      </c>
      <c r="AG187" s="1" t="n">
        <f aca="false">MIN($R187)</f>
        <v>151514</v>
      </c>
      <c r="AH187" s="1" t="n">
        <f aca="false">MEDIAN($B187)</f>
        <v>589</v>
      </c>
      <c r="AI187" s="1" t="n">
        <f aca="false">MEDIAN($C187)</f>
        <v>0</v>
      </c>
      <c r="AJ187" s="1" t="n">
        <f aca="false">MEDIAN($D187)</f>
        <v>133677</v>
      </c>
      <c r="AK187" s="1" t="n">
        <f aca="false">MEDIAN($E187)</f>
        <v>0</v>
      </c>
      <c r="AL187" s="1" t="n">
        <f aca="false">MEDIAN($F187)</f>
        <v>150</v>
      </c>
      <c r="AM187" s="1" t="n">
        <f aca="false">MEDIAN($G187)</f>
        <v>0</v>
      </c>
      <c r="AN187" s="1" t="n">
        <f aca="false">MEDIAN($H187)</f>
        <v>1</v>
      </c>
      <c r="AO187" s="1" t="n">
        <f aca="false">MEDIAN($I187)</f>
        <v>1.927</v>
      </c>
      <c r="AP187" s="1" t="n">
        <f aca="false">MEDIAN($J187)</f>
        <v>1.98</v>
      </c>
      <c r="AQ187" s="1" t="n">
        <f aca="false">MEDIAN($K187)</f>
        <v>0</v>
      </c>
      <c r="AR187" s="1" t="n">
        <f aca="false">MEDIAN($M187)</f>
        <v>410883</v>
      </c>
      <c r="AS187" s="1" t="n">
        <f aca="false">MEDIAN($N187)</f>
        <v>0.01</v>
      </c>
      <c r="AT187" s="1" t="n">
        <f aca="false">MEDIAN($P187)</f>
        <v>1.98</v>
      </c>
      <c r="AU187" s="1" t="n">
        <f aca="false">MEDIAN($Q187)</f>
        <v>0</v>
      </c>
      <c r="AV187" s="1" t="n">
        <f aca="false">MEDIAN($R187)</f>
        <v>151514</v>
      </c>
      <c r="AW187" s="1" t="n">
        <f aca="false">MAX($B187)</f>
        <v>589</v>
      </c>
      <c r="AX187" s="1" t="n">
        <f aca="false">MAX($C187)</f>
        <v>0</v>
      </c>
      <c r="AY187" s="1" t="n">
        <f aca="false">MAX($D187)</f>
        <v>133677</v>
      </c>
      <c r="AZ187" s="1" t="n">
        <f aca="false">MAX($E187)</f>
        <v>0</v>
      </c>
      <c r="BA187" s="1" t="n">
        <f aca="false">MAX($F187)</f>
        <v>150</v>
      </c>
      <c r="BB187" s="1" t="n">
        <f aca="false">MAX($G187)</f>
        <v>0</v>
      </c>
      <c r="BC187" s="1" t="n">
        <f aca="false">MAX($H187)</f>
        <v>1</v>
      </c>
      <c r="BD187" s="1" t="n">
        <f aca="false">MAX($I187)</f>
        <v>1.927</v>
      </c>
      <c r="BE187" s="1" t="n">
        <f aca="false">MAX($J187)</f>
        <v>1.98</v>
      </c>
      <c r="BF187" s="1" t="n">
        <f aca="false">MAX($K187)</f>
        <v>0</v>
      </c>
      <c r="BG187" s="1" t="n">
        <f aca="false">MAX($M187)</f>
        <v>410883</v>
      </c>
      <c r="BH187" s="1" t="n">
        <f aca="false">MAX($N187)</f>
        <v>0.01</v>
      </c>
      <c r="BI187" s="1" t="n">
        <f aca="false">MAX($P187)</f>
        <v>1.98</v>
      </c>
      <c r="BJ187" s="1" t="n">
        <f aca="false">MAX($Q187)</f>
        <v>0</v>
      </c>
      <c r="BK187" s="1" t="n">
        <f aca="false">MAX($R187)</f>
        <v>151514</v>
      </c>
    </row>
    <row r="188" customFormat="false" ht="15" hidden="false" customHeight="false" outlineLevel="0" collapsed="false">
      <c r="A188" s="1" t="s">
        <v>205</v>
      </c>
      <c r="B188" s="1" t="n">
        <f aca="false" t="array" ref="B188:B188">_xlfn.SWITCH($A$2,"average", AVERAGE(Instances!B188:B188),"median", MEDIAN(Instances!B188:B188),"min", MIN(Instances!B188:B188),"max", MAX(Instances!B188:B188),"diff", MAX(Instances!B188:B188)-MIN(Instances!B188:B188))</f>
        <v>1034</v>
      </c>
      <c r="C188" s="1" t="n">
        <f aca="false" t="array" ref="C188:C188">_xlfn.SWITCH($A$2,"average", AVERAGE(Instances!C188:C188),"median", MEDIAN(Instances!C188:C188),"min", MIN(Instances!C188:C188),"max", MAX(Instances!C188:C188),"diff", MAX(Instances!C188:C188)-MIN(Instances!C188:C188))</f>
        <v>0</v>
      </c>
      <c r="D188" s="1" t="n">
        <f aca="false" t="array" ref="D188:D188">_xlfn.SWITCH($A$2,"average", AVERAGE(Instances!D188:D188),"median", MEDIAN(Instances!D188:D188),"min", MIN(Instances!D188:D188),"max", MAX(Instances!D188:D188),"diff", MAX(Instances!D188:D188)-MIN(Instances!D188:D188))</f>
        <v>225391</v>
      </c>
      <c r="E188" s="1" t="n">
        <f aca="false" t="array" ref="E188:E188">_xlfn.SWITCH($A$2,"average", AVERAGE(Instances!E188:E188),"median", MEDIAN(Instances!E188:E188),"min", MIN(Instances!E188:E188),"max", MAX(Instances!E188:E188),"diff", MAX(Instances!E188:E188)-MIN(Instances!E188:E188))</f>
        <v>0</v>
      </c>
      <c r="F188" s="1" t="n">
        <f aca="false" t="array" ref="F188:F188">_xlfn.SWITCH($A$2,"average", AVERAGE(Instances!F188:F188),"median", MEDIAN(Instances!F188:F188),"min", MIN(Instances!F188:F188),"max", MAX(Instances!F188:F188),"diff", MAX(Instances!F188:F188)-MIN(Instances!F188:F188))</f>
        <v>230</v>
      </c>
      <c r="G188" s="1" t="n">
        <f aca="false" t="array" ref="G188:G188">_xlfn.SWITCH($A$2,"average", AVERAGE(Instances!G188:G188),"median", MEDIAN(Instances!G188:G188),"min", MIN(Instances!G188:G188),"max", MAX(Instances!G188:G188),"diff", MAX(Instances!G188:G188)-MIN(Instances!G188:G188))</f>
        <v>0</v>
      </c>
      <c r="H188" s="1" t="n">
        <f aca="false" t="array" ref="H188:H188">_xlfn.SWITCH($A$2,"average", AVERAGE(Instances!H188:H188),"median", MEDIAN(Instances!H188:H188),"min", MIN(Instances!H188:H188),"max", MAX(Instances!H188:H188),"diff", MAX(Instances!H188:H188)-MIN(Instances!H188:H188))</f>
        <v>1</v>
      </c>
      <c r="I188" s="1" t="n">
        <f aca="false" t="array" ref="I188:I188">_xlfn.SWITCH($A$2,"average", AVERAGE(Instances!I188:I188),"median", MEDIAN(Instances!I188:I188),"min", MIN(Instances!I188:I188),"max", MAX(Instances!I188:I188),"diff", MAX(Instances!I188:I188)-MIN(Instances!I188:I188))</f>
        <v>3.014</v>
      </c>
      <c r="J188" s="1" t="n">
        <f aca="false" t="array" ref="J188:J188">_xlfn.SWITCH($A$2,"average", AVERAGE(Instances!J188:J188),"median", MEDIAN(Instances!J188:J188),"min", MIN(Instances!J188:J188),"max", MAX(Instances!J188:J188),"diff", MAX(Instances!J188:J188)-MIN(Instances!J188:J188))</f>
        <v>3.1</v>
      </c>
      <c r="K188" s="1" t="n">
        <f aca="false" t="array" ref="K188:K188">_xlfn.SWITCH($A$2,"average", AVERAGE(Instances!K188:K188),"median", MEDIAN(Instances!K188:K188),"min", MIN(Instances!K188:K188),"max", MAX(Instances!K188:K188),"diff", MAX(Instances!K188:K188)-MIN(Instances!K188:K188))</f>
        <v>0</v>
      </c>
      <c r="L188" s="1"/>
      <c r="M188" s="1" t="n">
        <f aca="false" t="array" ref="M188:M188">_xlfn.SWITCH($A$2,"average", AVERAGE(Instances!M188:M188),"median", MEDIAN(Instances!M188:M188),"min", MIN(Instances!M188:M188),"max", MAX(Instances!M188:M188),"diff", MAX(Instances!M188:M188)-MIN(Instances!M188:M188))</f>
        <v>636884</v>
      </c>
      <c r="N188" s="1" t="n">
        <f aca="false" t="array" ref="N188:N188">_xlfn.SWITCH($A$2,"average", AVERAGE(Instances!N188:N188),"median", MEDIAN(Instances!N188:N188),"min", MIN(Instances!N188:N188),"max", MAX(Instances!N188:N188),"diff", MAX(Instances!N188:N188)-MIN(Instances!N188:N188))</f>
        <v>0.02</v>
      </c>
      <c r="O188" s="1"/>
      <c r="P188" s="1" t="n">
        <f aca="false" t="array" ref="P188:P188">_xlfn.SWITCH($A$2,"average", AVERAGE(Instances!P188:P188),"median", MEDIAN(Instances!P188:P188),"min", MIN(Instances!P188:P188),"max", MAX(Instances!P188:P188),"diff", MAX(Instances!P188:P188)-MIN(Instances!P188:P188))</f>
        <v>3.1</v>
      </c>
      <c r="Q188" s="1" t="n">
        <f aca="false" t="array" ref="Q188:Q188">_xlfn.SWITCH($A$2,"average", AVERAGE(Instances!Q188:Q188),"median", MEDIAN(Instances!Q188:Q188),"min", MIN(Instances!Q188:Q188),"max", MAX(Instances!Q188:Q188),"diff", MAX(Instances!Q188:Q188)-MIN(Instances!Q188:Q188))</f>
        <v>0</v>
      </c>
      <c r="R188" s="1" t="n">
        <f aca="false" t="array" ref="R188:R188">_xlfn.SWITCH($A$2,"average", AVERAGE(Instances!R188:R188),"median", MEDIAN(Instances!R188:R188),"min", MIN(Instances!R188:R188),"max", MAX(Instances!R188:R188),"diff", MAX(Instances!R188:R188)-MIN(Instances!R188:R188))</f>
        <v>229878</v>
      </c>
      <c r="S188" s="1" t="n">
        <f aca="false">MIN($B188)</f>
        <v>1034</v>
      </c>
      <c r="T188" s="1" t="n">
        <f aca="false">MIN($C188)</f>
        <v>0</v>
      </c>
      <c r="U188" s="1" t="n">
        <f aca="false">MIN($D188)</f>
        <v>225391</v>
      </c>
      <c r="V188" s="1" t="n">
        <f aca="false">MIN($E188)</f>
        <v>0</v>
      </c>
      <c r="W188" s="1" t="n">
        <f aca="false">MIN($F188)</f>
        <v>230</v>
      </c>
      <c r="X188" s="1" t="n">
        <f aca="false">MIN($G188)</f>
        <v>0</v>
      </c>
      <c r="Y188" s="1" t="n">
        <f aca="false">MIN($H188)</f>
        <v>1</v>
      </c>
      <c r="Z188" s="1" t="n">
        <f aca="false">MIN($I188)</f>
        <v>3.014</v>
      </c>
      <c r="AA188" s="1" t="n">
        <f aca="false">MIN($J188)</f>
        <v>3.1</v>
      </c>
      <c r="AB188" s="1" t="n">
        <f aca="false">MIN($K188)</f>
        <v>0</v>
      </c>
      <c r="AC188" s="1" t="n">
        <f aca="false">MIN($M188)</f>
        <v>636884</v>
      </c>
      <c r="AD188" s="1" t="n">
        <f aca="false">MIN($N188)</f>
        <v>0.02</v>
      </c>
      <c r="AE188" s="1" t="n">
        <f aca="false">MIN($P188)</f>
        <v>3.1</v>
      </c>
      <c r="AF188" s="1" t="n">
        <f aca="false">MIN($Q188)</f>
        <v>0</v>
      </c>
      <c r="AG188" s="1" t="n">
        <f aca="false">MIN($R188)</f>
        <v>229878</v>
      </c>
      <c r="AH188" s="1" t="n">
        <f aca="false">MEDIAN($B188)</f>
        <v>1034</v>
      </c>
      <c r="AI188" s="1" t="n">
        <f aca="false">MEDIAN($C188)</f>
        <v>0</v>
      </c>
      <c r="AJ188" s="1" t="n">
        <f aca="false">MEDIAN($D188)</f>
        <v>225391</v>
      </c>
      <c r="AK188" s="1" t="n">
        <f aca="false">MEDIAN($E188)</f>
        <v>0</v>
      </c>
      <c r="AL188" s="1" t="n">
        <f aca="false">MEDIAN($F188)</f>
        <v>230</v>
      </c>
      <c r="AM188" s="1" t="n">
        <f aca="false">MEDIAN($G188)</f>
        <v>0</v>
      </c>
      <c r="AN188" s="1" t="n">
        <f aca="false">MEDIAN($H188)</f>
        <v>1</v>
      </c>
      <c r="AO188" s="1" t="n">
        <f aca="false">MEDIAN($I188)</f>
        <v>3.014</v>
      </c>
      <c r="AP188" s="1" t="n">
        <f aca="false">MEDIAN($J188)</f>
        <v>3.1</v>
      </c>
      <c r="AQ188" s="1" t="n">
        <f aca="false">MEDIAN($K188)</f>
        <v>0</v>
      </c>
      <c r="AR188" s="1" t="n">
        <f aca="false">MEDIAN($M188)</f>
        <v>636884</v>
      </c>
      <c r="AS188" s="1" t="n">
        <f aca="false">MEDIAN($N188)</f>
        <v>0.02</v>
      </c>
      <c r="AT188" s="1" t="n">
        <f aca="false">MEDIAN($P188)</f>
        <v>3.1</v>
      </c>
      <c r="AU188" s="1" t="n">
        <f aca="false">MEDIAN($Q188)</f>
        <v>0</v>
      </c>
      <c r="AV188" s="1" t="n">
        <f aca="false">MEDIAN($R188)</f>
        <v>229878</v>
      </c>
      <c r="AW188" s="1" t="n">
        <f aca="false">MAX($B188)</f>
        <v>1034</v>
      </c>
      <c r="AX188" s="1" t="n">
        <f aca="false">MAX($C188)</f>
        <v>0</v>
      </c>
      <c r="AY188" s="1" t="n">
        <f aca="false">MAX($D188)</f>
        <v>225391</v>
      </c>
      <c r="AZ188" s="1" t="n">
        <f aca="false">MAX($E188)</f>
        <v>0</v>
      </c>
      <c r="BA188" s="1" t="n">
        <f aca="false">MAX($F188)</f>
        <v>230</v>
      </c>
      <c r="BB188" s="1" t="n">
        <f aca="false">MAX($G188)</f>
        <v>0</v>
      </c>
      <c r="BC188" s="1" t="n">
        <f aca="false">MAX($H188)</f>
        <v>1</v>
      </c>
      <c r="BD188" s="1" t="n">
        <f aca="false">MAX($I188)</f>
        <v>3.014</v>
      </c>
      <c r="BE188" s="1" t="n">
        <f aca="false">MAX($J188)</f>
        <v>3.1</v>
      </c>
      <c r="BF188" s="1" t="n">
        <f aca="false">MAX($K188)</f>
        <v>0</v>
      </c>
      <c r="BG188" s="1" t="n">
        <f aca="false">MAX($M188)</f>
        <v>636884</v>
      </c>
      <c r="BH188" s="1" t="n">
        <f aca="false">MAX($N188)</f>
        <v>0.02</v>
      </c>
      <c r="BI188" s="1" t="n">
        <f aca="false">MAX($P188)</f>
        <v>3.1</v>
      </c>
      <c r="BJ188" s="1" t="n">
        <f aca="false">MAX($Q188)</f>
        <v>0</v>
      </c>
      <c r="BK188" s="1" t="n">
        <f aca="false">MAX($R188)</f>
        <v>229878</v>
      </c>
    </row>
    <row r="189" customFormat="false" ht="15" hidden="false" customHeight="false" outlineLevel="0" collapsed="false">
      <c r="A189" s="1" t="s">
        <v>206</v>
      </c>
      <c r="B189" s="1" t="n">
        <f aca="false" t="array" ref="B189:B189">_xlfn.SWITCH($A$2,"average", AVERAGE(Instances!B189:B189),"median", MEDIAN(Instances!B189:B189),"min", MIN(Instances!B189:B189),"max", MAX(Instances!B189:B189),"diff", MAX(Instances!B189:B189)-MIN(Instances!B189:B189))</f>
        <v>572</v>
      </c>
      <c r="C189" s="1" t="n">
        <f aca="false" t="array" ref="C189:C189">_xlfn.SWITCH($A$2,"average", AVERAGE(Instances!C189:C189),"median", MEDIAN(Instances!C189:C189),"min", MIN(Instances!C189:C189),"max", MAX(Instances!C189:C189),"diff", MAX(Instances!C189:C189)-MIN(Instances!C189:C189))</f>
        <v>0</v>
      </c>
      <c r="D189" s="1" t="n">
        <f aca="false" t="array" ref="D189:D189">_xlfn.SWITCH($A$2,"average", AVERAGE(Instances!D189:D189),"median", MEDIAN(Instances!D189:D189),"min", MIN(Instances!D189:D189),"max", MAX(Instances!D189:D189),"diff", MAX(Instances!D189:D189)-MIN(Instances!D189:D189))</f>
        <v>290759</v>
      </c>
      <c r="E189" s="1" t="n">
        <f aca="false" t="array" ref="E189:E189">_xlfn.SWITCH($A$2,"average", AVERAGE(Instances!E189:E189),"median", MEDIAN(Instances!E189:E189),"min", MIN(Instances!E189:E189),"max", MAX(Instances!E189:E189),"diff", MAX(Instances!E189:E189)-MIN(Instances!E189:E189))</f>
        <v>0</v>
      </c>
      <c r="F189" s="1" t="n">
        <f aca="false" t="array" ref="F189:F189">_xlfn.SWITCH($A$2,"average", AVERAGE(Instances!F189:F189),"median", MEDIAN(Instances!F189:F189),"min", MIN(Instances!F189:F189),"max", MAX(Instances!F189:F189),"diff", MAX(Instances!F189:F189)-MIN(Instances!F189:F189))</f>
        <v>221</v>
      </c>
      <c r="G189" s="1" t="n">
        <f aca="false" t="array" ref="G189:G189">_xlfn.SWITCH($A$2,"average", AVERAGE(Instances!G189:G189),"median", MEDIAN(Instances!G189:G189),"min", MIN(Instances!G189:G189),"max", MAX(Instances!G189:G189),"diff", MAX(Instances!G189:G189)-MIN(Instances!G189:G189))</f>
        <v>0</v>
      </c>
      <c r="H189" s="1" t="n">
        <f aca="false" t="array" ref="H189:H189">_xlfn.SWITCH($A$2,"average", AVERAGE(Instances!H189:H189),"median", MEDIAN(Instances!H189:H189),"min", MIN(Instances!H189:H189),"max", MAX(Instances!H189:H189),"diff", MAX(Instances!H189:H189)-MIN(Instances!H189:H189))</f>
        <v>1</v>
      </c>
      <c r="I189" s="1" t="n">
        <f aca="false" t="array" ref="I189:I189">_xlfn.SWITCH($A$2,"average", AVERAGE(Instances!I189:I189),"median", MEDIAN(Instances!I189:I189),"min", MIN(Instances!I189:I189),"max", MAX(Instances!I189:I189),"diff", MAX(Instances!I189:I189)-MIN(Instances!I189:I189))</f>
        <v>2.838</v>
      </c>
      <c r="J189" s="1" t="n">
        <f aca="false" t="array" ref="J189:J189">_xlfn.SWITCH($A$2,"average", AVERAGE(Instances!J189:J189),"median", MEDIAN(Instances!J189:J189),"min", MIN(Instances!J189:J189),"max", MAX(Instances!J189:J189),"diff", MAX(Instances!J189:J189)-MIN(Instances!J189:J189))</f>
        <v>2.92</v>
      </c>
      <c r="K189" s="1" t="n">
        <f aca="false" t="array" ref="K189:K189">_xlfn.SWITCH($A$2,"average", AVERAGE(Instances!K189:K189),"median", MEDIAN(Instances!K189:K189),"min", MIN(Instances!K189:K189),"max", MAX(Instances!K189:K189),"diff", MAX(Instances!K189:K189)-MIN(Instances!K189:K189))</f>
        <v>0</v>
      </c>
      <c r="L189" s="1"/>
      <c r="M189" s="1" t="n">
        <f aca="false" t="array" ref="M189:M189">_xlfn.SWITCH($A$2,"average", AVERAGE(Instances!M189:M189),"median", MEDIAN(Instances!M189:M189),"min", MIN(Instances!M189:M189),"max", MAX(Instances!M189:M189),"diff", MAX(Instances!M189:M189)-MIN(Instances!M189:M189))</f>
        <v>613684</v>
      </c>
      <c r="N189" s="1" t="n">
        <f aca="false" t="array" ref="N189:N189">_xlfn.SWITCH($A$2,"average", AVERAGE(Instances!N189:N189),"median", MEDIAN(Instances!N189:N189),"min", MIN(Instances!N189:N189),"max", MAX(Instances!N189:N189),"diff", MAX(Instances!N189:N189)-MIN(Instances!N189:N189))</f>
        <v>0.02</v>
      </c>
      <c r="O189" s="1"/>
      <c r="P189" s="1" t="n">
        <f aca="false" t="array" ref="P189:P189">_xlfn.SWITCH($A$2,"average", AVERAGE(Instances!P189:P189),"median", MEDIAN(Instances!P189:P189),"min", MIN(Instances!P189:P189),"max", MAX(Instances!P189:P189),"diff", MAX(Instances!P189:P189)-MIN(Instances!P189:P189))</f>
        <v>2.92</v>
      </c>
      <c r="Q189" s="1" t="n">
        <f aca="false" t="array" ref="Q189:Q189">_xlfn.SWITCH($A$2,"average", AVERAGE(Instances!Q189:Q189),"median", MEDIAN(Instances!Q189:Q189),"min", MIN(Instances!Q189:Q189),"max", MAX(Instances!Q189:Q189),"diff", MAX(Instances!Q189:Q189)-MIN(Instances!Q189:Q189))</f>
        <v>0</v>
      </c>
      <c r="R189" s="1" t="n">
        <f aca="false" t="array" ref="R189:R189">_xlfn.SWITCH($A$2,"average", AVERAGE(Instances!R189:R189),"median", MEDIAN(Instances!R189:R189),"min", MIN(Instances!R189:R189),"max", MAX(Instances!R189:R189),"diff", MAX(Instances!R189:R189)-MIN(Instances!R189:R189))</f>
        <v>221930</v>
      </c>
      <c r="S189" s="1" t="n">
        <f aca="false">MIN($B189)</f>
        <v>572</v>
      </c>
      <c r="T189" s="1" t="n">
        <f aca="false">MIN($C189)</f>
        <v>0</v>
      </c>
      <c r="U189" s="1" t="n">
        <f aca="false">MIN($D189)</f>
        <v>290759</v>
      </c>
      <c r="V189" s="1" t="n">
        <f aca="false">MIN($E189)</f>
        <v>0</v>
      </c>
      <c r="W189" s="1" t="n">
        <f aca="false">MIN($F189)</f>
        <v>221</v>
      </c>
      <c r="X189" s="1" t="n">
        <f aca="false">MIN($G189)</f>
        <v>0</v>
      </c>
      <c r="Y189" s="1" t="n">
        <f aca="false">MIN($H189)</f>
        <v>1</v>
      </c>
      <c r="Z189" s="1" t="n">
        <f aca="false">MIN($I189)</f>
        <v>2.838</v>
      </c>
      <c r="AA189" s="1" t="n">
        <f aca="false">MIN($J189)</f>
        <v>2.92</v>
      </c>
      <c r="AB189" s="1" t="n">
        <f aca="false">MIN($K189)</f>
        <v>0</v>
      </c>
      <c r="AC189" s="1" t="n">
        <f aca="false">MIN($M189)</f>
        <v>613684</v>
      </c>
      <c r="AD189" s="1" t="n">
        <f aca="false">MIN($N189)</f>
        <v>0.02</v>
      </c>
      <c r="AE189" s="1" t="n">
        <f aca="false">MIN($P189)</f>
        <v>2.92</v>
      </c>
      <c r="AF189" s="1" t="n">
        <f aca="false">MIN($Q189)</f>
        <v>0</v>
      </c>
      <c r="AG189" s="1" t="n">
        <f aca="false">MIN($R189)</f>
        <v>221930</v>
      </c>
      <c r="AH189" s="1" t="n">
        <f aca="false">MEDIAN($B189)</f>
        <v>572</v>
      </c>
      <c r="AI189" s="1" t="n">
        <f aca="false">MEDIAN($C189)</f>
        <v>0</v>
      </c>
      <c r="AJ189" s="1" t="n">
        <f aca="false">MEDIAN($D189)</f>
        <v>290759</v>
      </c>
      <c r="AK189" s="1" t="n">
        <f aca="false">MEDIAN($E189)</f>
        <v>0</v>
      </c>
      <c r="AL189" s="1" t="n">
        <f aca="false">MEDIAN($F189)</f>
        <v>221</v>
      </c>
      <c r="AM189" s="1" t="n">
        <f aca="false">MEDIAN($G189)</f>
        <v>0</v>
      </c>
      <c r="AN189" s="1" t="n">
        <f aca="false">MEDIAN($H189)</f>
        <v>1</v>
      </c>
      <c r="AO189" s="1" t="n">
        <f aca="false">MEDIAN($I189)</f>
        <v>2.838</v>
      </c>
      <c r="AP189" s="1" t="n">
        <f aca="false">MEDIAN($J189)</f>
        <v>2.92</v>
      </c>
      <c r="AQ189" s="1" t="n">
        <f aca="false">MEDIAN($K189)</f>
        <v>0</v>
      </c>
      <c r="AR189" s="1" t="n">
        <f aca="false">MEDIAN($M189)</f>
        <v>613684</v>
      </c>
      <c r="AS189" s="1" t="n">
        <f aca="false">MEDIAN($N189)</f>
        <v>0.02</v>
      </c>
      <c r="AT189" s="1" t="n">
        <f aca="false">MEDIAN($P189)</f>
        <v>2.92</v>
      </c>
      <c r="AU189" s="1" t="n">
        <f aca="false">MEDIAN($Q189)</f>
        <v>0</v>
      </c>
      <c r="AV189" s="1" t="n">
        <f aca="false">MEDIAN($R189)</f>
        <v>221930</v>
      </c>
      <c r="AW189" s="1" t="n">
        <f aca="false">MAX($B189)</f>
        <v>572</v>
      </c>
      <c r="AX189" s="1" t="n">
        <f aca="false">MAX($C189)</f>
        <v>0</v>
      </c>
      <c r="AY189" s="1" t="n">
        <f aca="false">MAX($D189)</f>
        <v>290759</v>
      </c>
      <c r="AZ189" s="1" t="n">
        <f aca="false">MAX($E189)</f>
        <v>0</v>
      </c>
      <c r="BA189" s="1" t="n">
        <f aca="false">MAX($F189)</f>
        <v>221</v>
      </c>
      <c r="BB189" s="1" t="n">
        <f aca="false">MAX($G189)</f>
        <v>0</v>
      </c>
      <c r="BC189" s="1" t="n">
        <f aca="false">MAX($H189)</f>
        <v>1</v>
      </c>
      <c r="BD189" s="1" t="n">
        <f aca="false">MAX($I189)</f>
        <v>2.838</v>
      </c>
      <c r="BE189" s="1" t="n">
        <f aca="false">MAX($J189)</f>
        <v>2.92</v>
      </c>
      <c r="BF189" s="1" t="n">
        <f aca="false">MAX($K189)</f>
        <v>0</v>
      </c>
      <c r="BG189" s="1" t="n">
        <f aca="false">MAX($M189)</f>
        <v>613684</v>
      </c>
      <c r="BH189" s="1" t="n">
        <f aca="false">MAX($N189)</f>
        <v>0.02</v>
      </c>
      <c r="BI189" s="1" t="n">
        <f aca="false">MAX($P189)</f>
        <v>2.92</v>
      </c>
      <c r="BJ189" s="1" t="n">
        <f aca="false">MAX($Q189)</f>
        <v>0</v>
      </c>
      <c r="BK189" s="1" t="n">
        <f aca="false">MAX($R189)</f>
        <v>221930</v>
      </c>
    </row>
    <row r="190" customFormat="false" ht="15" hidden="false" customHeight="false" outlineLevel="0" collapsed="false">
      <c r="A190" s="1" t="s">
        <v>207</v>
      </c>
      <c r="B190" s="1" t="n">
        <f aca="false" t="array" ref="B190:B190">_xlfn.SWITCH($A$2,"average", AVERAGE(Instances!B190:B190),"median", MEDIAN(Instances!B190:B190),"min", MIN(Instances!B190:B190),"max", MAX(Instances!B190:B190),"diff", MAX(Instances!B190:B190)-MIN(Instances!B190:B190))</f>
        <v>944</v>
      </c>
      <c r="C190" s="1" t="n">
        <f aca="false" t="array" ref="C190:C190">_xlfn.SWITCH($A$2,"average", AVERAGE(Instances!C190:C190),"median", MEDIAN(Instances!C190:C190),"min", MIN(Instances!C190:C190),"max", MAX(Instances!C190:C190),"diff", MAX(Instances!C190:C190)-MIN(Instances!C190:C190))</f>
        <v>4</v>
      </c>
      <c r="D190" s="1" t="n">
        <f aca="false" t="array" ref="D190:D190">_xlfn.SWITCH($A$2,"average", AVERAGE(Instances!D190:D190),"median", MEDIAN(Instances!D190:D190),"min", MIN(Instances!D190:D190),"max", MAX(Instances!D190:D190),"diff", MAX(Instances!D190:D190)-MIN(Instances!D190:D190))</f>
        <v>183212</v>
      </c>
      <c r="E190" s="1" t="n">
        <f aca="false" t="array" ref="E190:E190">_xlfn.SWITCH($A$2,"average", AVERAGE(Instances!E190:E190),"median", MEDIAN(Instances!E190:E190),"min", MIN(Instances!E190:E190),"max", MAX(Instances!E190:E190),"diff", MAX(Instances!E190:E190)-MIN(Instances!E190:E190))</f>
        <v>0</v>
      </c>
      <c r="F190" s="1" t="n">
        <f aca="false" t="array" ref="F190:F190">_xlfn.SWITCH($A$2,"average", AVERAGE(Instances!F190:F190),"median", MEDIAN(Instances!F190:F190),"min", MIN(Instances!F190:F190),"max", MAX(Instances!F190:F190),"diff", MAX(Instances!F190:F190)-MIN(Instances!F190:F190))</f>
        <v>279</v>
      </c>
      <c r="G190" s="1" t="n">
        <f aca="false" t="array" ref="G190:G190">_xlfn.SWITCH($A$2,"average", AVERAGE(Instances!G190:G190),"median", MEDIAN(Instances!G190:G190),"min", MIN(Instances!G190:G190),"max", MAX(Instances!G190:G190),"diff", MAX(Instances!G190:G190)-MIN(Instances!G190:G190))</f>
        <v>0</v>
      </c>
      <c r="H190" s="1" t="n">
        <f aca="false" t="array" ref="H190:H190">_xlfn.SWITCH($A$2,"average", AVERAGE(Instances!H190:H190),"median", MEDIAN(Instances!H190:H190),"min", MIN(Instances!H190:H190),"max", MAX(Instances!H190:H190),"diff", MAX(Instances!H190:H190)-MIN(Instances!H190:H190))</f>
        <v>1</v>
      </c>
      <c r="I190" s="1" t="n">
        <f aca="false" t="array" ref="I190:I190">_xlfn.SWITCH($A$2,"average", AVERAGE(Instances!I190:I190),"median", MEDIAN(Instances!I190:I190),"min", MIN(Instances!I190:I190),"max", MAX(Instances!I190:I190),"diff", MAX(Instances!I190:I190)-MIN(Instances!I190:I190))</f>
        <v>3.475</v>
      </c>
      <c r="J190" s="1" t="n">
        <f aca="false" t="array" ref="J190:J190">_xlfn.SWITCH($A$2,"average", AVERAGE(Instances!J190:J190),"median", MEDIAN(Instances!J190:J190),"min", MIN(Instances!J190:J190),"max", MAX(Instances!J190:J190),"diff", MAX(Instances!J190:J190)-MIN(Instances!J190:J190))</f>
        <v>3.59</v>
      </c>
      <c r="K190" s="1" t="n">
        <f aca="false" t="array" ref="K190:K190">_xlfn.SWITCH($A$2,"average", AVERAGE(Instances!K190:K190),"median", MEDIAN(Instances!K190:K190),"min", MIN(Instances!K190:K190),"max", MAX(Instances!K190:K190),"diff", MAX(Instances!K190:K190)-MIN(Instances!K190:K190))</f>
        <v>0</v>
      </c>
      <c r="L190" s="1"/>
      <c r="M190" s="1" t="n">
        <f aca="false" t="array" ref="M190:M190">_xlfn.SWITCH($A$2,"average", AVERAGE(Instances!M190:M190),"median", MEDIAN(Instances!M190:M190),"min", MIN(Instances!M190:M190),"max", MAX(Instances!M190:M190),"diff", MAX(Instances!M190:M190)-MIN(Instances!M190:M190))</f>
        <v>869213</v>
      </c>
      <c r="N190" s="1" t="n">
        <f aca="false" t="array" ref="N190:N190">_xlfn.SWITCH($A$2,"average", AVERAGE(Instances!N190:N190),"median", MEDIAN(Instances!N190:N190),"min", MIN(Instances!N190:N190),"max", MAX(Instances!N190:N190),"diff", MAX(Instances!N190:N190)-MIN(Instances!N190:N190))</f>
        <v>0.02</v>
      </c>
      <c r="O190" s="1"/>
      <c r="P190" s="1" t="n">
        <f aca="false" t="array" ref="P190:P190">_xlfn.SWITCH($A$2,"average", AVERAGE(Instances!P190:P190),"median", MEDIAN(Instances!P190:P190),"min", MIN(Instances!P190:P190),"max", MAX(Instances!P190:P190),"diff", MAX(Instances!P190:P190)-MIN(Instances!P190:P190))</f>
        <v>3.59</v>
      </c>
      <c r="Q190" s="1" t="n">
        <f aca="false" t="array" ref="Q190:Q190">_xlfn.SWITCH($A$2,"average", AVERAGE(Instances!Q190:Q190),"median", MEDIAN(Instances!Q190:Q190),"min", MIN(Instances!Q190:Q190),"max", MAX(Instances!Q190:Q190),"diff", MAX(Instances!Q190:Q190)-MIN(Instances!Q190:Q190))</f>
        <v>0</v>
      </c>
      <c r="R190" s="1" t="n">
        <f aca="false" t="array" ref="R190:R190">_xlfn.SWITCH($A$2,"average", AVERAGE(Instances!R190:R190),"median", MEDIAN(Instances!R190:R190),"min", MIN(Instances!R190:R190),"max", MAX(Instances!R190:R190),"diff", MAX(Instances!R190:R190)-MIN(Instances!R190:R190))</f>
        <v>286700</v>
      </c>
      <c r="S190" s="1" t="n">
        <f aca="false">MIN($B190)</f>
        <v>944</v>
      </c>
      <c r="T190" s="1" t="n">
        <f aca="false">MIN($C190)</f>
        <v>4</v>
      </c>
      <c r="U190" s="1" t="n">
        <f aca="false">MIN($D190)</f>
        <v>183212</v>
      </c>
      <c r="V190" s="1" t="n">
        <f aca="false">MIN($E190)</f>
        <v>0</v>
      </c>
      <c r="W190" s="1" t="n">
        <f aca="false">MIN($F190)</f>
        <v>279</v>
      </c>
      <c r="X190" s="1" t="n">
        <f aca="false">MIN($G190)</f>
        <v>0</v>
      </c>
      <c r="Y190" s="1" t="n">
        <f aca="false">MIN($H190)</f>
        <v>1</v>
      </c>
      <c r="Z190" s="1" t="n">
        <f aca="false">MIN($I190)</f>
        <v>3.475</v>
      </c>
      <c r="AA190" s="1" t="n">
        <f aca="false">MIN($J190)</f>
        <v>3.59</v>
      </c>
      <c r="AB190" s="1" t="n">
        <f aca="false">MIN($K190)</f>
        <v>0</v>
      </c>
      <c r="AC190" s="1" t="n">
        <f aca="false">MIN($M190)</f>
        <v>869213</v>
      </c>
      <c r="AD190" s="1" t="n">
        <f aca="false">MIN($N190)</f>
        <v>0.02</v>
      </c>
      <c r="AE190" s="1" t="n">
        <f aca="false">MIN($P190)</f>
        <v>3.59</v>
      </c>
      <c r="AF190" s="1" t="n">
        <f aca="false">MIN($Q190)</f>
        <v>0</v>
      </c>
      <c r="AG190" s="1" t="n">
        <f aca="false">MIN($R190)</f>
        <v>286700</v>
      </c>
      <c r="AH190" s="1" t="n">
        <f aca="false">MEDIAN($B190)</f>
        <v>944</v>
      </c>
      <c r="AI190" s="1" t="n">
        <f aca="false">MEDIAN($C190)</f>
        <v>4</v>
      </c>
      <c r="AJ190" s="1" t="n">
        <f aca="false">MEDIAN($D190)</f>
        <v>183212</v>
      </c>
      <c r="AK190" s="1" t="n">
        <f aca="false">MEDIAN($E190)</f>
        <v>0</v>
      </c>
      <c r="AL190" s="1" t="n">
        <f aca="false">MEDIAN($F190)</f>
        <v>279</v>
      </c>
      <c r="AM190" s="1" t="n">
        <f aca="false">MEDIAN($G190)</f>
        <v>0</v>
      </c>
      <c r="AN190" s="1" t="n">
        <f aca="false">MEDIAN($H190)</f>
        <v>1</v>
      </c>
      <c r="AO190" s="1" t="n">
        <f aca="false">MEDIAN($I190)</f>
        <v>3.475</v>
      </c>
      <c r="AP190" s="1" t="n">
        <f aca="false">MEDIAN($J190)</f>
        <v>3.59</v>
      </c>
      <c r="AQ190" s="1" t="n">
        <f aca="false">MEDIAN($K190)</f>
        <v>0</v>
      </c>
      <c r="AR190" s="1" t="n">
        <f aca="false">MEDIAN($M190)</f>
        <v>869213</v>
      </c>
      <c r="AS190" s="1" t="n">
        <f aca="false">MEDIAN($N190)</f>
        <v>0.02</v>
      </c>
      <c r="AT190" s="1" t="n">
        <f aca="false">MEDIAN($P190)</f>
        <v>3.59</v>
      </c>
      <c r="AU190" s="1" t="n">
        <f aca="false">MEDIAN($Q190)</f>
        <v>0</v>
      </c>
      <c r="AV190" s="1" t="n">
        <f aca="false">MEDIAN($R190)</f>
        <v>286700</v>
      </c>
      <c r="AW190" s="1" t="n">
        <f aca="false">MAX($B190)</f>
        <v>944</v>
      </c>
      <c r="AX190" s="1" t="n">
        <f aca="false">MAX($C190)</f>
        <v>4</v>
      </c>
      <c r="AY190" s="1" t="n">
        <f aca="false">MAX($D190)</f>
        <v>183212</v>
      </c>
      <c r="AZ190" s="1" t="n">
        <f aca="false">MAX($E190)</f>
        <v>0</v>
      </c>
      <c r="BA190" s="1" t="n">
        <f aca="false">MAX($F190)</f>
        <v>279</v>
      </c>
      <c r="BB190" s="1" t="n">
        <f aca="false">MAX($G190)</f>
        <v>0</v>
      </c>
      <c r="BC190" s="1" t="n">
        <f aca="false">MAX($H190)</f>
        <v>1</v>
      </c>
      <c r="BD190" s="1" t="n">
        <f aca="false">MAX($I190)</f>
        <v>3.475</v>
      </c>
      <c r="BE190" s="1" t="n">
        <f aca="false">MAX($J190)</f>
        <v>3.59</v>
      </c>
      <c r="BF190" s="1" t="n">
        <f aca="false">MAX($K190)</f>
        <v>0</v>
      </c>
      <c r="BG190" s="1" t="n">
        <f aca="false">MAX($M190)</f>
        <v>869213</v>
      </c>
      <c r="BH190" s="1" t="n">
        <f aca="false">MAX($N190)</f>
        <v>0.02</v>
      </c>
      <c r="BI190" s="1" t="n">
        <f aca="false">MAX($P190)</f>
        <v>3.59</v>
      </c>
      <c r="BJ190" s="1" t="n">
        <f aca="false">MAX($Q190)</f>
        <v>0</v>
      </c>
      <c r="BK190" s="1" t="n">
        <f aca="false">MAX($R190)</f>
        <v>286700</v>
      </c>
    </row>
    <row r="191" customFormat="false" ht="15" hidden="false" customHeight="false" outlineLevel="0" collapsed="false">
      <c r="A191" s="1" t="s">
        <v>208</v>
      </c>
      <c r="B191" s="1" t="n">
        <f aca="false" t="array" ref="B191:B191">_xlfn.SWITCH($A$2,"average", AVERAGE(Instances!B191:B191),"median", MEDIAN(Instances!B191:B191),"min", MIN(Instances!B191:B191),"max", MAX(Instances!B191:B191),"diff", MAX(Instances!B191:B191)-MIN(Instances!B191:B191))</f>
        <v>991</v>
      </c>
      <c r="C191" s="1" t="n">
        <f aca="false" t="array" ref="C191:C191">_xlfn.SWITCH($A$2,"average", AVERAGE(Instances!C191:C191),"median", MEDIAN(Instances!C191:C191),"min", MIN(Instances!C191:C191),"max", MAX(Instances!C191:C191),"diff", MAX(Instances!C191:C191)-MIN(Instances!C191:C191))</f>
        <v>8</v>
      </c>
      <c r="D191" s="1" t="n">
        <f aca="false" t="array" ref="D191:D191">_xlfn.SWITCH($A$2,"average", AVERAGE(Instances!D191:D191),"median", MEDIAN(Instances!D191:D191),"min", MIN(Instances!D191:D191),"max", MAX(Instances!D191:D191),"diff", MAX(Instances!D191:D191)-MIN(Instances!D191:D191))</f>
        <v>209454</v>
      </c>
      <c r="E191" s="1" t="n">
        <f aca="false" t="array" ref="E191:E191">_xlfn.SWITCH($A$2,"average", AVERAGE(Instances!E191:E191),"median", MEDIAN(Instances!E191:E191),"min", MIN(Instances!E191:E191),"max", MAX(Instances!E191:E191),"diff", MAX(Instances!E191:E191)-MIN(Instances!E191:E191))</f>
        <v>0</v>
      </c>
      <c r="F191" s="1" t="n">
        <f aca="false" t="array" ref="F191:F191">_xlfn.SWITCH($A$2,"average", AVERAGE(Instances!F191:F191),"median", MEDIAN(Instances!F191:F191),"min", MIN(Instances!F191:F191),"max", MAX(Instances!F191:F191),"diff", MAX(Instances!F191:F191)-MIN(Instances!F191:F191))</f>
        <v>236</v>
      </c>
      <c r="G191" s="1" t="n">
        <f aca="false" t="array" ref="G191:G191">_xlfn.SWITCH($A$2,"average", AVERAGE(Instances!G191:G191),"median", MEDIAN(Instances!G191:G191),"min", MIN(Instances!G191:G191),"max", MAX(Instances!G191:G191),"diff", MAX(Instances!G191:G191)-MIN(Instances!G191:G191))</f>
        <v>0</v>
      </c>
      <c r="H191" s="1" t="n">
        <f aca="false" t="array" ref="H191:H191">_xlfn.SWITCH($A$2,"average", AVERAGE(Instances!H191:H191),"median", MEDIAN(Instances!H191:H191),"min", MIN(Instances!H191:H191),"max", MAX(Instances!H191:H191),"diff", MAX(Instances!H191:H191)-MIN(Instances!H191:H191))</f>
        <v>1</v>
      </c>
      <c r="I191" s="1" t="n">
        <f aca="false" t="array" ref="I191:I191">_xlfn.SWITCH($A$2,"average", AVERAGE(Instances!I191:I191),"median", MEDIAN(Instances!I191:I191),"min", MIN(Instances!I191:I191),"max", MAX(Instances!I191:I191),"diff", MAX(Instances!I191:I191)-MIN(Instances!I191:I191))</f>
        <v>2.862</v>
      </c>
      <c r="J191" s="1" t="n">
        <f aca="false" t="array" ref="J191:J191">_xlfn.SWITCH($A$2,"average", AVERAGE(Instances!J191:J191),"median", MEDIAN(Instances!J191:J191),"min", MIN(Instances!J191:J191),"max", MAX(Instances!J191:J191),"diff", MAX(Instances!J191:J191)-MIN(Instances!J191:J191))</f>
        <v>2.95</v>
      </c>
      <c r="K191" s="1" t="n">
        <f aca="false" t="array" ref="K191:K191">_xlfn.SWITCH($A$2,"average", AVERAGE(Instances!K191:K191),"median", MEDIAN(Instances!K191:K191),"min", MIN(Instances!K191:K191),"max", MAX(Instances!K191:K191),"diff", MAX(Instances!K191:K191)-MIN(Instances!K191:K191))</f>
        <v>0</v>
      </c>
      <c r="L191" s="1"/>
      <c r="M191" s="1" t="n">
        <f aca="false" t="array" ref="M191:M191">_xlfn.SWITCH($A$2,"average", AVERAGE(Instances!M191:M191),"median", MEDIAN(Instances!M191:M191),"min", MIN(Instances!M191:M191),"max", MAX(Instances!M191:M191),"diff", MAX(Instances!M191:M191)-MIN(Instances!M191:M191))</f>
        <v>713659</v>
      </c>
      <c r="N191" s="1" t="n">
        <f aca="false" t="array" ref="N191:N191">_xlfn.SWITCH($A$2,"average", AVERAGE(Instances!N191:N191),"median", MEDIAN(Instances!N191:N191),"min", MIN(Instances!N191:N191),"max", MAX(Instances!N191:N191),"diff", MAX(Instances!N191:N191)-MIN(Instances!N191:N191))</f>
        <v>0.02</v>
      </c>
      <c r="O191" s="1"/>
      <c r="P191" s="1" t="n">
        <f aca="false" t="array" ref="P191:P191">_xlfn.SWITCH($A$2,"average", AVERAGE(Instances!P191:P191),"median", MEDIAN(Instances!P191:P191),"min", MIN(Instances!P191:P191),"max", MAX(Instances!P191:P191),"diff", MAX(Instances!P191:P191)-MIN(Instances!P191:P191))</f>
        <v>2.95</v>
      </c>
      <c r="Q191" s="1" t="n">
        <f aca="false" t="array" ref="Q191:Q191">_xlfn.SWITCH($A$2,"average", AVERAGE(Instances!Q191:Q191),"median", MEDIAN(Instances!Q191:Q191),"min", MIN(Instances!Q191:Q191),"max", MAX(Instances!Q191:Q191),"diff", MAX(Instances!Q191:Q191)-MIN(Instances!Q191:Q191))</f>
        <v>0</v>
      </c>
      <c r="R191" s="1" t="n">
        <f aca="false" t="array" ref="R191:R191">_xlfn.SWITCH($A$2,"average", AVERAGE(Instances!R191:R191),"median", MEDIAN(Instances!R191:R191),"min", MIN(Instances!R191:R191),"max", MAX(Instances!R191:R191),"diff", MAX(Instances!R191:R191)-MIN(Instances!R191:R191))</f>
        <v>239752</v>
      </c>
      <c r="S191" s="1" t="n">
        <f aca="false">MIN($B191)</f>
        <v>991</v>
      </c>
      <c r="T191" s="1" t="n">
        <f aca="false">MIN($C191)</f>
        <v>8</v>
      </c>
      <c r="U191" s="1" t="n">
        <f aca="false">MIN($D191)</f>
        <v>209454</v>
      </c>
      <c r="V191" s="1" t="n">
        <f aca="false">MIN($E191)</f>
        <v>0</v>
      </c>
      <c r="W191" s="1" t="n">
        <f aca="false">MIN($F191)</f>
        <v>236</v>
      </c>
      <c r="X191" s="1" t="n">
        <f aca="false">MIN($G191)</f>
        <v>0</v>
      </c>
      <c r="Y191" s="1" t="n">
        <f aca="false">MIN($H191)</f>
        <v>1</v>
      </c>
      <c r="Z191" s="1" t="n">
        <f aca="false">MIN($I191)</f>
        <v>2.862</v>
      </c>
      <c r="AA191" s="1" t="n">
        <f aca="false">MIN($J191)</f>
        <v>2.95</v>
      </c>
      <c r="AB191" s="1" t="n">
        <f aca="false">MIN($K191)</f>
        <v>0</v>
      </c>
      <c r="AC191" s="1" t="n">
        <f aca="false">MIN($M191)</f>
        <v>713659</v>
      </c>
      <c r="AD191" s="1" t="n">
        <f aca="false">MIN($N191)</f>
        <v>0.02</v>
      </c>
      <c r="AE191" s="1" t="n">
        <f aca="false">MIN($P191)</f>
        <v>2.95</v>
      </c>
      <c r="AF191" s="1" t="n">
        <f aca="false">MIN($Q191)</f>
        <v>0</v>
      </c>
      <c r="AG191" s="1" t="n">
        <f aca="false">MIN($R191)</f>
        <v>239752</v>
      </c>
      <c r="AH191" s="1" t="n">
        <f aca="false">MEDIAN($B191)</f>
        <v>991</v>
      </c>
      <c r="AI191" s="1" t="n">
        <f aca="false">MEDIAN($C191)</f>
        <v>8</v>
      </c>
      <c r="AJ191" s="1" t="n">
        <f aca="false">MEDIAN($D191)</f>
        <v>209454</v>
      </c>
      <c r="AK191" s="1" t="n">
        <f aca="false">MEDIAN($E191)</f>
        <v>0</v>
      </c>
      <c r="AL191" s="1" t="n">
        <f aca="false">MEDIAN($F191)</f>
        <v>236</v>
      </c>
      <c r="AM191" s="1" t="n">
        <f aca="false">MEDIAN($G191)</f>
        <v>0</v>
      </c>
      <c r="AN191" s="1" t="n">
        <f aca="false">MEDIAN($H191)</f>
        <v>1</v>
      </c>
      <c r="AO191" s="1" t="n">
        <f aca="false">MEDIAN($I191)</f>
        <v>2.862</v>
      </c>
      <c r="AP191" s="1" t="n">
        <f aca="false">MEDIAN($J191)</f>
        <v>2.95</v>
      </c>
      <c r="AQ191" s="1" t="n">
        <f aca="false">MEDIAN($K191)</f>
        <v>0</v>
      </c>
      <c r="AR191" s="1" t="n">
        <f aca="false">MEDIAN($M191)</f>
        <v>713659</v>
      </c>
      <c r="AS191" s="1" t="n">
        <f aca="false">MEDIAN($N191)</f>
        <v>0.02</v>
      </c>
      <c r="AT191" s="1" t="n">
        <f aca="false">MEDIAN($P191)</f>
        <v>2.95</v>
      </c>
      <c r="AU191" s="1" t="n">
        <f aca="false">MEDIAN($Q191)</f>
        <v>0</v>
      </c>
      <c r="AV191" s="1" t="n">
        <f aca="false">MEDIAN($R191)</f>
        <v>239752</v>
      </c>
      <c r="AW191" s="1" t="n">
        <f aca="false">MAX($B191)</f>
        <v>991</v>
      </c>
      <c r="AX191" s="1" t="n">
        <f aca="false">MAX($C191)</f>
        <v>8</v>
      </c>
      <c r="AY191" s="1" t="n">
        <f aca="false">MAX($D191)</f>
        <v>209454</v>
      </c>
      <c r="AZ191" s="1" t="n">
        <f aca="false">MAX($E191)</f>
        <v>0</v>
      </c>
      <c r="BA191" s="1" t="n">
        <f aca="false">MAX($F191)</f>
        <v>236</v>
      </c>
      <c r="BB191" s="1" t="n">
        <f aca="false">MAX($G191)</f>
        <v>0</v>
      </c>
      <c r="BC191" s="1" t="n">
        <f aca="false">MAX($H191)</f>
        <v>1</v>
      </c>
      <c r="BD191" s="1" t="n">
        <f aca="false">MAX($I191)</f>
        <v>2.862</v>
      </c>
      <c r="BE191" s="1" t="n">
        <f aca="false">MAX($J191)</f>
        <v>2.95</v>
      </c>
      <c r="BF191" s="1" t="n">
        <f aca="false">MAX($K191)</f>
        <v>0</v>
      </c>
      <c r="BG191" s="1" t="n">
        <f aca="false">MAX($M191)</f>
        <v>713659</v>
      </c>
      <c r="BH191" s="1" t="n">
        <f aca="false">MAX($N191)</f>
        <v>0.02</v>
      </c>
      <c r="BI191" s="1" t="n">
        <f aca="false">MAX($P191)</f>
        <v>2.95</v>
      </c>
      <c r="BJ191" s="1" t="n">
        <f aca="false">MAX($Q191)</f>
        <v>0</v>
      </c>
      <c r="BK191" s="1" t="n">
        <f aca="false">MAX($R191)</f>
        <v>239752</v>
      </c>
    </row>
    <row r="192" customFormat="false" ht="15" hidden="false" customHeight="false" outlineLevel="0" collapsed="false">
      <c r="A192" s="1" t="s">
        <v>209</v>
      </c>
      <c r="B192" s="1" t="n">
        <f aca="false" t="array" ref="B192:B192">_xlfn.SWITCH($A$2,"average", AVERAGE(Instances!B192:B192),"median", MEDIAN(Instances!B192:B192),"min", MIN(Instances!B192:B192),"max", MAX(Instances!B192:B192),"diff", MAX(Instances!B192:B192)-MIN(Instances!B192:B192))</f>
        <v>1109</v>
      </c>
      <c r="C192" s="1" t="n">
        <f aca="false" t="array" ref="C192:C192">_xlfn.SWITCH($A$2,"average", AVERAGE(Instances!C192:C192),"median", MEDIAN(Instances!C192:C192),"min", MIN(Instances!C192:C192),"max", MAX(Instances!C192:C192),"diff", MAX(Instances!C192:C192)-MIN(Instances!C192:C192))</f>
        <v>3</v>
      </c>
      <c r="D192" s="1" t="n">
        <f aca="false" t="array" ref="D192:D192">_xlfn.SWITCH($A$2,"average", AVERAGE(Instances!D192:D192),"median", MEDIAN(Instances!D192:D192),"min", MIN(Instances!D192:D192),"max", MAX(Instances!D192:D192),"diff", MAX(Instances!D192:D192)-MIN(Instances!D192:D192))</f>
        <v>286651</v>
      </c>
      <c r="E192" s="1" t="n">
        <f aca="false" t="array" ref="E192:E192">_xlfn.SWITCH($A$2,"average", AVERAGE(Instances!E192:E192),"median", MEDIAN(Instances!E192:E192),"min", MIN(Instances!E192:E192),"max", MAX(Instances!E192:E192),"diff", MAX(Instances!E192:E192)-MIN(Instances!E192:E192))</f>
        <v>0</v>
      </c>
      <c r="F192" s="1" t="n">
        <f aca="false" t="array" ref="F192:F192">_xlfn.SWITCH($A$2,"average", AVERAGE(Instances!F192:F192),"median", MEDIAN(Instances!F192:F192),"min", MIN(Instances!F192:F192),"max", MAX(Instances!F192:F192),"diff", MAX(Instances!F192:F192)-MIN(Instances!F192:F192))</f>
        <v>336</v>
      </c>
      <c r="G192" s="1" t="n">
        <f aca="false" t="array" ref="G192:G192">_xlfn.SWITCH($A$2,"average", AVERAGE(Instances!G192:G192),"median", MEDIAN(Instances!G192:G192),"min", MIN(Instances!G192:G192),"max", MAX(Instances!G192:G192),"diff", MAX(Instances!G192:G192)-MIN(Instances!G192:G192))</f>
        <v>0</v>
      </c>
      <c r="H192" s="1" t="n">
        <f aca="false" t="array" ref="H192:H192">_xlfn.SWITCH($A$2,"average", AVERAGE(Instances!H192:H192),"median", MEDIAN(Instances!H192:H192),"min", MIN(Instances!H192:H192),"max", MAX(Instances!H192:H192),"diff", MAX(Instances!H192:H192)-MIN(Instances!H192:H192))</f>
        <v>1</v>
      </c>
      <c r="I192" s="1" t="n">
        <f aca="false" t="array" ref="I192:I192">_xlfn.SWITCH($A$2,"average", AVERAGE(Instances!I192:I192),"median", MEDIAN(Instances!I192:I192),"min", MIN(Instances!I192:I192),"max", MAX(Instances!I192:I192),"diff", MAX(Instances!I192:I192)-MIN(Instances!I192:I192))</f>
        <v>4.648</v>
      </c>
      <c r="J192" s="1" t="n">
        <f aca="false" t="array" ref="J192:J192">_xlfn.SWITCH($A$2,"average", AVERAGE(Instances!J192:J192),"median", MEDIAN(Instances!J192:J192),"min", MIN(Instances!J192:J192),"max", MAX(Instances!J192:J192),"diff", MAX(Instances!J192:J192)-MIN(Instances!J192:J192))</f>
        <v>4.77</v>
      </c>
      <c r="K192" s="1" t="n">
        <f aca="false" t="array" ref="K192:K192">_xlfn.SWITCH($A$2,"average", AVERAGE(Instances!K192:K192),"median", MEDIAN(Instances!K192:K192),"min", MIN(Instances!K192:K192),"max", MAX(Instances!K192:K192),"diff", MAX(Instances!K192:K192)-MIN(Instances!K192:K192))</f>
        <v>0</v>
      </c>
      <c r="L192" s="1"/>
      <c r="M192" s="1" t="n">
        <f aca="false" t="array" ref="M192:M192">_xlfn.SWITCH($A$2,"average", AVERAGE(Instances!M192:M192),"median", MEDIAN(Instances!M192:M192),"min", MIN(Instances!M192:M192),"max", MAX(Instances!M192:M192),"diff", MAX(Instances!M192:M192)-MIN(Instances!M192:M192))</f>
        <v>1043866</v>
      </c>
      <c r="N192" s="1" t="n">
        <f aca="false" t="array" ref="N192:N192">_xlfn.SWITCH($A$2,"average", AVERAGE(Instances!N192:N192),"median", MEDIAN(Instances!N192:N192),"min", MIN(Instances!N192:N192),"max", MAX(Instances!N192:N192),"diff", MAX(Instances!N192:N192)-MIN(Instances!N192:N192))</f>
        <v>0.03</v>
      </c>
      <c r="O192" s="1"/>
      <c r="P192" s="1" t="n">
        <f aca="false" t="array" ref="P192:P192">_xlfn.SWITCH($A$2,"average", AVERAGE(Instances!P192:P192),"median", MEDIAN(Instances!P192:P192),"min", MIN(Instances!P192:P192),"max", MAX(Instances!P192:P192),"diff", MAX(Instances!P192:P192)-MIN(Instances!P192:P192))</f>
        <v>4.77</v>
      </c>
      <c r="Q192" s="1" t="n">
        <f aca="false" t="array" ref="Q192:Q192">_xlfn.SWITCH($A$2,"average", AVERAGE(Instances!Q192:Q192),"median", MEDIAN(Instances!Q192:Q192),"min", MIN(Instances!Q192:Q192),"max", MAX(Instances!Q192:Q192),"diff", MAX(Instances!Q192:Q192)-MIN(Instances!Q192:Q192))</f>
        <v>0</v>
      </c>
      <c r="R192" s="1" t="n">
        <f aca="false" t="array" ref="R192:R192">_xlfn.SWITCH($A$2,"average", AVERAGE(Instances!R192:R192),"median", MEDIAN(Instances!R192:R192),"min", MIN(Instances!R192:R192),"max", MAX(Instances!R192:R192),"diff", MAX(Instances!R192:R192)-MIN(Instances!R192:R192))</f>
        <v>343040</v>
      </c>
      <c r="S192" s="1" t="n">
        <f aca="false">MIN($B192)</f>
        <v>1109</v>
      </c>
      <c r="T192" s="1" t="n">
        <f aca="false">MIN($C192)</f>
        <v>3</v>
      </c>
      <c r="U192" s="1" t="n">
        <f aca="false">MIN($D192)</f>
        <v>286651</v>
      </c>
      <c r="V192" s="1" t="n">
        <f aca="false">MIN($E192)</f>
        <v>0</v>
      </c>
      <c r="W192" s="1" t="n">
        <f aca="false">MIN($F192)</f>
        <v>336</v>
      </c>
      <c r="X192" s="1" t="n">
        <f aca="false">MIN($G192)</f>
        <v>0</v>
      </c>
      <c r="Y192" s="1" t="n">
        <f aca="false">MIN($H192)</f>
        <v>1</v>
      </c>
      <c r="Z192" s="1" t="n">
        <f aca="false">MIN($I192)</f>
        <v>4.648</v>
      </c>
      <c r="AA192" s="1" t="n">
        <f aca="false">MIN($J192)</f>
        <v>4.77</v>
      </c>
      <c r="AB192" s="1" t="n">
        <f aca="false">MIN($K192)</f>
        <v>0</v>
      </c>
      <c r="AC192" s="1" t="n">
        <f aca="false">MIN($M192)</f>
        <v>1043866</v>
      </c>
      <c r="AD192" s="1" t="n">
        <f aca="false">MIN($N192)</f>
        <v>0.03</v>
      </c>
      <c r="AE192" s="1" t="n">
        <f aca="false">MIN($P192)</f>
        <v>4.77</v>
      </c>
      <c r="AF192" s="1" t="n">
        <f aca="false">MIN($Q192)</f>
        <v>0</v>
      </c>
      <c r="AG192" s="1" t="n">
        <f aca="false">MIN($R192)</f>
        <v>343040</v>
      </c>
      <c r="AH192" s="1" t="n">
        <f aca="false">MEDIAN($B192)</f>
        <v>1109</v>
      </c>
      <c r="AI192" s="1" t="n">
        <f aca="false">MEDIAN($C192)</f>
        <v>3</v>
      </c>
      <c r="AJ192" s="1" t="n">
        <f aca="false">MEDIAN($D192)</f>
        <v>286651</v>
      </c>
      <c r="AK192" s="1" t="n">
        <f aca="false">MEDIAN($E192)</f>
        <v>0</v>
      </c>
      <c r="AL192" s="1" t="n">
        <f aca="false">MEDIAN($F192)</f>
        <v>336</v>
      </c>
      <c r="AM192" s="1" t="n">
        <f aca="false">MEDIAN($G192)</f>
        <v>0</v>
      </c>
      <c r="AN192" s="1" t="n">
        <f aca="false">MEDIAN($H192)</f>
        <v>1</v>
      </c>
      <c r="AO192" s="1" t="n">
        <f aca="false">MEDIAN($I192)</f>
        <v>4.648</v>
      </c>
      <c r="AP192" s="1" t="n">
        <f aca="false">MEDIAN($J192)</f>
        <v>4.77</v>
      </c>
      <c r="AQ192" s="1" t="n">
        <f aca="false">MEDIAN($K192)</f>
        <v>0</v>
      </c>
      <c r="AR192" s="1" t="n">
        <f aca="false">MEDIAN($M192)</f>
        <v>1043866</v>
      </c>
      <c r="AS192" s="1" t="n">
        <f aca="false">MEDIAN($N192)</f>
        <v>0.03</v>
      </c>
      <c r="AT192" s="1" t="n">
        <f aca="false">MEDIAN($P192)</f>
        <v>4.77</v>
      </c>
      <c r="AU192" s="1" t="n">
        <f aca="false">MEDIAN($Q192)</f>
        <v>0</v>
      </c>
      <c r="AV192" s="1" t="n">
        <f aca="false">MEDIAN($R192)</f>
        <v>343040</v>
      </c>
      <c r="AW192" s="1" t="n">
        <f aca="false">MAX($B192)</f>
        <v>1109</v>
      </c>
      <c r="AX192" s="1" t="n">
        <f aca="false">MAX($C192)</f>
        <v>3</v>
      </c>
      <c r="AY192" s="1" t="n">
        <f aca="false">MAX($D192)</f>
        <v>286651</v>
      </c>
      <c r="AZ192" s="1" t="n">
        <f aca="false">MAX($E192)</f>
        <v>0</v>
      </c>
      <c r="BA192" s="1" t="n">
        <f aca="false">MAX($F192)</f>
        <v>336</v>
      </c>
      <c r="BB192" s="1" t="n">
        <f aca="false">MAX($G192)</f>
        <v>0</v>
      </c>
      <c r="BC192" s="1" t="n">
        <f aca="false">MAX($H192)</f>
        <v>1</v>
      </c>
      <c r="BD192" s="1" t="n">
        <f aca="false">MAX($I192)</f>
        <v>4.648</v>
      </c>
      <c r="BE192" s="1" t="n">
        <f aca="false">MAX($J192)</f>
        <v>4.77</v>
      </c>
      <c r="BF192" s="1" t="n">
        <f aca="false">MAX($K192)</f>
        <v>0</v>
      </c>
      <c r="BG192" s="1" t="n">
        <f aca="false">MAX($M192)</f>
        <v>1043866</v>
      </c>
      <c r="BH192" s="1" t="n">
        <f aca="false">MAX($N192)</f>
        <v>0.03</v>
      </c>
      <c r="BI192" s="1" t="n">
        <f aca="false">MAX($P192)</f>
        <v>4.77</v>
      </c>
      <c r="BJ192" s="1" t="n">
        <f aca="false">MAX($Q192)</f>
        <v>0</v>
      </c>
      <c r="BK192" s="1" t="n">
        <f aca="false">MAX($R192)</f>
        <v>343040</v>
      </c>
    </row>
    <row r="193" customFormat="false" ht="15" hidden="false" customHeight="false" outlineLevel="0" collapsed="false">
      <c r="A193" s="1" t="s">
        <v>210</v>
      </c>
      <c r="B193" s="1" t="n">
        <f aca="false" t="array" ref="B193:B193">_xlfn.SWITCH($A$2,"average", AVERAGE(Instances!B193:B193),"median", MEDIAN(Instances!B193:B193),"min", MIN(Instances!B193:B193),"max", MAX(Instances!B193:B193),"diff", MAX(Instances!B193:B193)-MIN(Instances!B193:B193))</f>
        <v>1636</v>
      </c>
      <c r="C193" s="1" t="n">
        <f aca="false" t="array" ref="C193:C193">_xlfn.SWITCH($A$2,"average", AVERAGE(Instances!C193:C193),"median", MEDIAN(Instances!C193:C193),"min", MIN(Instances!C193:C193),"max", MAX(Instances!C193:C193),"diff", MAX(Instances!C193:C193)-MIN(Instances!C193:C193))</f>
        <v>3</v>
      </c>
      <c r="D193" s="1" t="n">
        <f aca="false" t="array" ref="D193:D193">_xlfn.SWITCH($A$2,"average", AVERAGE(Instances!D193:D193),"median", MEDIAN(Instances!D193:D193),"min", MIN(Instances!D193:D193),"max", MAX(Instances!D193:D193),"diff", MAX(Instances!D193:D193)-MIN(Instances!D193:D193))</f>
        <v>263233</v>
      </c>
      <c r="E193" s="1" t="n">
        <f aca="false" t="array" ref="E193:E193">_xlfn.SWITCH($A$2,"average", AVERAGE(Instances!E193:E193),"median", MEDIAN(Instances!E193:E193),"min", MIN(Instances!E193:E193),"max", MAX(Instances!E193:E193),"diff", MAX(Instances!E193:E193)-MIN(Instances!E193:E193))</f>
        <v>0</v>
      </c>
      <c r="F193" s="1" t="n">
        <f aca="false" t="array" ref="F193:F193">_xlfn.SWITCH($A$2,"average", AVERAGE(Instances!F193:F193),"median", MEDIAN(Instances!F193:F193),"min", MIN(Instances!F193:F193),"max", MAX(Instances!F193:F193),"diff", MAX(Instances!F193:F193)-MIN(Instances!F193:F193))</f>
        <v>293</v>
      </c>
      <c r="G193" s="1" t="n">
        <f aca="false" t="array" ref="G193:G193">_xlfn.SWITCH($A$2,"average", AVERAGE(Instances!G193:G193),"median", MEDIAN(Instances!G193:G193),"min", MIN(Instances!G193:G193),"max", MAX(Instances!G193:G193),"diff", MAX(Instances!G193:G193)-MIN(Instances!G193:G193))</f>
        <v>0</v>
      </c>
      <c r="H193" s="1" t="n">
        <f aca="false" t="array" ref="H193:H193">_xlfn.SWITCH($A$2,"average", AVERAGE(Instances!H193:H193),"median", MEDIAN(Instances!H193:H193),"min", MIN(Instances!H193:H193),"max", MAX(Instances!H193:H193),"diff", MAX(Instances!H193:H193)-MIN(Instances!H193:H193))</f>
        <v>1</v>
      </c>
      <c r="I193" s="1" t="n">
        <f aca="false" t="array" ref="I193:I193">_xlfn.SWITCH($A$2,"average", AVERAGE(Instances!I193:I193),"median", MEDIAN(Instances!I193:I193),"min", MIN(Instances!I193:I193),"max", MAX(Instances!I193:I193),"diff", MAX(Instances!I193:I193)-MIN(Instances!I193:I193))</f>
        <v>4.019</v>
      </c>
      <c r="J193" s="1" t="n">
        <f aca="false" t="array" ref="J193:J193">_xlfn.SWITCH($A$2,"average", AVERAGE(Instances!J193:J193),"median", MEDIAN(Instances!J193:J193),"min", MIN(Instances!J193:J193),"max", MAX(Instances!J193:J193),"diff", MAX(Instances!J193:J193)-MIN(Instances!J193:J193))</f>
        <v>4.13</v>
      </c>
      <c r="K193" s="1" t="n">
        <f aca="false" t="array" ref="K193:K193">_xlfn.SWITCH($A$2,"average", AVERAGE(Instances!K193:K193),"median", MEDIAN(Instances!K193:K193),"min", MIN(Instances!K193:K193),"max", MAX(Instances!K193:K193),"diff", MAX(Instances!K193:K193)-MIN(Instances!K193:K193))</f>
        <v>0</v>
      </c>
      <c r="L193" s="1"/>
      <c r="M193" s="1" t="n">
        <f aca="false" t="array" ref="M193:M193">_xlfn.SWITCH($A$2,"average", AVERAGE(Instances!M193:M193),"median", MEDIAN(Instances!M193:M193),"min", MIN(Instances!M193:M193),"max", MAX(Instances!M193:M193),"diff", MAX(Instances!M193:M193)-MIN(Instances!M193:M193))</f>
        <v>905301</v>
      </c>
      <c r="N193" s="1" t="n">
        <f aca="false" t="array" ref="N193:N193">_xlfn.SWITCH($A$2,"average", AVERAGE(Instances!N193:N193),"median", MEDIAN(Instances!N193:N193),"min", MIN(Instances!N193:N193),"max", MAX(Instances!N193:N193),"diff", MAX(Instances!N193:N193)-MIN(Instances!N193:N193))</f>
        <v>0.03</v>
      </c>
      <c r="O193" s="1"/>
      <c r="P193" s="1" t="n">
        <f aca="false" t="array" ref="P193:P193">_xlfn.SWITCH($A$2,"average", AVERAGE(Instances!P193:P193),"median", MEDIAN(Instances!P193:P193),"min", MIN(Instances!P193:P193),"max", MAX(Instances!P193:P193),"diff", MAX(Instances!P193:P193)-MIN(Instances!P193:P193))</f>
        <v>4.13</v>
      </c>
      <c r="Q193" s="1" t="n">
        <f aca="false" t="array" ref="Q193:Q193">_xlfn.SWITCH($A$2,"average", AVERAGE(Instances!Q193:Q193),"median", MEDIAN(Instances!Q193:Q193),"min", MIN(Instances!Q193:Q193),"max", MAX(Instances!Q193:Q193),"diff", MAX(Instances!Q193:Q193)-MIN(Instances!Q193:Q193))</f>
        <v>0</v>
      </c>
      <c r="R193" s="1" t="n">
        <f aca="false" t="array" ref="R193:R193">_xlfn.SWITCH($A$2,"average", AVERAGE(Instances!R193:R193),"median", MEDIAN(Instances!R193:R193),"min", MIN(Instances!R193:R193),"max", MAX(Instances!R193:R193),"diff", MAX(Instances!R193:R193)-MIN(Instances!R193:R193))</f>
        <v>304542</v>
      </c>
      <c r="S193" s="1" t="n">
        <f aca="false">MIN($B193)</f>
        <v>1636</v>
      </c>
      <c r="T193" s="1" t="n">
        <f aca="false">MIN($C193)</f>
        <v>3</v>
      </c>
      <c r="U193" s="1" t="n">
        <f aca="false">MIN($D193)</f>
        <v>263233</v>
      </c>
      <c r="V193" s="1" t="n">
        <f aca="false">MIN($E193)</f>
        <v>0</v>
      </c>
      <c r="W193" s="1" t="n">
        <f aca="false">MIN($F193)</f>
        <v>293</v>
      </c>
      <c r="X193" s="1" t="n">
        <f aca="false">MIN($G193)</f>
        <v>0</v>
      </c>
      <c r="Y193" s="1" t="n">
        <f aca="false">MIN($H193)</f>
        <v>1</v>
      </c>
      <c r="Z193" s="1" t="n">
        <f aca="false">MIN($I193)</f>
        <v>4.019</v>
      </c>
      <c r="AA193" s="1" t="n">
        <f aca="false">MIN($J193)</f>
        <v>4.13</v>
      </c>
      <c r="AB193" s="1" t="n">
        <f aca="false">MIN($K193)</f>
        <v>0</v>
      </c>
      <c r="AC193" s="1" t="n">
        <f aca="false">MIN($M193)</f>
        <v>905301</v>
      </c>
      <c r="AD193" s="1" t="n">
        <f aca="false">MIN($N193)</f>
        <v>0.03</v>
      </c>
      <c r="AE193" s="1" t="n">
        <f aca="false">MIN($P193)</f>
        <v>4.13</v>
      </c>
      <c r="AF193" s="1" t="n">
        <f aca="false">MIN($Q193)</f>
        <v>0</v>
      </c>
      <c r="AG193" s="1" t="n">
        <f aca="false">MIN($R193)</f>
        <v>304542</v>
      </c>
      <c r="AH193" s="1" t="n">
        <f aca="false">MEDIAN($B193)</f>
        <v>1636</v>
      </c>
      <c r="AI193" s="1" t="n">
        <f aca="false">MEDIAN($C193)</f>
        <v>3</v>
      </c>
      <c r="AJ193" s="1" t="n">
        <f aca="false">MEDIAN($D193)</f>
        <v>263233</v>
      </c>
      <c r="AK193" s="1" t="n">
        <f aca="false">MEDIAN($E193)</f>
        <v>0</v>
      </c>
      <c r="AL193" s="1" t="n">
        <f aca="false">MEDIAN($F193)</f>
        <v>293</v>
      </c>
      <c r="AM193" s="1" t="n">
        <f aca="false">MEDIAN($G193)</f>
        <v>0</v>
      </c>
      <c r="AN193" s="1" t="n">
        <f aca="false">MEDIAN($H193)</f>
        <v>1</v>
      </c>
      <c r="AO193" s="1" t="n">
        <f aca="false">MEDIAN($I193)</f>
        <v>4.019</v>
      </c>
      <c r="AP193" s="1" t="n">
        <f aca="false">MEDIAN($J193)</f>
        <v>4.13</v>
      </c>
      <c r="AQ193" s="1" t="n">
        <f aca="false">MEDIAN($K193)</f>
        <v>0</v>
      </c>
      <c r="AR193" s="1" t="n">
        <f aca="false">MEDIAN($M193)</f>
        <v>905301</v>
      </c>
      <c r="AS193" s="1" t="n">
        <f aca="false">MEDIAN($N193)</f>
        <v>0.03</v>
      </c>
      <c r="AT193" s="1" t="n">
        <f aca="false">MEDIAN($P193)</f>
        <v>4.13</v>
      </c>
      <c r="AU193" s="1" t="n">
        <f aca="false">MEDIAN($Q193)</f>
        <v>0</v>
      </c>
      <c r="AV193" s="1" t="n">
        <f aca="false">MEDIAN($R193)</f>
        <v>304542</v>
      </c>
      <c r="AW193" s="1" t="n">
        <f aca="false">MAX($B193)</f>
        <v>1636</v>
      </c>
      <c r="AX193" s="1" t="n">
        <f aca="false">MAX($C193)</f>
        <v>3</v>
      </c>
      <c r="AY193" s="1" t="n">
        <f aca="false">MAX($D193)</f>
        <v>263233</v>
      </c>
      <c r="AZ193" s="1" t="n">
        <f aca="false">MAX($E193)</f>
        <v>0</v>
      </c>
      <c r="BA193" s="1" t="n">
        <f aca="false">MAX($F193)</f>
        <v>293</v>
      </c>
      <c r="BB193" s="1" t="n">
        <f aca="false">MAX($G193)</f>
        <v>0</v>
      </c>
      <c r="BC193" s="1" t="n">
        <f aca="false">MAX($H193)</f>
        <v>1</v>
      </c>
      <c r="BD193" s="1" t="n">
        <f aca="false">MAX($I193)</f>
        <v>4.019</v>
      </c>
      <c r="BE193" s="1" t="n">
        <f aca="false">MAX($J193)</f>
        <v>4.13</v>
      </c>
      <c r="BF193" s="1" t="n">
        <f aca="false">MAX($K193)</f>
        <v>0</v>
      </c>
      <c r="BG193" s="1" t="n">
        <f aca="false">MAX($M193)</f>
        <v>905301</v>
      </c>
      <c r="BH193" s="1" t="n">
        <f aca="false">MAX($N193)</f>
        <v>0.03</v>
      </c>
      <c r="BI193" s="1" t="n">
        <f aca="false">MAX($P193)</f>
        <v>4.13</v>
      </c>
      <c r="BJ193" s="1" t="n">
        <f aca="false">MAX($Q193)</f>
        <v>0</v>
      </c>
      <c r="BK193" s="1" t="n">
        <f aca="false">MAX($R193)</f>
        <v>304542</v>
      </c>
    </row>
    <row r="194" customFormat="false" ht="15" hidden="false" customHeight="false" outlineLevel="0" collapsed="false">
      <c r="A194" s="1" t="s">
        <v>211</v>
      </c>
      <c r="B194" s="1" t="n">
        <f aca="false" t="array" ref="B194:B194">_xlfn.SWITCH($A$2,"average", AVERAGE(Instances!B194:B194),"median", MEDIAN(Instances!B194:B194),"min", MIN(Instances!B194:B194),"max", MAX(Instances!B194:B194),"diff", MAX(Instances!B194:B194)-MIN(Instances!B194:B194))</f>
        <v>1203</v>
      </c>
      <c r="C194" s="1" t="n">
        <f aca="false" t="array" ref="C194:C194">_xlfn.SWITCH($A$2,"average", AVERAGE(Instances!C194:C194),"median", MEDIAN(Instances!C194:C194),"min", MIN(Instances!C194:C194),"max", MAX(Instances!C194:C194),"diff", MAX(Instances!C194:C194)-MIN(Instances!C194:C194))</f>
        <v>2</v>
      </c>
      <c r="D194" s="1" t="n">
        <f aca="false" t="array" ref="D194:D194">_xlfn.SWITCH($A$2,"average", AVERAGE(Instances!D194:D194),"median", MEDIAN(Instances!D194:D194),"min", MIN(Instances!D194:D194),"max", MAX(Instances!D194:D194),"diff", MAX(Instances!D194:D194)-MIN(Instances!D194:D194))</f>
        <v>273955</v>
      </c>
      <c r="E194" s="1" t="n">
        <f aca="false" t="array" ref="E194:E194">_xlfn.SWITCH($A$2,"average", AVERAGE(Instances!E194:E194),"median", MEDIAN(Instances!E194:E194),"min", MIN(Instances!E194:E194),"max", MAX(Instances!E194:E194),"diff", MAX(Instances!E194:E194)-MIN(Instances!E194:E194))</f>
        <v>0</v>
      </c>
      <c r="F194" s="1" t="n">
        <f aca="false" t="array" ref="F194:F194">_xlfn.SWITCH($A$2,"average", AVERAGE(Instances!F194:F194),"median", MEDIAN(Instances!F194:F194),"min", MIN(Instances!F194:F194),"max", MAX(Instances!F194:F194),"diff", MAX(Instances!F194:F194)-MIN(Instances!F194:F194))</f>
        <v>293</v>
      </c>
      <c r="G194" s="1" t="n">
        <f aca="false" t="array" ref="G194:G194">_xlfn.SWITCH($A$2,"average", AVERAGE(Instances!G194:G194),"median", MEDIAN(Instances!G194:G194),"min", MIN(Instances!G194:G194),"max", MAX(Instances!G194:G194),"diff", MAX(Instances!G194:G194)-MIN(Instances!G194:G194))</f>
        <v>0</v>
      </c>
      <c r="H194" s="1" t="n">
        <f aca="false" t="array" ref="H194:H194">_xlfn.SWITCH($A$2,"average", AVERAGE(Instances!H194:H194),"median", MEDIAN(Instances!H194:H194),"min", MIN(Instances!H194:H194),"max", MAX(Instances!H194:H194),"diff", MAX(Instances!H194:H194)-MIN(Instances!H194:H194))</f>
        <v>1</v>
      </c>
      <c r="I194" s="1" t="n">
        <f aca="false" t="array" ref="I194:I194">_xlfn.SWITCH($A$2,"average", AVERAGE(Instances!I194:I194),"median", MEDIAN(Instances!I194:I194),"min", MIN(Instances!I194:I194),"max", MAX(Instances!I194:I194),"diff", MAX(Instances!I194:I194)-MIN(Instances!I194:I194))</f>
        <v>3.99</v>
      </c>
      <c r="J194" s="1" t="n">
        <f aca="false" t="array" ref="J194:J194">_xlfn.SWITCH($A$2,"average", AVERAGE(Instances!J194:J194),"median", MEDIAN(Instances!J194:J194),"min", MIN(Instances!J194:J194),"max", MAX(Instances!J194:J194),"diff", MAX(Instances!J194:J194)-MIN(Instances!J194:J194))</f>
        <v>4.1</v>
      </c>
      <c r="K194" s="1" t="n">
        <f aca="false" t="array" ref="K194:K194">_xlfn.SWITCH($A$2,"average", AVERAGE(Instances!K194:K194),"median", MEDIAN(Instances!K194:K194),"min", MIN(Instances!K194:K194),"max", MAX(Instances!K194:K194),"diff", MAX(Instances!K194:K194)-MIN(Instances!K194:K194))</f>
        <v>0</v>
      </c>
      <c r="L194" s="1"/>
      <c r="M194" s="1" t="n">
        <f aca="false" t="array" ref="M194:M194">_xlfn.SWITCH($A$2,"average", AVERAGE(Instances!M194:M194),"median", MEDIAN(Instances!M194:M194),"min", MIN(Instances!M194:M194),"max", MAX(Instances!M194:M194),"diff", MAX(Instances!M194:M194)-MIN(Instances!M194:M194))</f>
        <v>895699</v>
      </c>
      <c r="N194" s="1" t="n">
        <f aca="false" t="array" ref="N194:N194">_xlfn.SWITCH($A$2,"average", AVERAGE(Instances!N194:N194),"median", MEDIAN(Instances!N194:N194),"min", MIN(Instances!N194:N194),"max", MAX(Instances!N194:N194),"diff", MAX(Instances!N194:N194)-MIN(Instances!N194:N194))</f>
        <v>0.03</v>
      </c>
      <c r="O194" s="1"/>
      <c r="P194" s="1" t="n">
        <f aca="false" t="array" ref="P194:P194">_xlfn.SWITCH($A$2,"average", AVERAGE(Instances!P194:P194),"median", MEDIAN(Instances!P194:P194),"min", MIN(Instances!P194:P194),"max", MAX(Instances!P194:P194),"diff", MAX(Instances!P194:P194)-MIN(Instances!P194:P194))</f>
        <v>4.1</v>
      </c>
      <c r="Q194" s="1" t="n">
        <f aca="false" t="array" ref="Q194:Q194">_xlfn.SWITCH($A$2,"average", AVERAGE(Instances!Q194:Q194),"median", MEDIAN(Instances!Q194:Q194),"min", MIN(Instances!Q194:Q194),"max", MAX(Instances!Q194:Q194),"diff", MAX(Instances!Q194:Q194)-MIN(Instances!Q194:Q194))</f>
        <v>0</v>
      </c>
      <c r="R194" s="1" t="n">
        <f aca="false" t="array" ref="R194:R194">_xlfn.SWITCH($A$2,"average", AVERAGE(Instances!R194:R194),"median", MEDIAN(Instances!R194:R194),"min", MIN(Instances!R194:R194),"max", MAX(Instances!R194:R194),"diff", MAX(Instances!R194:R194)-MIN(Instances!R194:R194))</f>
        <v>300786</v>
      </c>
      <c r="S194" s="1" t="n">
        <f aca="false">MIN($B194)</f>
        <v>1203</v>
      </c>
      <c r="T194" s="1" t="n">
        <f aca="false">MIN($C194)</f>
        <v>2</v>
      </c>
      <c r="U194" s="1" t="n">
        <f aca="false">MIN($D194)</f>
        <v>273955</v>
      </c>
      <c r="V194" s="1" t="n">
        <f aca="false">MIN($E194)</f>
        <v>0</v>
      </c>
      <c r="W194" s="1" t="n">
        <f aca="false">MIN($F194)</f>
        <v>293</v>
      </c>
      <c r="X194" s="1" t="n">
        <f aca="false">MIN($G194)</f>
        <v>0</v>
      </c>
      <c r="Y194" s="1" t="n">
        <f aca="false">MIN($H194)</f>
        <v>1</v>
      </c>
      <c r="Z194" s="1" t="n">
        <f aca="false">MIN($I194)</f>
        <v>3.99</v>
      </c>
      <c r="AA194" s="1" t="n">
        <f aca="false">MIN($J194)</f>
        <v>4.1</v>
      </c>
      <c r="AB194" s="1" t="n">
        <f aca="false">MIN($K194)</f>
        <v>0</v>
      </c>
      <c r="AC194" s="1" t="n">
        <f aca="false">MIN($M194)</f>
        <v>895699</v>
      </c>
      <c r="AD194" s="1" t="n">
        <f aca="false">MIN($N194)</f>
        <v>0.03</v>
      </c>
      <c r="AE194" s="1" t="n">
        <f aca="false">MIN($P194)</f>
        <v>4.1</v>
      </c>
      <c r="AF194" s="1" t="n">
        <f aca="false">MIN($Q194)</f>
        <v>0</v>
      </c>
      <c r="AG194" s="1" t="n">
        <f aca="false">MIN($R194)</f>
        <v>300786</v>
      </c>
      <c r="AH194" s="1" t="n">
        <f aca="false">MEDIAN($B194)</f>
        <v>1203</v>
      </c>
      <c r="AI194" s="1" t="n">
        <f aca="false">MEDIAN($C194)</f>
        <v>2</v>
      </c>
      <c r="AJ194" s="1" t="n">
        <f aca="false">MEDIAN($D194)</f>
        <v>273955</v>
      </c>
      <c r="AK194" s="1" t="n">
        <f aca="false">MEDIAN($E194)</f>
        <v>0</v>
      </c>
      <c r="AL194" s="1" t="n">
        <f aca="false">MEDIAN($F194)</f>
        <v>293</v>
      </c>
      <c r="AM194" s="1" t="n">
        <f aca="false">MEDIAN($G194)</f>
        <v>0</v>
      </c>
      <c r="AN194" s="1" t="n">
        <f aca="false">MEDIAN($H194)</f>
        <v>1</v>
      </c>
      <c r="AO194" s="1" t="n">
        <f aca="false">MEDIAN($I194)</f>
        <v>3.99</v>
      </c>
      <c r="AP194" s="1" t="n">
        <f aca="false">MEDIAN($J194)</f>
        <v>4.1</v>
      </c>
      <c r="AQ194" s="1" t="n">
        <f aca="false">MEDIAN($K194)</f>
        <v>0</v>
      </c>
      <c r="AR194" s="1" t="n">
        <f aca="false">MEDIAN($M194)</f>
        <v>895699</v>
      </c>
      <c r="AS194" s="1" t="n">
        <f aca="false">MEDIAN($N194)</f>
        <v>0.03</v>
      </c>
      <c r="AT194" s="1" t="n">
        <f aca="false">MEDIAN($P194)</f>
        <v>4.1</v>
      </c>
      <c r="AU194" s="1" t="n">
        <f aca="false">MEDIAN($Q194)</f>
        <v>0</v>
      </c>
      <c r="AV194" s="1" t="n">
        <f aca="false">MEDIAN($R194)</f>
        <v>300786</v>
      </c>
      <c r="AW194" s="1" t="n">
        <f aca="false">MAX($B194)</f>
        <v>1203</v>
      </c>
      <c r="AX194" s="1" t="n">
        <f aca="false">MAX($C194)</f>
        <v>2</v>
      </c>
      <c r="AY194" s="1" t="n">
        <f aca="false">MAX($D194)</f>
        <v>273955</v>
      </c>
      <c r="AZ194" s="1" t="n">
        <f aca="false">MAX($E194)</f>
        <v>0</v>
      </c>
      <c r="BA194" s="1" t="n">
        <f aca="false">MAX($F194)</f>
        <v>293</v>
      </c>
      <c r="BB194" s="1" t="n">
        <f aca="false">MAX($G194)</f>
        <v>0</v>
      </c>
      <c r="BC194" s="1" t="n">
        <f aca="false">MAX($H194)</f>
        <v>1</v>
      </c>
      <c r="BD194" s="1" t="n">
        <f aca="false">MAX($I194)</f>
        <v>3.99</v>
      </c>
      <c r="BE194" s="1" t="n">
        <f aca="false">MAX($J194)</f>
        <v>4.1</v>
      </c>
      <c r="BF194" s="1" t="n">
        <f aca="false">MAX($K194)</f>
        <v>0</v>
      </c>
      <c r="BG194" s="1" t="n">
        <f aca="false">MAX($M194)</f>
        <v>895699</v>
      </c>
      <c r="BH194" s="1" t="n">
        <f aca="false">MAX($N194)</f>
        <v>0.03</v>
      </c>
      <c r="BI194" s="1" t="n">
        <f aca="false">MAX($P194)</f>
        <v>4.1</v>
      </c>
      <c r="BJ194" s="1" t="n">
        <f aca="false">MAX($Q194)</f>
        <v>0</v>
      </c>
      <c r="BK194" s="1" t="n">
        <f aca="false">MAX($R194)</f>
        <v>300786</v>
      </c>
    </row>
    <row r="195" customFormat="false" ht="15" hidden="false" customHeight="false" outlineLevel="0" collapsed="false">
      <c r="A195" s="1" t="s">
        <v>212</v>
      </c>
      <c r="B195" s="1" t="n">
        <f aca="false" t="array" ref="B195:B195">_xlfn.SWITCH($A$2,"average", AVERAGE(Instances!B195:B195),"median", MEDIAN(Instances!B195:B195),"min", MIN(Instances!B195:B195),"max", MAX(Instances!B195:B195),"diff", MAX(Instances!B195:B195)-MIN(Instances!B195:B195))</f>
        <v>999</v>
      </c>
      <c r="C195" s="1" t="n">
        <f aca="false" t="array" ref="C195:C195">_xlfn.SWITCH($A$2,"average", AVERAGE(Instances!C195:C195),"median", MEDIAN(Instances!C195:C195),"min", MIN(Instances!C195:C195),"max", MAX(Instances!C195:C195),"diff", MAX(Instances!C195:C195)-MIN(Instances!C195:C195))</f>
        <v>12</v>
      </c>
      <c r="D195" s="1" t="n">
        <f aca="false" t="array" ref="D195:D195">_xlfn.SWITCH($A$2,"average", AVERAGE(Instances!D195:D195),"median", MEDIAN(Instances!D195:D195),"min", MIN(Instances!D195:D195),"max", MAX(Instances!D195:D195),"diff", MAX(Instances!D195:D195)-MIN(Instances!D195:D195))</f>
        <v>357877</v>
      </c>
      <c r="E195" s="1" t="n">
        <f aca="false" t="array" ref="E195:E195">_xlfn.SWITCH($A$2,"average", AVERAGE(Instances!E195:E195),"median", MEDIAN(Instances!E195:E195),"min", MIN(Instances!E195:E195),"max", MAX(Instances!E195:E195),"diff", MAX(Instances!E195:E195)-MIN(Instances!E195:E195))</f>
        <v>0</v>
      </c>
      <c r="F195" s="1" t="n">
        <f aca="false" t="array" ref="F195:F195">_xlfn.SWITCH($A$2,"average", AVERAGE(Instances!F195:F195),"median", MEDIAN(Instances!F195:F195),"min", MIN(Instances!F195:F195),"max", MAX(Instances!F195:F195),"diff", MAX(Instances!F195:F195)-MIN(Instances!F195:F195))</f>
        <v>325</v>
      </c>
      <c r="G195" s="1" t="n">
        <f aca="false" t="array" ref="G195:G195">_xlfn.SWITCH($A$2,"average", AVERAGE(Instances!G195:G195),"median", MEDIAN(Instances!G195:G195),"min", MIN(Instances!G195:G195),"max", MAX(Instances!G195:G195),"diff", MAX(Instances!G195:G195)-MIN(Instances!G195:G195))</f>
        <v>0</v>
      </c>
      <c r="H195" s="1" t="n">
        <f aca="false" t="array" ref="H195:H195">_xlfn.SWITCH($A$2,"average", AVERAGE(Instances!H195:H195),"median", MEDIAN(Instances!H195:H195),"min", MIN(Instances!H195:H195),"max", MAX(Instances!H195:H195),"diff", MAX(Instances!H195:H195)-MIN(Instances!H195:H195))</f>
        <v>1</v>
      </c>
      <c r="I195" s="1" t="n">
        <f aca="false" t="array" ref="I195:I195">_xlfn.SWITCH($A$2,"average", AVERAGE(Instances!I195:I195),"median", MEDIAN(Instances!I195:I195),"min", MIN(Instances!I195:I195),"max", MAX(Instances!I195:I195),"diff", MAX(Instances!I195:I195)-MIN(Instances!I195:I195))</f>
        <v>4.538</v>
      </c>
      <c r="J195" s="1" t="n">
        <f aca="false" t="array" ref="J195:J195">_xlfn.SWITCH($A$2,"average", AVERAGE(Instances!J195:J195),"median", MEDIAN(Instances!J195:J195),"min", MIN(Instances!J195:J195),"max", MAX(Instances!J195:J195),"diff", MAX(Instances!J195:J195)-MIN(Instances!J195:J195))</f>
        <v>4.66</v>
      </c>
      <c r="K195" s="1" t="n">
        <f aca="false" t="array" ref="K195:K195">_xlfn.SWITCH($A$2,"average", AVERAGE(Instances!K195:K195),"median", MEDIAN(Instances!K195:K195),"min", MIN(Instances!K195:K195),"max", MAX(Instances!K195:K195),"diff", MAX(Instances!K195:K195)-MIN(Instances!K195:K195))</f>
        <v>0</v>
      </c>
      <c r="L195" s="1"/>
      <c r="M195" s="1" t="n">
        <f aca="false" t="array" ref="M195:M195">_xlfn.SWITCH($A$2,"average", AVERAGE(Instances!M195:M195),"median", MEDIAN(Instances!M195:M195),"min", MIN(Instances!M195:M195),"max", MAX(Instances!M195:M195),"diff", MAX(Instances!M195:M195)-MIN(Instances!M195:M195))</f>
        <v>1007248</v>
      </c>
      <c r="N195" s="1" t="n">
        <f aca="false" t="array" ref="N195:N195">_xlfn.SWITCH($A$2,"average", AVERAGE(Instances!N195:N195),"median", MEDIAN(Instances!N195:N195),"min", MIN(Instances!N195:N195),"max", MAX(Instances!N195:N195),"diff", MAX(Instances!N195:N195)-MIN(Instances!N195:N195))</f>
        <v>0.05</v>
      </c>
      <c r="O195" s="1"/>
      <c r="P195" s="1" t="n">
        <f aca="false" t="array" ref="P195:P195">_xlfn.SWITCH($A$2,"average", AVERAGE(Instances!P195:P195),"median", MEDIAN(Instances!P195:P195),"min", MIN(Instances!P195:P195),"max", MAX(Instances!P195:P195),"diff", MAX(Instances!P195:P195)-MIN(Instances!P195:P195))</f>
        <v>4.66</v>
      </c>
      <c r="Q195" s="1" t="n">
        <f aca="false" t="array" ref="Q195:Q195">_xlfn.SWITCH($A$2,"average", AVERAGE(Instances!Q195:Q195),"median", MEDIAN(Instances!Q195:Q195),"min", MIN(Instances!Q195:Q195),"max", MAX(Instances!Q195:Q195),"diff", MAX(Instances!Q195:Q195)-MIN(Instances!Q195:Q195))</f>
        <v>0</v>
      </c>
      <c r="R195" s="1" t="n">
        <f aca="false" t="array" ref="R195:R195">_xlfn.SWITCH($A$2,"average", AVERAGE(Instances!R195:R195),"median", MEDIAN(Instances!R195:R195),"min", MIN(Instances!R195:R195),"max", MAX(Instances!R195:R195),"diff", MAX(Instances!R195:R195)-MIN(Instances!R195:R195))</f>
        <v>331046</v>
      </c>
      <c r="S195" s="1" t="n">
        <f aca="false">MIN($B195)</f>
        <v>999</v>
      </c>
      <c r="T195" s="1" t="n">
        <f aca="false">MIN($C195)</f>
        <v>12</v>
      </c>
      <c r="U195" s="1" t="n">
        <f aca="false">MIN($D195)</f>
        <v>357877</v>
      </c>
      <c r="V195" s="1" t="n">
        <f aca="false">MIN($E195)</f>
        <v>0</v>
      </c>
      <c r="W195" s="1" t="n">
        <f aca="false">MIN($F195)</f>
        <v>325</v>
      </c>
      <c r="X195" s="1" t="n">
        <f aca="false">MIN($G195)</f>
        <v>0</v>
      </c>
      <c r="Y195" s="1" t="n">
        <f aca="false">MIN($H195)</f>
        <v>1</v>
      </c>
      <c r="Z195" s="1" t="n">
        <f aca="false">MIN($I195)</f>
        <v>4.538</v>
      </c>
      <c r="AA195" s="1" t="n">
        <f aca="false">MIN($J195)</f>
        <v>4.66</v>
      </c>
      <c r="AB195" s="1" t="n">
        <f aca="false">MIN($K195)</f>
        <v>0</v>
      </c>
      <c r="AC195" s="1" t="n">
        <f aca="false">MIN($M195)</f>
        <v>1007248</v>
      </c>
      <c r="AD195" s="1" t="n">
        <f aca="false">MIN($N195)</f>
        <v>0.05</v>
      </c>
      <c r="AE195" s="1" t="n">
        <f aca="false">MIN($P195)</f>
        <v>4.66</v>
      </c>
      <c r="AF195" s="1" t="n">
        <f aca="false">MIN($Q195)</f>
        <v>0</v>
      </c>
      <c r="AG195" s="1" t="n">
        <f aca="false">MIN($R195)</f>
        <v>331046</v>
      </c>
      <c r="AH195" s="1" t="n">
        <f aca="false">MEDIAN($B195)</f>
        <v>999</v>
      </c>
      <c r="AI195" s="1" t="n">
        <f aca="false">MEDIAN($C195)</f>
        <v>12</v>
      </c>
      <c r="AJ195" s="1" t="n">
        <f aca="false">MEDIAN($D195)</f>
        <v>357877</v>
      </c>
      <c r="AK195" s="1" t="n">
        <f aca="false">MEDIAN($E195)</f>
        <v>0</v>
      </c>
      <c r="AL195" s="1" t="n">
        <f aca="false">MEDIAN($F195)</f>
        <v>325</v>
      </c>
      <c r="AM195" s="1" t="n">
        <f aca="false">MEDIAN($G195)</f>
        <v>0</v>
      </c>
      <c r="AN195" s="1" t="n">
        <f aca="false">MEDIAN($H195)</f>
        <v>1</v>
      </c>
      <c r="AO195" s="1" t="n">
        <f aca="false">MEDIAN($I195)</f>
        <v>4.538</v>
      </c>
      <c r="AP195" s="1" t="n">
        <f aca="false">MEDIAN($J195)</f>
        <v>4.66</v>
      </c>
      <c r="AQ195" s="1" t="n">
        <f aca="false">MEDIAN($K195)</f>
        <v>0</v>
      </c>
      <c r="AR195" s="1" t="n">
        <f aca="false">MEDIAN($M195)</f>
        <v>1007248</v>
      </c>
      <c r="AS195" s="1" t="n">
        <f aca="false">MEDIAN($N195)</f>
        <v>0.05</v>
      </c>
      <c r="AT195" s="1" t="n">
        <f aca="false">MEDIAN($P195)</f>
        <v>4.66</v>
      </c>
      <c r="AU195" s="1" t="n">
        <f aca="false">MEDIAN($Q195)</f>
        <v>0</v>
      </c>
      <c r="AV195" s="1" t="n">
        <f aca="false">MEDIAN($R195)</f>
        <v>331046</v>
      </c>
      <c r="AW195" s="1" t="n">
        <f aca="false">MAX($B195)</f>
        <v>999</v>
      </c>
      <c r="AX195" s="1" t="n">
        <f aca="false">MAX($C195)</f>
        <v>12</v>
      </c>
      <c r="AY195" s="1" t="n">
        <f aca="false">MAX($D195)</f>
        <v>357877</v>
      </c>
      <c r="AZ195" s="1" t="n">
        <f aca="false">MAX($E195)</f>
        <v>0</v>
      </c>
      <c r="BA195" s="1" t="n">
        <f aca="false">MAX($F195)</f>
        <v>325</v>
      </c>
      <c r="BB195" s="1" t="n">
        <f aca="false">MAX($G195)</f>
        <v>0</v>
      </c>
      <c r="BC195" s="1" t="n">
        <f aca="false">MAX($H195)</f>
        <v>1</v>
      </c>
      <c r="BD195" s="1" t="n">
        <f aca="false">MAX($I195)</f>
        <v>4.538</v>
      </c>
      <c r="BE195" s="1" t="n">
        <f aca="false">MAX($J195)</f>
        <v>4.66</v>
      </c>
      <c r="BF195" s="1" t="n">
        <f aca="false">MAX($K195)</f>
        <v>0</v>
      </c>
      <c r="BG195" s="1" t="n">
        <f aca="false">MAX($M195)</f>
        <v>1007248</v>
      </c>
      <c r="BH195" s="1" t="n">
        <f aca="false">MAX($N195)</f>
        <v>0.05</v>
      </c>
      <c r="BI195" s="1" t="n">
        <f aca="false">MAX($P195)</f>
        <v>4.66</v>
      </c>
      <c r="BJ195" s="1" t="n">
        <f aca="false">MAX($Q195)</f>
        <v>0</v>
      </c>
      <c r="BK195" s="1" t="n">
        <f aca="false">MAX($R195)</f>
        <v>331046</v>
      </c>
    </row>
    <row r="196" customFormat="false" ht="15" hidden="false" customHeight="false" outlineLevel="0" collapsed="false">
      <c r="A196" s="1" t="s">
        <v>213</v>
      </c>
      <c r="B196" s="1" t="n">
        <f aca="false" t="array" ref="B196:B196">_xlfn.SWITCH($A$2,"average", AVERAGE(Instances!B196:B196),"median", MEDIAN(Instances!B196:B196),"min", MIN(Instances!B196:B196),"max", MAX(Instances!B196:B196),"diff", MAX(Instances!B196:B196)-MIN(Instances!B196:B196))</f>
        <v>716</v>
      </c>
      <c r="C196" s="1" t="n">
        <f aca="false" t="array" ref="C196:C196">_xlfn.SWITCH($A$2,"average", AVERAGE(Instances!C196:C196),"median", MEDIAN(Instances!C196:C196),"min", MIN(Instances!C196:C196),"max", MAX(Instances!C196:C196),"diff", MAX(Instances!C196:C196)-MIN(Instances!C196:C196))</f>
        <v>2</v>
      </c>
      <c r="D196" s="1" t="n">
        <f aca="false" t="array" ref="D196:D196">_xlfn.SWITCH($A$2,"average", AVERAGE(Instances!D196:D196),"median", MEDIAN(Instances!D196:D196),"min", MIN(Instances!D196:D196),"max", MAX(Instances!D196:D196),"diff", MAX(Instances!D196:D196)-MIN(Instances!D196:D196))</f>
        <v>280207</v>
      </c>
      <c r="E196" s="1" t="n">
        <f aca="false" t="array" ref="E196:E196">_xlfn.SWITCH($A$2,"average", AVERAGE(Instances!E196:E196),"median", MEDIAN(Instances!E196:E196),"min", MIN(Instances!E196:E196),"max", MAX(Instances!E196:E196),"diff", MAX(Instances!E196:E196)-MIN(Instances!E196:E196))</f>
        <v>0</v>
      </c>
      <c r="F196" s="1" t="n">
        <f aca="false" t="array" ref="F196:F196">_xlfn.SWITCH($A$2,"average", AVERAGE(Instances!F196:F196),"median", MEDIAN(Instances!F196:F196),"min", MIN(Instances!F196:F196),"max", MAX(Instances!F196:F196),"diff", MAX(Instances!F196:F196)-MIN(Instances!F196:F196))</f>
        <v>332</v>
      </c>
      <c r="G196" s="1" t="n">
        <f aca="false" t="array" ref="G196:G196">_xlfn.SWITCH($A$2,"average", AVERAGE(Instances!G196:G196),"median", MEDIAN(Instances!G196:G196),"min", MIN(Instances!G196:G196),"max", MAX(Instances!G196:G196),"diff", MAX(Instances!G196:G196)-MIN(Instances!G196:G196))</f>
        <v>0</v>
      </c>
      <c r="H196" s="1" t="n">
        <f aca="false" t="array" ref="H196:H196">_xlfn.SWITCH($A$2,"average", AVERAGE(Instances!H196:H196),"median", MEDIAN(Instances!H196:H196),"min", MIN(Instances!H196:H196),"max", MAX(Instances!H196:H196),"diff", MAX(Instances!H196:H196)-MIN(Instances!H196:H196))</f>
        <v>1</v>
      </c>
      <c r="I196" s="1" t="n">
        <f aca="false" t="array" ref="I196:I196">_xlfn.SWITCH($A$2,"average", AVERAGE(Instances!I196:I196),"median", MEDIAN(Instances!I196:I196),"min", MIN(Instances!I196:I196),"max", MAX(Instances!I196:I196),"diff", MAX(Instances!I196:I196)-MIN(Instances!I196:I196))</f>
        <v>4.637</v>
      </c>
      <c r="J196" s="1" t="n">
        <f aca="false" t="array" ref="J196:J196">_xlfn.SWITCH($A$2,"average", AVERAGE(Instances!J196:J196),"median", MEDIAN(Instances!J196:J196),"min", MIN(Instances!J196:J196),"max", MAX(Instances!J196:J196),"diff", MAX(Instances!J196:J196)-MIN(Instances!J196:J196))</f>
        <v>4.76</v>
      </c>
      <c r="K196" s="1" t="n">
        <f aca="false" t="array" ref="K196:K196">_xlfn.SWITCH($A$2,"average", AVERAGE(Instances!K196:K196),"median", MEDIAN(Instances!K196:K196),"min", MIN(Instances!K196:K196),"max", MAX(Instances!K196:K196),"diff", MAX(Instances!K196:K196)-MIN(Instances!K196:K196))</f>
        <v>0</v>
      </c>
      <c r="L196" s="1"/>
      <c r="M196" s="1" t="n">
        <f aca="false" t="array" ref="M196:M196">_xlfn.SWITCH($A$2,"average", AVERAGE(Instances!M196:M196),"median", MEDIAN(Instances!M196:M196),"min", MIN(Instances!M196:M196),"max", MAX(Instances!M196:M196),"diff", MAX(Instances!M196:M196)-MIN(Instances!M196:M196))</f>
        <v>1034264</v>
      </c>
      <c r="N196" s="1" t="n">
        <f aca="false" t="array" ref="N196:N196">_xlfn.SWITCH($A$2,"average", AVERAGE(Instances!N196:N196),"median", MEDIAN(Instances!N196:N196),"min", MIN(Instances!N196:N196),"max", MAX(Instances!N196:N196),"diff", MAX(Instances!N196:N196)-MIN(Instances!N196:N196))</f>
        <v>0.03</v>
      </c>
      <c r="O196" s="1"/>
      <c r="P196" s="1" t="n">
        <f aca="false" t="array" ref="P196:P196">_xlfn.SWITCH($A$2,"average", AVERAGE(Instances!P196:P196),"median", MEDIAN(Instances!P196:P196),"min", MIN(Instances!P196:P196),"max", MAX(Instances!P196:P196),"diff", MAX(Instances!P196:P196)-MIN(Instances!P196:P196))</f>
        <v>4.76</v>
      </c>
      <c r="Q196" s="1" t="n">
        <f aca="false" t="array" ref="Q196:Q196">_xlfn.SWITCH($A$2,"average", AVERAGE(Instances!Q196:Q196),"median", MEDIAN(Instances!Q196:Q196),"min", MIN(Instances!Q196:Q196),"max", MAX(Instances!Q196:Q196),"diff", MAX(Instances!Q196:Q196)-MIN(Instances!Q196:Q196))</f>
        <v>0</v>
      </c>
      <c r="R196" s="1" t="n">
        <f aca="false" t="array" ref="R196:R196">_xlfn.SWITCH($A$2,"average", AVERAGE(Instances!R196:R196),"median", MEDIAN(Instances!R196:R196),"min", MIN(Instances!R196:R196),"max", MAX(Instances!R196:R196),"diff", MAX(Instances!R196:R196)-MIN(Instances!R196:R196))</f>
        <v>339283</v>
      </c>
      <c r="S196" s="1" t="n">
        <f aca="false">MIN($B196)</f>
        <v>716</v>
      </c>
      <c r="T196" s="1" t="n">
        <f aca="false">MIN($C196)</f>
        <v>2</v>
      </c>
      <c r="U196" s="1" t="n">
        <f aca="false">MIN($D196)</f>
        <v>280207</v>
      </c>
      <c r="V196" s="1" t="n">
        <f aca="false">MIN($E196)</f>
        <v>0</v>
      </c>
      <c r="W196" s="1" t="n">
        <f aca="false">MIN($F196)</f>
        <v>332</v>
      </c>
      <c r="X196" s="1" t="n">
        <f aca="false">MIN($G196)</f>
        <v>0</v>
      </c>
      <c r="Y196" s="1" t="n">
        <f aca="false">MIN($H196)</f>
        <v>1</v>
      </c>
      <c r="Z196" s="1" t="n">
        <f aca="false">MIN($I196)</f>
        <v>4.637</v>
      </c>
      <c r="AA196" s="1" t="n">
        <f aca="false">MIN($J196)</f>
        <v>4.76</v>
      </c>
      <c r="AB196" s="1" t="n">
        <f aca="false">MIN($K196)</f>
        <v>0</v>
      </c>
      <c r="AC196" s="1" t="n">
        <f aca="false">MIN($M196)</f>
        <v>1034264</v>
      </c>
      <c r="AD196" s="1" t="n">
        <f aca="false">MIN($N196)</f>
        <v>0.03</v>
      </c>
      <c r="AE196" s="1" t="n">
        <f aca="false">MIN($P196)</f>
        <v>4.76</v>
      </c>
      <c r="AF196" s="1" t="n">
        <f aca="false">MIN($Q196)</f>
        <v>0</v>
      </c>
      <c r="AG196" s="1" t="n">
        <f aca="false">MIN($R196)</f>
        <v>339283</v>
      </c>
      <c r="AH196" s="1" t="n">
        <f aca="false">MEDIAN($B196)</f>
        <v>716</v>
      </c>
      <c r="AI196" s="1" t="n">
        <f aca="false">MEDIAN($C196)</f>
        <v>2</v>
      </c>
      <c r="AJ196" s="1" t="n">
        <f aca="false">MEDIAN($D196)</f>
        <v>280207</v>
      </c>
      <c r="AK196" s="1" t="n">
        <f aca="false">MEDIAN($E196)</f>
        <v>0</v>
      </c>
      <c r="AL196" s="1" t="n">
        <f aca="false">MEDIAN($F196)</f>
        <v>332</v>
      </c>
      <c r="AM196" s="1" t="n">
        <f aca="false">MEDIAN($G196)</f>
        <v>0</v>
      </c>
      <c r="AN196" s="1" t="n">
        <f aca="false">MEDIAN($H196)</f>
        <v>1</v>
      </c>
      <c r="AO196" s="1" t="n">
        <f aca="false">MEDIAN($I196)</f>
        <v>4.637</v>
      </c>
      <c r="AP196" s="1" t="n">
        <f aca="false">MEDIAN($J196)</f>
        <v>4.76</v>
      </c>
      <c r="AQ196" s="1" t="n">
        <f aca="false">MEDIAN($K196)</f>
        <v>0</v>
      </c>
      <c r="AR196" s="1" t="n">
        <f aca="false">MEDIAN($M196)</f>
        <v>1034264</v>
      </c>
      <c r="AS196" s="1" t="n">
        <f aca="false">MEDIAN($N196)</f>
        <v>0.03</v>
      </c>
      <c r="AT196" s="1" t="n">
        <f aca="false">MEDIAN($P196)</f>
        <v>4.76</v>
      </c>
      <c r="AU196" s="1" t="n">
        <f aca="false">MEDIAN($Q196)</f>
        <v>0</v>
      </c>
      <c r="AV196" s="1" t="n">
        <f aca="false">MEDIAN($R196)</f>
        <v>339283</v>
      </c>
      <c r="AW196" s="1" t="n">
        <f aca="false">MAX($B196)</f>
        <v>716</v>
      </c>
      <c r="AX196" s="1" t="n">
        <f aca="false">MAX($C196)</f>
        <v>2</v>
      </c>
      <c r="AY196" s="1" t="n">
        <f aca="false">MAX($D196)</f>
        <v>280207</v>
      </c>
      <c r="AZ196" s="1" t="n">
        <f aca="false">MAX($E196)</f>
        <v>0</v>
      </c>
      <c r="BA196" s="1" t="n">
        <f aca="false">MAX($F196)</f>
        <v>332</v>
      </c>
      <c r="BB196" s="1" t="n">
        <f aca="false">MAX($G196)</f>
        <v>0</v>
      </c>
      <c r="BC196" s="1" t="n">
        <f aca="false">MAX($H196)</f>
        <v>1</v>
      </c>
      <c r="BD196" s="1" t="n">
        <f aca="false">MAX($I196)</f>
        <v>4.637</v>
      </c>
      <c r="BE196" s="1" t="n">
        <f aca="false">MAX($J196)</f>
        <v>4.76</v>
      </c>
      <c r="BF196" s="1" t="n">
        <f aca="false">MAX($K196)</f>
        <v>0</v>
      </c>
      <c r="BG196" s="1" t="n">
        <f aca="false">MAX($M196)</f>
        <v>1034264</v>
      </c>
      <c r="BH196" s="1" t="n">
        <f aca="false">MAX($N196)</f>
        <v>0.03</v>
      </c>
      <c r="BI196" s="1" t="n">
        <f aca="false">MAX($P196)</f>
        <v>4.76</v>
      </c>
      <c r="BJ196" s="1" t="n">
        <f aca="false">MAX($Q196)</f>
        <v>0</v>
      </c>
      <c r="BK196" s="1" t="n">
        <f aca="false">MAX($R196)</f>
        <v>339283</v>
      </c>
    </row>
    <row r="197" customFormat="false" ht="15" hidden="false" customHeight="false" outlineLevel="0" collapsed="false">
      <c r="A197" s="1" t="s">
        <v>214</v>
      </c>
      <c r="B197" s="1" t="n">
        <f aca="false" t="array" ref="B197:B197">_xlfn.SWITCH($A$2,"average", AVERAGE(Instances!B197:B197),"median", MEDIAN(Instances!B197:B197),"min", MIN(Instances!B197:B197),"max", MAX(Instances!B197:B197),"diff", MAX(Instances!B197:B197)-MIN(Instances!B197:B197))</f>
        <v>1203</v>
      </c>
      <c r="C197" s="1" t="n">
        <f aca="false" t="array" ref="C197:C197">_xlfn.SWITCH($A$2,"average", AVERAGE(Instances!C197:C197),"median", MEDIAN(Instances!C197:C197),"min", MIN(Instances!C197:C197),"max", MAX(Instances!C197:C197),"diff", MAX(Instances!C197:C197)-MIN(Instances!C197:C197))</f>
        <v>3</v>
      </c>
      <c r="D197" s="1" t="n">
        <f aca="false" t="array" ref="D197:D197">_xlfn.SWITCH($A$2,"average", AVERAGE(Instances!D197:D197),"median", MEDIAN(Instances!D197:D197),"min", MIN(Instances!D197:D197),"max", MAX(Instances!D197:D197),"diff", MAX(Instances!D197:D197)-MIN(Instances!D197:D197))</f>
        <v>266468</v>
      </c>
      <c r="E197" s="1" t="n">
        <f aca="false" t="array" ref="E197:E197">_xlfn.SWITCH($A$2,"average", AVERAGE(Instances!E197:E197),"median", MEDIAN(Instances!E197:E197),"min", MIN(Instances!E197:E197),"max", MAX(Instances!E197:E197),"diff", MAX(Instances!E197:E197)-MIN(Instances!E197:E197))</f>
        <v>0</v>
      </c>
      <c r="F197" s="1" t="n">
        <f aca="false" t="array" ref="F197:F197">_xlfn.SWITCH($A$2,"average", AVERAGE(Instances!F197:F197),"median", MEDIAN(Instances!F197:F197),"min", MIN(Instances!F197:F197),"max", MAX(Instances!F197:F197),"diff", MAX(Instances!F197:F197)-MIN(Instances!F197:F197))</f>
        <v>339</v>
      </c>
      <c r="G197" s="1" t="n">
        <f aca="false" t="array" ref="G197:G197">_xlfn.SWITCH($A$2,"average", AVERAGE(Instances!G197:G197),"median", MEDIAN(Instances!G197:G197),"min", MIN(Instances!G197:G197),"max", MAX(Instances!G197:G197),"diff", MAX(Instances!G197:G197)-MIN(Instances!G197:G197))</f>
        <v>0</v>
      </c>
      <c r="H197" s="1" t="n">
        <f aca="false" t="array" ref="H197:H197">_xlfn.SWITCH($A$2,"average", AVERAGE(Instances!H197:H197),"median", MEDIAN(Instances!H197:H197),"min", MIN(Instances!H197:H197),"max", MAX(Instances!H197:H197),"diff", MAX(Instances!H197:H197)-MIN(Instances!H197:H197))</f>
        <v>1</v>
      </c>
      <c r="I197" s="1" t="n">
        <f aca="false" t="array" ref="I197:I197">_xlfn.SWITCH($A$2,"average", AVERAGE(Instances!I197:I197),"median", MEDIAN(Instances!I197:I197),"min", MIN(Instances!I197:I197),"max", MAX(Instances!I197:I197),"diff", MAX(Instances!I197:I197)-MIN(Instances!I197:I197))</f>
        <v>4.768</v>
      </c>
      <c r="J197" s="1" t="n">
        <f aca="false" t="array" ref="J197:J197">_xlfn.SWITCH($A$2,"average", AVERAGE(Instances!J197:J197),"median", MEDIAN(Instances!J197:J197),"min", MIN(Instances!J197:J197),"max", MAX(Instances!J197:J197),"diff", MAX(Instances!J197:J197)-MIN(Instances!J197:J197))</f>
        <v>4.89</v>
      </c>
      <c r="K197" s="1" t="n">
        <f aca="false" t="array" ref="K197:K197">_xlfn.SWITCH($A$2,"average", AVERAGE(Instances!K197:K197),"median", MEDIAN(Instances!K197:K197),"min", MIN(Instances!K197:K197),"max", MAX(Instances!K197:K197),"diff", MAX(Instances!K197:K197)-MIN(Instances!K197:K197))</f>
        <v>0</v>
      </c>
      <c r="L197" s="1"/>
      <c r="M197" s="1" t="n">
        <f aca="false" t="array" ref="M197:M197">_xlfn.SWITCH($A$2,"average", AVERAGE(Instances!M197:M197),"median", MEDIAN(Instances!M197:M197),"min", MIN(Instances!M197:M197),"max", MAX(Instances!M197:M197),"diff", MAX(Instances!M197:M197)-MIN(Instances!M197:M197))</f>
        <v>1111337</v>
      </c>
      <c r="N197" s="1" t="n">
        <f aca="false" t="array" ref="N197:N197">_xlfn.SWITCH($A$2,"average", AVERAGE(Instances!N197:N197),"median", MEDIAN(Instances!N197:N197),"min", MIN(Instances!N197:N197),"max", MAX(Instances!N197:N197),"diff", MAX(Instances!N197:N197)-MIN(Instances!N197:N197))</f>
        <v>0.03</v>
      </c>
      <c r="O197" s="1"/>
      <c r="P197" s="1" t="n">
        <f aca="false" t="array" ref="P197:P197">_xlfn.SWITCH($A$2,"average", AVERAGE(Instances!P197:P197),"median", MEDIAN(Instances!P197:P197),"min", MIN(Instances!P197:P197),"max", MAX(Instances!P197:P197),"diff", MAX(Instances!P197:P197)-MIN(Instances!P197:P197))</f>
        <v>4.89</v>
      </c>
      <c r="Q197" s="1" t="n">
        <f aca="false" t="array" ref="Q197:Q197">_xlfn.SWITCH($A$2,"average", AVERAGE(Instances!Q197:Q197),"median", MEDIAN(Instances!Q197:Q197),"min", MIN(Instances!Q197:Q197),"max", MAX(Instances!Q197:Q197),"diff", MAX(Instances!Q197:Q197)-MIN(Instances!Q197:Q197))</f>
        <v>0</v>
      </c>
      <c r="R197" s="1" t="n">
        <f aca="false" t="array" ref="R197:R197">_xlfn.SWITCH($A$2,"average", AVERAGE(Instances!R197:R197),"median", MEDIAN(Instances!R197:R197),"min", MIN(Instances!R197:R197),"max", MAX(Instances!R197:R197),"diff", MAX(Instances!R197:R197)-MIN(Instances!R197:R197))</f>
        <v>344449</v>
      </c>
      <c r="S197" s="1" t="n">
        <f aca="false">MIN($B197)</f>
        <v>1203</v>
      </c>
      <c r="T197" s="1" t="n">
        <f aca="false">MIN($C197)</f>
        <v>3</v>
      </c>
      <c r="U197" s="1" t="n">
        <f aca="false">MIN($D197)</f>
        <v>266468</v>
      </c>
      <c r="V197" s="1" t="n">
        <f aca="false">MIN($E197)</f>
        <v>0</v>
      </c>
      <c r="W197" s="1" t="n">
        <f aca="false">MIN($F197)</f>
        <v>339</v>
      </c>
      <c r="X197" s="1" t="n">
        <f aca="false">MIN($G197)</f>
        <v>0</v>
      </c>
      <c r="Y197" s="1" t="n">
        <f aca="false">MIN($H197)</f>
        <v>1</v>
      </c>
      <c r="Z197" s="1" t="n">
        <f aca="false">MIN($I197)</f>
        <v>4.768</v>
      </c>
      <c r="AA197" s="1" t="n">
        <f aca="false">MIN($J197)</f>
        <v>4.89</v>
      </c>
      <c r="AB197" s="1" t="n">
        <f aca="false">MIN($K197)</f>
        <v>0</v>
      </c>
      <c r="AC197" s="1" t="n">
        <f aca="false">MIN($M197)</f>
        <v>1111337</v>
      </c>
      <c r="AD197" s="1" t="n">
        <f aca="false">MIN($N197)</f>
        <v>0.03</v>
      </c>
      <c r="AE197" s="1" t="n">
        <f aca="false">MIN($P197)</f>
        <v>4.89</v>
      </c>
      <c r="AF197" s="1" t="n">
        <f aca="false">MIN($Q197)</f>
        <v>0</v>
      </c>
      <c r="AG197" s="1" t="n">
        <f aca="false">MIN($R197)</f>
        <v>344449</v>
      </c>
      <c r="AH197" s="1" t="n">
        <f aca="false">MEDIAN($B197)</f>
        <v>1203</v>
      </c>
      <c r="AI197" s="1" t="n">
        <f aca="false">MEDIAN($C197)</f>
        <v>3</v>
      </c>
      <c r="AJ197" s="1" t="n">
        <f aca="false">MEDIAN($D197)</f>
        <v>266468</v>
      </c>
      <c r="AK197" s="1" t="n">
        <f aca="false">MEDIAN($E197)</f>
        <v>0</v>
      </c>
      <c r="AL197" s="1" t="n">
        <f aca="false">MEDIAN($F197)</f>
        <v>339</v>
      </c>
      <c r="AM197" s="1" t="n">
        <f aca="false">MEDIAN($G197)</f>
        <v>0</v>
      </c>
      <c r="AN197" s="1" t="n">
        <f aca="false">MEDIAN($H197)</f>
        <v>1</v>
      </c>
      <c r="AO197" s="1" t="n">
        <f aca="false">MEDIAN($I197)</f>
        <v>4.768</v>
      </c>
      <c r="AP197" s="1" t="n">
        <f aca="false">MEDIAN($J197)</f>
        <v>4.89</v>
      </c>
      <c r="AQ197" s="1" t="n">
        <f aca="false">MEDIAN($K197)</f>
        <v>0</v>
      </c>
      <c r="AR197" s="1" t="n">
        <f aca="false">MEDIAN($M197)</f>
        <v>1111337</v>
      </c>
      <c r="AS197" s="1" t="n">
        <f aca="false">MEDIAN($N197)</f>
        <v>0.03</v>
      </c>
      <c r="AT197" s="1" t="n">
        <f aca="false">MEDIAN($P197)</f>
        <v>4.89</v>
      </c>
      <c r="AU197" s="1" t="n">
        <f aca="false">MEDIAN($Q197)</f>
        <v>0</v>
      </c>
      <c r="AV197" s="1" t="n">
        <f aca="false">MEDIAN($R197)</f>
        <v>344449</v>
      </c>
      <c r="AW197" s="1" t="n">
        <f aca="false">MAX($B197)</f>
        <v>1203</v>
      </c>
      <c r="AX197" s="1" t="n">
        <f aca="false">MAX($C197)</f>
        <v>3</v>
      </c>
      <c r="AY197" s="1" t="n">
        <f aca="false">MAX($D197)</f>
        <v>266468</v>
      </c>
      <c r="AZ197" s="1" t="n">
        <f aca="false">MAX($E197)</f>
        <v>0</v>
      </c>
      <c r="BA197" s="1" t="n">
        <f aca="false">MAX($F197)</f>
        <v>339</v>
      </c>
      <c r="BB197" s="1" t="n">
        <f aca="false">MAX($G197)</f>
        <v>0</v>
      </c>
      <c r="BC197" s="1" t="n">
        <f aca="false">MAX($H197)</f>
        <v>1</v>
      </c>
      <c r="BD197" s="1" t="n">
        <f aca="false">MAX($I197)</f>
        <v>4.768</v>
      </c>
      <c r="BE197" s="1" t="n">
        <f aca="false">MAX($J197)</f>
        <v>4.89</v>
      </c>
      <c r="BF197" s="1" t="n">
        <f aca="false">MAX($K197)</f>
        <v>0</v>
      </c>
      <c r="BG197" s="1" t="n">
        <f aca="false">MAX($M197)</f>
        <v>1111337</v>
      </c>
      <c r="BH197" s="1" t="n">
        <f aca="false">MAX($N197)</f>
        <v>0.03</v>
      </c>
      <c r="BI197" s="1" t="n">
        <f aca="false">MAX($P197)</f>
        <v>4.89</v>
      </c>
      <c r="BJ197" s="1" t="n">
        <f aca="false">MAX($Q197)</f>
        <v>0</v>
      </c>
      <c r="BK197" s="1" t="n">
        <f aca="false">MAX($R197)</f>
        <v>344449</v>
      </c>
    </row>
    <row r="198" customFormat="false" ht="15" hidden="false" customHeight="false" outlineLevel="0" collapsed="false">
      <c r="A198" s="1" t="s">
        <v>215</v>
      </c>
      <c r="B198" s="1" t="n">
        <f aca="false" t="array" ref="B198:B198">_xlfn.SWITCH($A$2,"average", AVERAGE(Instances!B198:B198),"median", MEDIAN(Instances!B198:B198),"min", MIN(Instances!B198:B198),"max", MAX(Instances!B198:B198),"diff", MAX(Instances!B198:B198)-MIN(Instances!B198:B198))</f>
        <v>1091</v>
      </c>
      <c r="C198" s="1" t="n">
        <f aca="false" t="array" ref="C198:C198">_xlfn.SWITCH($A$2,"average", AVERAGE(Instances!C198:C198),"median", MEDIAN(Instances!C198:C198),"min", MIN(Instances!C198:C198),"max", MAX(Instances!C198:C198),"diff", MAX(Instances!C198:C198)-MIN(Instances!C198:C198))</f>
        <v>9</v>
      </c>
      <c r="D198" s="1" t="n">
        <f aca="false" t="array" ref="D198:D198">_xlfn.SWITCH($A$2,"average", AVERAGE(Instances!D198:D198),"median", MEDIAN(Instances!D198:D198),"min", MIN(Instances!D198:D198),"max", MAX(Instances!D198:D198),"diff", MAX(Instances!D198:D198)-MIN(Instances!D198:D198))</f>
        <v>207874</v>
      </c>
      <c r="E198" s="1" t="n">
        <f aca="false" t="array" ref="E198:E198">_xlfn.SWITCH($A$2,"average", AVERAGE(Instances!E198:E198),"median", MEDIAN(Instances!E198:E198),"min", MIN(Instances!E198:E198),"max", MAX(Instances!E198:E198),"diff", MAX(Instances!E198:E198)-MIN(Instances!E198:E198))</f>
        <v>0</v>
      </c>
      <c r="F198" s="1" t="n">
        <f aca="false" t="array" ref="F198:F198">_xlfn.SWITCH($A$2,"average", AVERAGE(Instances!F198:F198),"median", MEDIAN(Instances!F198:F198),"min", MIN(Instances!F198:F198),"max", MAX(Instances!F198:F198),"diff", MAX(Instances!F198:F198)-MIN(Instances!F198:F198))</f>
        <v>331</v>
      </c>
      <c r="G198" s="1" t="n">
        <f aca="false" t="array" ref="G198:G198">_xlfn.SWITCH($A$2,"average", AVERAGE(Instances!G198:G198),"median", MEDIAN(Instances!G198:G198),"min", MIN(Instances!G198:G198),"max", MAX(Instances!G198:G198),"diff", MAX(Instances!G198:G198)-MIN(Instances!G198:G198))</f>
        <v>0</v>
      </c>
      <c r="H198" s="1" t="n">
        <f aca="false" t="array" ref="H198:H198">_xlfn.SWITCH($A$2,"average", AVERAGE(Instances!H198:H198),"median", MEDIAN(Instances!H198:H198),"min", MIN(Instances!H198:H198),"max", MAX(Instances!H198:H198),"diff", MAX(Instances!H198:H198)-MIN(Instances!H198:H198))</f>
        <v>1</v>
      </c>
      <c r="I198" s="1" t="n">
        <f aca="false" t="array" ref="I198:I198">_xlfn.SWITCH($A$2,"average", AVERAGE(Instances!I198:I198),"median", MEDIAN(Instances!I198:I198),"min", MIN(Instances!I198:I198),"max", MAX(Instances!I198:I198),"diff", MAX(Instances!I198:I198)-MIN(Instances!I198:I198))</f>
        <v>4.29</v>
      </c>
      <c r="J198" s="1" t="n">
        <f aca="false" t="array" ref="J198:J198">_xlfn.SWITCH($A$2,"average", AVERAGE(Instances!J198:J198),"median", MEDIAN(Instances!J198:J198),"min", MIN(Instances!J198:J198),"max", MAX(Instances!J198:J198),"diff", MAX(Instances!J198:J198)-MIN(Instances!J198:J198))</f>
        <v>4.41</v>
      </c>
      <c r="K198" s="1" t="n">
        <f aca="false" t="array" ref="K198:K198">_xlfn.SWITCH($A$2,"average", AVERAGE(Instances!K198:K198),"median", MEDIAN(Instances!K198:K198),"min", MIN(Instances!K198:K198),"max", MAX(Instances!K198:K198),"diff", MAX(Instances!K198:K198)-MIN(Instances!K198:K198))</f>
        <v>0</v>
      </c>
      <c r="L198" s="1"/>
      <c r="M198" s="1" t="n">
        <f aca="false" t="array" ref="M198:M198">_xlfn.SWITCH($A$2,"average", AVERAGE(Instances!M198:M198),"median", MEDIAN(Instances!M198:M198),"min", MIN(Instances!M198:M198),"max", MAX(Instances!M198:M198),"diff", MAX(Instances!M198:M198)-MIN(Instances!M198:M198))</f>
        <v>1095613</v>
      </c>
      <c r="N198" s="1" t="n">
        <f aca="false" t="array" ref="N198:N198">_xlfn.SWITCH($A$2,"average", AVERAGE(Instances!N198:N198),"median", MEDIAN(Instances!N198:N198),"min", MIN(Instances!N198:N198),"max", MAX(Instances!N198:N198),"diff", MAX(Instances!N198:N198)-MIN(Instances!N198:N198))</f>
        <v>0.02</v>
      </c>
      <c r="O198" s="1"/>
      <c r="P198" s="1" t="n">
        <f aca="false" t="array" ref="P198:P198">_xlfn.SWITCH($A$2,"average", AVERAGE(Instances!P198:P198),"median", MEDIAN(Instances!P198:P198),"min", MIN(Instances!P198:P198),"max", MAX(Instances!P198:P198),"diff", MAX(Instances!P198:P198)-MIN(Instances!P198:P198))</f>
        <v>4.41</v>
      </c>
      <c r="Q198" s="1" t="n">
        <f aca="false" t="array" ref="Q198:Q198">_xlfn.SWITCH($A$2,"average", AVERAGE(Instances!Q198:Q198),"median", MEDIAN(Instances!Q198:Q198),"min", MIN(Instances!Q198:Q198),"max", MAX(Instances!Q198:Q198),"diff", MAX(Instances!Q198:Q198)-MIN(Instances!Q198:Q198))</f>
        <v>0</v>
      </c>
      <c r="R198" s="1" t="n">
        <f aca="false" t="array" ref="R198:R198">_xlfn.SWITCH($A$2,"average", AVERAGE(Instances!R198:R198),"median", MEDIAN(Instances!R198:R198),"min", MIN(Instances!R198:R198),"max", MAX(Instances!R198:R198),"diff", MAX(Instances!R198:R198)-MIN(Instances!R198:R198))</f>
        <v>337377</v>
      </c>
      <c r="S198" s="1" t="n">
        <f aca="false">MIN($B198)</f>
        <v>1091</v>
      </c>
      <c r="T198" s="1" t="n">
        <f aca="false">MIN($C198)</f>
        <v>9</v>
      </c>
      <c r="U198" s="1" t="n">
        <f aca="false">MIN($D198)</f>
        <v>207874</v>
      </c>
      <c r="V198" s="1" t="n">
        <f aca="false">MIN($E198)</f>
        <v>0</v>
      </c>
      <c r="W198" s="1" t="n">
        <f aca="false">MIN($F198)</f>
        <v>331</v>
      </c>
      <c r="X198" s="1" t="n">
        <f aca="false">MIN($G198)</f>
        <v>0</v>
      </c>
      <c r="Y198" s="1" t="n">
        <f aca="false">MIN($H198)</f>
        <v>1</v>
      </c>
      <c r="Z198" s="1" t="n">
        <f aca="false">MIN($I198)</f>
        <v>4.29</v>
      </c>
      <c r="AA198" s="1" t="n">
        <f aca="false">MIN($J198)</f>
        <v>4.41</v>
      </c>
      <c r="AB198" s="1" t="n">
        <f aca="false">MIN($K198)</f>
        <v>0</v>
      </c>
      <c r="AC198" s="1" t="n">
        <f aca="false">MIN($M198)</f>
        <v>1095613</v>
      </c>
      <c r="AD198" s="1" t="n">
        <f aca="false">MIN($N198)</f>
        <v>0.02</v>
      </c>
      <c r="AE198" s="1" t="n">
        <f aca="false">MIN($P198)</f>
        <v>4.41</v>
      </c>
      <c r="AF198" s="1" t="n">
        <f aca="false">MIN($Q198)</f>
        <v>0</v>
      </c>
      <c r="AG198" s="1" t="n">
        <f aca="false">MIN($R198)</f>
        <v>337377</v>
      </c>
      <c r="AH198" s="1" t="n">
        <f aca="false">MEDIAN($B198)</f>
        <v>1091</v>
      </c>
      <c r="AI198" s="1" t="n">
        <f aca="false">MEDIAN($C198)</f>
        <v>9</v>
      </c>
      <c r="AJ198" s="1" t="n">
        <f aca="false">MEDIAN($D198)</f>
        <v>207874</v>
      </c>
      <c r="AK198" s="1" t="n">
        <f aca="false">MEDIAN($E198)</f>
        <v>0</v>
      </c>
      <c r="AL198" s="1" t="n">
        <f aca="false">MEDIAN($F198)</f>
        <v>331</v>
      </c>
      <c r="AM198" s="1" t="n">
        <f aca="false">MEDIAN($G198)</f>
        <v>0</v>
      </c>
      <c r="AN198" s="1" t="n">
        <f aca="false">MEDIAN($H198)</f>
        <v>1</v>
      </c>
      <c r="AO198" s="1" t="n">
        <f aca="false">MEDIAN($I198)</f>
        <v>4.29</v>
      </c>
      <c r="AP198" s="1" t="n">
        <f aca="false">MEDIAN($J198)</f>
        <v>4.41</v>
      </c>
      <c r="AQ198" s="1" t="n">
        <f aca="false">MEDIAN($K198)</f>
        <v>0</v>
      </c>
      <c r="AR198" s="1" t="n">
        <f aca="false">MEDIAN($M198)</f>
        <v>1095613</v>
      </c>
      <c r="AS198" s="1" t="n">
        <f aca="false">MEDIAN($N198)</f>
        <v>0.02</v>
      </c>
      <c r="AT198" s="1" t="n">
        <f aca="false">MEDIAN($P198)</f>
        <v>4.41</v>
      </c>
      <c r="AU198" s="1" t="n">
        <f aca="false">MEDIAN($Q198)</f>
        <v>0</v>
      </c>
      <c r="AV198" s="1" t="n">
        <f aca="false">MEDIAN($R198)</f>
        <v>337377</v>
      </c>
      <c r="AW198" s="1" t="n">
        <f aca="false">MAX($B198)</f>
        <v>1091</v>
      </c>
      <c r="AX198" s="1" t="n">
        <f aca="false">MAX($C198)</f>
        <v>9</v>
      </c>
      <c r="AY198" s="1" t="n">
        <f aca="false">MAX($D198)</f>
        <v>207874</v>
      </c>
      <c r="AZ198" s="1" t="n">
        <f aca="false">MAX($E198)</f>
        <v>0</v>
      </c>
      <c r="BA198" s="1" t="n">
        <f aca="false">MAX($F198)</f>
        <v>331</v>
      </c>
      <c r="BB198" s="1" t="n">
        <f aca="false">MAX($G198)</f>
        <v>0</v>
      </c>
      <c r="BC198" s="1" t="n">
        <f aca="false">MAX($H198)</f>
        <v>1</v>
      </c>
      <c r="BD198" s="1" t="n">
        <f aca="false">MAX($I198)</f>
        <v>4.29</v>
      </c>
      <c r="BE198" s="1" t="n">
        <f aca="false">MAX($J198)</f>
        <v>4.41</v>
      </c>
      <c r="BF198" s="1" t="n">
        <f aca="false">MAX($K198)</f>
        <v>0</v>
      </c>
      <c r="BG198" s="1" t="n">
        <f aca="false">MAX($M198)</f>
        <v>1095613</v>
      </c>
      <c r="BH198" s="1" t="n">
        <f aca="false">MAX($N198)</f>
        <v>0.02</v>
      </c>
      <c r="BI198" s="1" t="n">
        <f aca="false">MAX($P198)</f>
        <v>4.41</v>
      </c>
      <c r="BJ198" s="1" t="n">
        <f aca="false">MAX($Q198)</f>
        <v>0</v>
      </c>
      <c r="BK198" s="1" t="n">
        <f aca="false">MAX($R198)</f>
        <v>337377</v>
      </c>
    </row>
    <row r="199" customFormat="false" ht="15" hidden="false" customHeight="false" outlineLevel="0" collapsed="false">
      <c r="A199" s="1" t="s">
        <v>216</v>
      </c>
      <c r="B199" s="1" t="n">
        <f aca="false" t="array" ref="B199:B199">_xlfn.SWITCH($A$2,"average", AVERAGE(Instances!B199:B199),"median", MEDIAN(Instances!B199:B199),"min", MIN(Instances!B199:B199),"max", MAX(Instances!B199:B199),"diff", MAX(Instances!B199:B199)-MIN(Instances!B199:B199))</f>
        <v>1348</v>
      </c>
      <c r="C199" s="1" t="n">
        <f aca="false" t="array" ref="C199:C199">_xlfn.SWITCH($A$2,"average", AVERAGE(Instances!C199:C199),"median", MEDIAN(Instances!C199:C199),"min", MIN(Instances!C199:C199),"max", MAX(Instances!C199:C199),"diff", MAX(Instances!C199:C199)-MIN(Instances!C199:C199))</f>
        <v>5</v>
      </c>
      <c r="D199" s="1" t="n">
        <f aca="false" t="array" ref="D199:D199">_xlfn.SWITCH($A$2,"average", AVERAGE(Instances!D199:D199),"median", MEDIAN(Instances!D199:D199),"min", MIN(Instances!D199:D199),"max", MAX(Instances!D199:D199),"diff", MAX(Instances!D199:D199)-MIN(Instances!D199:D199))</f>
        <v>344800</v>
      </c>
      <c r="E199" s="1" t="n">
        <f aca="false" t="array" ref="E199:E199">_xlfn.SWITCH($A$2,"average", AVERAGE(Instances!E199:E199),"median", MEDIAN(Instances!E199:E199),"min", MIN(Instances!E199:E199),"max", MAX(Instances!E199:E199),"diff", MAX(Instances!E199:E199)-MIN(Instances!E199:E199))</f>
        <v>0</v>
      </c>
      <c r="F199" s="1" t="n">
        <f aca="false" t="array" ref="F199:F199">_xlfn.SWITCH($A$2,"average", AVERAGE(Instances!F199:F199),"median", MEDIAN(Instances!F199:F199),"min", MIN(Instances!F199:F199),"max", MAX(Instances!F199:F199),"diff", MAX(Instances!F199:F199)-MIN(Instances!F199:F199))</f>
        <v>451</v>
      </c>
      <c r="G199" s="1" t="n">
        <f aca="false" t="array" ref="G199:G199">_xlfn.SWITCH($A$2,"average", AVERAGE(Instances!G199:G199),"median", MEDIAN(Instances!G199:G199),"min", MIN(Instances!G199:G199),"max", MAX(Instances!G199:G199),"diff", MAX(Instances!G199:G199)-MIN(Instances!G199:G199))</f>
        <v>0</v>
      </c>
      <c r="H199" s="1" t="n">
        <f aca="false" t="array" ref="H199:H199">_xlfn.SWITCH($A$2,"average", AVERAGE(Instances!H199:H199),"median", MEDIAN(Instances!H199:H199),"min", MIN(Instances!H199:H199),"max", MAX(Instances!H199:H199),"diff", MAX(Instances!H199:H199)-MIN(Instances!H199:H199))</f>
        <v>1</v>
      </c>
      <c r="I199" s="1" t="n">
        <f aca="false" t="array" ref="I199:I199">_xlfn.SWITCH($A$2,"average", AVERAGE(Instances!I199:I199),"median", MEDIAN(Instances!I199:I199),"min", MIN(Instances!I199:I199),"max", MAX(Instances!I199:I199),"diff", MAX(Instances!I199:I199)-MIN(Instances!I199:I199))</f>
        <v>5.91</v>
      </c>
      <c r="J199" s="1" t="n">
        <f aca="false" t="array" ref="J199:J199">_xlfn.SWITCH($A$2,"average", AVERAGE(Instances!J199:J199),"median", MEDIAN(Instances!J199:J199),"min", MIN(Instances!J199:J199),"max", MAX(Instances!J199:J199),"diff", MAX(Instances!J199:J199)-MIN(Instances!J199:J199))</f>
        <v>6.08</v>
      </c>
      <c r="K199" s="1" t="n">
        <f aca="false" t="array" ref="K199:K199">_xlfn.SWITCH($A$2,"average", AVERAGE(Instances!K199:K199),"median", MEDIAN(Instances!K199:K199),"min", MIN(Instances!K199:K199),"max", MAX(Instances!K199:K199),"diff", MAX(Instances!K199:K199)-MIN(Instances!K199:K199))</f>
        <v>0</v>
      </c>
      <c r="L199" s="1"/>
      <c r="M199" s="1" t="n">
        <f aca="false" t="array" ref="M199:M199">_xlfn.SWITCH($A$2,"average", AVERAGE(Instances!M199:M199),"median", MEDIAN(Instances!M199:M199),"min", MIN(Instances!M199:M199),"max", MAX(Instances!M199:M199),"diff", MAX(Instances!M199:M199)-MIN(Instances!M199:M199))</f>
        <v>1509476</v>
      </c>
      <c r="N199" s="1" t="n">
        <f aca="false" t="array" ref="N199:N199">_xlfn.SWITCH($A$2,"average", AVERAGE(Instances!N199:N199),"median", MEDIAN(Instances!N199:N199),"min", MIN(Instances!N199:N199),"max", MAX(Instances!N199:N199),"diff", MAX(Instances!N199:N199)-MIN(Instances!N199:N199))</f>
        <v>0.04</v>
      </c>
      <c r="O199" s="1"/>
      <c r="P199" s="1" t="n">
        <f aca="false" t="array" ref="P199:P199">_xlfn.SWITCH($A$2,"average", AVERAGE(Instances!P199:P199),"median", MEDIAN(Instances!P199:P199),"min", MIN(Instances!P199:P199),"max", MAX(Instances!P199:P199),"diff", MAX(Instances!P199:P199)-MIN(Instances!P199:P199))</f>
        <v>6.08</v>
      </c>
      <c r="Q199" s="1" t="n">
        <f aca="false" t="array" ref="Q199:Q199">_xlfn.SWITCH($A$2,"average", AVERAGE(Instances!Q199:Q199),"median", MEDIAN(Instances!Q199:Q199),"min", MIN(Instances!Q199:Q199),"max", MAX(Instances!Q199:Q199),"diff", MAX(Instances!Q199:Q199)-MIN(Instances!Q199:Q199))</f>
        <v>0</v>
      </c>
      <c r="R199" s="1" t="n">
        <f aca="false" t="array" ref="R199:R199">_xlfn.SWITCH($A$2,"average", AVERAGE(Instances!R199:R199),"median", MEDIAN(Instances!R199:R199),"min", MIN(Instances!R199:R199),"max", MAX(Instances!R199:R199),"diff", MAX(Instances!R199:R199)-MIN(Instances!R199:R199))</f>
        <v>452424</v>
      </c>
      <c r="S199" s="1" t="n">
        <f aca="false">MIN($B199)</f>
        <v>1348</v>
      </c>
      <c r="T199" s="1" t="n">
        <f aca="false">MIN($C199)</f>
        <v>5</v>
      </c>
      <c r="U199" s="1" t="n">
        <f aca="false">MIN($D199)</f>
        <v>344800</v>
      </c>
      <c r="V199" s="1" t="n">
        <f aca="false">MIN($E199)</f>
        <v>0</v>
      </c>
      <c r="W199" s="1" t="n">
        <f aca="false">MIN($F199)</f>
        <v>451</v>
      </c>
      <c r="X199" s="1" t="n">
        <f aca="false">MIN($G199)</f>
        <v>0</v>
      </c>
      <c r="Y199" s="1" t="n">
        <f aca="false">MIN($H199)</f>
        <v>1</v>
      </c>
      <c r="Z199" s="1" t="n">
        <f aca="false">MIN($I199)</f>
        <v>5.91</v>
      </c>
      <c r="AA199" s="1" t="n">
        <f aca="false">MIN($J199)</f>
        <v>6.08</v>
      </c>
      <c r="AB199" s="1" t="n">
        <f aca="false">MIN($K199)</f>
        <v>0</v>
      </c>
      <c r="AC199" s="1" t="n">
        <f aca="false">MIN($M199)</f>
        <v>1509476</v>
      </c>
      <c r="AD199" s="1" t="n">
        <f aca="false">MIN($N199)</f>
        <v>0.04</v>
      </c>
      <c r="AE199" s="1" t="n">
        <f aca="false">MIN($P199)</f>
        <v>6.08</v>
      </c>
      <c r="AF199" s="1" t="n">
        <f aca="false">MIN($Q199)</f>
        <v>0</v>
      </c>
      <c r="AG199" s="1" t="n">
        <f aca="false">MIN($R199)</f>
        <v>452424</v>
      </c>
      <c r="AH199" s="1" t="n">
        <f aca="false">MEDIAN($B199)</f>
        <v>1348</v>
      </c>
      <c r="AI199" s="1" t="n">
        <f aca="false">MEDIAN($C199)</f>
        <v>5</v>
      </c>
      <c r="AJ199" s="1" t="n">
        <f aca="false">MEDIAN($D199)</f>
        <v>344800</v>
      </c>
      <c r="AK199" s="1" t="n">
        <f aca="false">MEDIAN($E199)</f>
        <v>0</v>
      </c>
      <c r="AL199" s="1" t="n">
        <f aca="false">MEDIAN($F199)</f>
        <v>451</v>
      </c>
      <c r="AM199" s="1" t="n">
        <f aca="false">MEDIAN($G199)</f>
        <v>0</v>
      </c>
      <c r="AN199" s="1" t="n">
        <f aca="false">MEDIAN($H199)</f>
        <v>1</v>
      </c>
      <c r="AO199" s="1" t="n">
        <f aca="false">MEDIAN($I199)</f>
        <v>5.91</v>
      </c>
      <c r="AP199" s="1" t="n">
        <f aca="false">MEDIAN($J199)</f>
        <v>6.08</v>
      </c>
      <c r="AQ199" s="1" t="n">
        <f aca="false">MEDIAN($K199)</f>
        <v>0</v>
      </c>
      <c r="AR199" s="1" t="n">
        <f aca="false">MEDIAN($M199)</f>
        <v>1509476</v>
      </c>
      <c r="AS199" s="1" t="n">
        <f aca="false">MEDIAN($N199)</f>
        <v>0.04</v>
      </c>
      <c r="AT199" s="1" t="n">
        <f aca="false">MEDIAN($P199)</f>
        <v>6.08</v>
      </c>
      <c r="AU199" s="1" t="n">
        <f aca="false">MEDIAN($Q199)</f>
        <v>0</v>
      </c>
      <c r="AV199" s="1" t="n">
        <f aca="false">MEDIAN($R199)</f>
        <v>452424</v>
      </c>
      <c r="AW199" s="1" t="n">
        <f aca="false">MAX($B199)</f>
        <v>1348</v>
      </c>
      <c r="AX199" s="1" t="n">
        <f aca="false">MAX($C199)</f>
        <v>5</v>
      </c>
      <c r="AY199" s="1" t="n">
        <f aca="false">MAX($D199)</f>
        <v>344800</v>
      </c>
      <c r="AZ199" s="1" t="n">
        <f aca="false">MAX($E199)</f>
        <v>0</v>
      </c>
      <c r="BA199" s="1" t="n">
        <f aca="false">MAX($F199)</f>
        <v>451</v>
      </c>
      <c r="BB199" s="1" t="n">
        <f aca="false">MAX($G199)</f>
        <v>0</v>
      </c>
      <c r="BC199" s="1" t="n">
        <f aca="false">MAX($H199)</f>
        <v>1</v>
      </c>
      <c r="BD199" s="1" t="n">
        <f aca="false">MAX($I199)</f>
        <v>5.91</v>
      </c>
      <c r="BE199" s="1" t="n">
        <f aca="false">MAX($J199)</f>
        <v>6.08</v>
      </c>
      <c r="BF199" s="1" t="n">
        <f aca="false">MAX($K199)</f>
        <v>0</v>
      </c>
      <c r="BG199" s="1" t="n">
        <f aca="false">MAX($M199)</f>
        <v>1509476</v>
      </c>
      <c r="BH199" s="1" t="n">
        <f aca="false">MAX($N199)</f>
        <v>0.04</v>
      </c>
      <c r="BI199" s="1" t="n">
        <f aca="false">MAX($P199)</f>
        <v>6.08</v>
      </c>
      <c r="BJ199" s="1" t="n">
        <f aca="false">MAX($Q199)</f>
        <v>0</v>
      </c>
      <c r="BK199" s="1" t="n">
        <f aca="false">MAX($R199)</f>
        <v>452424</v>
      </c>
    </row>
    <row r="200" customFormat="false" ht="15" hidden="false" customHeight="false" outlineLevel="0" collapsed="false">
      <c r="A200" s="1" t="s">
        <v>217</v>
      </c>
      <c r="B200" s="1" t="n">
        <f aca="false" t="array" ref="B200:B200">_xlfn.SWITCH($A$2,"average", AVERAGE(Instances!B200:B200),"median", MEDIAN(Instances!B200:B200),"min", MIN(Instances!B200:B200),"max", MAX(Instances!B200:B200),"diff", MAX(Instances!B200:B200)-MIN(Instances!B200:B200))</f>
        <v>1269</v>
      </c>
      <c r="C200" s="1" t="n">
        <f aca="false" t="array" ref="C200:C200">_xlfn.SWITCH($A$2,"average", AVERAGE(Instances!C200:C200),"median", MEDIAN(Instances!C200:C200),"min", MIN(Instances!C200:C200),"max", MAX(Instances!C200:C200),"diff", MAX(Instances!C200:C200)-MIN(Instances!C200:C200))</f>
        <v>6</v>
      </c>
      <c r="D200" s="1" t="n">
        <f aca="false" t="array" ref="D200:D200">_xlfn.SWITCH($A$2,"average", AVERAGE(Instances!D200:D200),"median", MEDIAN(Instances!D200:D200),"min", MIN(Instances!D200:D200),"max", MAX(Instances!D200:D200),"diff", MAX(Instances!D200:D200)-MIN(Instances!D200:D200))</f>
        <v>327082</v>
      </c>
      <c r="E200" s="1" t="n">
        <f aca="false" t="array" ref="E200:E200">_xlfn.SWITCH($A$2,"average", AVERAGE(Instances!E200:E200),"median", MEDIAN(Instances!E200:E200),"min", MIN(Instances!E200:E200),"max", MAX(Instances!E200:E200),"diff", MAX(Instances!E200:E200)-MIN(Instances!E200:E200))</f>
        <v>0</v>
      </c>
      <c r="F200" s="1" t="n">
        <f aca="false" t="array" ref="F200:F200">_xlfn.SWITCH($A$2,"average", AVERAGE(Instances!F200:F200),"median", MEDIAN(Instances!F200:F200),"min", MIN(Instances!F200:F200),"max", MAX(Instances!F200:F200),"diff", MAX(Instances!F200:F200)-MIN(Instances!F200:F200))</f>
        <v>418</v>
      </c>
      <c r="G200" s="1" t="n">
        <f aca="false" t="array" ref="G200:G200">_xlfn.SWITCH($A$2,"average", AVERAGE(Instances!G200:G200),"median", MEDIAN(Instances!G200:G200),"min", MIN(Instances!G200:G200),"max", MAX(Instances!G200:G200),"diff", MAX(Instances!G200:G200)-MIN(Instances!G200:G200))</f>
        <v>0</v>
      </c>
      <c r="H200" s="1" t="n">
        <f aca="false" t="array" ref="H200:H200">_xlfn.SWITCH($A$2,"average", AVERAGE(Instances!H200:H200),"median", MEDIAN(Instances!H200:H200),"min", MIN(Instances!H200:H200),"max", MAX(Instances!H200:H200),"diff", MAX(Instances!H200:H200)-MIN(Instances!H200:H200))</f>
        <v>1</v>
      </c>
      <c r="I200" s="1" t="n">
        <f aca="false" t="array" ref="I200:I200">_xlfn.SWITCH($A$2,"average", AVERAGE(Instances!I200:I200),"median", MEDIAN(Instances!I200:I200),"min", MIN(Instances!I200:I200),"max", MAX(Instances!I200:I200),"diff", MAX(Instances!I200:I200)-MIN(Instances!I200:I200))</f>
        <v>5.905</v>
      </c>
      <c r="J200" s="1" t="n">
        <f aca="false" t="array" ref="J200:J200">_xlfn.SWITCH($A$2,"average", AVERAGE(Instances!J200:J200),"median", MEDIAN(Instances!J200:J200),"min", MIN(Instances!J200:J200),"max", MAX(Instances!J200:J200),"diff", MAX(Instances!J200:J200)-MIN(Instances!J200:J200))</f>
        <v>6.06</v>
      </c>
      <c r="K200" s="1" t="n">
        <f aca="false" t="array" ref="K200:K200">_xlfn.SWITCH($A$2,"average", AVERAGE(Instances!K200:K200),"median", MEDIAN(Instances!K200:K200),"min", MIN(Instances!K200:K200),"max", MAX(Instances!K200:K200),"diff", MAX(Instances!K200:K200)-MIN(Instances!K200:K200))</f>
        <v>0</v>
      </c>
      <c r="L200" s="1"/>
      <c r="M200" s="1" t="n">
        <f aca="false" t="array" ref="M200:M200">_xlfn.SWITCH($A$2,"average", AVERAGE(Instances!M200:M200),"median", MEDIAN(Instances!M200:M200),"min", MIN(Instances!M200:M200),"max", MAX(Instances!M200:M200),"diff", MAX(Instances!M200:M200)-MIN(Instances!M200:M200))</f>
        <v>1347042</v>
      </c>
      <c r="N200" s="1" t="n">
        <f aca="false" t="array" ref="N200:N200">_xlfn.SWITCH($A$2,"average", AVERAGE(Instances!N200:N200),"median", MEDIAN(Instances!N200:N200),"min", MIN(Instances!N200:N200),"max", MAX(Instances!N200:N200),"diff", MAX(Instances!N200:N200)-MIN(Instances!N200:N200))</f>
        <v>0.04</v>
      </c>
      <c r="O200" s="1"/>
      <c r="P200" s="1" t="n">
        <f aca="false" t="array" ref="P200:P200">_xlfn.SWITCH($A$2,"average", AVERAGE(Instances!P200:P200),"median", MEDIAN(Instances!P200:P200),"min", MIN(Instances!P200:P200),"max", MAX(Instances!P200:P200),"diff", MAX(Instances!P200:P200)-MIN(Instances!P200:P200))</f>
        <v>6.06</v>
      </c>
      <c r="Q200" s="1" t="n">
        <f aca="false" t="array" ref="Q200:Q200">_xlfn.SWITCH($A$2,"average", AVERAGE(Instances!Q200:Q200),"median", MEDIAN(Instances!Q200:Q200),"min", MIN(Instances!Q200:Q200),"max", MAX(Instances!Q200:Q200),"diff", MAX(Instances!Q200:Q200)-MIN(Instances!Q200:Q200))</f>
        <v>0</v>
      </c>
      <c r="R200" s="1" t="n">
        <f aca="false" t="array" ref="R200:R200">_xlfn.SWITCH($A$2,"average", AVERAGE(Instances!R200:R200),"median", MEDIAN(Instances!R200:R200),"min", MIN(Instances!R200:R200),"max", MAX(Instances!R200:R200),"diff", MAX(Instances!R200:R200)-MIN(Instances!R200:R200))</f>
        <v>412849</v>
      </c>
      <c r="S200" s="1" t="n">
        <f aca="false">MIN($B200)</f>
        <v>1269</v>
      </c>
      <c r="T200" s="1" t="n">
        <f aca="false">MIN($C200)</f>
        <v>6</v>
      </c>
      <c r="U200" s="1" t="n">
        <f aca="false">MIN($D200)</f>
        <v>327082</v>
      </c>
      <c r="V200" s="1" t="n">
        <f aca="false">MIN($E200)</f>
        <v>0</v>
      </c>
      <c r="W200" s="1" t="n">
        <f aca="false">MIN($F200)</f>
        <v>418</v>
      </c>
      <c r="X200" s="1" t="n">
        <f aca="false">MIN($G200)</f>
        <v>0</v>
      </c>
      <c r="Y200" s="1" t="n">
        <f aca="false">MIN($H200)</f>
        <v>1</v>
      </c>
      <c r="Z200" s="1" t="n">
        <f aca="false">MIN($I200)</f>
        <v>5.905</v>
      </c>
      <c r="AA200" s="1" t="n">
        <f aca="false">MIN($J200)</f>
        <v>6.06</v>
      </c>
      <c r="AB200" s="1" t="n">
        <f aca="false">MIN($K200)</f>
        <v>0</v>
      </c>
      <c r="AC200" s="1" t="n">
        <f aca="false">MIN($M200)</f>
        <v>1347042</v>
      </c>
      <c r="AD200" s="1" t="n">
        <f aca="false">MIN($N200)</f>
        <v>0.04</v>
      </c>
      <c r="AE200" s="1" t="n">
        <f aca="false">MIN($P200)</f>
        <v>6.06</v>
      </c>
      <c r="AF200" s="1" t="n">
        <f aca="false">MIN($Q200)</f>
        <v>0</v>
      </c>
      <c r="AG200" s="1" t="n">
        <f aca="false">MIN($R200)</f>
        <v>412849</v>
      </c>
      <c r="AH200" s="1" t="n">
        <f aca="false">MEDIAN($B200)</f>
        <v>1269</v>
      </c>
      <c r="AI200" s="1" t="n">
        <f aca="false">MEDIAN($C200)</f>
        <v>6</v>
      </c>
      <c r="AJ200" s="1" t="n">
        <f aca="false">MEDIAN($D200)</f>
        <v>327082</v>
      </c>
      <c r="AK200" s="1" t="n">
        <f aca="false">MEDIAN($E200)</f>
        <v>0</v>
      </c>
      <c r="AL200" s="1" t="n">
        <f aca="false">MEDIAN($F200)</f>
        <v>418</v>
      </c>
      <c r="AM200" s="1" t="n">
        <f aca="false">MEDIAN($G200)</f>
        <v>0</v>
      </c>
      <c r="AN200" s="1" t="n">
        <f aca="false">MEDIAN($H200)</f>
        <v>1</v>
      </c>
      <c r="AO200" s="1" t="n">
        <f aca="false">MEDIAN($I200)</f>
        <v>5.905</v>
      </c>
      <c r="AP200" s="1" t="n">
        <f aca="false">MEDIAN($J200)</f>
        <v>6.06</v>
      </c>
      <c r="AQ200" s="1" t="n">
        <f aca="false">MEDIAN($K200)</f>
        <v>0</v>
      </c>
      <c r="AR200" s="1" t="n">
        <f aca="false">MEDIAN($M200)</f>
        <v>1347042</v>
      </c>
      <c r="AS200" s="1" t="n">
        <f aca="false">MEDIAN($N200)</f>
        <v>0.04</v>
      </c>
      <c r="AT200" s="1" t="n">
        <f aca="false">MEDIAN($P200)</f>
        <v>6.06</v>
      </c>
      <c r="AU200" s="1" t="n">
        <f aca="false">MEDIAN($Q200)</f>
        <v>0</v>
      </c>
      <c r="AV200" s="1" t="n">
        <f aca="false">MEDIAN($R200)</f>
        <v>412849</v>
      </c>
      <c r="AW200" s="1" t="n">
        <f aca="false">MAX($B200)</f>
        <v>1269</v>
      </c>
      <c r="AX200" s="1" t="n">
        <f aca="false">MAX($C200)</f>
        <v>6</v>
      </c>
      <c r="AY200" s="1" t="n">
        <f aca="false">MAX($D200)</f>
        <v>327082</v>
      </c>
      <c r="AZ200" s="1" t="n">
        <f aca="false">MAX($E200)</f>
        <v>0</v>
      </c>
      <c r="BA200" s="1" t="n">
        <f aca="false">MAX($F200)</f>
        <v>418</v>
      </c>
      <c r="BB200" s="1" t="n">
        <f aca="false">MAX($G200)</f>
        <v>0</v>
      </c>
      <c r="BC200" s="1" t="n">
        <f aca="false">MAX($H200)</f>
        <v>1</v>
      </c>
      <c r="BD200" s="1" t="n">
        <f aca="false">MAX($I200)</f>
        <v>5.905</v>
      </c>
      <c r="BE200" s="1" t="n">
        <f aca="false">MAX($J200)</f>
        <v>6.06</v>
      </c>
      <c r="BF200" s="1" t="n">
        <f aca="false">MAX($K200)</f>
        <v>0</v>
      </c>
      <c r="BG200" s="1" t="n">
        <f aca="false">MAX($M200)</f>
        <v>1347042</v>
      </c>
      <c r="BH200" s="1" t="n">
        <f aca="false">MAX($N200)</f>
        <v>0.04</v>
      </c>
      <c r="BI200" s="1" t="n">
        <f aca="false">MAX($P200)</f>
        <v>6.06</v>
      </c>
      <c r="BJ200" s="1" t="n">
        <f aca="false">MAX($Q200)</f>
        <v>0</v>
      </c>
      <c r="BK200" s="1" t="n">
        <f aca="false">MAX($R200)</f>
        <v>412849</v>
      </c>
    </row>
    <row r="201" customFormat="false" ht="15" hidden="false" customHeight="false" outlineLevel="0" collapsed="false">
      <c r="A201" s="1" t="s">
        <v>218</v>
      </c>
      <c r="B201" s="1" t="n">
        <f aca="false" t="array" ref="B201:B201">_xlfn.SWITCH($A$2,"average", AVERAGE(Instances!B201:B201),"median", MEDIAN(Instances!B201:B201),"min", MIN(Instances!B201:B201),"max", MAX(Instances!B201:B201),"diff", MAX(Instances!B201:B201)-MIN(Instances!B201:B201))</f>
        <v>1548</v>
      </c>
      <c r="C201" s="1" t="n">
        <f aca="false" t="array" ref="C201:C201">_xlfn.SWITCH($A$2,"average", AVERAGE(Instances!C201:C201),"median", MEDIAN(Instances!C201:C201),"min", MIN(Instances!C201:C201),"max", MAX(Instances!C201:C201),"diff", MAX(Instances!C201:C201)-MIN(Instances!C201:C201))</f>
        <v>3</v>
      </c>
      <c r="D201" s="1" t="n">
        <f aca="false" t="array" ref="D201:D201">_xlfn.SWITCH($A$2,"average", AVERAGE(Instances!D201:D201),"median", MEDIAN(Instances!D201:D201),"min", MIN(Instances!D201:D201),"max", MAX(Instances!D201:D201),"diff", MAX(Instances!D201:D201)-MIN(Instances!D201:D201))</f>
        <v>306703</v>
      </c>
      <c r="E201" s="1" t="n">
        <f aca="false" t="array" ref="E201:E201">_xlfn.SWITCH($A$2,"average", AVERAGE(Instances!E201:E201),"median", MEDIAN(Instances!E201:E201),"min", MIN(Instances!E201:E201),"max", MAX(Instances!E201:E201),"diff", MAX(Instances!E201:E201)-MIN(Instances!E201:E201))</f>
        <v>0</v>
      </c>
      <c r="F201" s="1" t="n">
        <f aca="false" t="array" ref="F201:F201">_xlfn.SWITCH($A$2,"average", AVERAGE(Instances!F201:F201),"median", MEDIAN(Instances!F201:F201),"min", MIN(Instances!F201:F201),"max", MAX(Instances!F201:F201),"diff", MAX(Instances!F201:F201)-MIN(Instances!F201:F201))</f>
        <v>368</v>
      </c>
      <c r="G201" s="1" t="n">
        <f aca="false" t="array" ref="G201:G201">_xlfn.SWITCH($A$2,"average", AVERAGE(Instances!G201:G201),"median", MEDIAN(Instances!G201:G201),"min", MIN(Instances!G201:G201),"max", MAX(Instances!G201:G201),"diff", MAX(Instances!G201:G201)-MIN(Instances!G201:G201))</f>
        <v>0</v>
      </c>
      <c r="H201" s="1" t="n">
        <f aca="false" t="array" ref="H201:H201">_xlfn.SWITCH($A$2,"average", AVERAGE(Instances!H201:H201),"median", MEDIAN(Instances!H201:H201),"min", MIN(Instances!H201:H201),"max", MAX(Instances!H201:H201),"diff", MAX(Instances!H201:H201)-MIN(Instances!H201:H201))</f>
        <v>1</v>
      </c>
      <c r="I201" s="1" t="n">
        <f aca="false" t="array" ref="I201:I201">_xlfn.SWITCH($A$2,"average", AVERAGE(Instances!I201:I201),"median", MEDIAN(Instances!I201:I201),"min", MIN(Instances!I201:I201),"max", MAX(Instances!I201:I201),"diff", MAX(Instances!I201:I201)-MIN(Instances!I201:I201))</f>
        <v>5.213</v>
      </c>
      <c r="J201" s="1" t="n">
        <f aca="false" t="array" ref="J201:J201">_xlfn.SWITCH($A$2,"average", AVERAGE(Instances!J201:J201),"median", MEDIAN(Instances!J201:J201),"min", MIN(Instances!J201:J201),"max", MAX(Instances!J201:J201),"diff", MAX(Instances!J201:J201)-MIN(Instances!J201:J201))</f>
        <v>5.34</v>
      </c>
      <c r="K201" s="1" t="n">
        <f aca="false" t="array" ref="K201:K201">_xlfn.SWITCH($A$2,"average", AVERAGE(Instances!K201:K201),"median", MEDIAN(Instances!K201:K201),"min", MIN(Instances!K201:K201),"max", MAX(Instances!K201:K201),"diff", MAX(Instances!K201:K201)-MIN(Instances!K201:K201))</f>
        <v>0</v>
      </c>
      <c r="L201" s="1"/>
      <c r="M201" s="1" t="n">
        <f aca="false" t="array" ref="M201:M201">_xlfn.SWITCH($A$2,"average", AVERAGE(Instances!M201:M201),"median", MEDIAN(Instances!M201:M201),"min", MIN(Instances!M201:M201),"max", MAX(Instances!M201:M201),"diff", MAX(Instances!M201:M201)-MIN(Instances!M201:M201))</f>
        <v>1199412</v>
      </c>
      <c r="N201" s="1" t="n">
        <f aca="false" t="array" ref="N201:N201">_xlfn.SWITCH($A$2,"average", AVERAGE(Instances!N201:N201),"median", MEDIAN(Instances!N201:N201),"min", MIN(Instances!N201:N201),"max", MAX(Instances!N201:N201),"diff", MAX(Instances!N201:N201)-MIN(Instances!N201:N201))</f>
        <v>0.04</v>
      </c>
      <c r="O201" s="1"/>
      <c r="P201" s="1" t="n">
        <f aca="false" t="array" ref="P201:P201">_xlfn.SWITCH($A$2,"average", AVERAGE(Instances!P201:P201),"median", MEDIAN(Instances!P201:P201),"min", MIN(Instances!P201:P201),"max", MAX(Instances!P201:P201),"diff", MAX(Instances!P201:P201)-MIN(Instances!P201:P201))</f>
        <v>5.34</v>
      </c>
      <c r="Q201" s="1" t="n">
        <f aca="false" t="array" ref="Q201:Q201">_xlfn.SWITCH($A$2,"average", AVERAGE(Instances!Q201:Q201),"median", MEDIAN(Instances!Q201:Q201),"min", MIN(Instances!Q201:Q201),"max", MAX(Instances!Q201:Q201),"diff", MAX(Instances!Q201:Q201)-MIN(Instances!Q201:Q201))</f>
        <v>0</v>
      </c>
      <c r="R201" s="1" t="n">
        <f aca="false" t="array" ref="R201:R201">_xlfn.SWITCH($A$2,"average", AVERAGE(Instances!R201:R201),"median", MEDIAN(Instances!R201:R201),"min", MIN(Instances!R201:R201),"max", MAX(Instances!R201:R201),"diff", MAX(Instances!R201:R201)-MIN(Instances!R201:R201))</f>
        <v>371797</v>
      </c>
      <c r="S201" s="1" t="n">
        <f aca="false">MIN($B201)</f>
        <v>1548</v>
      </c>
      <c r="T201" s="1" t="n">
        <f aca="false">MIN($C201)</f>
        <v>3</v>
      </c>
      <c r="U201" s="1" t="n">
        <f aca="false">MIN($D201)</f>
        <v>306703</v>
      </c>
      <c r="V201" s="1" t="n">
        <f aca="false">MIN($E201)</f>
        <v>0</v>
      </c>
      <c r="W201" s="1" t="n">
        <f aca="false">MIN($F201)</f>
        <v>368</v>
      </c>
      <c r="X201" s="1" t="n">
        <f aca="false">MIN($G201)</f>
        <v>0</v>
      </c>
      <c r="Y201" s="1" t="n">
        <f aca="false">MIN($H201)</f>
        <v>1</v>
      </c>
      <c r="Z201" s="1" t="n">
        <f aca="false">MIN($I201)</f>
        <v>5.213</v>
      </c>
      <c r="AA201" s="1" t="n">
        <f aca="false">MIN($J201)</f>
        <v>5.34</v>
      </c>
      <c r="AB201" s="1" t="n">
        <f aca="false">MIN($K201)</f>
        <v>0</v>
      </c>
      <c r="AC201" s="1" t="n">
        <f aca="false">MIN($M201)</f>
        <v>1199412</v>
      </c>
      <c r="AD201" s="1" t="n">
        <f aca="false">MIN($N201)</f>
        <v>0.04</v>
      </c>
      <c r="AE201" s="1" t="n">
        <f aca="false">MIN($P201)</f>
        <v>5.34</v>
      </c>
      <c r="AF201" s="1" t="n">
        <f aca="false">MIN($Q201)</f>
        <v>0</v>
      </c>
      <c r="AG201" s="1" t="n">
        <f aca="false">MIN($R201)</f>
        <v>371797</v>
      </c>
      <c r="AH201" s="1" t="n">
        <f aca="false">MEDIAN($B201)</f>
        <v>1548</v>
      </c>
      <c r="AI201" s="1" t="n">
        <f aca="false">MEDIAN($C201)</f>
        <v>3</v>
      </c>
      <c r="AJ201" s="1" t="n">
        <f aca="false">MEDIAN($D201)</f>
        <v>306703</v>
      </c>
      <c r="AK201" s="1" t="n">
        <f aca="false">MEDIAN($E201)</f>
        <v>0</v>
      </c>
      <c r="AL201" s="1" t="n">
        <f aca="false">MEDIAN($F201)</f>
        <v>368</v>
      </c>
      <c r="AM201" s="1" t="n">
        <f aca="false">MEDIAN($G201)</f>
        <v>0</v>
      </c>
      <c r="AN201" s="1" t="n">
        <f aca="false">MEDIAN($H201)</f>
        <v>1</v>
      </c>
      <c r="AO201" s="1" t="n">
        <f aca="false">MEDIAN($I201)</f>
        <v>5.213</v>
      </c>
      <c r="AP201" s="1" t="n">
        <f aca="false">MEDIAN($J201)</f>
        <v>5.34</v>
      </c>
      <c r="AQ201" s="1" t="n">
        <f aca="false">MEDIAN($K201)</f>
        <v>0</v>
      </c>
      <c r="AR201" s="1" t="n">
        <f aca="false">MEDIAN($M201)</f>
        <v>1199412</v>
      </c>
      <c r="AS201" s="1" t="n">
        <f aca="false">MEDIAN($N201)</f>
        <v>0.04</v>
      </c>
      <c r="AT201" s="1" t="n">
        <f aca="false">MEDIAN($P201)</f>
        <v>5.34</v>
      </c>
      <c r="AU201" s="1" t="n">
        <f aca="false">MEDIAN($Q201)</f>
        <v>0</v>
      </c>
      <c r="AV201" s="1" t="n">
        <f aca="false">MEDIAN($R201)</f>
        <v>371797</v>
      </c>
      <c r="AW201" s="1" t="n">
        <f aca="false">MAX($B201)</f>
        <v>1548</v>
      </c>
      <c r="AX201" s="1" t="n">
        <f aca="false">MAX($C201)</f>
        <v>3</v>
      </c>
      <c r="AY201" s="1" t="n">
        <f aca="false">MAX($D201)</f>
        <v>306703</v>
      </c>
      <c r="AZ201" s="1" t="n">
        <f aca="false">MAX($E201)</f>
        <v>0</v>
      </c>
      <c r="BA201" s="1" t="n">
        <f aca="false">MAX($F201)</f>
        <v>368</v>
      </c>
      <c r="BB201" s="1" t="n">
        <f aca="false">MAX($G201)</f>
        <v>0</v>
      </c>
      <c r="BC201" s="1" t="n">
        <f aca="false">MAX($H201)</f>
        <v>1</v>
      </c>
      <c r="BD201" s="1" t="n">
        <f aca="false">MAX($I201)</f>
        <v>5.213</v>
      </c>
      <c r="BE201" s="1" t="n">
        <f aca="false">MAX($J201)</f>
        <v>5.34</v>
      </c>
      <c r="BF201" s="1" t="n">
        <f aca="false">MAX($K201)</f>
        <v>0</v>
      </c>
      <c r="BG201" s="1" t="n">
        <f aca="false">MAX($M201)</f>
        <v>1199412</v>
      </c>
      <c r="BH201" s="1" t="n">
        <f aca="false">MAX($N201)</f>
        <v>0.04</v>
      </c>
      <c r="BI201" s="1" t="n">
        <f aca="false">MAX($P201)</f>
        <v>5.34</v>
      </c>
      <c r="BJ201" s="1" t="n">
        <f aca="false">MAX($Q201)</f>
        <v>0</v>
      </c>
      <c r="BK201" s="1" t="n">
        <f aca="false">MAX($R201)</f>
        <v>371797</v>
      </c>
    </row>
    <row r="202" customFormat="false" ht="15" hidden="false" customHeight="false" outlineLevel="0" collapsed="false">
      <c r="A202" s="1" t="s">
        <v>219</v>
      </c>
      <c r="B202" s="1" t="n">
        <f aca="false" t="array" ref="B202:B202">_xlfn.SWITCH($A$2,"average", AVERAGE(Instances!B202:B202),"median", MEDIAN(Instances!B202:B202),"min", MIN(Instances!B202:B202),"max", MAX(Instances!B202:B202),"diff", MAX(Instances!B202:B202)-MIN(Instances!B202:B202))</f>
        <v>33228</v>
      </c>
      <c r="C202" s="1" t="n">
        <f aca="false" t="array" ref="C202:C202">_xlfn.SWITCH($A$2,"average", AVERAGE(Instances!C202:C202),"median", MEDIAN(Instances!C202:C202),"min", MIN(Instances!C202:C202),"max", MAX(Instances!C202:C202),"diff", MAX(Instances!C202:C202)-MIN(Instances!C202:C202))</f>
        <v>3816</v>
      </c>
      <c r="D202" s="1" t="n">
        <f aca="false" t="array" ref="D202:D202">_xlfn.SWITCH($A$2,"average", AVERAGE(Instances!D202:D202),"median", MEDIAN(Instances!D202:D202),"min", MIN(Instances!D202:D202),"max", MAX(Instances!D202:D202),"diff", MAX(Instances!D202:D202)-MIN(Instances!D202:D202))</f>
        <v>417930</v>
      </c>
      <c r="E202" s="1" t="n">
        <f aca="false" t="array" ref="E202:E202">_xlfn.SWITCH($A$2,"average", AVERAGE(Instances!E202:E202),"median", MEDIAN(Instances!E202:E202),"min", MIN(Instances!E202:E202),"max", MAX(Instances!E202:E202),"diff", MAX(Instances!E202:E202)-MIN(Instances!E202:E202))</f>
        <v>0</v>
      </c>
      <c r="F202" s="1" t="n">
        <f aca="false" t="array" ref="F202:F202">_xlfn.SWITCH($A$2,"average", AVERAGE(Instances!F202:F202),"median", MEDIAN(Instances!F202:F202),"min", MIN(Instances!F202:F202),"max", MAX(Instances!F202:F202),"diff", MAX(Instances!F202:F202)-MIN(Instances!F202:F202))</f>
        <v>445</v>
      </c>
      <c r="G202" s="1" t="n">
        <f aca="false" t="array" ref="G202:G202">_xlfn.SWITCH($A$2,"average", AVERAGE(Instances!G202:G202),"median", MEDIAN(Instances!G202:G202),"min", MIN(Instances!G202:G202),"max", MAX(Instances!G202:G202),"diff", MAX(Instances!G202:G202)-MIN(Instances!G202:G202))</f>
        <v>0</v>
      </c>
      <c r="H202" s="1" t="n">
        <f aca="false" t="array" ref="H202:H202">_xlfn.SWITCH($A$2,"average", AVERAGE(Instances!H202:H202),"median", MEDIAN(Instances!H202:H202),"min", MIN(Instances!H202:H202),"max", MAX(Instances!H202:H202),"diff", MAX(Instances!H202:H202)-MIN(Instances!H202:H202))</f>
        <v>1</v>
      </c>
      <c r="I202" s="1" t="n">
        <f aca="false" t="array" ref="I202:I202">_xlfn.SWITCH($A$2,"average", AVERAGE(Instances!I202:I202),"median", MEDIAN(Instances!I202:I202),"min", MIN(Instances!I202:I202),"max", MAX(Instances!I202:I202),"diff", MAX(Instances!I202:I202)-MIN(Instances!I202:I202))</f>
        <v>8.251</v>
      </c>
      <c r="J202" s="1" t="n">
        <f aca="false" t="array" ref="J202:J202">_xlfn.SWITCH($A$2,"average", AVERAGE(Instances!J202:J202),"median", MEDIAN(Instances!J202:J202),"min", MIN(Instances!J202:J202),"max", MAX(Instances!J202:J202),"diff", MAX(Instances!J202:J202)-MIN(Instances!J202:J202))</f>
        <v>8.42</v>
      </c>
      <c r="K202" s="1" t="n">
        <f aca="false" t="array" ref="K202:K202">_xlfn.SWITCH($A$2,"average", AVERAGE(Instances!K202:K202),"median", MEDIAN(Instances!K202:K202),"min", MIN(Instances!K202:K202),"max", MAX(Instances!K202:K202),"diff", MAX(Instances!K202:K202)-MIN(Instances!K202:K202))</f>
        <v>19</v>
      </c>
      <c r="L202" s="1"/>
      <c r="M202" s="1" t="n">
        <f aca="false" t="array" ref="M202:M202">_xlfn.SWITCH($A$2,"average", AVERAGE(Instances!M202:M202),"median", MEDIAN(Instances!M202:M202),"min", MIN(Instances!M202:M202),"max", MAX(Instances!M202:M202),"diff", MAX(Instances!M202:M202)-MIN(Instances!M202:M202))</f>
        <v>1477816</v>
      </c>
      <c r="N202" s="1" t="n">
        <f aca="false" t="array" ref="N202:N202">_xlfn.SWITCH($A$2,"average", AVERAGE(Instances!N202:N202),"median", MEDIAN(Instances!N202:N202),"min", MIN(Instances!N202:N202),"max", MAX(Instances!N202:N202),"diff", MAX(Instances!N202:N202)-MIN(Instances!N202:N202))</f>
        <v>1.93</v>
      </c>
      <c r="O202" s="1"/>
      <c r="P202" s="1" t="n">
        <f aca="false" t="array" ref="P202:P202">_xlfn.SWITCH($A$2,"average", AVERAGE(Instances!P202:P202),"median", MEDIAN(Instances!P202:P202),"min", MIN(Instances!P202:P202),"max", MAX(Instances!P202:P202),"diff", MAX(Instances!P202:P202)-MIN(Instances!P202:P202))</f>
        <v>8.42</v>
      </c>
      <c r="Q202" s="1" t="n">
        <f aca="false" t="array" ref="Q202:Q202">_xlfn.SWITCH($A$2,"average", AVERAGE(Instances!Q202:Q202),"median", MEDIAN(Instances!Q202:Q202),"min", MIN(Instances!Q202:Q202),"max", MAX(Instances!Q202:Q202),"diff", MAX(Instances!Q202:Q202)-MIN(Instances!Q202:Q202))</f>
        <v>0</v>
      </c>
      <c r="R202" s="1" t="n">
        <f aca="false" t="array" ref="R202:R202">_xlfn.SWITCH($A$2,"average", AVERAGE(Instances!R202:R202),"median", MEDIAN(Instances!R202:R202),"min", MIN(Instances!R202:R202),"max", MAX(Instances!R202:R202),"diff", MAX(Instances!R202:R202)-MIN(Instances!R202:R202))</f>
        <v>444029</v>
      </c>
      <c r="S202" s="1" t="n">
        <f aca="false">MIN($B202)</f>
        <v>33228</v>
      </c>
      <c r="T202" s="1" t="n">
        <f aca="false">MIN($C202)</f>
        <v>3816</v>
      </c>
      <c r="U202" s="1" t="n">
        <f aca="false">MIN($D202)</f>
        <v>417930</v>
      </c>
      <c r="V202" s="1" t="n">
        <f aca="false">MIN($E202)</f>
        <v>0</v>
      </c>
      <c r="W202" s="1" t="n">
        <f aca="false">MIN($F202)</f>
        <v>445</v>
      </c>
      <c r="X202" s="1" t="n">
        <f aca="false">MIN($G202)</f>
        <v>0</v>
      </c>
      <c r="Y202" s="1" t="n">
        <f aca="false">MIN($H202)</f>
        <v>1</v>
      </c>
      <c r="Z202" s="1" t="n">
        <f aca="false">MIN($I202)</f>
        <v>8.251</v>
      </c>
      <c r="AA202" s="1" t="n">
        <f aca="false">MIN($J202)</f>
        <v>8.42</v>
      </c>
      <c r="AB202" s="1" t="n">
        <f aca="false">MIN($K202)</f>
        <v>19</v>
      </c>
      <c r="AC202" s="1" t="n">
        <f aca="false">MIN($M202)</f>
        <v>1477816</v>
      </c>
      <c r="AD202" s="1" t="n">
        <f aca="false">MIN($N202)</f>
        <v>1.93</v>
      </c>
      <c r="AE202" s="1" t="n">
        <f aca="false">MIN($P202)</f>
        <v>8.42</v>
      </c>
      <c r="AF202" s="1" t="n">
        <f aca="false">MIN($Q202)</f>
        <v>0</v>
      </c>
      <c r="AG202" s="1" t="n">
        <f aca="false">MIN($R202)</f>
        <v>444029</v>
      </c>
      <c r="AH202" s="1" t="n">
        <f aca="false">MEDIAN($B202)</f>
        <v>33228</v>
      </c>
      <c r="AI202" s="1" t="n">
        <f aca="false">MEDIAN($C202)</f>
        <v>3816</v>
      </c>
      <c r="AJ202" s="1" t="n">
        <f aca="false">MEDIAN($D202)</f>
        <v>417930</v>
      </c>
      <c r="AK202" s="1" t="n">
        <f aca="false">MEDIAN($E202)</f>
        <v>0</v>
      </c>
      <c r="AL202" s="1" t="n">
        <f aca="false">MEDIAN($F202)</f>
        <v>445</v>
      </c>
      <c r="AM202" s="1" t="n">
        <f aca="false">MEDIAN($G202)</f>
        <v>0</v>
      </c>
      <c r="AN202" s="1" t="n">
        <f aca="false">MEDIAN($H202)</f>
        <v>1</v>
      </c>
      <c r="AO202" s="1" t="n">
        <f aca="false">MEDIAN($I202)</f>
        <v>8.251</v>
      </c>
      <c r="AP202" s="1" t="n">
        <f aca="false">MEDIAN($J202)</f>
        <v>8.42</v>
      </c>
      <c r="AQ202" s="1" t="n">
        <f aca="false">MEDIAN($K202)</f>
        <v>19</v>
      </c>
      <c r="AR202" s="1" t="n">
        <f aca="false">MEDIAN($M202)</f>
        <v>1477816</v>
      </c>
      <c r="AS202" s="1" t="n">
        <f aca="false">MEDIAN($N202)</f>
        <v>1.93</v>
      </c>
      <c r="AT202" s="1" t="n">
        <f aca="false">MEDIAN($P202)</f>
        <v>8.42</v>
      </c>
      <c r="AU202" s="1" t="n">
        <f aca="false">MEDIAN($Q202)</f>
        <v>0</v>
      </c>
      <c r="AV202" s="1" t="n">
        <f aca="false">MEDIAN($R202)</f>
        <v>444029</v>
      </c>
      <c r="AW202" s="1" t="n">
        <f aca="false">MAX($B202)</f>
        <v>33228</v>
      </c>
      <c r="AX202" s="1" t="n">
        <f aca="false">MAX($C202)</f>
        <v>3816</v>
      </c>
      <c r="AY202" s="1" t="n">
        <f aca="false">MAX($D202)</f>
        <v>417930</v>
      </c>
      <c r="AZ202" s="1" t="n">
        <f aca="false">MAX($E202)</f>
        <v>0</v>
      </c>
      <c r="BA202" s="1" t="n">
        <f aca="false">MAX($F202)</f>
        <v>445</v>
      </c>
      <c r="BB202" s="1" t="n">
        <f aca="false">MAX($G202)</f>
        <v>0</v>
      </c>
      <c r="BC202" s="1" t="n">
        <f aca="false">MAX($H202)</f>
        <v>1</v>
      </c>
      <c r="BD202" s="1" t="n">
        <f aca="false">MAX($I202)</f>
        <v>8.251</v>
      </c>
      <c r="BE202" s="1" t="n">
        <f aca="false">MAX($J202)</f>
        <v>8.42</v>
      </c>
      <c r="BF202" s="1" t="n">
        <f aca="false">MAX($K202)</f>
        <v>19</v>
      </c>
      <c r="BG202" s="1" t="n">
        <f aca="false">MAX($M202)</f>
        <v>1477816</v>
      </c>
      <c r="BH202" s="1" t="n">
        <f aca="false">MAX($N202)</f>
        <v>1.93</v>
      </c>
      <c r="BI202" s="1" t="n">
        <f aca="false">MAX($P202)</f>
        <v>8.42</v>
      </c>
      <c r="BJ202" s="1" t="n">
        <f aca="false">MAX($Q202)</f>
        <v>0</v>
      </c>
      <c r="BK202" s="1" t="n">
        <f aca="false">MAX($R202)</f>
        <v>444029</v>
      </c>
    </row>
    <row r="203" customFormat="false" ht="15" hidden="false" customHeight="false" outlineLevel="0" collapsed="false">
      <c r="A203" s="1" t="s">
        <v>220</v>
      </c>
      <c r="B203" s="1" t="n">
        <f aca="false" t="array" ref="B203:B203">_xlfn.SWITCH($A$2,"average", AVERAGE(Instances!B203:B203),"median", MEDIAN(Instances!B203:B203),"min", MIN(Instances!B203:B203),"max", MAX(Instances!B203:B203),"diff", MAX(Instances!B203:B203)-MIN(Instances!B203:B203))</f>
        <v>1656</v>
      </c>
      <c r="C203" s="1" t="n">
        <f aca="false" t="array" ref="C203:C203">_xlfn.SWITCH($A$2,"average", AVERAGE(Instances!C203:C203),"median", MEDIAN(Instances!C203:C203),"min", MIN(Instances!C203:C203),"max", MAX(Instances!C203:C203),"diff", MAX(Instances!C203:C203)-MIN(Instances!C203:C203))</f>
        <v>8</v>
      </c>
      <c r="D203" s="1" t="n">
        <f aca="false" t="array" ref="D203:D203">_xlfn.SWITCH($A$2,"average", AVERAGE(Instances!D203:D203),"median", MEDIAN(Instances!D203:D203),"min", MIN(Instances!D203:D203),"max", MAX(Instances!D203:D203),"diff", MAX(Instances!D203:D203)-MIN(Instances!D203:D203))</f>
        <v>400746</v>
      </c>
      <c r="E203" s="1" t="n">
        <f aca="false" t="array" ref="E203:E203">_xlfn.SWITCH($A$2,"average", AVERAGE(Instances!E203:E203),"median", MEDIAN(Instances!E203:E203),"min", MIN(Instances!E203:E203),"max", MAX(Instances!E203:E203),"diff", MAX(Instances!E203:E203)-MIN(Instances!E203:E203))</f>
        <v>0</v>
      </c>
      <c r="F203" s="1" t="n">
        <f aca="false" t="array" ref="F203:F203">_xlfn.SWITCH($A$2,"average", AVERAGE(Instances!F203:F203),"median", MEDIAN(Instances!F203:F203),"min", MIN(Instances!F203:F203),"max", MAX(Instances!F203:F203),"diff", MAX(Instances!F203:F203)-MIN(Instances!F203:F203))</f>
        <v>408</v>
      </c>
      <c r="G203" s="1" t="n">
        <f aca="false" t="array" ref="G203:G203">_xlfn.SWITCH($A$2,"average", AVERAGE(Instances!G203:G203),"median", MEDIAN(Instances!G203:G203),"min", MIN(Instances!G203:G203),"max", MAX(Instances!G203:G203),"diff", MAX(Instances!G203:G203)-MIN(Instances!G203:G203))</f>
        <v>0</v>
      </c>
      <c r="H203" s="1" t="n">
        <f aca="false" t="array" ref="H203:H203">_xlfn.SWITCH($A$2,"average", AVERAGE(Instances!H203:H203),"median", MEDIAN(Instances!H203:H203),"min", MIN(Instances!H203:H203),"max", MAX(Instances!H203:H203),"diff", MAX(Instances!H203:H203)-MIN(Instances!H203:H203))</f>
        <v>1</v>
      </c>
      <c r="I203" s="1" t="n">
        <f aca="false" t="array" ref="I203:I203">_xlfn.SWITCH($A$2,"average", AVERAGE(Instances!I203:I203),"median", MEDIAN(Instances!I203:I203),"min", MIN(Instances!I203:I203),"max", MAX(Instances!I203:I203),"diff", MAX(Instances!I203:I203)-MIN(Instances!I203:I203))</f>
        <v>5.773</v>
      </c>
      <c r="J203" s="1" t="n">
        <f aca="false" t="array" ref="J203:J203">_xlfn.SWITCH($A$2,"average", AVERAGE(Instances!J203:J203),"median", MEDIAN(Instances!J203:J203),"min", MIN(Instances!J203:J203),"max", MAX(Instances!J203:J203),"diff", MAX(Instances!J203:J203)-MIN(Instances!J203:J203))</f>
        <v>5.92</v>
      </c>
      <c r="K203" s="1" t="n">
        <f aca="false" t="array" ref="K203:K203">_xlfn.SWITCH($A$2,"average", AVERAGE(Instances!K203:K203),"median", MEDIAN(Instances!K203:K203),"min", MIN(Instances!K203:K203),"max", MAX(Instances!K203:K203),"diff", MAX(Instances!K203:K203)-MIN(Instances!K203:K203))</f>
        <v>0</v>
      </c>
      <c r="L203" s="1"/>
      <c r="M203" s="1" t="n">
        <f aca="false" t="array" ref="M203:M203">_xlfn.SWITCH($A$2,"average", AVERAGE(Instances!M203:M203),"median", MEDIAN(Instances!M203:M203),"min", MIN(Instances!M203:M203),"max", MAX(Instances!M203:M203),"diff", MAX(Instances!M203:M203)-MIN(Instances!M203:M203))</f>
        <v>1310328</v>
      </c>
      <c r="N203" s="1" t="n">
        <f aca="false" t="array" ref="N203:N203">_xlfn.SWITCH($A$2,"average", AVERAGE(Instances!N203:N203),"median", MEDIAN(Instances!N203:N203),"min", MIN(Instances!N203:N203),"max", MAX(Instances!N203:N203),"diff", MAX(Instances!N203:N203)-MIN(Instances!N203:N203))</f>
        <v>0.04</v>
      </c>
      <c r="O203" s="1"/>
      <c r="P203" s="1" t="n">
        <f aca="false" t="array" ref="P203:P203">_xlfn.SWITCH($A$2,"average", AVERAGE(Instances!P203:P203),"median", MEDIAN(Instances!P203:P203),"min", MIN(Instances!P203:P203),"max", MAX(Instances!P203:P203),"diff", MAX(Instances!P203:P203)-MIN(Instances!P203:P203))</f>
        <v>5.92</v>
      </c>
      <c r="Q203" s="1" t="n">
        <f aca="false" t="array" ref="Q203:Q203">_xlfn.SWITCH($A$2,"average", AVERAGE(Instances!Q203:Q203),"median", MEDIAN(Instances!Q203:Q203),"min", MIN(Instances!Q203:Q203),"max", MAX(Instances!Q203:Q203),"diff", MAX(Instances!Q203:Q203)-MIN(Instances!Q203:Q203))</f>
        <v>0</v>
      </c>
      <c r="R203" s="1" t="n">
        <f aca="false" t="array" ref="R203:R203">_xlfn.SWITCH($A$2,"average", AVERAGE(Instances!R203:R203),"median", MEDIAN(Instances!R203:R203),"min", MIN(Instances!R203:R203),"max", MAX(Instances!R203:R203),"diff", MAX(Instances!R203:R203)-MIN(Instances!R203:R203))</f>
        <v>401555</v>
      </c>
      <c r="S203" s="1" t="n">
        <f aca="false">MIN($B203)</f>
        <v>1656</v>
      </c>
      <c r="T203" s="1" t="n">
        <f aca="false">MIN($C203)</f>
        <v>8</v>
      </c>
      <c r="U203" s="1" t="n">
        <f aca="false">MIN($D203)</f>
        <v>400746</v>
      </c>
      <c r="V203" s="1" t="n">
        <f aca="false">MIN($E203)</f>
        <v>0</v>
      </c>
      <c r="W203" s="1" t="n">
        <f aca="false">MIN($F203)</f>
        <v>408</v>
      </c>
      <c r="X203" s="1" t="n">
        <f aca="false">MIN($G203)</f>
        <v>0</v>
      </c>
      <c r="Y203" s="1" t="n">
        <f aca="false">MIN($H203)</f>
        <v>1</v>
      </c>
      <c r="Z203" s="1" t="n">
        <f aca="false">MIN($I203)</f>
        <v>5.773</v>
      </c>
      <c r="AA203" s="1" t="n">
        <f aca="false">MIN($J203)</f>
        <v>5.92</v>
      </c>
      <c r="AB203" s="1" t="n">
        <f aca="false">MIN($K203)</f>
        <v>0</v>
      </c>
      <c r="AC203" s="1" t="n">
        <f aca="false">MIN($M203)</f>
        <v>1310328</v>
      </c>
      <c r="AD203" s="1" t="n">
        <f aca="false">MIN($N203)</f>
        <v>0.04</v>
      </c>
      <c r="AE203" s="1" t="n">
        <f aca="false">MIN($P203)</f>
        <v>5.92</v>
      </c>
      <c r="AF203" s="1" t="n">
        <f aca="false">MIN($Q203)</f>
        <v>0</v>
      </c>
      <c r="AG203" s="1" t="n">
        <f aca="false">MIN($R203)</f>
        <v>401555</v>
      </c>
      <c r="AH203" s="1" t="n">
        <f aca="false">MEDIAN($B203)</f>
        <v>1656</v>
      </c>
      <c r="AI203" s="1" t="n">
        <f aca="false">MEDIAN($C203)</f>
        <v>8</v>
      </c>
      <c r="AJ203" s="1" t="n">
        <f aca="false">MEDIAN($D203)</f>
        <v>400746</v>
      </c>
      <c r="AK203" s="1" t="n">
        <f aca="false">MEDIAN($E203)</f>
        <v>0</v>
      </c>
      <c r="AL203" s="1" t="n">
        <f aca="false">MEDIAN($F203)</f>
        <v>408</v>
      </c>
      <c r="AM203" s="1" t="n">
        <f aca="false">MEDIAN($G203)</f>
        <v>0</v>
      </c>
      <c r="AN203" s="1" t="n">
        <f aca="false">MEDIAN($H203)</f>
        <v>1</v>
      </c>
      <c r="AO203" s="1" t="n">
        <f aca="false">MEDIAN($I203)</f>
        <v>5.773</v>
      </c>
      <c r="AP203" s="1" t="n">
        <f aca="false">MEDIAN($J203)</f>
        <v>5.92</v>
      </c>
      <c r="AQ203" s="1" t="n">
        <f aca="false">MEDIAN($K203)</f>
        <v>0</v>
      </c>
      <c r="AR203" s="1" t="n">
        <f aca="false">MEDIAN($M203)</f>
        <v>1310328</v>
      </c>
      <c r="AS203" s="1" t="n">
        <f aca="false">MEDIAN($N203)</f>
        <v>0.04</v>
      </c>
      <c r="AT203" s="1" t="n">
        <f aca="false">MEDIAN($P203)</f>
        <v>5.92</v>
      </c>
      <c r="AU203" s="1" t="n">
        <f aca="false">MEDIAN($Q203)</f>
        <v>0</v>
      </c>
      <c r="AV203" s="1" t="n">
        <f aca="false">MEDIAN($R203)</f>
        <v>401555</v>
      </c>
      <c r="AW203" s="1" t="n">
        <f aca="false">MAX($B203)</f>
        <v>1656</v>
      </c>
      <c r="AX203" s="1" t="n">
        <f aca="false">MAX($C203)</f>
        <v>8</v>
      </c>
      <c r="AY203" s="1" t="n">
        <f aca="false">MAX($D203)</f>
        <v>400746</v>
      </c>
      <c r="AZ203" s="1" t="n">
        <f aca="false">MAX($E203)</f>
        <v>0</v>
      </c>
      <c r="BA203" s="1" t="n">
        <f aca="false">MAX($F203)</f>
        <v>408</v>
      </c>
      <c r="BB203" s="1" t="n">
        <f aca="false">MAX($G203)</f>
        <v>0</v>
      </c>
      <c r="BC203" s="1" t="n">
        <f aca="false">MAX($H203)</f>
        <v>1</v>
      </c>
      <c r="BD203" s="1" t="n">
        <f aca="false">MAX($I203)</f>
        <v>5.773</v>
      </c>
      <c r="BE203" s="1" t="n">
        <f aca="false">MAX($J203)</f>
        <v>5.92</v>
      </c>
      <c r="BF203" s="1" t="n">
        <f aca="false">MAX($K203)</f>
        <v>0</v>
      </c>
      <c r="BG203" s="1" t="n">
        <f aca="false">MAX($M203)</f>
        <v>1310328</v>
      </c>
      <c r="BH203" s="1" t="n">
        <f aca="false">MAX($N203)</f>
        <v>0.04</v>
      </c>
      <c r="BI203" s="1" t="n">
        <f aca="false">MAX($P203)</f>
        <v>5.92</v>
      </c>
      <c r="BJ203" s="1" t="n">
        <f aca="false">MAX($Q203)</f>
        <v>0</v>
      </c>
      <c r="BK203" s="1" t="n">
        <f aca="false">MAX($R203)</f>
        <v>401555</v>
      </c>
    </row>
    <row r="204" customFormat="false" ht="15" hidden="false" customHeight="false" outlineLevel="0" collapsed="false">
      <c r="A204" s="1" t="s">
        <v>221</v>
      </c>
      <c r="B204" s="1" t="n">
        <f aca="false" t="array" ref="B204:B204">_xlfn.SWITCH($A$2,"average", AVERAGE(Instances!B204:B204),"median", MEDIAN(Instances!B204:B204),"min", MIN(Instances!B204:B204),"max", MAX(Instances!B204:B204),"diff", MAX(Instances!B204:B204)-MIN(Instances!B204:B204))</f>
        <v>1368</v>
      </c>
      <c r="C204" s="1" t="n">
        <f aca="false" t="array" ref="C204:C204">_xlfn.SWITCH($A$2,"average", AVERAGE(Instances!C204:C204),"median", MEDIAN(Instances!C204:C204),"min", MIN(Instances!C204:C204),"max", MAX(Instances!C204:C204),"diff", MAX(Instances!C204:C204)-MIN(Instances!C204:C204))</f>
        <v>5</v>
      </c>
      <c r="D204" s="1" t="n">
        <f aca="false" t="array" ref="D204:D204">_xlfn.SWITCH($A$2,"average", AVERAGE(Instances!D204:D204),"median", MEDIAN(Instances!D204:D204),"min", MIN(Instances!D204:D204),"max", MAX(Instances!D204:D204),"diff", MAX(Instances!D204:D204)-MIN(Instances!D204:D204))</f>
        <v>253050</v>
      </c>
      <c r="E204" s="1" t="n">
        <f aca="false" t="array" ref="E204:E204">_xlfn.SWITCH($A$2,"average", AVERAGE(Instances!E204:E204),"median", MEDIAN(Instances!E204:E204),"min", MIN(Instances!E204:E204),"max", MAX(Instances!E204:E204),"diff", MAX(Instances!E204:E204)-MIN(Instances!E204:E204))</f>
        <v>0</v>
      </c>
      <c r="F204" s="1" t="n">
        <f aca="false" t="array" ref="F204:F204">_xlfn.SWITCH($A$2,"average", AVERAGE(Instances!F204:F204),"median", MEDIAN(Instances!F204:F204),"min", MIN(Instances!F204:F204),"max", MAX(Instances!F204:F204),"diff", MAX(Instances!F204:F204)-MIN(Instances!F204:F204))</f>
        <v>462</v>
      </c>
      <c r="G204" s="1" t="n">
        <f aca="false" t="array" ref="G204:G204">_xlfn.SWITCH($A$2,"average", AVERAGE(Instances!G204:G204),"median", MEDIAN(Instances!G204:G204),"min", MIN(Instances!G204:G204),"max", MAX(Instances!G204:G204),"diff", MAX(Instances!G204:G204)-MIN(Instances!G204:G204))</f>
        <v>0</v>
      </c>
      <c r="H204" s="1" t="n">
        <f aca="false" t="array" ref="H204:H204">_xlfn.SWITCH($A$2,"average", AVERAGE(Instances!H204:H204),"median", MEDIAN(Instances!H204:H204),"min", MIN(Instances!H204:H204),"max", MAX(Instances!H204:H204),"diff", MAX(Instances!H204:H204)-MIN(Instances!H204:H204))</f>
        <v>1</v>
      </c>
      <c r="I204" s="1" t="n">
        <f aca="false" t="array" ref="I204:I204">_xlfn.SWITCH($A$2,"average", AVERAGE(Instances!I204:I204),"median", MEDIAN(Instances!I204:I204),"min", MIN(Instances!I204:I204),"max", MAX(Instances!I204:I204),"diff", MAX(Instances!I204:I204)-MIN(Instances!I204:I204))</f>
        <v>6.196</v>
      </c>
      <c r="J204" s="1" t="n">
        <f aca="false" t="array" ref="J204:J204">_xlfn.SWITCH($A$2,"average", AVERAGE(Instances!J204:J204),"median", MEDIAN(Instances!J204:J204),"min", MIN(Instances!J204:J204),"max", MAX(Instances!J204:J204),"diff", MAX(Instances!J204:J204)-MIN(Instances!J204:J204))</f>
        <v>6.33</v>
      </c>
      <c r="K204" s="1" t="n">
        <f aca="false" t="array" ref="K204:K204">_xlfn.SWITCH($A$2,"average", AVERAGE(Instances!K204:K204),"median", MEDIAN(Instances!K204:K204),"min", MIN(Instances!K204:K204),"max", MAX(Instances!K204:K204),"diff", MAX(Instances!K204:K204)-MIN(Instances!K204:K204))</f>
        <v>0</v>
      </c>
      <c r="L204" s="1"/>
      <c r="M204" s="1" t="n">
        <f aca="false" t="array" ref="M204:M204">_xlfn.SWITCH($A$2,"average", AVERAGE(Instances!M204:M204),"median", MEDIAN(Instances!M204:M204),"min", MIN(Instances!M204:M204),"max", MAX(Instances!M204:M204),"diff", MAX(Instances!M204:M204)-MIN(Instances!M204:M204))</f>
        <v>1607803</v>
      </c>
      <c r="N204" s="1" t="n">
        <f aca="false" t="array" ref="N204:N204">_xlfn.SWITCH($A$2,"average", AVERAGE(Instances!N204:N204),"median", MEDIAN(Instances!N204:N204),"min", MIN(Instances!N204:N204),"max", MAX(Instances!N204:N204),"diff", MAX(Instances!N204:N204)-MIN(Instances!N204:N204))</f>
        <v>0.03</v>
      </c>
      <c r="O204" s="1"/>
      <c r="P204" s="1" t="n">
        <f aca="false" t="array" ref="P204:P204">_xlfn.SWITCH($A$2,"average", AVERAGE(Instances!P204:P204),"median", MEDIAN(Instances!P204:P204),"min", MIN(Instances!P204:P204),"max", MAX(Instances!P204:P204),"diff", MAX(Instances!P204:P204)-MIN(Instances!P204:P204))</f>
        <v>6.33</v>
      </c>
      <c r="Q204" s="1" t="n">
        <f aca="false" t="array" ref="Q204:Q204">_xlfn.SWITCH($A$2,"average", AVERAGE(Instances!Q204:Q204),"median", MEDIAN(Instances!Q204:Q204),"min", MIN(Instances!Q204:Q204),"max", MAX(Instances!Q204:Q204),"diff", MAX(Instances!Q204:Q204)-MIN(Instances!Q204:Q204))</f>
        <v>0</v>
      </c>
      <c r="R204" s="1" t="n">
        <f aca="false" t="array" ref="R204:R204">_xlfn.SWITCH($A$2,"average", AVERAGE(Instances!R204:R204),"median", MEDIAN(Instances!R204:R204),"min", MIN(Instances!R204:R204),"max", MAX(Instances!R204:R204),"diff", MAX(Instances!R204:R204)-MIN(Instances!R204:R204))</f>
        <v>459922</v>
      </c>
      <c r="S204" s="1" t="n">
        <f aca="false">MIN($B204)</f>
        <v>1368</v>
      </c>
      <c r="T204" s="1" t="n">
        <f aca="false">MIN($C204)</f>
        <v>5</v>
      </c>
      <c r="U204" s="1" t="n">
        <f aca="false">MIN($D204)</f>
        <v>253050</v>
      </c>
      <c r="V204" s="1" t="n">
        <f aca="false">MIN($E204)</f>
        <v>0</v>
      </c>
      <c r="W204" s="1" t="n">
        <f aca="false">MIN($F204)</f>
        <v>462</v>
      </c>
      <c r="X204" s="1" t="n">
        <f aca="false">MIN($G204)</f>
        <v>0</v>
      </c>
      <c r="Y204" s="1" t="n">
        <f aca="false">MIN($H204)</f>
        <v>1</v>
      </c>
      <c r="Z204" s="1" t="n">
        <f aca="false">MIN($I204)</f>
        <v>6.196</v>
      </c>
      <c r="AA204" s="1" t="n">
        <f aca="false">MIN($J204)</f>
        <v>6.33</v>
      </c>
      <c r="AB204" s="1" t="n">
        <f aca="false">MIN($K204)</f>
        <v>0</v>
      </c>
      <c r="AC204" s="1" t="n">
        <f aca="false">MIN($M204)</f>
        <v>1607803</v>
      </c>
      <c r="AD204" s="1" t="n">
        <f aca="false">MIN($N204)</f>
        <v>0.03</v>
      </c>
      <c r="AE204" s="1" t="n">
        <f aca="false">MIN($P204)</f>
        <v>6.33</v>
      </c>
      <c r="AF204" s="1" t="n">
        <f aca="false">MIN($Q204)</f>
        <v>0</v>
      </c>
      <c r="AG204" s="1" t="n">
        <f aca="false">MIN($R204)</f>
        <v>459922</v>
      </c>
      <c r="AH204" s="1" t="n">
        <f aca="false">MEDIAN($B204)</f>
        <v>1368</v>
      </c>
      <c r="AI204" s="1" t="n">
        <f aca="false">MEDIAN($C204)</f>
        <v>5</v>
      </c>
      <c r="AJ204" s="1" t="n">
        <f aca="false">MEDIAN($D204)</f>
        <v>253050</v>
      </c>
      <c r="AK204" s="1" t="n">
        <f aca="false">MEDIAN($E204)</f>
        <v>0</v>
      </c>
      <c r="AL204" s="1" t="n">
        <f aca="false">MEDIAN($F204)</f>
        <v>462</v>
      </c>
      <c r="AM204" s="1" t="n">
        <f aca="false">MEDIAN($G204)</f>
        <v>0</v>
      </c>
      <c r="AN204" s="1" t="n">
        <f aca="false">MEDIAN($H204)</f>
        <v>1</v>
      </c>
      <c r="AO204" s="1" t="n">
        <f aca="false">MEDIAN($I204)</f>
        <v>6.196</v>
      </c>
      <c r="AP204" s="1" t="n">
        <f aca="false">MEDIAN($J204)</f>
        <v>6.33</v>
      </c>
      <c r="AQ204" s="1" t="n">
        <f aca="false">MEDIAN($K204)</f>
        <v>0</v>
      </c>
      <c r="AR204" s="1" t="n">
        <f aca="false">MEDIAN($M204)</f>
        <v>1607803</v>
      </c>
      <c r="AS204" s="1" t="n">
        <f aca="false">MEDIAN($N204)</f>
        <v>0.03</v>
      </c>
      <c r="AT204" s="1" t="n">
        <f aca="false">MEDIAN($P204)</f>
        <v>6.33</v>
      </c>
      <c r="AU204" s="1" t="n">
        <f aca="false">MEDIAN($Q204)</f>
        <v>0</v>
      </c>
      <c r="AV204" s="1" t="n">
        <f aca="false">MEDIAN($R204)</f>
        <v>459922</v>
      </c>
      <c r="AW204" s="1" t="n">
        <f aca="false">MAX($B204)</f>
        <v>1368</v>
      </c>
      <c r="AX204" s="1" t="n">
        <f aca="false">MAX($C204)</f>
        <v>5</v>
      </c>
      <c r="AY204" s="1" t="n">
        <f aca="false">MAX($D204)</f>
        <v>253050</v>
      </c>
      <c r="AZ204" s="1" t="n">
        <f aca="false">MAX($E204)</f>
        <v>0</v>
      </c>
      <c r="BA204" s="1" t="n">
        <f aca="false">MAX($F204)</f>
        <v>462</v>
      </c>
      <c r="BB204" s="1" t="n">
        <f aca="false">MAX($G204)</f>
        <v>0</v>
      </c>
      <c r="BC204" s="1" t="n">
        <f aca="false">MAX($H204)</f>
        <v>1</v>
      </c>
      <c r="BD204" s="1" t="n">
        <f aca="false">MAX($I204)</f>
        <v>6.196</v>
      </c>
      <c r="BE204" s="1" t="n">
        <f aca="false">MAX($J204)</f>
        <v>6.33</v>
      </c>
      <c r="BF204" s="1" t="n">
        <f aca="false">MAX($K204)</f>
        <v>0</v>
      </c>
      <c r="BG204" s="1" t="n">
        <f aca="false">MAX($M204)</f>
        <v>1607803</v>
      </c>
      <c r="BH204" s="1" t="n">
        <f aca="false">MAX($N204)</f>
        <v>0.03</v>
      </c>
      <c r="BI204" s="1" t="n">
        <f aca="false">MAX($P204)</f>
        <v>6.33</v>
      </c>
      <c r="BJ204" s="1" t="n">
        <f aca="false">MAX($Q204)</f>
        <v>0</v>
      </c>
      <c r="BK204" s="1" t="n">
        <f aca="false">MAX($R204)</f>
        <v>459922</v>
      </c>
    </row>
    <row r="205" customFormat="false" ht="15" hidden="false" customHeight="false" outlineLevel="0" collapsed="false">
      <c r="A205" s="1" t="s">
        <v>222</v>
      </c>
      <c r="B205" s="1" t="n">
        <f aca="false" t="array" ref="B205:B205">_xlfn.SWITCH($A$2,"average", AVERAGE(Instances!B205:B205),"median", MEDIAN(Instances!B205:B205),"min", MIN(Instances!B205:B205),"max", MAX(Instances!B205:B205),"diff", MAX(Instances!B205:B205)-MIN(Instances!B205:B205))</f>
        <v>1868</v>
      </c>
      <c r="C205" s="1" t="n">
        <f aca="false" t="array" ref="C205:C205">_xlfn.SWITCH($A$2,"average", AVERAGE(Instances!C205:C205),"median", MEDIAN(Instances!C205:C205),"min", MIN(Instances!C205:C205),"max", MAX(Instances!C205:C205),"diff", MAX(Instances!C205:C205)-MIN(Instances!C205:C205))</f>
        <v>4</v>
      </c>
      <c r="D205" s="1" t="n">
        <f aca="false" t="array" ref="D205:D205">_xlfn.SWITCH($A$2,"average", AVERAGE(Instances!D205:D205),"median", MEDIAN(Instances!D205:D205),"min", MIN(Instances!D205:D205),"max", MAX(Instances!D205:D205),"diff", MAX(Instances!D205:D205)-MIN(Instances!D205:D205))</f>
        <v>329846</v>
      </c>
      <c r="E205" s="1" t="n">
        <f aca="false" t="array" ref="E205:E205">_xlfn.SWITCH($A$2,"average", AVERAGE(Instances!E205:E205),"median", MEDIAN(Instances!E205:E205),"min", MIN(Instances!E205:E205),"max", MAX(Instances!E205:E205),"diff", MAX(Instances!E205:E205)-MIN(Instances!E205:E205))</f>
        <v>0</v>
      </c>
      <c r="F205" s="1" t="n">
        <f aca="false" t="array" ref="F205:F205">_xlfn.SWITCH($A$2,"average", AVERAGE(Instances!F205:F205),"median", MEDIAN(Instances!F205:F205),"min", MIN(Instances!F205:F205),"max", MAX(Instances!F205:F205),"diff", MAX(Instances!F205:F205)-MIN(Instances!F205:F205))</f>
        <v>489</v>
      </c>
      <c r="G205" s="1" t="n">
        <f aca="false" t="array" ref="G205:G205">_xlfn.SWITCH($A$2,"average", AVERAGE(Instances!G205:G205),"median", MEDIAN(Instances!G205:G205),"min", MIN(Instances!G205:G205),"max", MAX(Instances!G205:G205),"diff", MAX(Instances!G205:G205)-MIN(Instances!G205:G205))</f>
        <v>0</v>
      </c>
      <c r="H205" s="1" t="n">
        <f aca="false" t="array" ref="H205:H205">_xlfn.SWITCH($A$2,"average", AVERAGE(Instances!H205:H205),"median", MEDIAN(Instances!H205:H205),"min", MIN(Instances!H205:H205),"max", MAX(Instances!H205:H205),"diff", MAX(Instances!H205:H205)-MIN(Instances!H205:H205))</f>
        <v>1</v>
      </c>
      <c r="I205" s="1" t="n">
        <f aca="false" t="array" ref="I205:I205">_xlfn.SWITCH($A$2,"average", AVERAGE(Instances!I205:I205),"median", MEDIAN(Instances!I205:I205),"min", MIN(Instances!I205:I205),"max", MAX(Instances!I205:I205),"diff", MAX(Instances!I205:I205)-MIN(Instances!I205:I205))</f>
        <v>7.236</v>
      </c>
      <c r="J205" s="1" t="n">
        <f aca="false" t="array" ref="J205:J205">_xlfn.SWITCH($A$2,"average", AVERAGE(Instances!J205:J205),"median", MEDIAN(Instances!J205:J205),"min", MIN(Instances!J205:J205),"max", MAX(Instances!J205:J205),"diff", MAX(Instances!J205:J205)-MIN(Instances!J205:J205))</f>
        <v>7.41</v>
      </c>
      <c r="K205" s="1" t="n">
        <f aca="false" t="array" ref="K205:K205">_xlfn.SWITCH($A$2,"average", AVERAGE(Instances!K205:K205),"median", MEDIAN(Instances!K205:K205),"min", MIN(Instances!K205:K205),"max", MAX(Instances!K205:K205),"diff", MAX(Instances!K205:K205)-MIN(Instances!K205:K205))</f>
        <v>0</v>
      </c>
      <c r="L205" s="1"/>
      <c r="M205" s="1" t="n">
        <f aca="false" t="array" ref="M205:M205">_xlfn.SWITCH($A$2,"average", AVERAGE(Instances!M205:M205),"median", MEDIAN(Instances!M205:M205),"min", MIN(Instances!M205:M205),"max", MAX(Instances!M205:M205),"diff", MAX(Instances!M205:M205)-MIN(Instances!M205:M205))</f>
        <v>1738931</v>
      </c>
      <c r="N205" s="1" t="n">
        <f aca="false" t="array" ref="N205:N205">_xlfn.SWITCH($A$2,"average", AVERAGE(Instances!N205:N205),"median", MEDIAN(Instances!N205:N205),"min", MIN(Instances!N205:N205),"max", MAX(Instances!N205:N205),"diff", MAX(Instances!N205:N205)-MIN(Instances!N205:N205))</f>
        <v>0.04</v>
      </c>
      <c r="O205" s="1"/>
      <c r="P205" s="1" t="n">
        <f aca="false" t="array" ref="P205:P205">_xlfn.SWITCH($A$2,"average", AVERAGE(Instances!P205:P205),"median", MEDIAN(Instances!P205:P205),"min", MIN(Instances!P205:P205),"max", MAX(Instances!P205:P205),"diff", MAX(Instances!P205:P205)-MIN(Instances!P205:P205))</f>
        <v>7.41</v>
      </c>
      <c r="Q205" s="1" t="n">
        <f aca="false" t="array" ref="Q205:Q205">_xlfn.SWITCH($A$2,"average", AVERAGE(Instances!Q205:Q205),"median", MEDIAN(Instances!Q205:Q205),"min", MIN(Instances!Q205:Q205),"max", MAX(Instances!Q205:Q205),"diff", MAX(Instances!Q205:Q205)-MIN(Instances!Q205:Q205))</f>
        <v>0</v>
      </c>
      <c r="R205" s="1" t="n">
        <f aca="false" t="array" ref="R205:R205">_xlfn.SWITCH($A$2,"average", AVERAGE(Instances!R205:R205),"median", MEDIAN(Instances!R205:R205),"min", MIN(Instances!R205:R205),"max", MAX(Instances!R205:R205),"diff", MAX(Instances!R205:R205)-MIN(Instances!R205:R205))</f>
        <v>492180</v>
      </c>
      <c r="S205" s="1" t="n">
        <f aca="false">MIN($B205)</f>
        <v>1868</v>
      </c>
      <c r="T205" s="1" t="n">
        <f aca="false">MIN($C205)</f>
        <v>4</v>
      </c>
      <c r="U205" s="1" t="n">
        <f aca="false">MIN($D205)</f>
        <v>329846</v>
      </c>
      <c r="V205" s="1" t="n">
        <f aca="false">MIN($E205)</f>
        <v>0</v>
      </c>
      <c r="W205" s="1" t="n">
        <f aca="false">MIN($F205)</f>
        <v>489</v>
      </c>
      <c r="X205" s="1" t="n">
        <f aca="false">MIN($G205)</f>
        <v>0</v>
      </c>
      <c r="Y205" s="1" t="n">
        <f aca="false">MIN($H205)</f>
        <v>1</v>
      </c>
      <c r="Z205" s="1" t="n">
        <f aca="false">MIN($I205)</f>
        <v>7.236</v>
      </c>
      <c r="AA205" s="1" t="n">
        <f aca="false">MIN($J205)</f>
        <v>7.41</v>
      </c>
      <c r="AB205" s="1" t="n">
        <f aca="false">MIN($K205)</f>
        <v>0</v>
      </c>
      <c r="AC205" s="1" t="n">
        <f aca="false">MIN($M205)</f>
        <v>1738931</v>
      </c>
      <c r="AD205" s="1" t="n">
        <f aca="false">MIN($N205)</f>
        <v>0.04</v>
      </c>
      <c r="AE205" s="1" t="n">
        <f aca="false">MIN($P205)</f>
        <v>7.41</v>
      </c>
      <c r="AF205" s="1" t="n">
        <f aca="false">MIN($Q205)</f>
        <v>0</v>
      </c>
      <c r="AG205" s="1" t="n">
        <f aca="false">MIN($R205)</f>
        <v>492180</v>
      </c>
      <c r="AH205" s="1" t="n">
        <f aca="false">MEDIAN($B205)</f>
        <v>1868</v>
      </c>
      <c r="AI205" s="1" t="n">
        <f aca="false">MEDIAN($C205)</f>
        <v>4</v>
      </c>
      <c r="AJ205" s="1" t="n">
        <f aca="false">MEDIAN($D205)</f>
        <v>329846</v>
      </c>
      <c r="AK205" s="1" t="n">
        <f aca="false">MEDIAN($E205)</f>
        <v>0</v>
      </c>
      <c r="AL205" s="1" t="n">
        <f aca="false">MEDIAN($F205)</f>
        <v>489</v>
      </c>
      <c r="AM205" s="1" t="n">
        <f aca="false">MEDIAN($G205)</f>
        <v>0</v>
      </c>
      <c r="AN205" s="1" t="n">
        <f aca="false">MEDIAN($H205)</f>
        <v>1</v>
      </c>
      <c r="AO205" s="1" t="n">
        <f aca="false">MEDIAN($I205)</f>
        <v>7.236</v>
      </c>
      <c r="AP205" s="1" t="n">
        <f aca="false">MEDIAN($J205)</f>
        <v>7.41</v>
      </c>
      <c r="AQ205" s="1" t="n">
        <f aca="false">MEDIAN($K205)</f>
        <v>0</v>
      </c>
      <c r="AR205" s="1" t="n">
        <f aca="false">MEDIAN($M205)</f>
        <v>1738931</v>
      </c>
      <c r="AS205" s="1" t="n">
        <f aca="false">MEDIAN($N205)</f>
        <v>0.04</v>
      </c>
      <c r="AT205" s="1" t="n">
        <f aca="false">MEDIAN($P205)</f>
        <v>7.41</v>
      </c>
      <c r="AU205" s="1" t="n">
        <f aca="false">MEDIAN($Q205)</f>
        <v>0</v>
      </c>
      <c r="AV205" s="1" t="n">
        <f aca="false">MEDIAN($R205)</f>
        <v>492180</v>
      </c>
      <c r="AW205" s="1" t="n">
        <f aca="false">MAX($B205)</f>
        <v>1868</v>
      </c>
      <c r="AX205" s="1" t="n">
        <f aca="false">MAX($C205)</f>
        <v>4</v>
      </c>
      <c r="AY205" s="1" t="n">
        <f aca="false">MAX($D205)</f>
        <v>329846</v>
      </c>
      <c r="AZ205" s="1" t="n">
        <f aca="false">MAX($E205)</f>
        <v>0</v>
      </c>
      <c r="BA205" s="1" t="n">
        <f aca="false">MAX($F205)</f>
        <v>489</v>
      </c>
      <c r="BB205" s="1" t="n">
        <f aca="false">MAX($G205)</f>
        <v>0</v>
      </c>
      <c r="BC205" s="1" t="n">
        <f aca="false">MAX($H205)</f>
        <v>1</v>
      </c>
      <c r="BD205" s="1" t="n">
        <f aca="false">MAX($I205)</f>
        <v>7.236</v>
      </c>
      <c r="BE205" s="1" t="n">
        <f aca="false">MAX($J205)</f>
        <v>7.41</v>
      </c>
      <c r="BF205" s="1" t="n">
        <f aca="false">MAX($K205)</f>
        <v>0</v>
      </c>
      <c r="BG205" s="1" t="n">
        <f aca="false">MAX($M205)</f>
        <v>1738931</v>
      </c>
      <c r="BH205" s="1" t="n">
        <f aca="false">MAX($N205)</f>
        <v>0.04</v>
      </c>
      <c r="BI205" s="1" t="n">
        <f aca="false">MAX($P205)</f>
        <v>7.41</v>
      </c>
      <c r="BJ205" s="1" t="n">
        <f aca="false">MAX($Q205)</f>
        <v>0</v>
      </c>
      <c r="BK205" s="1" t="n">
        <f aca="false">MAX($R205)</f>
        <v>492180</v>
      </c>
    </row>
    <row r="206" customFormat="false" ht="15" hidden="false" customHeight="false" outlineLevel="0" collapsed="false">
      <c r="A206" s="1" t="s">
        <v>223</v>
      </c>
      <c r="B206" s="1" t="n">
        <f aca="false" t="array" ref="B206:B206">_xlfn.SWITCH($A$2,"average", AVERAGE(Instances!B206:B206),"median", MEDIAN(Instances!B206:B206),"min", MIN(Instances!B206:B206),"max", MAX(Instances!B206:B206),"diff", MAX(Instances!B206:B206)-MIN(Instances!B206:B206))</f>
        <v>1422</v>
      </c>
      <c r="C206" s="1" t="n">
        <f aca="false" t="array" ref="C206:C206">_xlfn.SWITCH($A$2,"average", AVERAGE(Instances!C206:C206),"median", MEDIAN(Instances!C206:C206),"min", MIN(Instances!C206:C206),"max", MAX(Instances!C206:C206),"diff", MAX(Instances!C206:C206)-MIN(Instances!C206:C206))</f>
        <v>7</v>
      </c>
      <c r="D206" s="1" t="n">
        <f aca="false" t="array" ref="D206:D206">_xlfn.SWITCH($A$2,"average", AVERAGE(Instances!D206:D206),"median", MEDIAN(Instances!D206:D206),"min", MIN(Instances!D206:D206),"max", MAX(Instances!D206:D206),"diff", MAX(Instances!D206:D206)-MIN(Instances!D206:D206))</f>
        <v>251574</v>
      </c>
      <c r="E206" s="1" t="n">
        <f aca="false" t="array" ref="E206:E206">_xlfn.SWITCH($A$2,"average", AVERAGE(Instances!E206:E206),"median", MEDIAN(Instances!E206:E206),"min", MIN(Instances!E206:E206),"max", MAX(Instances!E206:E206),"diff", MAX(Instances!E206:E206)-MIN(Instances!E206:E206))</f>
        <v>0</v>
      </c>
      <c r="F206" s="1" t="n">
        <f aca="false" t="array" ref="F206:F206">_xlfn.SWITCH($A$2,"average", AVERAGE(Instances!F206:F206),"median", MEDIAN(Instances!F206:F206),"min", MIN(Instances!F206:F206),"max", MAX(Instances!F206:F206),"diff", MAX(Instances!F206:F206)-MIN(Instances!F206:F206))</f>
        <v>439</v>
      </c>
      <c r="G206" s="1" t="n">
        <f aca="false" t="array" ref="G206:G206">_xlfn.SWITCH($A$2,"average", AVERAGE(Instances!G206:G206),"median", MEDIAN(Instances!G206:G206),"min", MIN(Instances!G206:G206),"max", MAX(Instances!G206:G206),"diff", MAX(Instances!G206:G206)-MIN(Instances!G206:G206))</f>
        <v>0</v>
      </c>
      <c r="H206" s="1" t="n">
        <f aca="false" t="array" ref="H206:H206">_xlfn.SWITCH($A$2,"average", AVERAGE(Instances!H206:H206),"median", MEDIAN(Instances!H206:H206),"min", MIN(Instances!H206:H206),"max", MAX(Instances!H206:H206),"diff", MAX(Instances!H206:H206)-MIN(Instances!H206:H206))</f>
        <v>1</v>
      </c>
      <c r="I206" s="1" t="n">
        <f aca="false" t="array" ref="I206:I206">_xlfn.SWITCH($A$2,"average", AVERAGE(Instances!I206:I206),"median", MEDIAN(Instances!I206:I206),"min", MIN(Instances!I206:I206),"max", MAX(Instances!I206:I206),"diff", MAX(Instances!I206:I206)-MIN(Instances!I206:I206))</f>
        <v>6.504</v>
      </c>
      <c r="J206" s="1" t="n">
        <f aca="false" t="array" ref="J206:J206">_xlfn.SWITCH($A$2,"average", AVERAGE(Instances!J206:J206),"median", MEDIAN(Instances!J206:J206),"min", MIN(Instances!J206:J206),"max", MAX(Instances!J206:J206),"diff", MAX(Instances!J206:J206)-MIN(Instances!J206:J206))</f>
        <v>6.67</v>
      </c>
      <c r="K206" s="1" t="n">
        <f aca="false" t="array" ref="K206:K206">_xlfn.SWITCH($A$2,"average", AVERAGE(Instances!K206:K206),"median", MEDIAN(Instances!K206:K206),"min", MIN(Instances!K206:K206),"max", MAX(Instances!K206:K206),"diff", MAX(Instances!K206:K206)-MIN(Instances!K206:K206))</f>
        <v>0</v>
      </c>
      <c r="L206" s="1"/>
      <c r="M206" s="1" t="n">
        <f aca="false" t="array" ref="M206:M206">_xlfn.SWITCH($A$2,"average", AVERAGE(Instances!M206:M206),"median", MEDIAN(Instances!M206:M206),"min", MIN(Instances!M206:M206),"max", MAX(Instances!M206:M206),"diff", MAX(Instances!M206:M206)-MIN(Instances!M206:M206))</f>
        <v>1533995</v>
      </c>
      <c r="N206" s="1" t="n">
        <f aca="false" t="array" ref="N206:N206">_xlfn.SWITCH($A$2,"average", AVERAGE(Instances!N206:N206),"median", MEDIAN(Instances!N206:N206),"min", MIN(Instances!N206:N206),"max", MAX(Instances!N206:N206),"diff", MAX(Instances!N206:N206)-MIN(Instances!N206:N206))</f>
        <v>0.03</v>
      </c>
      <c r="O206" s="1"/>
      <c r="P206" s="1" t="n">
        <f aca="false" t="array" ref="P206:P206">_xlfn.SWITCH($A$2,"average", AVERAGE(Instances!P206:P206),"median", MEDIAN(Instances!P206:P206),"min", MIN(Instances!P206:P206),"max", MAX(Instances!P206:P206),"diff", MAX(Instances!P206:P206)-MIN(Instances!P206:P206))</f>
        <v>6.67</v>
      </c>
      <c r="Q206" s="1" t="n">
        <f aca="false" t="array" ref="Q206:Q206">_xlfn.SWITCH($A$2,"average", AVERAGE(Instances!Q206:Q206),"median", MEDIAN(Instances!Q206:Q206),"min", MIN(Instances!Q206:Q206),"max", MAX(Instances!Q206:Q206),"diff", MAX(Instances!Q206:Q206)-MIN(Instances!Q206:Q206))</f>
        <v>0</v>
      </c>
      <c r="R206" s="1" t="n">
        <f aca="false" t="array" ref="R206:R206">_xlfn.SWITCH($A$2,"average", AVERAGE(Instances!R206:R206),"median", MEDIAN(Instances!R206:R206),"min", MIN(Instances!R206:R206),"max", MAX(Instances!R206:R206),"diff", MAX(Instances!R206:R206)-MIN(Instances!R206:R206))</f>
        <v>435362</v>
      </c>
      <c r="S206" s="1" t="n">
        <f aca="false">MIN($B206)</f>
        <v>1422</v>
      </c>
      <c r="T206" s="1" t="n">
        <f aca="false">MIN($C206)</f>
        <v>7</v>
      </c>
      <c r="U206" s="1" t="n">
        <f aca="false">MIN($D206)</f>
        <v>251574</v>
      </c>
      <c r="V206" s="1" t="n">
        <f aca="false">MIN($E206)</f>
        <v>0</v>
      </c>
      <c r="W206" s="1" t="n">
        <f aca="false">MIN($F206)</f>
        <v>439</v>
      </c>
      <c r="X206" s="1" t="n">
        <f aca="false">MIN($G206)</f>
        <v>0</v>
      </c>
      <c r="Y206" s="1" t="n">
        <f aca="false">MIN($H206)</f>
        <v>1</v>
      </c>
      <c r="Z206" s="1" t="n">
        <f aca="false">MIN($I206)</f>
        <v>6.504</v>
      </c>
      <c r="AA206" s="1" t="n">
        <f aca="false">MIN($J206)</f>
        <v>6.67</v>
      </c>
      <c r="AB206" s="1" t="n">
        <f aca="false">MIN($K206)</f>
        <v>0</v>
      </c>
      <c r="AC206" s="1" t="n">
        <f aca="false">MIN($M206)</f>
        <v>1533995</v>
      </c>
      <c r="AD206" s="1" t="n">
        <f aca="false">MIN($N206)</f>
        <v>0.03</v>
      </c>
      <c r="AE206" s="1" t="n">
        <f aca="false">MIN($P206)</f>
        <v>6.67</v>
      </c>
      <c r="AF206" s="1" t="n">
        <f aca="false">MIN($Q206)</f>
        <v>0</v>
      </c>
      <c r="AG206" s="1" t="n">
        <f aca="false">MIN($R206)</f>
        <v>435362</v>
      </c>
      <c r="AH206" s="1" t="n">
        <f aca="false">MEDIAN($B206)</f>
        <v>1422</v>
      </c>
      <c r="AI206" s="1" t="n">
        <f aca="false">MEDIAN($C206)</f>
        <v>7</v>
      </c>
      <c r="AJ206" s="1" t="n">
        <f aca="false">MEDIAN($D206)</f>
        <v>251574</v>
      </c>
      <c r="AK206" s="1" t="n">
        <f aca="false">MEDIAN($E206)</f>
        <v>0</v>
      </c>
      <c r="AL206" s="1" t="n">
        <f aca="false">MEDIAN($F206)</f>
        <v>439</v>
      </c>
      <c r="AM206" s="1" t="n">
        <f aca="false">MEDIAN($G206)</f>
        <v>0</v>
      </c>
      <c r="AN206" s="1" t="n">
        <f aca="false">MEDIAN($H206)</f>
        <v>1</v>
      </c>
      <c r="AO206" s="1" t="n">
        <f aca="false">MEDIAN($I206)</f>
        <v>6.504</v>
      </c>
      <c r="AP206" s="1" t="n">
        <f aca="false">MEDIAN($J206)</f>
        <v>6.67</v>
      </c>
      <c r="AQ206" s="1" t="n">
        <f aca="false">MEDIAN($K206)</f>
        <v>0</v>
      </c>
      <c r="AR206" s="1" t="n">
        <f aca="false">MEDIAN($M206)</f>
        <v>1533995</v>
      </c>
      <c r="AS206" s="1" t="n">
        <f aca="false">MEDIAN($N206)</f>
        <v>0.03</v>
      </c>
      <c r="AT206" s="1" t="n">
        <f aca="false">MEDIAN($P206)</f>
        <v>6.67</v>
      </c>
      <c r="AU206" s="1" t="n">
        <f aca="false">MEDIAN($Q206)</f>
        <v>0</v>
      </c>
      <c r="AV206" s="1" t="n">
        <f aca="false">MEDIAN($R206)</f>
        <v>435362</v>
      </c>
      <c r="AW206" s="1" t="n">
        <f aca="false">MAX($B206)</f>
        <v>1422</v>
      </c>
      <c r="AX206" s="1" t="n">
        <f aca="false">MAX($C206)</f>
        <v>7</v>
      </c>
      <c r="AY206" s="1" t="n">
        <f aca="false">MAX($D206)</f>
        <v>251574</v>
      </c>
      <c r="AZ206" s="1" t="n">
        <f aca="false">MAX($E206)</f>
        <v>0</v>
      </c>
      <c r="BA206" s="1" t="n">
        <f aca="false">MAX($F206)</f>
        <v>439</v>
      </c>
      <c r="BB206" s="1" t="n">
        <f aca="false">MAX($G206)</f>
        <v>0</v>
      </c>
      <c r="BC206" s="1" t="n">
        <f aca="false">MAX($H206)</f>
        <v>1</v>
      </c>
      <c r="BD206" s="1" t="n">
        <f aca="false">MAX($I206)</f>
        <v>6.504</v>
      </c>
      <c r="BE206" s="1" t="n">
        <f aca="false">MAX($J206)</f>
        <v>6.67</v>
      </c>
      <c r="BF206" s="1" t="n">
        <f aca="false">MAX($K206)</f>
        <v>0</v>
      </c>
      <c r="BG206" s="1" t="n">
        <f aca="false">MAX($M206)</f>
        <v>1533995</v>
      </c>
      <c r="BH206" s="1" t="n">
        <f aca="false">MAX($N206)</f>
        <v>0.03</v>
      </c>
      <c r="BI206" s="1" t="n">
        <f aca="false">MAX($P206)</f>
        <v>6.67</v>
      </c>
      <c r="BJ206" s="1" t="n">
        <f aca="false">MAX($Q206)</f>
        <v>0</v>
      </c>
      <c r="BK206" s="1" t="n">
        <f aca="false">MAX($R206)</f>
        <v>435362</v>
      </c>
    </row>
    <row r="207" customFormat="false" ht="15" hidden="false" customHeight="false" outlineLevel="0" collapsed="false">
      <c r="A207" s="1" t="s">
        <v>224</v>
      </c>
      <c r="B207" s="1" t="n">
        <f aca="false" t="array" ref="B207:B207">_xlfn.SWITCH($A$2,"average", AVERAGE(Instances!B207:B207),"median", MEDIAN(Instances!B207:B207),"min", MIN(Instances!B207:B207),"max", MAX(Instances!B207:B207),"diff", MAX(Instances!B207:B207)-MIN(Instances!B207:B207))</f>
        <v>3104</v>
      </c>
      <c r="C207" s="1" t="n">
        <f aca="false" t="array" ref="C207:C207">_xlfn.SWITCH($A$2,"average", AVERAGE(Instances!C207:C207),"median", MEDIAN(Instances!C207:C207),"min", MIN(Instances!C207:C207),"max", MAX(Instances!C207:C207),"diff", MAX(Instances!C207:C207)-MIN(Instances!C207:C207))</f>
        <v>9</v>
      </c>
      <c r="D207" s="1" t="n">
        <f aca="false" t="array" ref="D207:D207">_xlfn.SWITCH($A$2,"average", AVERAGE(Instances!D207:D207),"median", MEDIAN(Instances!D207:D207),"min", MIN(Instances!D207:D207),"max", MAX(Instances!D207:D207),"diff", MAX(Instances!D207:D207)-MIN(Instances!D207:D207))</f>
        <v>380575</v>
      </c>
      <c r="E207" s="1" t="n">
        <f aca="false" t="array" ref="E207:E207">_xlfn.SWITCH($A$2,"average", AVERAGE(Instances!E207:E207),"median", MEDIAN(Instances!E207:E207),"min", MIN(Instances!E207:E207),"max", MAX(Instances!E207:E207),"diff", MAX(Instances!E207:E207)-MIN(Instances!E207:E207))</f>
        <v>0</v>
      </c>
      <c r="F207" s="1" t="n">
        <f aca="false" t="array" ref="F207:F207">_xlfn.SWITCH($A$2,"average", AVERAGE(Instances!F207:F207),"median", MEDIAN(Instances!F207:F207),"min", MIN(Instances!F207:F207),"max", MAX(Instances!F207:F207),"diff", MAX(Instances!F207:F207)-MIN(Instances!F207:F207))</f>
        <v>485</v>
      </c>
      <c r="G207" s="1" t="n">
        <f aca="false" t="array" ref="G207:G207">_xlfn.SWITCH($A$2,"average", AVERAGE(Instances!G207:G207),"median", MEDIAN(Instances!G207:G207),"min", MIN(Instances!G207:G207),"max", MAX(Instances!G207:G207),"diff", MAX(Instances!G207:G207)-MIN(Instances!G207:G207))</f>
        <v>0</v>
      </c>
      <c r="H207" s="1" t="n">
        <f aca="false" t="array" ref="H207:H207">_xlfn.SWITCH($A$2,"average", AVERAGE(Instances!H207:H207),"median", MEDIAN(Instances!H207:H207),"min", MIN(Instances!H207:H207),"max", MAX(Instances!H207:H207),"diff", MAX(Instances!H207:H207)-MIN(Instances!H207:H207))</f>
        <v>1</v>
      </c>
      <c r="I207" s="1" t="n">
        <f aca="false" t="array" ref="I207:I207">_xlfn.SWITCH($A$2,"average", AVERAGE(Instances!I207:I207),"median", MEDIAN(Instances!I207:I207),"min", MIN(Instances!I207:I207),"max", MAX(Instances!I207:I207),"diff", MAX(Instances!I207:I207)-MIN(Instances!I207:I207))</f>
        <v>7.176</v>
      </c>
      <c r="J207" s="1" t="n">
        <f aca="false" t="array" ref="J207:J207">_xlfn.SWITCH($A$2,"average", AVERAGE(Instances!J207:J207),"median", MEDIAN(Instances!J207:J207),"min", MIN(Instances!J207:J207),"max", MAX(Instances!J207:J207),"diff", MAX(Instances!J207:J207)-MIN(Instances!J207:J207))</f>
        <v>7.35</v>
      </c>
      <c r="K207" s="1" t="n">
        <f aca="false" t="array" ref="K207:K207">_xlfn.SWITCH($A$2,"average", AVERAGE(Instances!K207:K207),"median", MEDIAN(Instances!K207:K207),"min", MIN(Instances!K207:K207),"max", MAX(Instances!K207:K207),"diff", MAX(Instances!K207:K207)-MIN(Instances!K207:K207))</f>
        <v>0</v>
      </c>
      <c r="L207" s="1"/>
      <c r="M207" s="1" t="n">
        <f aca="false" t="array" ref="M207:M207">_xlfn.SWITCH($A$2,"average", AVERAGE(Instances!M207:M207),"median", MEDIAN(Instances!M207:M207),"min", MIN(Instances!M207:M207),"max", MAX(Instances!M207:M207),"diff", MAX(Instances!M207:M207)-MIN(Instances!M207:M207))</f>
        <v>1696163</v>
      </c>
      <c r="N207" s="1" t="n">
        <f aca="false" t="array" ref="N207:N207">_xlfn.SWITCH($A$2,"average", AVERAGE(Instances!N207:N207),"median", MEDIAN(Instances!N207:N207),"min", MIN(Instances!N207:N207),"max", MAX(Instances!N207:N207),"diff", MAX(Instances!N207:N207)-MIN(Instances!N207:N207))</f>
        <v>0.06</v>
      </c>
      <c r="O207" s="1"/>
      <c r="P207" s="1" t="n">
        <f aca="false" t="array" ref="P207:P207">_xlfn.SWITCH($A$2,"average", AVERAGE(Instances!P207:P207),"median", MEDIAN(Instances!P207:P207),"min", MIN(Instances!P207:P207),"max", MAX(Instances!P207:P207),"diff", MAX(Instances!P207:P207)-MIN(Instances!P207:P207))</f>
        <v>7.35</v>
      </c>
      <c r="Q207" s="1" t="n">
        <f aca="false" t="array" ref="Q207:Q207">_xlfn.SWITCH($A$2,"average", AVERAGE(Instances!Q207:Q207),"median", MEDIAN(Instances!Q207:Q207),"min", MIN(Instances!Q207:Q207),"max", MAX(Instances!Q207:Q207),"diff", MAX(Instances!Q207:Q207)-MIN(Instances!Q207:Q207))</f>
        <v>0</v>
      </c>
      <c r="R207" s="1" t="n">
        <f aca="false" t="array" ref="R207:R207">_xlfn.SWITCH($A$2,"average", AVERAGE(Instances!R207:R207),"median", MEDIAN(Instances!R207:R207),"min", MIN(Instances!R207:R207),"max", MAX(Instances!R207:R207),"diff", MAX(Instances!R207:R207)-MIN(Instances!R207:R207))</f>
        <v>485549</v>
      </c>
      <c r="S207" s="1" t="n">
        <f aca="false">MIN($B207)</f>
        <v>3104</v>
      </c>
      <c r="T207" s="1" t="n">
        <f aca="false">MIN($C207)</f>
        <v>9</v>
      </c>
      <c r="U207" s="1" t="n">
        <f aca="false">MIN($D207)</f>
        <v>380575</v>
      </c>
      <c r="V207" s="1" t="n">
        <f aca="false">MIN($E207)</f>
        <v>0</v>
      </c>
      <c r="W207" s="1" t="n">
        <f aca="false">MIN($F207)</f>
        <v>485</v>
      </c>
      <c r="X207" s="1" t="n">
        <f aca="false">MIN($G207)</f>
        <v>0</v>
      </c>
      <c r="Y207" s="1" t="n">
        <f aca="false">MIN($H207)</f>
        <v>1</v>
      </c>
      <c r="Z207" s="1" t="n">
        <f aca="false">MIN($I207)</f>
        <v>7.176</v>
      </c>
      <c r="AA207" s="1" t="n">
        <f aca="false">MIN($J207)</f>
        <v>7.35</v>
      </c>
      <c r="AB207" s="1" t="n">
        <f aca="false">MIN($K207)</f>
        <v>0</v>
      </c>
      <c r="AC207" s="1" t="n">
        <f aca="false">MIN($M207)</f>
        <v>1696163</v>
      </c>
      <c r="AD207" s="1" t="n">
        <f aca="false">MIN($N207)</f>
        <v>0.06</v>
      </c>
      <c r="AE207" s="1" t="n">
        <f aca="false">MIN($P207)</f>
        <v>7.35</v>
      </c>
      <c r="AF207" s="1" t="n">
        <f aca="false">MIN($Q207)</f>
        <v>0</v>
      </c>
      <c r="AG207" s="1" t="n">
        <f aca="false">MIN($R207)</f>
        <v>485549</v>
      </c>
      <c r="AH207" s="1" t="n">
        <f aca="false">MEDIAN($B207)</f>
        <v>3104</v>
      </c>
      <c r="AI207" s="1" t="n">
        <f aca="false">MEDIAN($C207)</f>
        <v>9</v>
      </c>
      <c r="AJ207" s="1" t="n">
        <f aca="false">MEDIAN($D207)</f>
        <v>380575</v>
      </c>
      <c r="AK207" s="1" t="n">
        <f aca="false">MEDIAN($E207)</f>
        <v>0</v>
      </c>
      <c r="AL207" s="1" t="n">
        <f aca="false">MEDIAN($F207)</f>
        <v>485</v>
      </c>
      <c r="AM207" s="1" t="n">
        <f aca="false">MEDIAN($G207)</f>
        <v>0</v>
      </c>
      <c r="AN207" s="1" t="n">
        <f aca="false">MEDIAN($H207)</f>
        <v>1</v>
      </c>
      <c r="AO207" s="1" t="n">
        <f aca="false">MEDIAN($I207)</f>
        <v>7.176</v>
      </c>
      <c r="AP207" s="1" t="n">
        <f aca="false">MEDIAN($J207)</f>
        <v>7.35</v>
      </c>
      <c r="AQ207" s="1" t="n">
        <f aca="false">MEDIAN($K207)</f>
        <v>0</v>
      </c>
      <c r="AR207" s="1" t="n">
        <f aca="false">MEDIAN($M207)</f>
        <v>1696163</v>
      </c>
      <c r="AS207" s="1" t="n">
        <f aca="false">MEDIAN($N207)</f>
        <v>0.06</v>
      </c>
      <c r="AT207" s="1" t="n">
        <f aca="false">MEDIAN($P207)</f>
        <v>7.35</v>
      </c>
      <c r="AU207" s="1" t="n">
        <f aca="false">MEDIAN($Q207)</f>
        <v>0</v>
      </c>
      <c r="AV207" s="1" t="n">
        <f aca="false">MEDIAN($R207)</f>
        <v>485549</v>
      </c>
      <c r="AW207" s="1" t="n">
        <f aca="false">MAX($B207)</f>
        <v>3104</v>
      </c>
      <c r="AX207" s="1" t="n">
        <f aca="false">MAX($C207)</f>
        <v>9</v>
      </c>
      <c r="AY207" s="1" t="n">
        <f aca="false">MAX($D207)</f>
        <v>380575</v>
      </c>
      <c r="AZ207" s="1" t="n">
        <f aca="false">MAX($E207)</f>
        <v>0</v>
      </c>
      <c r="BA207" s="1" t="n">
        <f aca="false">MAX($F207)</f>
        <v>485</v>
      </c>
      <c r="BB207" s="1" t="n">
        <f aca="false">MAX($G207)</f>
        <v>0</v>
      </c>
      <c r="BC207" s="1" t="n">
        <f aca="false">MAX($H207)</f>
        <v>1</v>
      </c>
      <c r="BD207" s="1" t="n">
        <f aca="false">MAX($I207)</f>
        <v>7.176</v>
      </c>
      <c r="BE207" s="1" t="n">
        <f aca="false">MAX($J207)</f>
        <v>7.35</v>
      </c>
      <c r="BF207" s="1" t="n">
        <f aca="false">MAX($K207)</f>
        <v>0</v>
      </c>
      <c r="BG207" s="1" t="n">
        <f aca="false">MAX($M207)</f>
        <v>1696163</v>
      </c>
      <c r="BH207" s="1" t="n">
        <f aca="false">MAX($N207)</f>
        <v>0.06</v>
      </c>
      <c r="BI207" s="1" t="n">
        <f aca="false">MAX($P207)</f>
        <v>7.35</v>
      </c>
      <c r="BJ207" s="1" t="n">
        <f aca="false">MAX($Q207)</f>
        <v>0</v>
      </c>
      <c r="BK207" s="1" t="n">
        <f aca="false">MAX($R207)</f>
        <v>485549</v>
      </c>
    </row>
    <row r="208" customFormat="false" ht="15" hidden="false" customHeight="false" outlineLevel="0" collapsed="false">
      <c r="A208" s="1" t="s">
        <v>225</v>
      </c>
      <c r="B208" s="1" t="n">
        <f aca="false" t="array" ref="B208:B208">_xlfn.SWITCH($A$2,"average", AVERAGE(Instances!B208:B208),"median", MEDIAN(Instances!B208:B208),"min", MIN(Instances!B208:B208),"max", MAX(Instances!B208:B208),"diff", MAX(Instances!B208:B208)-MIN(Instances!B208:B208))</f>
        <v>1299</v>
      </c>
      <c r="C208" s="1" t="n">
        <f aca="false" t="array" ref="C208:C208">_xlfn.SWITCH($A$2,"average", AVERAGE(Instances!C208:C208),"median", MEDIAN(Instances!C208:C208),"min", MIN(Instances!C208:C208),"max", MAX(Instances!C208:C208),"diff", MAX(Instances!C208:C208)-MIN(Instances!C208:C208))</f>
        <v>6</v>
      </c>
      <c r="D208" s="1" t="n">
        <f aca="false" t="array" ref="D208:D208">_xlfn.SWITCH($A$2,"average", AVERAGE(Instances!D208:D208),"median", MEDIAN(Instances!D208:D208),"min", MIN(Instances!D208:D208),"max", MAX(Instances!D208:D208),"diff", MAX(Instances!D208:D208)-MIN(Instances!D208:D208))</f>
        <v>396889</v>
      </c>
      <c r="E208" s="1" t="n">
        <f aca="false" t="array" ref="E208:E208">_xlfn.SWITCH($A$2,"average", AVERAGE(Instances!E208:E208),"median", MEDIAN(Instances!E208:E208),"min", MIN(Instances!E208:E208),"max", MAX(Instances!E208:E208),"diff", MAX(Instances!E208:E208)-MIN(Instances!E208:E208))</f>
        <v>0</v>
      </c>
      <c r="F208" s="1" t="n">
        <f aca="false" t="array" ref="F208:F208">_xlfn.SWITCH($A$2,"average", AVERAGE(Instances!F208:F208),"median", MEDIAN(Instances!F208:F208),"min", MIN(Instances!F208:F208),"max", MAX(Instances!F208:F208),"diff", MAX(Instances!F208:F208)-MIN(Instances!F208:F208))</f>
        <v>522</v>
      </c>
      <c r="G208" s="1" t="n">
        <f aca="false" t="array" ref="G208:G208">_xlfn.SWITCH($A$2,"average", AVERAGE(Instances!G208:G208),"median", MEDIAN(Instances!G208:G208),"min", MIN(Instances!G208:G208),"max", MAX(Instances!G208:G208),"diff", MAX(Instances!G208:G208)-MIN(Instances!G208:G208))</f>
        <v>0</v>
      </c>
      <c r="H208" s="1" t="n">
        <f aca="false" t="array" ref="H208:H208">_xlfn.SWITCH($A$2,"average", AVERAGE(Instances!H208:H208),"median", MEDIAN(Instances!H208:H208),"min", MIN(Instances!H208:H208),"max", MAX(Instances!H208:H208),"diff", MAX(Instances!H208:H208)-MIN(Instances!H208:H208))</f>
        <v>1</v>
      </c>
      <c r="I208" s="1" t="n">
        <f aca="false" t="array" ref="I208:I208">_xlfn.SWITCH($A$2,"average", AVERAGE(Instances!I208:I208),"median", MEDIAN(Instances!I208:I208),"min", MIN(Instances!I208:I208),"max", MAX(Instances!I208:I208),"diff", MAX(Instances!I208:I208)-MIN(Instances!I208:I208))</f>
        <v>7.107</v>
      </c>
      <c r="J208" s="1" t="n">
        <f aca="false" t="array" ref="J208:J208">_xlfn.SWITCH($A$2,"average", AVERAGE(Instances!J208:J208),"median", MEDIAN(Instances!J208:J208),"min", MIN(Instances!J208:J208),"max", MAX(Instances!J208:J208),"diff", MAX(Instances!J208:J208)-MIN(Instances!J208:J208))</f>
        <v>7.27</v>
      </c>
      <c r="K208" s="1" t="n">
        <f aca="false" t="array" ref="K208:K208">_xlfn.SWITCH($A$2,"average", AVERAGE(Instances!K208:K208),"median", MEDIAN(Instances!K208:K208),"min", MIN(Instances!K208:K208),"max", MAX(Instances!K208:K208),"diff", MAX(Instances!K208:K208)-MIN(Instances!K208:K208))</f>
        <v>0</v>
      </c>
      <c r="L208" s="1"/>
      <c r="M208" s="1" t="n">
        <f aca="false" t="array" ref="M208:M208">_xlfn.SWITCH($A$2,"average", AVERAGE(Instances!M208:M208),"median", MEDIAN(Instances!M208:M208),"min", MIN(Instances!M208:M208),"max", MAX(Instances!M208:M208),"diff", MAX(Instances!M208:M208)-MIN(Instances!M208:M208))</f>
        <v>1858967</v>
      </c>
      <c r="N208" s="1" t="n">
        <f aca="false" t="array" ref="N208:N208">_xlfn.SWITCH($A$2,"average", AVERAGE(Instances!N208:N208),"median", MEDIAN(Instances!N208:N208),"min", MIN(Instances!N208:N208),"max", MAX(Instances!N208:N208),"diff", MAX(Instances!N208:N208)-MIN(Instances!N208:N208))</f>
        <v>0.04</v>
      </c>
      <c r="O208" s="1"/>
      <c r="P208" s="1" t="n">
        <f aca="false" t="array" ref="P208:P208">_xlfn.SWITCH($A$2,"average", AVERAGE(Instances!P208:P208),"median", MEDIAN(Instances!P208:P208),"min", MIN(Instances!P208:P208),"max", MAX(Instances!P208:P208),"diff", MAX(Instances!P208:P208)-MIN(Instances!P208:P208))</f>
        <v>7.27</v>
      </c>
      <c r="Q208" s="1" t="n">
        <f aca="false" t="array" ref="Q208:Q208">_xlfn.SWITCH($A$2,"average", AVERAGE(Instances!Q208:Q208),"median", MEDIAN(Instances!Q208:Q208),"min", MIN(Instances!Q208:Q208),"max", MAX(Instances!Q208:Q208),"diff", MAX(Instances!Q208:Q208)-MIN(Instances!Q208:Q208))</f>
        <v>0</v>
      </c>
      <c r="R208" s="1" t="n">
        <f aca="false" t="array" ref="R208:R208">_xlfn.SWITCH($A$2,"average", AVERAGE(Instances!R208:R208),"median", MEDIAN(Instances!R208:R208),"min", MIN(Instances!R208:R208),"max", MAX(Instances!R208:R208),"diff", MAX(Instances!R208:R208)-MIN(Instances!R208:R208))</f>
        <v>524380</v>
      </c>
      <c r="S208" s="1" t="n">
        <f aca="false">MIN($B208)</f>
        <v>1299</v>
      </c>
      <c r="T208" s="1" t="n">
        <f aca="false">MIN($C208)</f>
        <v>6</v>
      </c>
      <c r="U208" s="1" t="n">
        <f aca="false">MIN($D208)</f>
        <v>396889</v>
      </c>
      <c r="V208" s="1" t="n">
        <f aca="false">MIN($E208)</f>
        <v>0</v>
      </c>
      <c r="W208" s="1" t="n">
        <f aca="false">MIN($F208)</f>
        <v>522</v>
      </c>
      <c r="X208" s="1" t="n">
        <f aca="false">MIN($G208)</f>
        <v>0</v>
      </c>
      <c r="Y208" s="1" t="n">
        <f aca="false">MIN($H208)</f>
        <v>1</v>
      </c>
      <c r="Z208" s="1" t="n">
        <f aca="false">MIN($I208)</f>
        <v>7.107</v>
      </c>
      <c r="AA208" s="1" t="n">
        <f aca="false">MIN($J208)</f>
        <v>7.27</v>
      </c>
      <c r="AB208" s="1" t="n">
        <f aca="false">MIN($K208)</f>
        <v>0</v>
      </c>
      <c r="AC208" s="1" t="n">
        <f aca="false">MIN($M208)</f>
        <v>1858967</v>
      </c>
      <c r="AD208" s="1" t="n">
        <f aca="false">MIN($N208)</f>
        <v>0.04</v>
      </c>
      <c r="AE208" s="1" t="n">
        <f aca="false">MIN($P208)</f>
        <v>7.27</v>
      </c>
      <c r="AF208" s="1" t="n">
        <f aca="false">MIN($Q208)</f>
        <v>0</v>
      </c>
      <c r="AG208" s="1" t="n">
        <f aca="false">MIN($R208)</f>
        <v>524380</v>
      </c>
      <c r="AH208" s="1" t="n">
        <f aca="false">MEDIAN($B208)</f>
        <v>1299</v>
      </c>
      <c r="AI208" s="1" t="n">
        <f aca="false">MEDIAN($C208)</f>
        <v>6</v>
      </c>
      <c r="AJ208" s="1" t="n">
        <f aca="false">MEDIAN($D208)</f>
        <v>396889</v>
      </c>
      <c r="AK208" s="1" t="n">
        <f aca="false">MEDIAN($E208)</f>
        <v>0</v>
      </c>
      <c r="AL208" s="1" t="n">
        <f aca="false">MEDIAN($F208)</f>
        <v>522</v>
      </c>
      <c r="AM208" s="1" t="n">
        <f aca="false">MEDIAN($G208)</f>
        <v>0</v>
      </c>
      <c r="AN208" s="1" t="n">
        <f aca="false">MEDIAN($H208)</f>
        <v>1</v>
      </c>
      <c r="AO208" s="1" t="n">
        <f aca="false">MEDIAN($I208)</f>
        <v>7.107</v>
      </c>
      <c r="AP208" s="1" t="n">
        <f aca="false">MEDIAN($J208)</f>
        <v>7.27</v>
      </c>
      <c r="AQ208" s="1" t="n">
        <f aca="false">MEDIAN($K208)</f>
        <v>0</v>
      </c>
      <c r="AR208" s="1" t="n">
        <f aca="false">MEDIAN($M208)</f>
        <v>1858967</v>
      </c>
      <c r="AS208" s="1" t="n">
        <f aca="false">MEDIAN($N208)</f>
        <v>0.04</v>
      </c>
      <c r="AT208" s="1" t="n">
        <f aca="false">MEDIAN($P208)</f>
        <v>7.27</v>
      </c>
      <c r="AU208" s="1" t="n">
        <f aca="false">MEDIAN($Q208)</f>
        <v>0</v>
      </c>
      <c r="AV208" s="1" t="n">
        <f aca="false">MEDIAN($R208)</f>
        <v>524380</v>
      </c>
      <c r="AW208" s="1" t="n">
        <f aca="false">MAX($B208)</f>
        <v>1299</v>
      </c>
      <c r="AX208" s="1" t="n">
        <f aca="false">MAX($C208)</f>
        <v>6</v>
      </c>
      <c r="AY208" s="1" t="n">
        <f aca="false">MAX($D208)</f>
        <v>396889</v>
      </c>
      <c r="AZ208" s="1" t="n">
        <f aca="false">MAX($E208)</f>
        <v>0</v>
      </c>
      <c r="BA208" s="1" t="n">
        <f aca="false">MAX($F208)</f>
        <v>522</v>
      </c>
      <c r="BB208" s="1" t="n">
        <f aca="false">MAX($G208)</f>
        <v>0</v>
      </c>
      <c r="BC208" s="1" t="n">
        <f aca="false">MAX($H208)</f>
        <v>1</v>
      </c>
      <c r="BD208" s="1" t="n">
        <f aca="false">MAX($I208)</f>
        <v>7.107</v>
      </c>
      <c r="BE208" s="1" t="n">
        <f aca="false">MAX($J208)</f>
        <v>7.27</v>
      </c>
      <c r="BF208" s="1" t="n">
        <f aca="false">MAX($K208)</f>
        <v>0</v>
      </c>
      <c r="BG208" s="1" t="n">
        <f aca="false">MAX($M208)</f>
        <v>1858967</v>
      </c>
      <c r="BH208" s="1" t="n">
        <f aca="false">MAX($N208)</f>
        <v>0.04</v>
      </c>
      <c r="BI208" s="1" t="n">
        <f aca="false">MAX($P208)</f>
        <v>7.27</v>
      </c>
      <c r="BJ208" s="1" t="n">
        <f aca="false">MAX($Q208)</f>
        <v>0</v>
      </c>
      <c r="BK208" s="1" t="n">
        <f aca="false">MAX($R208)</f>
        <v>524380</v>
      </c>
    </row>
    <row r="209" customFormat="false" ht="15" hidden="false" customHeight="false" outlineLevel="0" collapsed="false">
      <c r="A209" s="1" t="s">
        <v>226</v>
      </c>
      <c r="B209" s="1" t="n">
        <f aca="false" t="array" ref="B209:B209">_xlfn.SWITCH($A$2,"average", AVERAGE(Instances!B209:B209),"median", MEDIAN(Instances!B209:B209),"min", MIN(Instances!B209:B209),"max", MAX(Instances!B209:B209),"diff", MAX(Instances!B209:B209)-MIN(Instances!B209:B209))</f>
        <v>1774</v>
      </c>
      <c r="C209" s="1" t="n">
        <f aca="false" t="array" ref="C209:C209">_xlfn.SWITCH($A$2,"average", AVERAGE(Instances!C209:C209),"median", MEDIAN(Instances!C209:C209),"min", MIN(Instances!C209:C209),"max", MAX(Instances!C209:C209),"diff", MAX(Instances!C209:C209)-MIN(Instances!C209:C209))</f>
        <v>8</v>
      </c>
      <c r="D209" s="1" t="n">
        <f aca="false" t="array" ref="D209:D209">_xlfn.SWITCH($A$2,"average", AVERAGE(Instances!D209:D209),"median", MEDIAN(Instances!D209:D209),"min", MIN(Instances!D209:D209),"max", MAX(Instances!D209:D209),"diff", MAX(Instances!D209:D209)-MIN(Instances!D209:D209))</f>
        <v>490229</v>
      </c>
      <c r="E209" s="1" t="n">
        <f aca="false" t="array" ref="E209:E209">_xlfn.SWITCH($A$2,"average", AVERAGE(Instances!E209:E209),"median", MEDIAN(Instances!E209:E209),"min", MIN(Instances!E209:E209),"max", MAX(Instances!E209:E209),"diff", MAX(Instances!E209:E209)-MIN(Instances!E209:E209))</f>
        <v>0</v>
      </c>
      <c r="F209" s="1" t="n">
        <f aca="false" t="array" ref="F209:F209">_xlfn.SWITCH($A$2,"average", AVERAGE(Instances!F209:F209),"median", MEDIAN(Instances!F209:F209),"min", MIN(Instances!F209:F209),"max", MAX(Instances!F209:F209),"diff", MAX(Instances!F209:F209)-MIN(Instances!F209:F209))</f>
        <v>545</v>
      </c>
      <c r="G209" s="1" t="n">
        <f aca="false" t="array" ref="G209:G209">_xlfn.SWITCH($A$2,"average", AVERAGE(Instances!G209:G209),"median", MEDIAN(Instances!G209:G209),"min", MIN(Instances!G209:G209),"max", MAX(Instances!G209:G209),"diff", MAX(Instances!G209:G209)-MIN(Instances!G209:G209))</f>
        <v>0</v>
      </c>
      <c r="H209" s="1" t="n">
        <f aca="false" t="array" ref="H209:H209">_xlfn.SWITCH($A$2,"average", AVERAGE(Instances!H209:H209),"median", MEDIAN(Instances!H209:H209),"min", MIN(Instances!H209:H209),"max", MAX(Instances!H209:H209),"diff", MAX(Instances!H209:H209)-MIN(Instances!H209:H209))</f>
        <v>1</v>
      </c>
      <c r="I209" s="1" t="n">
        <f aca="false" t="array" ref="I209:I209">_xlfn.SWITCH($A$2,"average", AVERAGE(Instances!I209:I209),"median", MEDIAN(Instances!I209:I209),"min", MIN(Instances!I209:I209),"max", MAX(Instances!I209:I209),"diff", MAX(Instances!I209:I209)-MIN(Instances!I209:I209))</f>
        <v>8.404</v>
      </c>
      <c r="J209" s="1" t="n">
        <f aca="false" t="array" ref="J209:J209">_xlfn.SWITCH($A$2,"average", AVERAGE(Instances!J209:J209),"median", MEDIAN(Instances!J209:J209),"min", MIN(Instances!J209:J209),"max", MAX(Instances!J209:J209),"diff", MAX(Instances!J209:J209)-MIN(Instances!J209:J209))</f>
        <v>8.61</v>
      </c>
      <c r="K209" s="1" t="n">
        <f aca="false" t="array" ref="K209:K209">_xlfn.SWITCH($A$2,"average", AVERAGE(Instances!K209:K209),"median", MEDIAN(Instances!K209:K209),"min", MIN(Instances!K209:K209),"max", MAX(Instances!K209:K209),"diff", MAX(Instances!K209:K209)-MIN(Instances!K209:K209))</f>
        <v>0</v>
      </c>
      <c r="L209" s="1"/>
      <c r="M209" s="1" t="n">
        <f aca="false" t="array" ref="M209:M209">_xlfn.SWITCH($A$2,"average", AVERAGE(Instances!M209:M209),"median", MEDIAN(Instances!M209:M209),"min", MIN(Instances!M209:M209),"max", MAX(Instances!M209:M209),"diff", MAX(Instances!M209:M209)-MIN(Instances!M209:M209))</f>
        <v>2008655</v>
      </c>
      <c r="N209" s="1" t="n">
        <f aca="false" t="array" ref="N209:N209">_xlfn.SWITCH($A$2,"average", AVERAGE(Instances!N209:N209),"median", MEDIAN(Instances!N209:N209),"min", MIN(Instances!N209:N209),"max", MAX(Instances!N209:N209),"diff", MAX(Instances!N209:N209)-MIN(Instances!N209:N209))</f>
        <v>0.06</v>
      </c>
      <c r="O209" s="1"/>
      <c r="P209" s="1" t="n">
        <f aca="false" t="array" ref="P209:P209">_xlfn.SWITCH($A$2,"average", AVERAGE(Instances!P209:P209),"median", MEDIAN(Instances!P209:P209),"min", MIN(Instances!P209:P209),"max", MAX(Instances!P209:P209),"diff", MAX(Instances!P209:P209)-MIN(Instances!P209:P209))</f>
        <v>8.61</v>
      </c>
      <c r="Q209" s="1" t="n">
        <f aca="false" t="array" ref="Q209:Q209">_xlfn.SWITCH($A$2,"average", AVERAGE(Instances!Q209:Q209),"median", MEDIAN(Instances!Q209:Q209),"min", MIN(Instances!Q209:Q209),"max", MAX(Instances!Q209:Q209),"diff", MAX(Instances!Q209:Q209)-MIN(Instances!Q209:Q209))</f>
        <v>0</v>
      </c>
      <c r="R209" s="1" t="n">
        <f aca="false" t="array" ref="R209:R209">_xlfn.SWITCH($A$2,"average", AVERAGE(Instances!R209:R209),"median", MEDIAN(Instances!R209:R209),"min", MIN(Instances!R209:R209),"max", MAX(Instances!R209:R209),"diff", MAX(Instances!R209:R209)-MIN(Instances!R209:R209))</f>
        <v>555629</v>
      </c>
      <c r="S209" s="1" t="n">
        <f aca="false">MIN($B209)</f>
        <v>1774</v>
      </c>
      <c r="T209" s="1" t="n">
        <f aca="false">MIN($C209)</f>
        <v>8</v>
      </c>
      <c r="U209" s="1" t="n">
        <f aca="false">MIN($D209)</f>
        <v>490229</v>
      </c>
      <c r="V209" s="1" t="n">
        <f aca="false">MIN($E209)</f>
        <v>0</v>
      </c>
      <c r="W209" s="1" t="n">
        <f aca="false">MIN($F209)</f>
        <v>545</v>
      </c>
      <c r="X209" s="1" t="n">
        <f aca="false">MIN($G209)</f>
        <v>0</v>
      </c>
      <c r="Y209" s="1" t="n">
        <f aca="false">MIN($H209)</f>
        <v>1</v>
      </c>
      <c r="Z209" s="1" t="n">
        <f aca="false">MIN($I209)</f>
        <v>8.404</v>
      </c>
      <c r="AA209" s="1" t="n">
        <f aca="false">MIN($J209)</f>
        <v>8.61</v>
      </c>
      <c r="AB209" s="1" t="n">
        <f aca="false">MIN($K209)</f>
        <v>0</v>
      </c>
      <c r="AC209" s="1" t="n">
        <f aca="false">MIN($M209)</f>
        <v>2008655</v>
      </c>
      <c r="AD209" s="1" t="n">
        <f aca="false">MIN($N209)</f>
        <v>0.06</v>
      </c>
      <c r="AE209" s="1" t="n">
        <f aca="false">MIN($P209)</f>
        <v>8.61</v>
      </c>
      <c r="AF209" s="1" t="n">
        <f aca="false">MIN($Q209)</f>
        <v>0</v>
      </c>
      <c r="AG209" s="1" t="n">
        <f aca="false">MIN($R209)</f>
        <v>555629</v>
      </c>
      <c r="AH209" s="1" t="n">
        <f aca="false">MEDIAN($B209)</f>
        <v>1774</v>
      </c>
      <c r="AI209" s="1" t="n">
        <f aca="false">MEDIAN($C209)</f>
        <v>8</v>
      </c>
      <c r="AJ209" s="1" t="n">
        <f aca="false">MEDIAN($D209)</f>
        <v>490229</v>
      </c>
      <c r="AK209" s="1" t="n">
        <f aca="false">MEDIAN($E209)</f>
        <v>0</v>
      </c>
      <c r="AL209" s="1" t="n">
        <f aca="false">MEDIAN($F209)</f>
        <v>545</v>
      </c>
      <c r="AM209" s="1" t="n">
        <f aca="false">MEDIAN($G209)</f>
        <v>0</v>
      </c>
      <c r="AN209" s="1" t="n">
        <f aca="false">MEDIAN($H209)</f>
        <v>1</v>
      </c>
      <c r="AO209" s="1" t="n">
        <f aca="false">MEDIAN($I209)</f>
        <v>8.404</v>
      </c>
      <c r="AP209" s="1" t="n">
        <f aca="false">MEDIAN($J209)</f>
        <v>8.61</v>
      </c>
      <c r="AQ209" s="1" t="n">
        <f aca="false">MEDIAN($K209)</f>
        <v>0</v>
      </c>
      <c r="AR209" s="1" t="n">
        <f aca="false">MEDIAN($M209)</f>
        <v>2008655</v>
      </c>
      <c r="AS209" s="1" t="n">
        <f aca="false">MEDIAN($N209)</f>
        <v>0.06</v>
      </c>
      <c r="AT209" s="1" t="n">
        <f aca="false">MEDIAN($P209)</f>
        <v>8.61</v>
      </c>
      <c r="AU209" s="1" t="n">
        <f aca="false">MEDIAN($Q209)</f>
        <v>0</v>
      </c>
      <c r="AV209" s="1" t="n">
        <f aca="false">MEDIAN($R209)</f>
        <v>555629</v>
      </c>
      <c r="AW209" s="1" t="n">
        <f aca="false">MAX($B209)</f>
        <v>1774</v>
      </c>
      <c r="AX209" s="1" t="n">
        <f aca="false">MAX($C209)</f>
        <v>8</v>
      </c>
      <c r="AY209" s="1" t="n">
        <f aca="false">MAX($D209)</f>
        <v>490229</v>
      </c>
      <c r="AZ209" s="1" t="n">
        <f aca="false">MAX($E209)</f>
        <v>0</v>
      </c>
      <c r="BA209" s="1" t="n">
        <f aca="false">MAX($F209)</f>
        <v>545</v>
      </c>
      <c r="BB209" s="1" t="n">
        <f aca="false">MAX($G209)</f>
        <v>0</v>
      </c>
      <c r="BC209" s="1" t="n">
        <f aca="false">MAX($H209)</f>
        <v>1</v>
      </c>
      <c r="BD209" s="1" t="n">
        <f aca="false">MAX($I209)</f>
        <v>8.404</v>
      </c>
      <c r="BE209" s="1" t="n">
        <f aca="false">MAX($J209)</f>
        <v>8.61</v>
      </c>
      <c r="BF209" s="1" t="n">
        <f aca="false">MAX($K209)</f>
        <v>0</v>
      </c>
      <c r="BG209" s="1" t="n">
        <f aca="false">MAX($M209)</f>
        <v>2008655</v>
      </c>
      <c r="BH209" s="1" t="n">
        <f aca="false">MAX($N209)</f>
        <v>0.06</v>
      </c>
      <c r="BI209" s="1" t="n">
        <f aca="false">MAX($P209)</f>
        <v>8.61</v>
      </c>
      <c r="BJ209" s="1" t="n">
        <f aca="false">MAX($Q209)</f>
        <v>0</v>
      </c>
      <c r="BK209" s="1" t="n">
        <f aca="false">MAX($R209)</f>
        <v>555629</v>
      </c>
    </row>
    <row r="210" customFormat="false" ht="15" hidden="false" customHeight="false" outlineLevel="0" collapsed="false">
      <c r="A210" s="1" t="s">
        <v>227</v>
      </c>
      <c r="B210" s="1" t="n">
        <f aca="false" t="array" ref="B210:B210">_xlfn.SWITCH($A$2,"average", AVERAGE(Instances!B210:B210),"median", MEDIAN(Instances!B210:B210),"min", MIN(Instances!B210:B210),"max", MAX(Instances!B210:B210),"diff", MAX(Instances!B210:B210)-MIN(Instances!B210:B210))</f>
        <v>4403</v>
      </c>
      <c r="C210" s="1" t="n">
        <f aca="false" t="array" ref="C210:C210">_xlfn.SWITCH($A$2,"average", AVERAGE(Instances!C210:C210),"median", MEDIAN(Instances!C210:C210),"min", MIN(Instances!C210:C210),"max", MAX(Instances!C210:C210),"diff", MAX(Instances!C210:C210)-MIN(Instances!C210:C210))</f>
        <v>11</v>
      </c>
      <c r="D210" s="1" t="n">
        <f aca="false" t="array" ref="D210:D210">_xlfn.SWITCH($A$2,"average", AVERAGE(Instances!D210:D210),"median", MEDIAN(Instances!D210:D210),"min", MIN(Instances!D210:D210),"max", MAX(Instances!D210:D210),"diff", MAX(Instances!D210:D210)-MIN(Instances!D210:D210))</f>
        <v>448273</v>
      </c>
      <c r="E210" s="1" t="n">
        <f aca="false" t="array" ref="E210:E210">_xlfn.SWITCH($A$2,"average", AVERAGE(Instances!E210:E210),"median", MEDIAN(Instances!E210:E210),"min", MIN(Instances!E210:E210),"max", MAX(Instances!E210:E210),"diff", MAX(Instances!E210:E210)-MIN(Instances!E210:E210))</f>
        <v>0</v>
      </c>
      <c r="F210" s="1" t="n">
        <f aca="false" t="array" ref="F210:F210">_xlfn.SWITCH($A$2,"average", AVERAGE(Instances!F210:F210),"median", MEDIAN(Instances!F210:F210),"min", MIN(Instances!F210:F210),"max", MAX(Instances!F210:F210),"diff", MAX(Instances!F210:F210)-MIN(Instances!F210:F210))</f>
        <v>473</v>
      </c>
      <c r="G210" s="1" t="n">
        <f aca="false" t="array" ref="G210:G210">_xlfn.SWITCH($A$2,"average", AVERAGE(Instances!G210:G210),"median", MEDIAN(Instances!G210:G210),"min", MIN(Instances!G210:G210),"max", MAX(Instances!G210:G210),"diff", MAX(Instances!G210:G210)-MIN(Instances!G210:G210))</f>
        <v>0</v>
      </c>
      <c r="H210" s="1" t="n">
        <f aca="false" t="array" ref="H210:H210">_xlfn.SWITCH($A$2,"average", AVERAGE(Instances!H210:H210),"median", MEDIAN(Instances!H210:H210),"min", MIN(Instances!H210:H210),"max", MAX(Instances!H210:H210),"diff", MAX(Instances!H210:H210)-MIN(Instances!H210:H210))</f>
        <v>1</v>
      </c>
      <c r="I210" s="1" t="n">
        <f aca="false" t="array" ref="I210:I210">_xlfn.SWITCH($A$2,"average", AVERAGE(Instances!I210:I210),"median", MEDIAN(Instances!I210:I210),"min", MIN(Instances!I210:I210),"max", MAX(Instances!I210:I210),"diff", MAX(Instances!I210:I210)-MIN(Instances!I210:I210))</f>
        <v>6.903</v>
      </c>
      <c r="J210" s="1" t="n">
        <f aca="false" t="array" ref="J210:J210">_xlfn.SWITCH($A$2,"average", AVERAGE(Instances!J210:J210),"median", MEDIAN(Instances!J210:J210),"min", MIN(Instances!J210:J210),"max", MAX(Instances!J210:J210),"diff", MAX(Instances!J210:J210)-MIN(Instances!J210:J210))</f>
        <v>7.07</v>
      </c>
      <c r="K210" s="1" t="n">
        <f aca="false" t="array" ref="K210:K210">_xlfn.SWITCH($A$2,"average", AVERAGE(Instances!K210:K210),"median", MEDIAN(Instances!K210:K210),"min", MIN(Instances!K210:K210),"max", MAX(Instances!K210:K210),"diff", MAX(Instances!K210:K210)-MIN(Instances!K210:K210))</f>
        <v>0</v>
      </c>
      <c r="L210" s="1"/>
      <c r="M210" s="1" t="n">
        <f aca="false" t="array" ref="M210:M210">_xlfn.SWITCH($A$2,"average", AVERAGE(Instances!M210:M210),"median", MEDIAN(Instances!M210:M210),"min", MIN(Instances!M210:M210),"max", MAX(Instances!M210:M210),"diff", MAX(Instances!M210:M210)-MIN(Instances!M210:M210))</f>
        <v>1659329</v>
      </c>
      <c r="N210" s="1" t="n">
        <f aca="false" t="array" ref="N210:N210">_xlfn.SWITCH($A$2,"average", AVERAGE(Instances!N210:N210),"median", MEDIAN(Instances!N210:N210),"min", MIN(Instances!N210:N210),"max", MAX(Instances!N210:N210),"diff", MAX(Instances!N210:N210)-MIN(Instances!N210:N210))</f>
        <v>0.07</v>
      </c>
      <c r="O210" s="1"/>
      <c r="P210" s="1" t="n">
        <f aca="false" t="array" ref="P210:P210">_xlfn.SWITCH($A$2,"average", AVERAGE(Instances!P210:P210),"median", MEDIAN(Instances!P210:P210),"min", MIN(Instances!P210:P210),"max", MAX(Instances!P210:P210),"diff", MAX(Instances!P210:P210)-MIN(Instances!P210:P210))</f>
        <v>7.07</v>
      </c>
      <c r="Q210" s="1" t="n">
        <f aca="false" t="array" ref="Q210:Q210">_xlfn.SWITCH($A$2,"average", AVERAGE(Instances!Q210:Q210),"median", MEDIAN(Instances!Q210:Q210),"min", MIN(Instances!Q210:Q210),"max", MAX(Instances!Q210:Q210),"diff", MAX(Instances!Q210:Q210)-MIN(Instances!Q210:Q210))</f>
        <v>0</v>
      </c>
      <c r="R210" s="1" t="n">
        <f aca="false" t="array" ref="R210:R210">_xlfn.SWITCH($A$2,"average", AVERAGE(Instances!R210:R210),"median", MEDIAN(Instances!R210:R210),"min", MIN(Instances!R210:R210),"max", MAX(Instances!R210:R210),"diff", MAX(Instances!R210:R210)-MIN(Instances!R210:R210))</f>
        <v>474184</v>
      </c>
      <c r="S210" s="1" t="n">
        <f aca="false">MIN($B210)</f>
        <v>4403</v>
      </c>
      <c r="T210" s="1" t="n">
        <f aca="false">MIN($C210)</f>
        <v>11</v>
      </c>
      <c r="U210" s="1" t="n">
        <f aca="false">MIN($D210)</f>
        <v>448273</v>
      </c>
      <c r="V210" s="1" t="n">
        <f aca="false">MIN($E210)</f>
        <v>0</v>
      </c>
      <c r="W210" s="1" t="n">
        <f aca="false">MIN($F210)</f>
        <v>473</v>
      </c>
      <c r="X210" s="1" t="n">
        <f aca="false">MIN($G210)</f>
        <v>0</v>
      </c>
      <c r="Y210" s="1" t="n">
        <f aca="false">MIN($H210)</f>
        <v>1</v>
      </c>
      <c r="Z210" s="1" t="n">
        <f aca="false">MIN($I210)</f>
        <v>6.903</v>
      </c>
      <c r="AA210" s="1" t="n">
        <f aca="false">MIN($J210)</f>
        <v>7.07</v>
      </c>
      <c r="AB210" s="1" t="n">
        <f aca="false">MIN($K210)</f>
        <v>0</v>
      </c>
      <c r="AC210" s="1" t="n">
        <f aca="false">MIN($M210)</f>
        <v>1659329</v>
      </c>
      <c r="AD210" s="1" t="n">
        <f aca="false">MIN($N210)</f>
        <v>0.07</v>
      </c>
      <c r="AE210" s="1" t="n">
        <f aca="false">MIN($P210)</f>
        <v>7.07</v>
      </c>
      <c r="AF210" s="1" t="n">
        <f aca="false">MIN($Q210)</f>
        <v>0</v>
      </c>
      <c r="AG210" s="1" t="n">
        <f aca="false">MIN($R210)</f>
        <v>474184</v>
      </c>
      <c r="AH210" s="1" t="n">
        <f aca="false">MEDIAN($B210)</f>
        <v>4403</v>
      </c>
      <c r="AI210" s="1" t="n">
        <f aca="false">MEDIAN($C210)</f>
        <v>11</v>
      </c>
      <c r="AJ210" s="1" t="n">
        <f aca="false">MEDIAN($D210)</f>
        <v>448273</v>
      </c>
      <c r="AK210" s="1" t="n">
        <f aca="false">MEDIAN($E210)</f>
        <v>0</v>
      </c>
      <c r="AL210" s="1" t="n">
        <f aca="false">MEDIAN($F210)</f>
        <v>473</v>
      </c>
      <c r="AM210" s="1" t="n">
        <f aca="false">MEDIAN($G210)</f>
        <v>0</v>
      </c>
      <c r="AN210" s="1" t="n">
        <f aca="false">MEDIAN($H210)</f>
        <v>1</v>
      </c>
      <c r="AO210" s="1" t="n">
        <f aca="false">MEDIAN($I210)</f>
        <v>6.903</v>
      </c>
      <c r="AP210" s="1" t="n">
        <f aca="false">MEDIAN($J210)</f>
        <v>7.07</v>
      </c>
      <c r="AQ210" s="1" t="n">
        <f aca="false">MEDIAN($K210)</f>
        <v>0</v>
      </c>
      <c r="AR210" s="1" t="n">
        <f aca="false">MEDIAN($M210)</f>
        <v>1659329</v>
      </c>
      <c r="AS210" s="1" t="n">
        <f aca="false">MEDIAN($N210)</f>
        <v>0.07</v>
      </c>
      <c r="AT210" s="1" t="n">
        <f aca="false">MEDIAN($P210)</f>
        <v>7.07</v>
      </c>
      <c r="AU210" s="1" t="n">
        <f aca="false">MEDIAN($Q210)</f>
        <v>0</v>
      </c>
      <c r="AV210" s="1" t="n">
        <f aca="false">MEDIAN($R210)</f>
        <v>474184</v>
      </c>
      <c r="AW210" s="1" t="n">
        <f aca="false">MAX($B210)</f>
        <v>4403</v>
      </c>
      <c r="AX210" s="1" t="n">
        <f aca="false">MAX($C210)</f>
        <v>11</v>
      </c>
      <c r="AY210" s="1" t="n">
        <f aca="false">MAX($D210)</f>
        <v>448273</v>
      </c>
      <c r="AZ210" s="1" t="n">
        <f aca="false">MAX($E210)</f>
        <v>0</v>
      </c>
      <c r="BA210" s="1" t="n">
        <f aca="false">MAX($F210)</f>
        <v>473</v>
      </c>
      <c r="BB210" s="1" t="n">
        <f aca="false">MAX($G210)</f>
        <v>0</v>
      </c>
      <c r="BC210" s="1" t="n">
        <f aca="false">MAX($H210)</f>
        <v>1</v>
      </c>
      <c r="BD210" s="1" t="n">
        <f aca="false">MAX($I210)</f>
        <v>6.903</v>
      </c>
      <c r="BE210" s="1" t="n">
        <f aca="false">MAX($J210)</f>
        <v>7.07</v>
      </c>
      <c r="BF210" s="1" t="n">
        <f aca="false">MAX($K210)</f>
        <v>0</v>
      </c>
      <c r="BG210" s="1" t="n">
        <f aca="false">MAX($M210)</f>
        <v>1659329</v>
      </c>
      <c r="BH210" s="1" t="n">
        <f aca="false">MAX($N210)</f>
        <v>0.07</v>
      </c>
      <c r="BI210" s="1" t="n">
        <f aca="false">MAX($P210)</f>
        <v>7.07</v>
      </c>
      <c r="BJ210" s="1" t="n">
        <f aca="false">MAX($Q210)</f>
        <v>0</v>
      </c>
      <c r="BK210" s="1" t="n">
        <f aca="false">MAX($R210)</f>
        <v>474184</v>
      </c>
    </row>
    <row r="211" customFormat="false" ht="15" hidden="false" customHeight="false" outlineLevel="0" collapsed="false">
      <c r="A211" s="1" t="s">
        <v>228</v>
      </c>
      <c r="B211" s="1" t="n">
        <f aca="false" t="array" ref="B211:B211">_xlfn.SWITCH($A$2,"average", AVERAGE(Instances!B211:B211),"median", MEDIAN(Instances!B211:B211),"min", MIN(Instances!B211:B211),"max", MAX(Instances!B211:B211),"diff", MAX(Instances!B211:B211)-MIN(Instances!B211:B211))</f>
        <v>3041</v>
      </c>
      <c r="C211" s="1" t="n">
        <f aca="false" t="array" ref="C211:C211">_xlfn.SWITCH($A$2,"average", AVERAGE(Instances!C211:C211),"median", MEDIAN(Instances!C211:C211),"min", MIN(Instances!C211:C211),"max", MAX(Instances!C211:C211),"diff", MAX(Instances!C211:C211)-MIN(Instances!C211:C211))</f>
        <v>9</v>
      </c>
      <c r="D211" s="1" t="n">
        <f aca="false" t="array" ref="D211:D211">_xlfn.SWITCH($A$2,"average", AVERAGE(Instances!D211:D211),"median", MEDIAN(Instances!D211:D211),"min", MIN(Instances!D211:D211),"max", MAX(Instances!D211:D211),"diff", MAX(Instances!D211:D211)-MIN(Instances!D211:D211))</f>
        <v>378622</v>
      </c>
      <c r="E211" s="1" t="n">
        <f aca="false" t="array" ref="E211:E211">_xlfn.SWITCH($A$2,"average", AVERAGE(Instances!E211:E211),"median", MEDIAN(Instances!E211:E211),"min", MIN(Instances!E211:E211),"max", MAX(Instances!E211:E211),"diff", MAX(Instances!E211:E211)-MIN(Instances!E211:E211))</f>
        <v>0</v>
      </c>
      <c r="F211" s="1" t="n">
        <f aca="false" t="array" ref="F211:F211">_xlfn.SWITCH($A$2,"average", AVERAGE(Instances!F211:F211),"median", MEDIAN(Instances!F211:F211),"min", MIN(Instances!F211:F211),"max", MAX(Instances!F211:F211),"diff", MAX(Instances!F211:F211)-MIN(Instances!F211:F211))</f>
        <v>555</v>
      </c>
      <c r="G211" s="1" t="n">
        <f aca="false" t="array" ref="G211:G211">_xlfn.SWITCH($A$2,"average", AVERAGE(Instances!G211:G211),"median", MEDIAN(Instances!G211:G211),"min", MIN(Instances!G211:G211),"max", MAX(Instances!G211:G211),"diff", MAX(Instances!G211:G211)-MIN(Instances!G211:G211))</f>
        <v>0</v>
      </c>
      <c r="H211" s="1" t="n">
        <f aca="false" t="array" ref="H211:H211">_xlfn.SWITCH($A$2,"average", AVERAGE(Instances!H211:H211),"median", MEDIAN(Instances!H211:H211),"min", MIN(Instances!H211:H211),"max", MAX(Instances!H211:H211),"diff", MAX(Instances!H211:H211)-MIN(Instances!H211:H211))</f>
        <v>1</v>
      </c>
      <c r="I211" s="1" t="n">
        <f aca="false" t="array" ref="I211:I211">_xlfn.SWITCH($A$2,"average", AVERAGE(Instances!I211:I211),"median", MEDIAN(Instances!I211:I211),"min", MIN(Instances!I211:I211),"max", MAX(Instances!I211:I211),"diff", MAX(Instances!I211:I211)-MIN(Instances!I211:I211))</f>
        <v>8.746</v>
      </c>
      <c r="J211" s="1" t="n">
        <f aca="false" t="array" ref="J211:J211">_xlfn.SWITCH($A$2,"average", AVERAGE(Instances!J211:J211),"median", MEDIAN(Instances!J211:J211),"min", MIN(Instances!J211:J211),"max", MAX(Instances!J211:J211),"diff", MAX(Instances!J211:J211)-MIN(Instances!J211:J211))</f>
        <v>8.95</v>
      </c>
      <c r="K211" s="1" t="n">
        <f aca="false" t="array" ref="K211:K211">_xlfn.SWITCH($A$2,"average", AVERAGE(Instances!K211:K211),"median", MEDIAN(Instances!K211:K211),"min", MIN(Instances!K211:K211),"max", MAX(Instances!K211:K211),"diff", MAX(Instances!K211:K211)-MIN(Instances!K211:K211))</f>
        <v>0</v>
      </c>
      <c r="L211" s="1"/>
      <c r="M211" s="1" t="n">
        <f aca="false" t="array" ref="M211:M211">_xlfn.SWITCH($A$2,"average", AVERAGE(Instances!M211:M211),"median", MEDIAN(Instances!M211:M211),"min", MIN(Instances!M211:M211),"max", MAX(Instances!M211:M211),"diff", MAX(Instances!M211:M211)-MIN(Instances!M211:M211))</f>
        <v>2107406</v>
      </c>
      <c r="N211" s="1" t="n">
        <f aca="false" t="array" ref="N211:N211">_xlfn.SWITCH($A$2,"average", AVERAGE(Instances!N211:N211),"median", MEDIAN(Instances!N211:N211),"min", MIN(Instances!N211:N211),"max", MAX(Instances!N211:N211),"diff", MAX(Instances!N211:N211)-MIN(Instances!N211:N211))</f>
        <v>0.06</v>
      </c>
      <c r="O211" s="1"/>
      <c r="P211" s="1" t="n">
        <f aca="false" t="array" ref="P211:P211">_xlfn.SWITCH($A$2,"average", AVERAGE(Instances!P211:P211),"median", MEDIAN(Instances!P211:P211),"min", MIN(Instances!P211:P211),"max", MAX(Instances!P211:P211),"diff", MAX(Instances!P211:P211)-MIN(Instances!P211:P211))</f>
        <v>8.95</v>
      </c>
      <c r="Q211" s="1" t="n">
        <f aca="false" t="array" ref="Q211:Q211">_xlfn.SWITCH($A$2,"average", AVERAGE(Instances!Q211:Q211),"median", MEDIAN(Instances!Q211:Q211),"min", MIN(Instances!Q211:Q211),"max", MAX(Instances!Q211:Q211),"diff", MAX(Instances!Q211:Q211)-MIN(Instances!Q211:Q211))</f>
        <v>0</v>
      </c>
      <c r="R211" s="1" t="n">
        <f aca="false" t="array" ref="R211:R211">_xlfn.SWITCH($A$2,"average", AVERAGE(Instances!R211:R211),"median", MEDIAN(Instances!R211:R211),"min", MIN(Instances!R211:R211),"max", MAX(Instances!R211:R211),"diff", MAX(Instances!R211:R211)-MIN(Instances!R211:R211))</f>
        <v>559843</v>
      </c>
      <c r="S211" s="1" t="n">
        <f aca="false">MIN($B211)</f>
        <v>3041</v>
      </c>
      <c r="T211" s="1" t="n">
        <f aca="false">MIN($C211)</f>
        <v>9</v>
      </c>
      <c r="U211" s="1" t="n">
        <f aca="false">MIN($D211)</f>
        <v>378622</v>
      </c>
      <c r="V211" s="1" t="n">
        <f aca="false">MIN($E211)</f>
        <v>0</v>
      </c>
      <c r="W211" s="1" t="n">
        <f aca="false">MIN($F211)</f>
        <v>555</v>
      </c>
      <c r="X211" s="1" t="n">
        <f aca="false">MIN($G211)</f>
        <v>0</v>
      </c>
      <c r="Y211" s="1" t="n">
        <f aca="false">MIN($H211)</f>
        <v>1</v>
      </c>
      <c r="Z211" s="1" t="n">
        <f aca="false">MIN($I211)</f>
        <v>8.746</v>
      </c>
      <c r="AA211" s="1" t="n">
        <f aca="false">MIN($J211)</f>
        <v>8.95</v>
      </c>
      <c r="AB211" s="1" t="n">
        <f aca="false">MIN($K211)</f>
        <v>0</v>
      </c>
      <c r="AC211" s="1" t="n">
        <f aca="false">MIN($M211)</f>
        <v>2107406</v>
      </c>
      <c r="AD211" s="1" t="n">
        <f aca="false">MIN($N211)</f>
        <v>0.06</v>
      </c>
      <c r="AE211" s="1" t="n">
        <f aca="false">MIN($P211)</f>
        <v>8.95</v>
      </c>
      <c r="AF211" s="1" t="n">
        <f aca="false">MIN($Q211)</f>
        <v>0</v>
      </c>
      <c r="AG211" s="1" t="n">
        <f aca="false">MIN($R211)</f>
        <v>559843</v>
      </c>
      <c r="AH211" s="1" t="n">
        <f aca="false">MEDIAN($B211)</f>
        <v>3041</v>
      </c>
      <c r="AI211" s="1" t="n">
        <f aca="false">MEDIAN($C211)</f>
        <v>9</v>
      </c>
      <c r="AJ211" s="1" t="n">
        <f aca="false">MEDIAN($D211)</f>
        <v>378622</v>
      </c>
      <c r="AK211" s="1" t="n">
        <f aca="false">MEDIAN($E211)</f>
        <v>0</v>
      </c>
      <c r="AL211" s="1" t="n">
        <f aca="false">MEDIAN($F211)</f>
        <v>555</v>
      </c>
      <c r="AM211" s="1" t="n">
        <f aca="false">MEDIAN($G211)</f>
        <v>0</v>
      </c>
      <c r="AN211" s="1" t="n">
        <f aca="false">MEDIAN($H211)</f>
        <v>1</v>
      </c>
      <c r="AO211" s="1" t="n">
        <f aca="false">MEDIAN($I211)</f>
        <v>8.746</v>
      </c>
      <c r="AP211" s="1" t="n">
        <f aca="false">MEDIAN($J211)</f>
        <v>8.95</v>
      </c>
      <c r="AQ211" s="1" t="n">
        <f aca="false">MEDIAN($K211)</f>
        <v>0</v>
      </c>
      <c r="AR211" s="1" t="n">
        <f aca="false">MEDIAN($M211)</f>
        <v>2107406</v>
      </c>
      <c r="AS211" s="1" t="n">
        <f aca="false">MEDIAN($N211)</f>
        <v>0.06</v>
      </c>
      <c r="AT211" s="1" t="n">
        <f aca="false">MEDIAN($P211)</f>
        <v>8.95</v>
      </c>
      <c r="AU211" s="1" t="n">
        <f aca="false">MEDIAN($Q211)</f>
        <v>0</v>
      </c>
      <c r="AV211" s="1" t="n">
        <f aca="false">MEDIAN($R211)</f>
        <v>559843</v>
      </c>
      <c r="AW211" s="1" t="n">
        <f aca="false">MAX($B211)</f>
        <v>3041</v>
      </c>
      <c r="AX211" s="1" t="n">
        <f aca="false">MAX($C211)</f>
        <v>9</v>
      </c>
      <c r="AY211" s="1" t="n">
        <f aca="false">MAX($D211)</f>
        <v>378622</v>
      </c>
      <c r="AZ211" s="1" t="n">
        <f aca="false">MAX($E211)</f>
        <v>0</v>
      </c>
      <c r="BA211" s="1" t="n">
        <f aca="false">MAX($F211)</f>
        <v>555</v>
      </c>
      <c r="BB211" s="1" t="n">
        <f aca="false">MAX($G211)</f>
        <v>0</v>
      </c>
      <c r="BC211" s="1" t="n">
        <f aca="false">MAX($H211)</f>
        <v>1</v>
      </c>
      <c r="BD211" s="1" t="n">
        <f aca="false">MAX($I211)</f>
        <v>8.746</v>
      </c>
      <c r="BE211" s="1" t="n">
        <f aca="false">MAX($J211)</f>
        <v>8.95</v>
      </c>
      <c r="BF211" s="1" t="n">
        <f aca="false">MAX($K211)</f>
        <v>0</v>
      </c>
      <c r="BG211" s="1" t="n">
        <f aca="false">MAX($M211)</f>
        <v>2107406</v>
      </c>
      <c r="BH211" s="1" t="n">
        <f aca="false">MAX($N211)</f>
        <v>0.06</v>
      </c>
      <c r="BI211" s="1" t="n">
        <f aca="false">MAX($P211)</f>
        <v>8.95</v>
      </c>
      <c r="BJ211" s="1" t="n">
        <f aca="false">MAX($Q211)</f>
        <v>0</v>
      </c>
      <c r="BK211" s="1" t="n">
        <f aca="false">MAX($R211)</f>
        <v>559843</v>
      </c>
    </row>
    <row r="212" customFormat="false" ht="15" hidden="false" customHeight="false" outlineLevel="0" collapsed="false">
      <c r="A212" s="1" t="s">
        <v>229</v>
      </c>
      <c r="B212" s="1" t="n">
        <f aca="false" t="array" ref="B212:B212">_xlfn.SWITCH($A$2,"average", AVERAGE(Instances!B212:B212),"median", MEDIAN(Instances!B212:B212),"min", MIN(Instances!B212:B212),"max", MAX(Instances!B212:B212),"diff", MAX(Instances!B212:B212)-MIN(Instances!B212:B212))</f>
        <v>6173</v>
      </c>
      <c r="C212" s="1" t="n">
        <f aca="false" t="array" ref="C212:C212">_xlfn.SWITCH($A$2,"average", AVERAGE(Instances!C212:C212),"median", MEDIAN(Instances!C212:C212),"min", MIN(Instances!C212:C212),"max", MAX(Instances!C212:C212),"diff", MAX(Instances!C212:C212)-MIN(Instances!C212:C212))</f>
        <v>13</v>
      </c>
      <c r="D212" s="1" t="n">
        <f aca="false" t="array" ref="D212:D212">_xlfn.SWITCH($A$2,"average", AVERAGE(Instances!D212:D212),"median", MEDIAN(Instances!D212:D212),"min", MIN(Instances!D212:D212),"max", MAX(Instances!D212:D212),"diff", MAX(Instances!D212:D212)-MIN(Instances!D212:D212))</f>
        <v>530033</v>
      </c>
      <c r="E212" s="1" t="n">
        <f aca="false" t="array" ref="E212:E212">_xlfn.SWITCH($A$2,"average", AVERAGE(Instances!E212:E212),"median", MEDIAN(Instances!E212:E212),"min", MIN(Instances!E212:E212),"max", MAX(Instances!E212:E212),"diff", MAX(Instances!E212:E212)-MIN(Instances!E212:E212))</f>
        <v>0</v>
      </c>
      <c r="F212" s="1" t="n">
        <f aca="false" t="array" ref="F212:F212">_xlfn.SWITCH($A$2,"average", AVERAGE(Instances!F212:F212),"median", MEDIAN(Instances!F212:F212),"min", MIN(Instances!F212:F212),"max", MAX(Instances!F212:F212),"diff", MAX(Instances!F212:F212)-MIN(Instances!F212:F212))</f>
        <v>580</v>
      </c>
      <c r="G212" s="1" t="n">
        <f aca="false" t="array" ref="G212:G212">_xlfn.SWITCH($A$2,"average", AVERAGE(Instances!G212:G212),"median", MEDIAN(Instances!G212:G212),"min", MIN(Instances!G212:G212),"max", MAX(Instances!G212:G212),"diff", MAX(Instances!G212:G212)-MIN(Instances!G212:G212))</f>
        <v>0</v>
      </c>
      <c r="H212" s="1" t="n">
        <f aca="false" t="array" ref="H212:H212">_xlfn.SWITCH($A$2,"average", AVERAGE(Instances!H212:H212),"median", MEDIAN(Instances!H212:H212),"min", MIN(Instances!H212:H212),"max", MAX(Instances!H212:H212),"diff", MAX(Instances!H212:H212)-MIN(Instances!H212:H212))</f>
        <v>1</v>
      </c>
      <c r="I212" s="1" t="n">
        <f aca="false" t="array" ref="I212:I212">_xlfn.SWITCH($A$2,"average", AVERAGE(Instances!I212:I212),"median", MEDIAN(Instances!I212:I212),"min", MIN(Instances!I212:I212),"max", MAX(Instances!I212:I212),"diff", MAX(Instances!I212:I212)-MIN(Instances!I212:I212))</f>
        <v>8.542</v>
      </c>
      <c r="J212" s="1" t="n">
        <f aca="false" t="array" ref="J212:J212">_xlfn.SWITCH($A$2,"average", AVERAGE(Instances!J212:J212),"median", MEDIAN(Instances!J212:J212),"min", MIN(Instances!J212:J212),"max", MAX(Instances!J212:J212),"diff", MAX(Instances!J212:J212)-MIN(Instances!J212:J212))</f>
        <v>8.76</v>
      </c>
      <c r="K212" s="1" t="n">
        <f aca="false" t="array" ref="K212:K212">_xlfn.SWITCH($A$2,"average", AVERAGE(Instances!K212:K212),"median", MEDIAN(Instances!K212:K212),"min", MIN(Instances!K212:K212),"max", MAX(Instances!K212:K212),"diff", MAX(Instances!K212:K212)-MIN(Instances!K212:K212))</f>
        <v>0</v>
      </c>
      <c r="L212" s="1"/>
      <c r="M212" s="1" t="n">
        <f aca="false" t="array" ref="M212:M212">_xlfn.SWITCH($A$2,"average", AVERAGE(Instances!M212:M212),"median", MEDIAN(Instances!M212:M212),"min", MIN(Instances!M212:M212),"max", MAX(Instances!M212:M212),"diff", MAX(Instances!M212:M212)-MIN(Instances!M212:M212))</f>
        <v>2221604</v>
      </c>
      <c r="N212" s="1" t="n">
        <f aca="false" t="array" ref="N212:N212">_xlfn.SWITCH($A$2,"average", AVERAGE(Instances!N212:N212),"median", MEDIAN(Instances!N212:N212),"min", MIN(Instances!N212:N212),"max", MAX(Instances!N212:N212),"diff", MAX(Instances!N212:N212)-MIN(Instances!N212:N212))</f>
        <v>0.08</v>
      </c>
      <c r="O212" s="1"/>
      <c r="P212" s="1" t="n">
        <f aca="false" t="array" ref="P212:P212">_xlfn.SWITCH($A$2,"average", AVERAGE(Instances!P212:P212),"median", MEDIAN(Instances!P212:P212),"min", MIN(Instances!P212:P212),"max", MAX(Instances!P212:P212),"diff", MAX(Instances!P212:P212)-MIN(Instances!P212:P212))</f>
        <v>8.76</v>
      </c>
      <c r="Q212" s="1" t="n">
        <f aca="false" t="array" ref="Q212:Q212">_xlfn.SWITCH($A$2,"average", AVERAGE(Instances!Q212:Q212),"median", MEDIAN(Instances!Q212:Q212),"min", MIN(Instances!Q212:Q212),"max", MAX(Instances!Q212:Q212),"diff", MAX(Instances!Q212:Q212)-MIN(Instances!Q212:Q212))</f>
        <v>0</v>
      </c>
      <c r="R212" s="1" t="n">
        <f aca="false" t="array" ref="R212:R212">_xlfn.SWITCH($A$2,"average", AVERAGE(Instances!R212:R212),"median", MEDIAN(Instances!R212:R212),"min", MIN(Instances!R212:R212),"max", MAX(Instances!R212:R212),"diff", MAX(Instances!R212:R212)-MIN(Instances!R212:R212))</f>
        <v>589455</v>
      </c>
      <c r="S212" s="1" t="n">
        <f aca="false">MIN($B212)</f>
        <v>6173</v>
      </c>
      <c r="T212" s="1" t="n">
        <f aca="false">MIN($C212)</f>
        <v>13</v>
      </c>
      <c r="U212" s="1" t="n">
        <f aca="false">MIN($D212)</f>
        <v>530033</v>
      </c>
      <c r="V212" s="1" t="n">
        <f aca="false">MIN($E212)</f>
        <v>0</v>
      </c>
      <c r="W212" s="1" t="n">
        <f aca="false">MIN($F212)</f>
        <v>580</v>
      </c>
      <c r="X212" s="1" t="n">
        <f aca="false">MIN($G212)</f>
        <v>0</v>
      </c>
      <c r="Y212" s="1" t="n">
        <f aca="false">MIN($H212)</f>
        <v>1</v>
      </c>
      <c r="Z212" s="1" t="n">
        <f aca="false">MIN($I212)</f>
        <v>8.542</v>
      </c>
      <c r="AA212" s="1" t="n">
        <f aca="false">MIN($J212)</f>
        <v>8.76</v>
      </c>
      <c r="AB212" s="1" t="n">
        <f aca="false">MIN($K212)</f>
        <v>0</v>
      </c>
      <c r="AC212" s="1" t="n">
        <f aca="false">MIN($M212)</f>
        <v>2221604</v>
      </c>
      <c r="AD212" s="1" t="n">
        <f aca="false">MIN($N212)</f>
        <v>0.08</v>
      </c>
      <c r="AE212" s="1" t="n">
        <f aca="false">MIN($P212)</f>
        <v>8.76</v>
      </c>
      <c r="AF212" s="1" t="n">
        <f aca="false">MIN($Q212)</f>
        <v>0</v>
      </c>
      <c r="AG212" s="1" t="n">
        <f aca="false">MIN($R212)</f>
        <v>589455</v>
      </c>
      <c r="AH212" s="1" t="n">
        <f aca="false">MEDIAN($B212)</f>
        <v>6173</v>
      </c>
      <c r="AI212" s="1" t="n">
        <f aca="false">MEDIAN($C212)</f>
        <v>13</v>
      </c>
      <c r="AJ212" s="1" t="n">
        <f aca="false">MEDIAN($D212)</f>
        <v>530033</v>
      </c>
      <c r="AK212" s="1" t="n">
        <f aca="false">MEDIAN($E212)</f>
        <v>0</v>
      </c>
      <c r="AL212" s="1" t="n">
        <f aca="false">MEDIAN($F212)</f>
        <v>580</v>
      </c>
      <c r="AM212" s="1" t="n">
        <f aca="false">MEDIAN($G212)</f>
        <v>0</v>
      </c>
      <c r="AN212" s="1" t="n">
        <f aca="false">MEDIAN($H212)</f>
        <v>1</v>
      </c>
      <c r="AO212" s="1" t="n">
        <f aca="false">MEDIAN($I212)</f>
        <v>8.542</v>
      </c>
      <c r="AP212" s="1" t="n">
        <f aca="false">MEDIAN($J212)</f>
        <v>8.76</v>
      </c>
      <c r="AQ212" s="1" t="n">
        <f aca="false">MEDIAN($K212)</f>
        <v>0</v>
      </c>
      <c r="AR212" s="1" t="n">
        <f aca="false">MEDIAN($M212)</f>
        <v>2221604</v>
      </c>
      <c r="AS212" s="1" t="n">
        <f aca="false">MEDIAN($N212)</f>
        <v>0.08</v>
      </c>
      <c r="AT212" s="1" t="n">
        <f aca="false">MEDIAN($P212)</f>
        <v>8.76</v>
      </c>
      <c r="AU212" s="1" t="n">
        <f aca="false">MEDIAN($Q212)</f>
        <v>0</v>
      </c>
      <c r="AV212" s="1" t="n">
        <f aca="false">MEDIAN($R212)</f>
        <v>589455</v>
      </c>
      <c r="AW212" s="1" t="n">
        <f aca="false">MAX($B212)</f>
        <v>6173</v>
      </c>
      <c r="AX212" s="1" t="n">
        <f aca="false">MAX($C212)</f>
        <v>13</v>
      </c>
      <c r="AY212" s="1" t="n">
        <f aca="false">MAX($D212)</f>
        <v>530033</v>
      </c>
      <c r="AZ212" s="1" t="n">
        <f aca="false">MAX($E212)</f>
        <v>0</v>
      </c>
      <c r="BA212" s="1" t="n">
        <f aca="false">MAX($F212)</f>
        <v>580</v>
      </c>
      <c r="BB212" s="1" t="n">
        <f aca="false">MAX($G212)</f>
        <v>0</v>
      </c>
      <c r="BC212" s="1" t="n">
        <f aca="false">MAX($H212)</f>
        <v>1</v>
      </c>
      <c r="BD212" s="1" t="n">
        <f aca="false">MAX($I212)</f>
        <v>8.542</v>
      </c>
      <c r="BE212" s="1" t="n">
        <f aca="false">MAX($J212)</f>
        <v>8.76</v>
      </c>
      <c r="BF212" s="1" t="n">
        <f aca="false">MAX($K212)</f>
        <v>0</v>
      </c>
      <c r="BG212" s="1" t="n">
        <f aca="false">MAX($M212)</f>
        <v>2221604</v>
      </c>
      <c r="BH212" s="1" t="n">
        <f aca="false">MAX($N212)</f>
        <v>0.08</v>
      </c>
      <c r="BI212" s="1" t="n">
        <f aca="false">MAX($P212)</f>
        <v>8.76</v>
      </c>
      <c r="BJ212" s="1" t="n">
        <f aca="false">MAX($Q212)</f>
        <v>0</v>
      </c>
      <c r="BK212" s="1" t="n">
        <f aca="false">MAX($R212)</f>
        <v>589455</v>
      </c>
    </row>
    <row r="213" customFormat="false" ht="15" hidden="false" customHeight="false" outlineLevel="0" collapsed="false">
      <c r="A213" s="1" t="s">
        <v>230</v>
      </c>
      <c r="B213" s="1" t="n">
        <f aca="false" t="array" ref="B213:B213">_xlfn.SWITCH($A$2,"average", AVERAGE(Instances!B213:B213),"median", MEDIAN(Instances!B213:B213),"min", MIN(Instances!B213:B213),"max", MAX(Instances!B213:B213),"diff", MAX(Instances!B213:B213)-MIN(Instances!B213:B213))</f>
        <v>4516</v>
      </c>
      <c r="C213" s="1" t="n">
        <f aca="false" t="array" ref="C213:C213">_xlfn.SWITCH($A$2,"average", AVERAGE(Instances!C213:C213),"median", MEDIAN(Instances!C213:C213),"min", MIN(Instances!C213:C213),"max", MAX(Instances!C213:C213),"diff", MAX(Instances!C213:C213)-MIN(Instances!C213:C213))</f>
        <v>12</v>
      </c>
      <c r="D213" s="1" t="n">
        <f aca="false" t="array" ref="D213:D213">_xlfn.SWITCH($A$2,"average", AVERAGE(Instances!D213:D213),"median", MEDIAN(Instances!D213:D213),"min", MIN(Instances!D213:D213),"max", MAX(Instances!D213:D213),"diff", MAX(Instances!D213:D213)-MIN(Instances!D213:D213))</f>
        <v>444033</v>
      </c>
      <c r="E213" s="1" t="n">
        <f aca="false" t="array" ref="E213:E213">_xlfn.SWITCH($A$2,"average", AVERAGE(Instances!E213:E213),"median", MEDIAN(Instances!E213:E213),"min", MIN(Instances!E213:E213),"max", MAX(Instances!E213:E213),"diff", MAX(Instances!E213:E213)-MIN(Instances!E213:E213))</f>
        <v>0</v>
      </c>
      <c r="F213" s="1" t="n">
        <f aca="false" t="array" ref="F213:F213">_xlfn.SWITCH($A$2,"average", AVERAGE(Instances!F213:F213),"median", MEDIAN(Instances!F213:F213),"min", MIN(Instances!F213:F213),"max", MAX(Instances!F213:F213),"diff", MAX(Instances!F213:F213)-MIN(Instances!F213:F213))</f>
        <v>583</v>
      </c>
      <c r="G213" s="1" t="n">
        <f aca="false" t="array" ref="G213:G213">_xlfn.SWITCH($A$2,"average", AVERAGE(Instances!G213:G213),"median", MEDIAN(Instances!G213:G213),"min", MIN(Instances!G213:G213),"max", MAX(Instances!G213:G213),"diff", MAX(Instances!G213:G213)-MIN(Instances!G213:G213))</f>
        <v>0</v>
      </c>
      <c r="H213" s="1" t="n">
        <f aca="false" t="array" ref="H213:H213">_xlfn.SWITCH($A$2,"average", AVERAGE(Instances!H213:H213),"median", MEDIAN(Instances!H213:H213),"min", MIN(Instances!H213:H213),"max", MAX(Instances!H213:H213),"diff", MAX(Instances!H213:H213)-MIN(Instances!H213:H213))</f>
        <v>1</v>
      </c>
      <c r="I213" s="1" t="n">
        <f aca="false" t="array" ref="I213:I213">_xlfn.SWITCH($A$2,"average", AVERAGE(Instances!I213:I213),"median", MEDIAN(Instances!I213:I213),"min", MIN(Instances!I213:I213),"max", MAX(Instances!I213:I213),"diff", MAX(Instances!I213:I213)-MIN(Instances!I213:I213))</f>
        <v>9.296</v>
      </c>
      <c r="J213" s="1" t="n">
        <f aca="false" t="array" ref="J213:J213">_xlfn.SWITCH($A$2,"average", AVERAGE(Instances!J213:J213),"median", MEDIAN(Instances!J213:J213),"min", MIN(Instances!J213:J213),"max", MAX(Instances!J213:J213),"diff", MAX(Instances!J213:J213)-MIN(Instances!J213:J213))</f>
        <v>9.48</v>
      </c>
      <c r="K213" s="1" t="n">
        <f aca="false" t="array" ref="K213:K213">_xlfn.SWITCH($A$2,"average", AVERAGE(Instances!K213:K213),"median", MEDIAN(Instances!K213:K213),"min", MIN(Instances!K213:K213),"max", MAX(Instances!K213:K213),"diff", MAX(Instances!K213:K213)-MIN(Instances!K213:K213))</f>
        <v>0</v>
      </c>
      <c r="L213" s="1"/>
      <c r="M213" s="1" t="n">
        <f aca="false" t="array" ref="M213:M213">_xlfn.SWITCH($A$2,"average", AVERAGE(Instances!M213:M213),"median", MEDIAN(Instances!M213:M213),"min", MIN(Instances!M213:M213),"max", MAX(Instances!M213:M213),"diff", MAX(Instances!M213:M213)-MIN(Instances!M213:M213))</f>
        <v>2253372</v>
      </c>
      <c r="N213" s="1" t="n">
        <f aca="false" t="array" ref="N213:N213">_xlfn.SWITCH($A$2,"average", AVERAGE(Instances!N213:N213),"median", MEDIAN(Instances!N213:N213),"min", MIN(Instances!N213:N213),"max", MAX(Instances!N213:N213),"diff", MAX(Instances!N213:N213)-MIN(Instances!N213:N213))</f>
        <v>0.08</v>
      </c>
      <c r="O213" s="1"/>
      <c r="P213" s="1" t="n">
        <f aca="false" t="array" ref="P213:P213">_xlfn.SWITCH($A$2,"average", AVERAGE(Instances!P213:P213),"median", MEDIAN(Instances!P213:P213),"min", MIN(Instances!P213:P213),"max", MAX(Instances!P213:P213),"diff", MAX(Instances!P213:P213)-MIN(Instances!P213:P213))</f>
        <v>9.48</v>
      </c>
      <c r="Q213" s="1" t="n">
        <f aca="false" t="array" ref="Q213:Q213">_xlfn.SWITCH($A$2,"average", AVERAGE(Instances!Q213:Q213),"median", MEDIAN(Instances!Q213:Q213),"min", MIN(Instances!Q213:Q213),"max", MAX(Instances!Q213:Q213),"diff", MAX(Instances!Q213:Q213)-MIN(Instances!Q213:Q213))</f>
        <v>0</v>
      </c>
      <c r="R213" s="1" t="n">
        <f aca="false" t="array" ref="R213:R213">_xlfn.SWITCH($A$2,"average", AVERAGE(Instances!R213:R213),"median", MEDIAN(Instances!R213:R213),"min", MIN(Instances!R213:R213),"max", MAX(Instances!R213:R213),"diff", MAX(Instances!R213:R213)-MIN(Instances!R213:R213))</f>
        <v>596932</v>
      </c>
      <c r="S213" s="1" t="n">
        <f aca="false">MIN($B213)</f>
        <v>4516</v>
      </c>
      <c r="T213" s="1" t="n">
        <f aca="false">MIN($C213)</f>
        <v>12</v>
      </c>
      <c r="U213" s="1" t="n">
        <f aca="false">MIN($D213)</f>
        <v>444033</v>
      </c>
      <c r="V213" s="1" t="n">
        <f aca="false">MIN($E213)</f>
        <v>0</v>
      </c>
      <c r="W213" s="1" t="n">
        <f aca="false">MIN($F213)</f>
        <v>583</v>
      </c>
      <c r="X213" s="1" t="n">
        <f aca="false">MIN($G213)</f>
        <v>0</v>
      </c>
      <c r="Y213" s="1" t="n">
        <f aca="false">MIN($H213)</f>
        <v>1</v>
      </c>
      <c r="Z213" s="1" t="n">
        <f aca="false">MIN($I213)</f>
        <v>9.296</v>
      </c>
      <c r="AA213" s="1" t="n">
        <f aca="false">MIN($J213)</f>
        <v>9.48</v>
      </c>
      <c r="AB213" s="1" t="n">
        <f aca="false">MIN($K213)</f>
        <v>0</v>
      </c>
      <c r="AC213" s="1" t="n">
        <f aca="false">MIN($M213)</f>
        <v>2253372</v>
      </c>
      <c r="AD213" s="1" t="n">
        <f aca="false">MIN($N213)</f>
        <v>0.08</v>
      </c>
      <c r="AE213" s="1" t="n">
        <f aca="false">MIN($P213)</f>
        <v>9.48</v>
      </c>
      <c r="AF213" s="1" t="n">
        <f aca="false">MIN($Q213)</f>
        <v>0</v>
      </c>
      <c r="AG213" s="1" t="n">
        <f aca="false">MIN($R213)</f>
        <v>596932</v>
      </c>
      <c r="AH213" s="1" t="n">
        <f aca="false">MEDIAN($B213)</f>
        <v>4516</v>
      </c>
      <c r="AI213" s="1" t="n">
        <f aca="false">MEDIAN($C213)</f>
        <v>12</v>
      </c>
      <c r="AJ213" s="1" t="n">
        <f aca="false">MEDIAN($D213)</f>
        <v>444033</v>
      </c>
      <c r="AK213" s="1" t="n">
        <f aca="false">MEDIAN($E213)</f>
        <v>0</v>
      </c>
      <c r="AL213" s="1" t="n">
        <f aca="false">MEDIAN($F213)</f>
        <v>583</v>
      </c>
      <c r="AM213" s="1" t="n">
        <f aca="false">MEDIAN($G213)</f>
        <v>0</v>
      </c>
      <c r="AN213" s="1" t="n">
        <f aca="false">MEDIAN($H213)</f>
        <v>1</v>
      </c>
      <c r="AO213" s="1" t="n">
        <f aca="false">MEDIAN($I213)</f>
        <v>9.296</v>
      </c>
      <c r="AP213" s="1" t="n">
        <f aca="false">MEDIAN($J213)</f>
        <v>9.48</v>
      </c>
      <c r="AQ213" s="1" t="n">
        <f aca="false">MEDIAN($K213)</f>
        <v>0</v>
      </c>
      <c r="AR213" s="1" t="n">
        <f aca="false">MEDIAN($M213)</f>
        <v>2253372</v>
      </c>
      <c r="AS213" s="1" t="n">
        <f aca="false">MEDIAN($N213)</f>
        <v>0.08</v>
      </c>
      <c r="AT213" s="1" t="n">
        <f aca="false">MEDIAN($P213)</f>
        <v>9.48</v>
      </c>
      <c r="AU213" s="1" t="n">
        <f aca="false">MEDIAN($Q213)</f>
        <v>0</v>
      </c>
      <c r="AV213" s="1" t="n">
        <f aca="false">MEDIAN($R213)</f>
        <v>596932</v>
      </c>
      <c r="AW213" s="1" t="n">
        <f aca="false">MAX($B213)</f>
        <v>4516</v>
      </c>
      <c r="AX213" s="1" t="n">
        <f aca="false">MAX($C213)</f>
        <v>12</v>
      </c>
      <c r="AY213" s="1" t="n">
        <f aca="false">MAX($D213)</f>
        <v>444033</v>
      </c>
      <c r="AZ213" s="1" t="n">
        <f aca="false">MAX($E213)</f>
        <v>0</v>
      </c>
      <c r="BA213" s="1" t="n">
        <f aca="false">MAX($F213)</f>
        <v>583</v>
      </c>
      <c r="BB213" s="1" t="n">
        <f aca="false">MAX($G213)</f>
        <v>0</v>
      </c>
      <c r="BC213" s="1" t="n">
        <f aca="false">MAX($H213)</f>
        <v>1</v>
      </c>
      <c r="BD213" s="1" t="n">
        <f aca="false">MAX($I213)</f>
        <v>9.296</v>
      </c>
      <c r="BE213" s="1" t="n">
        <f aca="false">MAX($J213)</f>
        <v>9.48</v>
      </c>
      <c r="BF213" s="1" t="n">
        <f aca="false">MAX($K213)</f>
        <v>0</v>
      </c>
      <c r="BG213" s="1" t="n">
        <f aca="false">MAX($M213)</f>
        <v>2253372</v>
      </c>
      <c r="BH213" s="1" t="n">
        <f aca="false">MAX($N213)</f>
        <v>0.08</v>
      </c>
      <c r="BI213" s="1" t="n">
        <f aca="false">MAX($P213)</f>
        <v>9.48</v>
      </c>
      <c r="BJ213" s="1" t="n">
        <f aca="false">MAX($Q213)</f>
        <v>0</v>
      </c>
      <c r="BK213" s="1" t="n">
        <f aca="false">MAX($R213)</f>
        <v>596932</v>
      </c>
    </row>
    <row r="214" customFormat="false" ht="15" hidden="false" customHeight="false" outlineLevel="0" collapsed="false">
      <c r="A214" s="1" t="s">
        <v>231</v>
      </c>
      <c r="B214" s="1" t="n">
        <f aca="false" t="array" ref="B214:B214">_xlfn.SWITCH($A$2,"average", AVERAGE(Instances!B214:B214),"median", MEDIAN(Instances!B214:B214),"min", MIN(Instances!B214:B214),"max", MAX(Instances!B214:B214),"diff", MAX(Instances!B214:B214)-MIN(Instances!B214:B214))</f>
        <v>8903</v>
      </c>
      <c r="C214" s="1" t="n">
        <f aca="false" t="array" ref="C214:C214">_xlfn.SWITCH($A$2,"average", AVERAGE(Instances!C214:C214),"median", MEDIAN(Instances!C214:C214),"min", MIN(Instances!C214:C214),"max", MAX(Instances!C214:C214),"diff", MAX(Instances!C214:C214)-MIN(Instances!C214:C214))</f>
        <v>145</v>
      </c>
      <c r="D214" s="1" t="n">
        <f aca="false" t="array" ref="D214:D214">_xlfn.SWITCH($A$2,"average", AVERAGE(Instances!D214:D214),"median", MEDIAN(Instances!D214:D214),"min", MIN(Instances!D214:D214),"max", MAX(Instances!D214:D214),"diff", MAX(Instances!D214:D214)-MIN(Instances!D214:D214))</f>
        <v>538495</v>
      </c>
      <c r="E214" s="1" t="n">
        <f aca="false" t="array" ref="E214:E214">_xlfn.SWITCH($A$2,"average", AVERAGE(Instances!E214:E214),"median", MEDIAN(Instances!E214:E214),"min", MIN(Instances!E214:E214),"max", MAX(Instances!E214:E214),"diff", MAX(Instances!E214:E214)-MIN(Instances!E214:E214))</f>
        <v>0</v>
      </c>
      <c r="F214" s="1" t="n">
        <f aca="false" t="array" ref="F214:F214">_xlfn.SWITCH($A$2,"average", AVERAGE(Instances!F214:F214),"median", MEDIAN(Instances!F214:F214),"min", MIN(Instances!F214:F214),"max", MAX(Instances!F214:F214),"diff", MAX(Instances!F214:F214)-MIN(Instances!F214:F214))</f>
        <v>613</v>
      </c>
      <c r="G214" s="1" t="n">
        <f aca="false" t="array" ref="G214:G214">_xlfn.SWITCH($A$2,"average", AVERAGE(Instances!G214:G214),"median", MEDIAN(Instances!G214:G214),"min", MIN(Instances!G214:G214),"max", MAX(Instances!G214:G214),"diff", MAX(Instances!G214:G214)-MIN(Instances!G214:G214))</f>
        <v>0</v>
      </c>
      <c r="H214" s="1" t="n">
        <f aca="false" t="array" ref="H214:H214">_xlfn.SWITCH($A$2,"average", AVERAGE(Instances!H214:H214),"median", MEDIAN(Instances!H214:H214),"min", MIN(Instances!H214:H214),"max", MAX(Instances!H214:H214),"diff", MAX(Instances!H214:H214)-MIN(Instances!H214:H214))</f>
        <v>1</v>
      </c>
      <c r="I214" s="1" t="n">
        <f aca="false" t="array" ref="I214:I214">_xlfn.SWITCH($A$2,"average", AVERAGE(Instances!I214:I214),"median", MEDIAN(Instances!I214:I214),"min", MIN(Instances!I214:I214),"max", MAX(Instances!I214:I214),"diff", MAX(Instances!I214:I214)-MIN(Instances!I214:I214))</f>
        <v>10.047</v>
      </c>
      <c r="J214" s="1" t="n">
        <f aca="false" t="array" ref="J214:J214">_xlfn.SWITCH($A$2,"average", AVERAGE(Instances!J214:J214),"median", MEDIAN(Instances!J214:J214),"min", MIN(Instances!J214:J214),"max", MAX(Instances!J214:J214),"diff", MAX(Instances!J214:J214)-MIN(Instances!J214:J214))</f>
        <v>10.28</v>
      </c>
      <c r="K214" s="1" t="n">
        <f aca="false" t="array" ref="K214:K214">_xlfn.SWITCH($A$2,"average", AVERAGE(Instances!K214:K214),"median", MEDIAN(Instances!K214:K214),"min", MIN(Instances!K214:K214),"max", MAX(Instances!K214:K214),"diff", MAX(Instances!K214:K214)-MIN(Instances!K214:K214))</f>
        <v>1</v>
      </c>
      <c r="L214" s="1"/>
      <c r="M214" s="1" t="n">
        <f aca="false" t="array" ref="M214:M214">_xlfn.SWITCH($A$2,"average", AVERAGE(Instances!M214:M214),"median", MEDIAN(Instances!M214:M214),"min", MIN(Instances!M214:M214),"max", MAX(Instances!M214:M214),"diff", MAX(Instances!M214:M214)-MIN(Instances!M214:M214))</f>
        <v>2403390</v>
      </c>
      <c r="N214" s="1" t="n">
        <f aca="false" t="array" ref="N214:N214">_xlfn.SWITCH($A$2,"average", AVERAGE(Instances!N214:N214),"median", MEDIAN(Instances!N214:N214),"min", MIN(Instances!N214:N214),"max", MAX(Instances!N214:N214),"diff", MAX(Instances!N214:N214)-MIN(Instances!N214:N214))</f>
        <v>0.19</v>
      </c>
      <c r="O214" s="1"/>
      <c r="P214" s="1" t="n">
        <f aca="false" t="array" ref="P214:P214">_xlfn.SWITCH($A$2,"average", AVERAGE(Instances!P214:P214),"median", MEDIAN(Instances!P214:P214),"min", MIN(Instances!P214:P214),"max", MAX(Instances!P214:P214),"diff", MAX(Instances!P214:P214)-MIN(Instances!P214:P214))</f>
        <v>10.28</v>
      </c>
      <c r="Q214" s="1" t="n">
        <f aca="false" t="array" ref="Q214:Q214">_xlfn.SWITCH($A$2,"average", AVERAGE(Instances!Q214:Q214),"median", MEDIAN(Instances!Q214:Q214),"min", MIN(Instances!Q214:Q214),"max", MAX(Instances!Q214:Q214),"diff", MAX(Instances!Q214:Q214)-MIN(Instances!Q214:Q214))</f>
        <v>0</v>
      </c>
      <c r="R214" s="1" t="n">
        <f aca="false" t="array" ref="R214:R214">_xlfn.SWITCH($A$2,"average", AVERAGE(Instances!R214:R214),"median", MEDIAN(Instances!R214:R214),"min", MIN(Instances!R214:R214),"max", MAX(Instances!R214:R214),"diff", MAX(Instances!R214:R214)-MIN(Instances!R214:R214))</f>
        <v>628313</v>
      </c>
      <c r="S214" s="1" t="n">
        <f aca="false">MIN($B214)</f>
        <v>8903</v>
      </c>
      <c r="T214" s="1" t="n">
        <f aca="false">MIN($C214)</f>
        <v>145</v>
      </c>
      <c r="U214" s="1" t="n">
        <f aca="false">MIN($D214)</f>
        <v>538495</v>
      </c>
      <c r="V214" s="1" t="n">
        <f aca="false">MIN($E214)</f>
        <v>0</v>
      </c>
      <c r="W214" s="1" t="n">
        <f aca="false">MIN($F214)</f>
        <v>613</v>
      </c>
      <c r="X214" s="1" t="n">
        <f aca="false">MIN($G214)</f>
        <v>0</v>
      </c>
      <c r="Y214" s="1" t="n">
        <f aca="false">MIN($H214)</f>
        <v>1</v>
      </c>
      <c r="Z214" s="1" t="n">
        <f aca="false">MIN($I214)</f>
        <v>10.047</v>
      </c>
      <c r="AA214" s="1" t="n">
        <f aca="false">MIN($J214)</f>
        <v>10.28</v>
      </c>
      <c r="AB214" s="1" t="n">
        <f aca="false">MIN($K214)</f>
        <v>1</v>
      </c>
      <c r="AC214" s="1" t="n">
        <f aca="false">MIN($M214)</f>
        <v>2403390</v>
      </c>
      <c r="AD214" s="1" t="n">
        <f aca="false">MIN($N214)</f>
        <v>0.19</v>
      </c>
      <c r="AE214" s="1" t="n">
        <f aca="false">MIN($P214)</f>
        <v>10.28</v>
      </c>
      <c r="AF214" s="1" t="n">
        <f aca="false">MIN($Q214)</f>
        <v>0</v>
      </c>
      <c r="AG214" s="1" t="n">
        <f aca="false">MIN($R214)</f>
        <v>628313</v>
      </c>
      <c r="AH214" s="1" t="n">
        <f aca="false">MEDIAN($B214)</f>
        <v>8903</v>
      </c>
      <c r="AI214" s="1" t="n">
        <f aca="false">MEDIAN($C214)</f>
        <v>145</v>
      </c>
      <c r="AJ214" s="1" t="n">
        <f aca="false">MEDIAN($D214)</f>
        <v>538495</v>
      </c>
      <c r="AK214" s="1" t="n">
        <f aca="false">MEDIAN($E214)</f>
        <v>0</v>
      </c>
      <c r="AL214" s="1" t="n">
        <f aca="false">MEDIAN($F214)</f>
        <v>613</v>
      </c>
      <c r="AM214" s="1" t="n">
        <f aca="false">MEDIAN($G214)</f>
        <v>0</v>
      </c>
      <c r="AN214" s="1" t="n">
        <f aca="false">MEDIAN($H214)</f>
        <v>1</v>
      </c>
      <c r="AO214" s="1" t="n">
        <f aca="false">MEDIAN($I214)</f>
        <v>10.047</v>
      </c>
      <c r="AP214" s="1" t="n">
        <f aca="false">MEDIAN($J214)</f>
        <v>10.28</v>
      </c>
      <c r="AQ214" s="1" t="n">
        <f aca="false">MEDIAN($K214)</f>
        <v>1</v>
      </c>
      <c r="AR214" s="1" t="n">
        <f aca="false">MEDIAN($M214)</f>
        <v>2403390</v>
      </c>
      <c r="AS214" s="1" t="n">
        <f aca="false">MEDIAN($N214)</f>
        <v>0.19</v>
      </c>
      <c r="AT214" s="1" t="n">
        <f aca="false">MEDIAN($P214)</f>
        <v>10.28</v>
      </c>
      <c r="AU214" s="1" t="n">
        <f aca="false">MEDIAN($Q214)</f>
        <v>0</v>
      </c>
      <c r="AV214" s="1" t="n">
        <f aca="false">MEDIAN($R214)</f>
        <v>628313</v>
      </c>
      <c r="AW214" s="1" t="n">
        <f aca="false">MAX($B214)</f>
        <v>8903</v>
      </c>
      <c r="AX214" s="1" t="n">
        <f aca="false">MAX($C214)</f>
        <v>145</v>
      </c>
      <c r="AY214" s="1" t="n">
        <f aca="false">MAX($D214)</f>
        <v>538495</v>
      </c>
      <c r="AZ214" s="1" t="n">
        <f aca="false">MAX($E214)</f>
        <v>0</v>
      </c>
      <c r="BA214" s="1" t="n">
        <f aca="false">MAX($F214)</f>
        <v>613</v>
      </c>
      <c r="BB214" s="1" t="n">
        <f aca="false">MAX($G214)</f>
        <v>0</v>
      </c>
      <c r="BC214" s="1" t="n">
        <f aca="false">MAX($H214)</f>
        <v>1</v>
      </c>
      <c r="BD214" s="1" t="n">
        <f aca="false">MAX($I214)</f>
        <v>10.047</v>
      </c>
      <c r="BE214" s="1" t="n">
        <f aca="false">MAX($J214)</f>
        <v>10.28</v>
      </c>
      <c r="BF214" s="1" t="n">
        <f aca="false">MAX($K214)</f>
        <v>1</v>
      </c>
      <c r="BG214" s="1" t="n">
        <f aca="false">MAX($M214)</f>
        <v>2403390</v>
      </c>
      <c r="BH214" s="1" t="n">
        <f aca="false">MAX($N214)</f>
        <v>0.19</v>
      </c>
      <c r="BI214" s="1" t="n">
        <f aca="false">MAX($P214)</f>
        <v>10.28</v>
      </c>
      <c r="BJ214" s="1" t="n">
        <f aca="false">MAX($Q214)</f>
        <v>0</v>
      </c>
      <c r="BK214" s="1" t="n">
        <f aca="false">MAX($R214)</f>
        <v>628313</v>
      </c>
    </row>
    <row r="215" customFormat="false" ht="15" hidden="false" customHeight="false" outlineLevel="0" collapsed="false">
      <c r="A215" s="1" t="s">
        <v>232</v>
      </c>
      <c r="B215" s="1" t="n">
        <f aca="false" t="array" ref="B215:B215">_xlfn.SWITCH($A$2,"average", AVERAGE(Instances!B215:B215),"median", MEDIAN(Instances!B215:B215),"min", MIN(Instances!B215:B215),"max", MAX(Instances!B215:B215),"diff", MAX(Instances!B215:B215)-MIN(Instances!B215:B215))</f>
        <v>52716</v>
      </c>
      <c r="C215" s="1" t="n">
        <f aca="false" t="array" ref="C215:C215">_xlfn.SWITCH($A$2,"average", AVERAGE(Instances!C215:C215),"median", MEDIAN(Instances!C215:C215),"min", MIN(Instances!C215:C215),"max", MAX(Instances!C215:C215),"diff", MAX(Instances!C215:C215)-MIN(Instances!C215:C215))</f>
        <v>511</v>
      </c>
      <c r="D215" s="1" t="n">
        <f aca="false" t="array" ref="D215:D215">_xlfn.SWITCH($A$2,"average", AVERAGE(Instances!D215:D215),"median", MEDIAN(Instances!D215:D215),"min", MIN(Instances!D215:D215),"max", MAX(Instances!D215:D215),"diff", MAX(Instances!D215:D215)-MIN(Instances!D215:D215))</f>
        <v>548123</v>
      </c>
      <c r="E215" s="1" t="n">
        <f aca="false" t="array" ref="E215:E215">_xlfn.SWITCH($A$2,"average", AVERAGE(Instances!E215:E215),"median", MEDIAN(Instances!E215:E215),"min", MIN(Instances!E215:E215),"max", MAX(Instances!E215:E215),"diff", MAX(Instances!E215:E215)-MIN(Instances!E215:E215))</f>
        <v>0</v>
      </c>
      <c r="F215" s="1" t="n">
        <f aca="false" t="array" ref="F215:F215">_xlfn.SWITCH($A$2,"average", AVERAGE(Instances!F215:F215),"median", MEDIAN(Instances!F215:F215),"min", MIN(Instances!F215:F215),"max", MAX(Instances!F215:F215),"diff", MAX(Instances!F215:F215)-MIN(Instances!F215:F215))</f>
        <v>612</v>
      </c>
      <c r="G215" s="1" t="n">
        <f aca="false" t="array" ref="G215:G215">_xlfn.SWITCH($A$2,"average", AVERAGE(Instances!G215:G215),"median", MEDIAN(Instances!G215:G215),"min", MIN(Instances!G215:G215),"max", MAX(Instances!G215:G215),"diff", MAX(Instances!G215:G215)-MIN(Instances!G215:G215))</f>
        <v>0</v>
      </c>
      <c r="H215" s="1" t="n">
        <f aca="false" t="array" ref="H215:H215">_xlfn.SWITCH($A$2,"average", AVERAGE(Instances!H215:H215),"median", MEDIAN(Instances!H215:H215),"min", MIN(Instances!H215:H215),"max", MAX(Instances!H215:H215),"diff", MAX(Instances!H215:H215)-MIN(Instances!H215:H215))</f>
        <v>1</v>
      </c>
      <c r="I215" s="1" t="n">
        <f aca="false" t="array" ref="I215:I215">_xlfn.SWITCH($A$2,"average", AVERAGE(Instances!I215:I215),"median", MEDIAN(Instances!I215:I215),"min", MIN(Instances!I215:I215),"max", MAX(Instances!I215:I215),"diff", MAX(Instances!I215:I215)-MIN(Instances!I215:I215))</f>
        <v>10.741</v>
      </c>
      <c r="J215" s="1" t="n">
        <f aca="false" t="array" ref="J215:J215">_xlfn.SWITCH($A$2,"average", AVERAGE(Instances!J215:J215),"median", MEDIAN(Instances!J215:J215),"min", MIN(Instances!J215:J215),"max", MAX(Instances!J215:J215),"diff", MAX(Instances!J215:J215)-MIN(Instances!J215:J215))</f>
        <v>10.97</v>
      </c>
      <c r="K215" s="1" t="n">
        <f aca="false" t="array" ref="K215:K215">_xlfn.SWITCH($A$2,"average", AVERAGE(Instances!K215:K215),"median", MEDIAN(Instances!K215:K215),"min", MIN(Instances!K215:K215),"max", MAX(Instances!K215:K215),"diff", MAX(Instances!K215:K215)-MIN(Instances!K215:K215))</f>
        <v>5</v>
      </c>
      <c r="L215" s="1"/>
      <c r="M215" s="1" t="n">
        <f aca="false" t="array" ref="M215:M215">_xlfn.SWITCH($A$2,"average", AVERAGE(Instances!M215:M215),"median", MEDIAN(Instances!M215:M215),"min", MIN(Instances!M215:M215),"max", MAX(Instances!M215:M215),"diff", MAX(Instances!M215:M215)-MIN(Instances!M215:M215))</f>
        <v>2403390</v>
      </c>
      <c r="N215" s="1" t="n">
        <f aca="false" t="array" ref="N215:N215">_xlfn.SWITCH($A$2,"average", AVERAGE(Instances!N215:N215),"median", MEDIAN(Instances!N215:N215),"min", MIN(Instances!N215:N215),"max", MAX(Instances!N215:N215),"diff", MAX(Instances!N215:N215)-MIN(Instances!N215:N215))</f>
        <v>0.85</v>
      </c>
      <c r="O215" s="1"/>
      <c r="P215" s="1" t="n">
        <f aca="false" t="array" ref="P215:P215">_xlfn.SWITCH($A$2,"average", AVERAGE(Instances!P215:P215),"median", MEDIAN(Instances!P215:P215),"min", MIN(Instances!P215:P215),"max", MAX(Instances!P215:P215),"diff", MAX(Instances!P215:P215)-MIN(Instances!P215:P215))</f>
        <v>10.97</v>
      </c>
      <c r="Q215" s="1" t="n">
        <f aca="false" t="array" ref="Q215:Q215">_xlfn.SWITCH($A$2,"average", AVERAGE(Instances!Q215:Q215),"median", MEDIAN(Instances!Q215:Q215),"min", MIN(Instances!Q215:Q215),"max", MAX(Instances!Q215:Q215),"diff", MAX(Instances!Q215:Q215)-MIN(Instances!Q215:Q215))</f>
        <v>0</v>
      </c>
      <c r="R215" s="1" t="n">
        <f aca="false" t="array" ref="R215:R215">_xlfn.SWITCH($A$2,"average", AVERAGE(Instances!R215:R215),"median", MEDIAN(Instances!R215:R215),"min", MIN(Instances!R215:R215),"max", MAX(Instances!R215:R215),"diff", MAX(Instances!R215:R215)-MIN(Instances!R215:R215))</f>
        <v>628315</v>
      </c>
      <c r="S215" s="1" t="n">
        <f aca="false">MIN($B215)</f>
        <v>52716</v>
      </c>
      <c r="T215" s="1" t="n">
        <f aca="false">MIN($C215)</f>
        <v>511</v>
      </c>
      <c r="U215" s="1" t="n">
        <f aca="false">MIN($D215)</f>
        <v>548123</v>
      </c>
      <c r="V215" s="1" t="n">
        <f aca="false">MIN($E215)</f>
        <v>0</v>
      </c>
      <c r="W215" s="1" t="n">
        <f aca="false">MIN($F215)</f>
        <v>612</v>
      </c>
      <c r="X215" s="1" t="n">
        <f aca="false">MIN($G215)</f>
        <v>0</v>
      </c>
      <c r="Y215" s="1" t="n">
        <f aca="false">MIN($H215)</f>
        <v>1</v>
      </c>
      <c r="Z215" s="1" t="n">
        <f aca="false">MIN($I215)</f>
        <v>10.741</v>
      </c>
      <c r="AA215" s="1" t="n">
        <f aca="false">MIN($J215)</f>
        <v>10.97</v>
      </c>
      <c r="AB215" s="1" t="n">
        <f aca="false">MIN($K215)</f>
        <v>5</v>
      </c>
      <c r="AC215" s="1" t="n">
        <f aca="false">MIN($M215)</f>
        <v>2403390</v>
      </c>
      <c r="AD215" s="1" t="n">
        <f aca="false">MIN($N215)</f>
        <v>0.85</v>
      </c>
      <c r="AE215" s="1" t="n">
        <f aca="false">MIN($P215)</f>
        <v>10.97</v>
      </c>
      <c r="AF215" s="1" t="n">
        <f aca="false">MIN($Q215)</f>
        <v>0</v>
      </c>
      <c r="AG215" s="1" t="n">
        <f aca="false">MIN($R215)</f>
        <v>628315</v>
      </c>
      <c r="AH215" s="1" t="n">
        <f aca="false">MEDIAN($B215)</f>
        <v>52716</v>
      </c>
      <c r="AI215" s="1" t="n">
        <f aca="false">MEDIAN($C215)</f>
        <v>511</v>
      </c>
      <c r="AJ215" s="1" t="n">
        <f aca="false">MEDIAN($D215)</f>
        <v>548123</v>
      </c>
      <c r="AK215" s="1" t="n">
        <f aca="false">MEDIAN($E215)</f>
        <v>0</v>
      </c>
      <c r="AL215" s="1" t="n">
        <f aca="false">MEDIAN($F215)</f>
        <v>612</v>
      </c>
      <c r="AM215" s="1" t="n">
        <f aca="false">MEDIAN($G215)</f>
        <v>0</v>
      </c>
      <c r="AN215" s="1" t="n">
        <f aca="false">MEDIAN($H215)</f>
        <v>1</v>
      </c>
      <c r="AO215" s="1" t="n">
        <f aca="false">MEDIAN($I215)</f>
        <v>10.741</v>
      </c>
      <c r="AP215" s="1" t="n">
        <f aca="false">MEDIAN($J215)</f>
        <v>10.97</v>
      </c>
      <c r="AQ215" s="1" t="n">
        <f aca="false">MEDIAN($K215)</f>
        <v>5</v>
      </c>
      <c r="AR215" s="1" t="n">
        <f aca="false">MEDIAN($M215)</f>
        <v>2403390</v>
      </c>
      <c r="AS215" s="1" t="n">
        <f aca="false">MEDIAN($N215)</f>
        <v>0.85</v>
      </c>
      <c r="AT215" s="1" t="n">
        <f aca="false">MEDIAN($P215)</f>
        <v>10.97</v>
      </c>
      <c r="AU215" s="1" t="n">
        <f aca="false">MEDIAN($Q215)</f>
        <v>0</v>
      </c>
      <c r="AV215" s="1" t="n">
        <f aca="false">MEDIAN($R215)</f>
        <v>628315</v>
      </c>
      <c r="AW215" s="1" t="n">
        <f aca="false">MAX($B215)</f>
        <v>52716</v>
      </c>
      <c r="AX215" s="1" t="n">
        <f aca="false">MAX($C215)</f>
        <v>511</v>
      </c>
      <c r="AY215" s="1" t="n">
        <f aca="false">MAX($D215)</f>
        <v>548123</v>
      </c>
      <c r="AZ215" s="1" t="n">
        <f aca="false">MAX($E215)</f>
        <v>0</v>
      </c>
      <c r="BA215" s="1" t="n">
        <f aca="false">MAX($F215)</f>
        <v>612</v>
      </c>
      <c r="BB215" s="1" t="n">
        <f aca="false">MAX($G215)</f>
        <v>0</v>
      </c>
      <c r="BC215" s="1" t="n">
        <f aca="false">MAX($H215)</f>
        <v>1</v>
      </c>
      <c r="BD215" s="1" t="n">
        <f aca="false">MAX($I215)</f>
        <v>10.741</v>
      </c>
      <c r="BE215" s="1" t="n">
        <f aca="false">MAX($J215)</f>
        <v>10.97</v>
      </c>
      <c r="BF215" s="1" t="n">
        <f aca="false">MAX($K215)</f>
        <v>5</v>
      </c>
      <c r="BG215" s="1" t="n">
        <f aca="false">MAX($M215)</f>
        <v>2403390</v>
      </c>
      <c r="BH215" s="1" t="n">
        <f aca="false">MAX($N215)</f>
        <v>0.85</v>
      </c>
      <c r="BI215" s="1" t="n">
        <f aca="false">MAX($P215)</f>
        <v>10.97</v>
      </c>
      <c r="BJ215" s="1" t="n">
        <f aca="false">MAX($Q215)</f>
        <v>0</v>
      </c>
      <c r="BK215" s="1" t="n">
        <f aca="false">MAX($R215)</f>
        <v>628315</v>
      </c>
    </row>
    <row r="216" customFormat="false" ht="15" hidden="false" customHeight="false" outlineLevel="0" collapsed="false">
      <c r="A216" s="1" t="s">
        <v>233</v>
      </c>
      <c r="B216" s="1" t="n">
        <f aca="false" t="array" ref="B216:B216">_xlfn.SWITCH($A$2,"average", AVERAGE(Instances!B216:B216),"median", MEDIAN(Instances!B216:B216),"min", MIN(Instances!B216:B216),"max", MAX(Instances!B216:B216),"diff", MAX(Instances!B216:B216)-MIN(Instances!B216:B216))</f>
        <v>5544</v>
      </c>
      <c r="C216" s="1" t="n">
        <f aca="false" t="array" ref="C216:C216">_xlfn.SWITCH($A$2,"average", AVERAGE(Instances!C216:C216),"median", MEDIAN(Instances!C216:C216),"min", MIN(Instances!C216:C216),"max", MAX(Instances!C216:C216),"diff", MAX(Instances!C216:C216)-MIN(Instances!C216:C216))</f>
        <v>13</v>
      </c>
      <c r="D216" s="1" t="n">
        <f aca="false" t="array" ref="D216:D216">_xlfn.SWITCH($A$2,"average", AVERAGE(Instances!D216:D216),"median", MEDIAN(Instances!D216:D216),"min", MIN(Instances!D216:D216),"max", MAX(Instances!D216:D216),"diff", MAX(Instances!D216:D216)-MIN(Instances!D216:D216))</f>
        <v>522832</v>
      </c>
      <c r="E216" s="1" t="n">
        <f aca="false" t="array" ref="E216:E216">_xlfn.SWITCH($A$2,"average", AVERAGE(Instances!E216:E216),"median", MEDIAN(Instances!E216:E216),"min", MIN(Instances!E216:E216),"max", MAX(Instances!E216:E216),"diff", MAX(Instances!E216:E216)-MIN(Instances!E216:E216))</f>
        <v>0</v>
      </c>
      <c r="F216" s="1" t="n">
        <f aca="false" t="array" ref="F216:F216">_xlfn.SWITCH($A$2,"average", AVERAGE(Instances!F216:F216),"median", MEDIAN(Instances!F216:F216),"min", MIN(Instances!F216:F216),"max", MAX(Instances!F216:F216),"diff", MAX(Instances!F216:F216)-MIN(Instances!F216:F216))</f>
        <v>577</v>
      </c>
      <c r="G216" s="1" t="n">
        <f aca="false" t="array" ref="G216:G216">_xlfn.SWITCH($A$2,"average", AVERAGE(Instances!G216:G216),"median", MEDIAN(Instances!G216:G216),"min", MIN(Instances!G216:G216),"max", MAX(Instances!G216:G216),"diff", MAX(Instances!G216:G216)-MIN(Instances!G216:G216))</f>
        <v>0</v>
      </c>
      <c r="H216" s="1" t="n">
        <f aca="false" t="array" ref="H216:H216">_xlfn.SWITCH($A$2,"average", AVERAGE(Instances!H216:H216),"median", MEDIAN(Instances!H216:H216),"min", MIN(Instances!H216:H216),"max", MAX(Instances!H216:H216),"diff", MAX(Instances!H216:H216)-MIN(Instances!H216:H216))</f>
        <v>1</v>
      </c>
      <c r="I216" s="1" t="n">
        <f aca="false" t="array" ref="I216:I216">_xlfn.SWITCH($A$2,"average", AVERAGE(Instances!I216:I216),"median", MEDIAN(Instances!I216:I216),"min", MIN(Instances!I216:I216),"max", MAX(Instances!I216:I216),"diff", MAX(Instances!I216:I216)-MIN(Instances!I216:I216))</f>
        <v>9.227</v>
      </c>
      <c r="J216" s="1" t="n">
        <f aca="false" t="array" ref="J216:J216">_xlfn.SWITCH($A$2,"average", AVERAGE(Instances!J216:J216),"median", MEDIAN(Instances!J216:J216),"min", MIN(Instances!J216:J216),"max", MAX(Instances!J216:J216),"diff", MAX(Instances!J216:J216)-MIN(Instances!J216:J216))</f>
        <v>9.44</v>
      </c>
      <c r="K216" s="1" t="n">
        <f aca="false" t="array" ref="K216:K216">_xlfn.SWITCH($A$2,"average", AVERAGE(Instances!K216:K216),"median", MEDIAN(Instances!K216:K216),"min", MIN(Instances!K216:K216),"max", MAX(Instances!K216:K216),"diff", MAX(Instances!K216:K216)-MIN(Instances!K216:K216))</f>
        <v>0</v>
      </c>
      <c r="L216" s="1"/>
      <c r="M216" s="1" t="n">
        <f aca="false" t="array" ref="M216:M216">_xlfn.SWITCH($A$2,"average", AVERAGE(Instances!M216:M216),"median", MEDIAN(Instances!M216:M216),"min", MIN(Instances!M216:M216),"max", MAX(Instances!M216:M216),"diff", MAX(Instances!M216:M216)-MIN(Instances!M216:M216))</f>
        <v>2211850</v>
      </c>
      <c r="N216" s="1" t="n">
        <f aca="false" t="array" ref="N216:N216">_xlfn.SWITCH($A$2,"average", AVERAGE(Instances!N216:N216),"median", MEDIAN(Instances!N216:N216),"min", MIN(Instances!N216:N216),"max", MAX(Instances!N216:N216),"diff", MAX(Instances!N216:N216)-MIN(Instances!N216:N216))</f>
        <v>0.09</v>
      </c>
      <c r="O216" s="1"/>
      <c r="P216" s="1" t="n">
        <f aca="false" t="array" ref="P216:P216">_xlfn.SWITCH($A$2,"average", AVERAGE(Instances!P216:P216),"median", MEDIAN(Instances!P216:P216),"min", MIN(Instances!P216:P216),"max", MAX(Instances!P216:P216),"diff", MAX(Instances!P216:P216)-MIN(Instances!P216:P216))</f>
        <v>9.44</v>
      </c>
      <c r="Q216" s="1" t="n">
        <f aca="false" t="array" ref="Q216:Q216">_xlfn.SWITCH($A$2,"average", AVERAGE(Instances!Q216:Q216),"median", MEDIAN(Instances!Q216:Q216),"min", MIN(Instances!Q216:Q216),"max", MAX(Instances!Q216:Q216),"diff", MAX(Instances!Q216:Q216)-MIN(Instances!Q216:Q216))</f>
        <v>0</v>
      </c>
      <c r="R216" s="1" t="n">
        <f aca="false" t="array" ref="R216:R216">_xlfn.SWITCH($A$2,"average", AVERAGE(Instances!R216:R216),"median", MEDIAN(Instances!R216:R216),"min", MIN(Instances!R216:R216),"max", MAX(Instances!R216:R216),"diff", MAX(Instances!R216:R216)-MIN(Instances!R216:R216))</f>
        <v>585518</v>
      </c>
      <c r="S216" s="1" t="n">
        <f aca="false">MIN($B216)</f>
        <v>5544</v>
      </c>
      <c r="T216" s="1" t="n">
        <f aca="false">MIN($C216)</f>
        <v>13</v>
      </c>
      <c r="U216" s="1" t="n">
        <f aca="false">MIN($D216)</f>
        <v>522832</v>
      </c>
      <c r="V216" s="1" t="n">
        <f aca="false">MIN($E216)</f>
        <v>0</v>
      </c>
      <c r="W216" s="1" t="n">
        <f aca="false">MIN($F216)</f>
        <v>577</v>
      </c>
      <c r="X216" s="1" t="n">
        <f aca="false">MIN($G216)</f>
        <v>0</v>
      </c>
      <c r="Y216" s="1" t="n">
        <f aca="false">MIN($H216)</f>
        <v>1</v>
      </c>
      <c r="Z216" s="1" t="n">
        <f aca="false">MIN($I216)</f>
        <v>9.227</v>
      </c>
      <c r="AA216" s="1" t="n">
        <f aca="false">MIN($J216)</f>
        <v>9.44</v>
      </c>
      <c r="AB216" s="1" t="n">
        <f aca="false">MIN($K216)</f>
        <v>0</v>
      </c>
      <c r="AC216" s="1" t="n">
        <f aca="false">MIN($M216)</f>
        <v>2211850</v>
      </c>
      <c r="AD216" s="1" t="n">
        <f aca="false">MIN($N216)</f>
        <v>0.09</v>
      </c>
      <c r="AE216" s="1" t="n">
        <f aca="false">MIN($P216)</f>
        <v>9.44</v>
      </c>
      <c r="AF216" s="1" t="n">
        <f aca="false">MIN($Q216)</f>
        <v>0</v>
      </c>
      <c r="AG216" s="1" t="n">
        <f aca="false">MIN($R216)</f>
        <v>585518</v>
      </c>
      <c r="AH216" s="1" t="n">
        <f aca="false">MEDIAN($B216)</f>
        <v>5544</v>
      </c>
      <c r="AI216" s="1" t="n">
        <f aca="false">MEDIAN($C216)</f>
        <v>13</v>
      </c>
      <c r="AJ216" s="1" t="n">
        <f aca="false">MEDIAN($D216)</f>
        <v>522832</v>
      </c>
      <c r="AK216" s="1" t="n">
        <f aca="false">MEDIAN($E216)</f>
        <v>0</v>
      </c>
      <c r="AL216" s="1" t="n">
        <f aca="false">MEDIAN($F216)</f>
        <v>577</v>
      </c>
      <c r="AM216" s="1" t="n">
        <f aca="false">MEDIAN($G216)</f>
        <v>0</v>
      </c>
      <c r="AN216" s="1" t="n">
        <f aca="false">MEDIAN($H216)</f>
        <v>1</v>
      </c>
      <c r="AO216" s="1" t="n">
        <f aca="false">MEDIAN($I216)</f>
        <v>9.227</v>
      </c>
      <c r="AP216" s="1" t="n">
        <f aca="false">MEDIAN($J216)</f>
        <v>9.44</v>
      </c>
      <c r="AQ216" s="1" t="n">
        <f aca="false">MEDIAN($K216)</f>
        <v>0</v>
      </c>
      <c r="AR216" s="1" t="n">
        <f aca="false">MEDIAN($M216)</f>
        <v>2211850</v>
      </c>
      <c r="AS216" s="1" t="n">
        <f aca="false">MEDIAN($N216)</f>
        <v>0.09</v>
      </c>
      <c r="AT216" s="1" t="n">
        <f aca="false">MEDIAN($P216)</f>
        <v>9.44</v>
      </c>
      <c r="AU216" s="1" t="n">
        <f aca="false">MEDIAN($Q216)</f>
        <v>0</v>
      </c>
      <c r="AV216" s="1" t="n">
        <f aca="false">MEDIAN($R216)</f>
        <v>585518</v>
      </c>
      <c r="AW216" s="1" t="n">
        <f aca="false">MAX($B216)</f>
        <v>5544</v>
      </c>
      <c r="AX216" s="1" t="n">
        <f aca="false">MAX($C216)</f>
        <v>13</v>
      </c>
      <c r="AY216" s="1" t="n">
        <f aca="false">MAX($D216)</f>
        <v>522832</v>
      </c>
      <c r="AZ216" s="1" t="n">
        <f aca="false">MAX($E216)</f>
        <v>0</v>
      </c>
      <c r="BA216" s="1" t="n">
        <f aca="false">MAX($F216)</f>
        <v>577</v>
      </c>
      <c r="BB216" s="1" t="n">
        <f aca="false">MAX($G216)</f>
        <v>0</v>
      </c>
      <c r="BC216" s="1" t="n">
        <f aca="false">MAX($H216)</f>
        <v>1</v>
      </c>
      <c r="BD216" s="1" t="n">
        <f aca="false">MAX($I216)</f>
        <v>9.227</v>
      </c>
      <c r="BE216" s="1" t="n">
        <f aca="false">MAX($J216)</f>
        <v>9.44</v>
      </c>
      <c r="BF216" s="1" t="n">
        <f aca="false">MAX($K216)</f>
        <v>0</v>
      </c>
      <c r="BG216" s="1" t="n">
        <f aca="false">MAX($M216)</f>
        <v>2211850</v>
      </c>
      <c r="BH216" s="1" t="n">
        <f aca="false">MAX($N216)</f>
        <v>0.09</v>
      </c>
      <c r="BI216" s="1" t="n">
        <f aca="false">MAX($P216)</f>
        <v>9.44</v>
      </c>
      <c r="BJ216" s="1" t="n">
        <f aca="false">MAX($Q216)</f>
        <v>0</v>
      </c>
      <c r="BK216" s="1" t="n">
        <f aca="false">MAX($R216)</f>
        <v>585518</v>
      </c>
    </row>
    <row r="217" customFormat="false" ht="15" hidden="false" customHeight="false" outlineLevel="0" collapsed="false">
      <c r="A217" s="1" t="s">
        <v>234</v>
      </c>
      <c r="B217" s="1" t="n">
        <f aca="false" t="array" ref="B217:B217">_xlfn.SWITCH($A$2,"average", AVERAGE(Instances!B217:B217),"median", MEDIAN(Instances!B217:B217),"min", MIN(Instances!B217:B217),"max", MAX(Instances!B217:B217),"diff", MAX(Instances!B217:B217)-MIN(Instances!B217:B217))</f>
        <v>4774</v>
      </c>
      <c r="C217" s="1" t="n">
        <f aca="false" t="array" ref="C217:C217">_xlfn.SWITCH($A$2,"average", AVERAGE(Instances!C217:C217),"median", MEDIAN(Instances!C217:C217),"min", MIN(Instances!C217:C217),"max", MAX(Instances!C217:C217),"diff", MAX(Instances!C217:C217)-MIN(Instances!C217:C217))</f>
        <v>29</v>
      </c>
      <c r="D217" s="1" t="n">
        <f aca="false" t="array" ref="D217:D217">_xlfn.SWITCH($A$2,"average", AVERAGE(Instances!D217:D217),"median", MEDIAN(Instances!D217:D217),"min", MIN(Instances!D217:D217),"max", MAX(Instances!D217:D217),"diff", MAX(Instances!D217:D217)-MIN(Instances!D217:D217))</f>
        <v>522483</v>
      </c>
      <c r="E217" s="1" t="n">
        <f aca="false" t="array" ref="E217:E217">_xlfn.SWITCH($A$2,"average", AVERAGE(Instances!E217:E217),"median", MEDIAN(Instances!E217:E217),"min", MIN(Instances!E217:E217),"max", MAX(Instances!E217:E217),"diff", MAX(Instances!E217:E217)-MIN(Instances!E217:E217))</f>
        <v>0</v>
      </c>
      <c r="F217" s="1" t="n">
        <f aca="false" t="array" ref="F217:F217">_xlfn.SWITCH($A$2,"average", AVERAGE(Instances!F217:F217),"median", MEDIAN(Instances!F217:F217),"min", MIN(Instances!F217:F217),"max", MAX(Instances!F217:F217),"diff", MAX(Instances!F217:F217)-MIN(Instances!F217:F217))</f>
        <v>580</v>
      </c>
      <c r="G217" s="1" t="n">
        <f aca="false" t="array" ref="G217:G217">_xlfn.SWITCH($A$2,"average", AVERAGE(Instances!G217:G217),"median", MEDIAN(Instances!G217:G217),"min", MIN(Instances!G217:G217),"max", MAX(Instances!G217:G217),"diff", MAX(Instances!G217:G217)-MIN(Instances!G217:G217))</f>
        <v>0</v>
      </c>
      <c r="H217" s="1" t="n">
        <f aca="false" t="array" ref="H217:H217">_xlfn.SWITCH($A$2,"average", AVERAGE(Instances!H217:H217),"median", MEDIAN(Instances!H217:H217),"min", MIN(Instances!H217:H217),"max", MAX(Instances!H217:H217),"diff", MAX(Instances!H217:H217)-MIN(Instances!H217:H217))</f>
        <v>1</v>
      </c>
      <c r="I217" s="1" t="n">
        <f aca="false" t="array" ref="I217:I217">_xlfn.SWITCH($A$2,"average", AVERAGE(Instances!I217:I217),"median", MEDIAN(Instances!I217:I217),"min", MIN(Instances!I217:I217),"max", MAX(Instances!I217:I217),"diff", MAX(Instances!I217:I217)-MIN(Instances!I217:I217))</f>
        <v>9.113</v>
      </c>
      <c r="J217" s="1" t="n">
        <f aca="false" t="array" ref="J217:J217">_xlfn.SWITCH($A$2,"average", AVERAGE(Instances!J217:J217),"median", MEDIAN(Instances!J217:J217),"min", MIN(Instances!J217:J217),"max", MAX(Instances!J217:J217),"diff", MAX(Instances!J217:J217)-MIN(Instances!J217:J217))</f>
        <v>9.32</v>
      </c>
      <c r="K217" s="1" t="n">
        <f aca="false" t="array" ref="K217:K217">_xlfn.SWITCH($A$2,"average", AVERAGE(Instances!K217:K217),"median", MEDIAN(Instances!K217:K217),"min", MIN(Instances!K217:K217),"max", MAX(Instances!K217:K217),"diff", MAX(Instances!K217:K217)-MIN(Instances!K217:K217))</f>
        <v>0</v>
      </c>
      <c r="L217" s="1"/>
      <c r="M217" s="1" t="n">
        <f aca="false" t="array" ref="M217:M217">_xlfn.SWITCH($A$2,"average", AVERAGE(Instances!M217:M217),"median", MEDIAN(Instances!M217:M217),"min", MIN(Instances!M217:M217),"max", MAX(Instances!M217:M217),"diff", MAX(Instances!M217:M217)-MIN(Instances!M217:M217))</f>
        <v>2221604</v>
      </c>
      <c r="N217" s="1" t="n">
        <f aca="false" t="array" ref="N217:N217">_xlfn.SWITCH($A$2,"average", AVERAGE(Instances!N217:N217),"median", MEDIAN(Instances!N217:N217),"min", MIN(Instances!N217:N217),"max", MAX(Instances!N217:N217),"diff", MAX(Instances!N217:N217)-MIN(Instances!N217:N217))</f>
        <v>0.08</v>
      </c>
      <c r="O217" s="1"/>
      <c r="P217" s="1" t="n">
        <f aca="false" t="array" ref="P217:P217">_xlfn.SWITCH($A$2,"average", AVERAGE(Instances!P217:P217),"median", MEDIAN(Instances!P217:P217),"min", MIN(Instances!P217:P217),"max", MAX(Instances!P217:P217),"diff", MAX(Instances!P217:P217)-MIN(Instances!P217:P217))</f>
        <v>9.32</v>
      </c>
      <c r="Q217" s="1" t="n">
        <f aca="false" t="array" ref="Q217:Q217">_xlfn.SWITCH($A$2,"average", AVERAGE(Instances!Q217:Q217),"median", MEDIAN(Instances!Q217:Q217),"min", MIN(Instances!Q217:Q217),"max", MAX(Instances!Q217:Q217),"diff", MAX(Instances!Q217:Q217)-MIN(Instances!Q217:Q217))</f>
        <v>0</v>
      </c>
      <c r="R217" s="1" t="n">
        <f aca="false" t="array" ref="R217:R217">_xlfn.SWITCH($A$2,"average", AVERAGE(Instances!R217:R217),"median", MEDIAN(Instances!R217:R217),"min", MIN(Instances!R217:R217),"max", MAX(Instances!R217:R217),"diff", MAX(Instances!R217:R217)-MIN(Instances!R217:R217))</f>
        <v>589456</v>
      </c>
      <c r="S217" s="1" t="n">
        <f aca="false">MIN($B217)</f>
        <v>4774</v>
      </c>
      <c r="T217" s="1" t="n">
        <f aca="false">MIN($C217)</f>
        <v>29</v>
      </c>
      <c r="U217" s="1" t="n">
        <f aca="false">MIN($D217)</f>
        <v>522483</v>
      </c>
      <c r="V217" s="1" t="n">
        <f aca="false">MIN($E217)</f>
        <v>0</v>
      </c>
      <c r="W217" s="1" t="n">
        <f aca="false">MIN($F217)</f>
        <v>580</v>
      </c>
      <c r="X217" s="1" t="n">
        <f aca="false">MIN($G217)</f>
        <v>0</v>
      </c>
      <c r="Y217" s="1" t="n">
        <f aca="false">MIN($H217)</f>
        <v>1</v>
      </c>
      <c r="Z217" s="1" t="n">
        <f aca="false">MIN($I217)</f>
        <v>9.113</v>
      </c>
      <c r="AA217" s="1" t="n">
        <f aca="false">MIN($J217)</f>
        <v>9.32</v>
      </c>
      <c r="AB217" s="1" t="n">
        <f aca="false">MIN($K217)</f>
        <v>0</v>
      </c>
      <c r="AC217" s="1" t="n">
        <f aca="false">MIN($M217)</f>
        <v>2221604</v>
      </c>
      <c r="AD217" s="1" t="n">
        <f aca="false">MIN($N217)</f>
        <v>0.08</v>
      </c>
      <c r="AE217" s="1" t="n">
        <f aca="false">MIN($P217)</f>
        <v>9.32</v>
      </c>
      <c r="AF217" s="1" t="n">
        <f aca="false">MIN($Q217)</f>
        <v>0</v>
      </c>
      <c r="AG217" s="1" t="n">
        <f aca="false">MIN($R217)</f>
        <v>589456</v>
      </c>
      <c r="AH217" s="1" t="n">
        <f aca="false">MEDIAN($B217)</f>
        <v>4774</v>
      </c>
      <c r="AI217" s="1" t="n">
        <f aca="false">MEDIAN($C217)</f>
        <v>29</v>
      </c>
      <c r="AJ217" s="1" t="n">
        <f aca="false">MEDIAN($D217)</f>
        <v>522483</v>
      </c>
      <c r="AK217" s="1" t="n">
        <f aca="false">MEDIAN($E217)</f>
        <v>0</v>
      </c>
      <c r="AL217" s="1" t="n">
        <f aca="false">MEDIAN($F217)</f>
        <v>580</v>
      </c>
      <c r="AM217" s="1" t="n">
        <f aca="false">MEDIAN($G217)</f>
        <v>0</v>
      </c>
      <c r="AN217" s="1" t="n">
        <f aca="false">MEDIAN($H217)</f>
        <v>1</v>
      </c>
      <c r="AO217" s="1" t="n">
        <f aca="false">MEDIAN($I217)</f>
        <v>9.113</v>
      </c>
      <c r="AP217" s="1" t="n">
        <f aca="false">MEDIAN($J217)</f>
        <v>9.32</v>
      </c>
      <c r="AQ217" s="1" t="n">
        <f aca="false">MEDIAN($K217)</f>
        <v>0</v>
      </c>
      <c r="AR217" s="1" t="n">
        <f aca="false">MEDIAN($M217)</f>
        <v>2221604</v>
      </c>
      <c r="AS217" s="1" t="n">
        <f aca="false">MEDIAN($N217)</f>
        <v>0.08</v>
      </c>
      <c r="AT217" s="1" t="n">
        <f aca="false">MEDIAN($P217)</f>
        <v>9.32</v>
      </c>
      <c r="AU217" s="1" t="n">
        <f aca="false">MEDIAN($Q217)</f>
        <v>0</v>
      </c>
      <c r="AV217" s="1" t="n">
        <f aca="false">MEDIAN($R217)</f>
        <v>589456</v>
      </c>
      <c r="AW217" s="1" t="n">
        <f aca="false">MAX($B217)</f>
        <v>4774</v>
      </c>
      <c r="AX217" s="1" t="n">
        <f aca="false">MAX($C217)</f>
        <v>29</v>
      </c>
      <c r="AY217" s="1" t="n">
        <f aca="false">MAX($D217)</f>
        <v>522483</v>
      </c>
      <c r="AZ217" s="1" t="n">
        <f aca="false">MAX($E217)</f>
        <v>0</v>
      </c>
      <c r="BA217" s="1" t="n">
        <f aca="false">MAX($F217)</f>
        <v>580</v>
      </c>
      <c r="BB217" s="1" t="n">
        <f aca="false">MAX($G217)</f>
        <v>0</v>
      </c>
      <c r="BC217" s="1" t="n">
        <f aca="false">MAX($H217)</f>
        <v>1</v>
      </c>
      <c r="BD217" s="1" t="n">
        <f aca="false">MAX($I217)</f>
        <v>9.113</v>
      </c>
      <c r="BE217" s="1" t="n">
        <f aca="false">MAX($J217)</f>
        <v>9.32</v>
      </c>
      <c r="BF217" s="1" t="n">
        <f aca="false">MAX($K217)</f>
        <v>0</v>
      </c>
      <c r="BG217" s="1" t="n">
        <f aca="false">MAX($M217)</f>
        <v>2221604</v>
      </c>
      <c r="BH217" s="1" t="n">
        <f aca="false">MAX($N217)</f>
        <v>0.08</v>
      </c>
      <c r="BI217" s="1" t="n">
        <f aca="false">MAX($P217)</f>
        <v>9.32</v>
      </c>
      <c r="BJ217" s="1" t="n">
        <f aca="false">MAX($Q217)</f>
        <v>0</v>
      </c>
      <c r="BK217" s="1" t="n">
        <f aca="false">MAX($R217)</f>
        <v>589456</v>
      </c>
    </row>
    <row r="218" customFormat="false" ht="15" hidden="false" customHeight="false" outlineLevel="0" collapsed="false">
      <c r="A218" s="1" t="s">
        <v>235</v>
      </c>
      <c r="B218" s="1" t="n">
        <f aca="false" t="array" ref="B218:B218">_xlfn.SWITCH($A$2,"average", AVERAGE(Instances!B218:B218),"median", MEDIAN(Instances!B218:B218),"min", MIN(Instances!B218:B218),"max", MAX(Instances!B218:B218),"diff", MAX(Instances!B218:B218)-MIN(Instances!B218:B218))</f>
        <v>15122</v>
      </c>
      <c r="C218" s="1" t="n">
        <f aca="false" t="array" ref="C218:C218">_xlfn.SWITCH($A$2,"average", AVERAGE(Instances!C218:C218),"median", MEDIAN(Instances!C218:C218),"min", MIN(Instances!C218:C218),"max", MAX(Instances!C218:C218),"diff", MAX(Instances!C218:C218)-MIN(Instances!C218:C218))</f>
        <v>468</v>
      </c>
      <c r="D218" s="1" t="n">
        <f aca="false" t="array" ref="D218:D218">_xlfn.SWITCH($A$2,"average", AVERAGE(Instances!D218:D218),"median", MEDIAN(Instances!D218:D218),"min", MIN(Instances!D218:D218),"max", MAX(Instances!D218:D218),"diff", MAX(Instances!D218:D218)-MIN(Instances!D218:D218))</f>
        <v>555638</v>
      </c>
      <c r="E218" s="1" t="n">
        <f aca="false" t="array" ref="E218:E218">_xlfn.SWITCH($A$2,"average", AVERAGE(Instances!E218:E218),"median", MEDIAN(Instances!E218:E218),"min", MIN(Instances!E218:E218),"max", MAX(Instances!E218:E218),"diff", MAX(Instances!E218:E218)-MIN(Instances!E218:E218))</f>
        <v>0</v>
      </c>
      <c r="F218" s="1" t="n">
        <f aca="false" t="array" ref="F218:F218">_xlfn.SWITCH($A$2,"average", AVERAGE(Instances!F218:F218),"median", MEDIAN(Instances!F218:F218),"min", MIN(Instances!F218:F218),"max", MAX(Instances!F218:F218),"diff", MAX(Instances!F218:F218)-MIN(Instances!F218:F218))</f>
        <v>715</v>
      </c>
      <c r="G218" s="1" t="n">
        <f aca="false" t="array" ref="G218:G218">_xlfn.SWITCH($A$2,"average", AVERAGE(Instances!G218:G218),"median", MEDIAN(Instances!G218:G218),"min", MIN(Instances!G218:G218),"max", MAX(Instances!G218:G218),"diff", MAX(Instances!G218:G218)-MIN(Instances!G218:G218))</f>
        <v>0</v>
      </c>
      <c r="H218" s="1" t="n">
        <f aca="false" t="array" ref="H218:H218">_xlfn.SWITCH($A$2,"average", AVERAGE(Instances!H218:H218),"median", MEDIAN(Instances!H218:H218),"min", MIN(Instances!H218:H218),"max", MAX(Instances!H218:H218),"diff", MAX(Instances!H218:H218)-MIN(Instances!H218:H218))</f>
        <v>1</v>
      </c>
      <c r="I218" s="1" t="n">
        <f aca="false" t="array" ref="I218:I218">_xlfn.SWITCH($A$2,"average", AVERAGE(Instances!I218:I218),"median", MEDIAN(Instances!I218:I218),"min", MIN(Instances!I218:I218),"max", MAX(Instances!I218:I218),"diff", MAX(Instances!I218:I218)-MIN(Instances!I218:I218))</f>
        <v>11.668</v>
      </c>
      <c r="J218" s="1" t="n">
        <f aca="false" t="array" ref="J218:J218">_xlfn.SWITCH($A$2,"average", AVERAGE(Instances!J218:J218),"median", MEDIAN(Instances!J218:J218),"min", MIN(Instances!J218:J218),"max", MAX(Instances!J218:J218),"diff", MAX(Instances!J218:J218)-MIN(Instances!J218:J218))</f>
        <v>11.92</v>
      </c>
      <c r="K218" s="1" t="n">
        <f aca="false" t="array" ref="K218:K218">_xlfn.SWITCH($A$2,"average", AVERAGE(Instances!K218:K218),"median", MEDIAN(Instances!K218:K218),"min", MIN(Instances!K218:K218),"max", MAX(Instances!K218:K218),"diff", MAX(Instances!K218:K218)-MIN(Instances!K218:K218))</f>
        <v>4</v>
      </c>
      <c r="L218" s="1"/>
      <c r="M218" s="1" t="n">
        <f aca="false" t="array" ref="M218:M218">_xlfn.SWITCH($A$2,"average", AVERAGE(Instances!M218:M218),"median", MEDIAN(Instances!M218:M218),"min", MIN(Instances!M218:M218),"max", MAX(Instances!M218:M218),"diff", MAX(Instances!M218:M218)-MIN(Instances!M218:M218))</f>
        <v>2686479</v>
      </c>
      <c r="N218" s="1" t="n">
        <f aca="false" t="array" ref="N218:N218">_xlfn.SWITCH($A$2,"average", AVERAGE(Instances!N218:N218),"median", MEDIAN(Instances!N218:N218),"min", MIN(Instances!N218:N218),"max", MAX(Instances!N218:N218),"diff", MAX(Instances!N218:N218)-MIN(Instances!N218:N218))</f>
        <v>0.46</v>
      </c>
      <c r="O218" s="1"/>
      <c r="P218" s="1" t="n">
        <f aca="false" t="array" ref="P218:P218">_xlfn.SWITCH($A$2,"average", AVERAGE(Instances!P218:P218),"median", MEDIAN(Instances!P218:P218),"min", MIN(Instances!P218:P218),"max", MAX(Instances!P218:P218),"diff", MAX(Instances!P218:P218)-MIN(Instances!P218:P218))</f>
        <v>11.92</v>
      </c>
      <c r="Q218" s="1" t="n">
        <f aca="false" t="array" ref="Q218:Q218">_xlfn.SWITCH($A$2,"average", AVERAGE(Instances!Q218:Q218),"median", MEDIAN(Instances!Q218:Q218),"min", MIN(Instances!Q218:Q218),"max", MAX(Instances!Q218:Q218),"diff", MAX(Instances!Q218:Q218)-MIN(Instances!Q218:Q218))</f>
        <v>0</v>
      </c>
      <c r="R218" s="1" t="n">
        <f aca="false" t="array" ref="R218:R218">_xlfn.SWITCH($A$2,"average", AVERAGE(Instances!R218:R218),"median", MEDIAN(Instances!R218:R218),"min", MIN(Instances!R218:R218),"max", MAX(Instances!R218:R218),"diff", MAX(Instances!R218:R218)-MIN(Instances!R218:R218))</f>
        <v>701597</v>
      </c>
      <c r="S218" s="1" t="n">
        <f aca="false">MIN($B218)</f>
        <v>15122</v>
      </c>
      <c r="T218" s="1" t="n">
        <f aca="false">MIN($C218)</f>
        <v>468</v>
      </c>
      <c r="U218" s="1" t="n">
        <f aca="false">MIN($D218)</f>
        <v>555638</v>
      </c>
      <c r="V218" s="1" t="n">
        <f aca="false">MIN($E218)</f>
        <v>0</v>
      </c>
      <c r="W218" s="1" t="n">
        <f aca="false">MIN($F218)</f>
        <v>715</v>
      </c>
      <c r="X218" s="1" t="n">
        <f aca="false">MIN($G218)</f>
        <v>0</v>
      </c>
      <c r="Y218" s="1" t="n">
        <f aca="false">MIN($H218)</f>
        <v>1</v>
      </c>
      <c r="Z218" s="1" t="n">
        <f aca="false">MIN($I218)</f>
        <v>11.668</v>
      </c>
      <c r="AA218" s="1" t="n">
        <f aca="false">MIN($J218)</f>
        <v>11.92</v>
      </c>
      <c r="AB218" s="1" t="n">
        <f aca="false">MIN($K218)</f>
        <v>4</v>
      </c>
      <c r="AC218" s="1" t="n">
        <f aca="false">MIN($M218)</f>
        <v>2686479</v>
      </c>
      <c r="AD218" s="1" t="n">
        <f aca="false">MIN($N218)</f>
        <v>0.46</v>
      </c>
      <c r="AE218" s="1" t="n">
        <f aca="false">MIN($P218)</f>
        <v>11.92</v>
      </c>
      <c r="AF218" s="1" t="n">
        <f aca="false">MIN($Q218)</f>
        <v>0</v>
      </c>
      <c r="AG218" s="1" t="n">
        <f aca="false">MIN($R218)</f>
        <v>701597</v>
      </c>
      <c r="AH218" s="1" t="n">
        <f aca="false">MEDIAN($B218)</f>
        <v>15122</v>
      </c>
      <c r="AI218" s="1" t="n">
        <f aca="false">MEDIAN($C218)</f>
        <v>468</v>
      </c>
      <c r="AJ218" s="1" t="n">
        <f aca="false">MEDIAN($D218)</f>
        <v>555638</v>
      </c>
      <c r="AK218" s="1" t="n">
        <f aca="false">MEDIAN($E218)</f>
        <v>0</v>
      </c>
      <c r="AL218" s="1" t="n">
        <f aca="false">MEDIAN($F218)</f>
        <v>715</v>
      </c>
      <c r="AM218" s="1" t="n">
        <f aca="false">MEDIAN($G218)</f>
        <v>0</v>
      </c>
      <c r="AN218" s="1" t="n">
        <f aca="false">MEDIAN($H218)</f>
        <v>1</v>
      </c>
      <c r="AO218" s="1" t="n">
        <f aca="false">MEDIAN($I218)</f>
        <v>11.668</v>
      </c>
      <c r="AP218" s="1" t="n">
        <f aca="false">MEDIAN($J218)</f>
        <v>11.92</v>
      </c>
      <c r="AQ218" s="1" t="n">
        <f aca="false">MEDIAN($K218)</f>
        <v>4</v>
      </c>
      <c r="AR218" s="1" t="n">
        <f aca="false">MEDIAN($M218)</f>
        <v>2686479</v>
      </c>
      <c r="AS218" s="1" t="n">
        <f aca="false">MEDIAN($N218)</f>
        <v>0.46</v>
      </c>
      <c r="AT218" s="1" t="n">
        <f aca="false">MEDIAN($P218)</f>
        <v>11.92</v>
      </c>
      <c r="AU218" s="1" t="n">
        <f aca="false">MEDIAN($Q218)</f>
        <v>0</v>
      </c>
      <c r="AV218" s="1" t="n">
        <f aca="false">MEDIAN($R218)</f>
        <v>701597</v>
      </c>
      <c r="AW218" s="1" t="n">
        <f aca="false">MAX($B218)</f>
        <v>15122</v>
      </c>
      <c r="AX218" s="1" t="n">
        <f aca="false">MAX($C218)</f>
        <v>468</v>
      </c>
      <c r="AY218" s="1" t="n">
        <f aca="false">MAX($D218)</f>
        <v>555638</v>
      </c>
      <c r="AZ218" s="1" t="n">
        <f aca="false">MAX($E218)</f>
        <v>0</v>
      </c>
      <c r="BA218" s="1" t="n">
        <f aca="false">MAX($F218)</f>
        <v>715</v>
      </c>
      <c r="BB218" s="1" t="n">
        <f aca="false">MAX($G218)</f>
        <v>0</v>
      </c>
      <c r="BC218" s="1" t="n">
        <f aca="false">MAX($H218)</f>
        <v>1</v>
      </c>
      <c r="BD218" s="1" t="n">
        <f aca="false">MAX($I218)</f>
        <v>11.668</v>
      </c>
      <c r="BE218" s="1" t="n">
        <f aca="false">MAX($J218)</f>
        <v>11.92</v>
      </c>
      <c r="BF218" s="1" t="n">
        <f aca="false">MAX($K218)</f>
        <v>4</v>
      </c>
      <c r="BG218" s="1" t="n">
        <f aca="false">MAX($M218)</f>
        <v>2686479</v>
      </c>
      <c r="BH218" s="1" t="n">
        <f aca="false">MAX($N218)</f>
        <v>0.46</v>
      </c>
      <c r="BI218" s="1" t="n">
        <f aca="false">MAX($P218)</f>
        <v>11.92</v>
      </c>
      <c r="BJ218" s="1" t="n">
        <f aca="false">MAX($Q218)</f>
        <v>0</v>
      </c>
      <c r="BK218" s="1" t="n">
        <f aca="false">MAX($R218)</f>
        <v>701597</v>
      </c>
    </row>
    <row r="219" customFormat="false" ht="15" hidden="false" customHeight="false" outlineLevel="0" collapsed="false">
      <c r="A219" s="1" t="s">
        <v>236</v>
      </c>
      <c r="B219" s="1" t="n">
        <f aca="false" t="array" ref="B219:B219">_xlfn.SWITCH($A$2,"average", AVERAGE(Instances!B219:B219),"median", MEDIAN(Instances!B219:B219),"min", MIN(Instances!B219:B219),"max", MAX(Instances!B219:B219),"diff", MAX(Instances!B219:B219)-MIN(Instances!B219:B219))</f>
        <v>667</v>
      </c>
      <c r="C219" s="1" t="n">
        <f aca="false" t="array" ref="C219:C219">_xlfn.SWITCH($A$2,"average", AVERAGE(Instances!C219:C219),"median", MEDIAN(Instances!C219:C219),"min", MIN(Instances!C219:C219),"max", MAX(Instances!C219:C219),"diff", MAX(Instances!C219:C219)-MIN(Instances!C219:C219))</f>
        <v>0</v>
      </c>
      <c r="D219" s="1" t="n">
        <f aca="false" t="array" ref="D219:D219">_xlfn.SWITCH($A$2,"average", AVERAGE(Instances!D219:D219),"median", MEDIAN(Instances!D219:D219),"min", MIN(Instances!D219:D219),"max", MAX(Instances!D219:D219),"diff", MAX(Instances!D219:D219)-MIN(Instances!D219:D219))</f>
        <v>253051</v>
      </c>
      <c r="E219" s="1" t="n">
        <f aca="false" t="array" ref="E219:E219">_xlfn.SWITCH($A$2,"average", AVERAGE(Instances!E219:E219),"median", MEDIAN(Instances!E219:E219),"min", MIN(Instances!E219:E219),"max", MAX(Instances!E219:E219),"diff", MAX(Instances!E219:E219)-MIN(Instances!E219:E219))</f>
        <v>0</v>
      </c>
      <c r="F219" s="1" t="n">
        <f aca="false" t="array" ref="F219:F219">_xlfn.SWITCH($A$2,"average", AVERAGE(Instances!F219:F219),"median", MEDIAN(Instances!F219:F219),"min", MIN(Instances!F219:F219),"max", MAX(Instances!F219:F219),"diff", MAX(Instances!F219:F219)-MIN(Instances!F219:F219))</f>
        <v>268</v>
      </c>
      <c r="G219" s="1" t="n">
        <f aca="false" t="array" ref="G219:G219">_xlfn.SWITCH($A$2,"average", AVERAGE(Instances!G219:G219),"median", MEDIAN(Instances!G219:G219),"min", MIN(Instances!G219:G219),"max", MAX(Instances!G219:G219),"diff", MAX(Instances!G219:G219)-MIN(Instances!G219:G219))</f>
        <v>0</v>
      </c>
      <c r="H219" s="1" t="n">
        <f aca="false" t="array" ref="H219:H219">_xlfn.SWITCH($A$2,"average", AVERAGE(Instances!H219:H219),"median", MEDIAN(Instances!H219:H219),"min", MIN(Instances!H219:H219),"max", MAX(Instances!H219:H219),"diff", MAX(Instances!H219:H219)-MIN(Instances!H219:H219))</f>
        <v>1</v>
      </c>
      <c r="I219" s="1" t="n">
        <f aca="false" t="array" ref="I219:I219">_xlfn.SWITCH($A$2,"average", AVERAGE(Instances!I219:I219),"median", MEDIAN(Instances!I219:I219),"min", MIN(Instances!I219:I219),"max", MAX(Instances!I219:I219),"diff", MAX(Instances!I219:I219)-MIN(Instances!I219:I219))</f>
        <v>3.254</v>
      </c>
      <c r="J219" s="1" t="n">
        <f aca="false" t="array" ref="J219:J219">_xlfn.SWITCH($A$2,"average", AVERAGE(Instances!J219:J219),"median", MEDIAN(Instances!J219:J219),"min", MIN(Instances!J219:J219),"max", MAX(Instances!J219:J219),"diff", MAX(Instances!J219:J219)-MIN(Instances!J219:J219))</f>
        <v>3.35</v>
      </c>
      <c r="K219" s="1" t="n">
        <f aca="false" t="array" ref="K219:K219">_xlfn.SWITCH($A$2,"average", AVERAGE(Instances!K219:K219),"median", MEDIAN(Instances!K219:K219),"min", MIN(Instances!K219:K219),"max", MAX(Instances!K219:K219),"diff", MAX(Instances!K219:K219)-MIN(Instances!K219:K219))</f>
        <v>0</v>
      </c>
      <c r="L219" s="1"/>
      <c r="M219" s="1" t="n">
        <f aca="false" t="array" ref="M219:M219">_xlfn.SWITCH($A$2,"average", AVERAGE(Instances!M219:M219),"median", MEDIAN(Instances!M219:M219),"min", MIN(Instances!M219:M219),"max", MAX(Instances!M219:M219),"diff", MAX(Instances!M219:M219)-MIN(Instances!M219:M219))</f>
        <v>737376</v>
      </c>
      <c r="N219" s="1" t="n">
        <f aca="false" t="array" ref="N219:N219">_xlfn.SWITCH($A$2,"average", AVERAGE(Instances!N219:N219),"median", MEDIAN(Instances!N219:N219),"min", MIN(Instances!N219:N219),"max", MAX(Instances!N219:N219),"diff", MAX(Instances!N219:N219)-MIN(Instances!N219:N219))</f>
        <v>0.02</v>
      </c>
      <c r="O219" s="1"/>
      <c r="P219" s="1" t="n">
        <f aca="false" t="array" ref="P219:P219">_xlfn.SWITCH($A$2,"average", AVERAGE(Instances!P219:P219),"median", MEDIAN(Instances!P219:P219),"min", MIN(Instances!P219:P219),"max", MAX(Instances!P219:P219),"diff", MAX(Instances!P219:P219)-MIN(Instances!P219:P219))</f>
        <v>3.35</v>
      </c>
      <c r="Q219" s="1" t="n">
        <f aca="false" t="array" ref="Q219:Q219">_xlfn.SWITCH($A$2,"average", AVERAGE(Instances!Q219:Q219),"median", MEDIAN(Instances!Q219:Q219),"min", MIN(Instances!Q219:Q219),"max", MAX(Instances!Q219:Q219),"diff", MAX(Instances!Q219:Q219)-MIN(Instances!Q219:Q219))</f>
        <v>0</v>
      </c>
      <c r="R219" s="1" t="n">
        <f aca="false" t="array" ref="R219:R219">_xlfn.SWITCH($A$2,"average", AVERAGE(Instances!R219:R219),"median", MEDIAN(Instances!R219:R219),"min", MIN(Instances!R219:R219),"max", MAX(Instances!R219:R219),"diff", MAX(Instances!R219:R219)-MIN(Instances!R219:R219))</f>
        <v>265243</v>
      </c>
      <c r="S219" s="1" t="n">
        <f aca="false">MIN($B219)</f>
        <v>667</v>
      </c>
      <c r="T219" s="1" t="n">
        <f aca="false">MIN($C219)</f>
        <v>0</v>
      </c>
      <c r="U219" s="1" t="n">
        <f aca="false">MIN($D219)</f>
        <v>253051</v>
      </c>
      <c r="V219" s="1" t="n">
        <f aca="false">MIN($E219)</f>
        <v>0</v>
      </c>
      <c r="W219" s="1" t="n">
        <f aca="false">MIN($F219)</f>
        <v>268</v>
      </c>
      <c r="X219" s="1" t="n">
        <f aca="false">MIN($G219)</f>
        <v>0</v>
      </c>
      <c r="Y219" s="1" t="n">
        <f aca="false">MIN($H219)</f>
        <v>1</v>
      </c>
      <c r="Z219" s="1" t="n">
        <f aca="false">MIN($I219)</f>
        <v>3.254</v>
      </c>
      <c r="AA219" s="1" t="n">
        <f aca="false">MIN($J219)</f>
        <v>3.35</v>
      </c>
      <c r="AB219" s="1" t="n">
        <f aca="false">MIN($K219)</f>
        <v>0</v>
      </c>
      <c r="AC219" s="1" t="n">
        <f aca="false">MIN($M219)</f>
        <v>737376</v>
      </c>
      <c r="AD219" s="1" t="n">
        <f aca="false">MIN($N219)</f>
        <v>0.02</v>
      </c>
      <c r="AE219" s="1" t="n">
        <f aca="false">MIN($P219)</f>
        <v>3.35</v>
      </c>
      <c r="AF219" s="1" t="n">
        <f aca="false">MIN($Q219)</f>
        <v>0</v>
      </c>
      <c r="AG219" s="1" t="n">
        <f aca="false">MIN($R219)</f>
        <v>265243</v>
      </c>
      <c r="AH219" s="1" t="n">
        <f aca="false">MEDIAN($B219)</f>
        <v>667</v>
      </c>
      <c r="AI219" s="1" t="n">
        <f aca="false">MEDIAN($C219)</f>
        <v>0</v>
      </c>
      <c r="AJ219" s="1" t="n">
        <f aca="false">MEDIAN($D219)</f>
        <v>253051</v>
      </c>
      <c r="AK219" s="1" t="n">
        <f aca="false">MEDIAN($E219)</f>
        <v>0</v>
      </c>
      <c r="AL219" s="1" t="n">
        <f aca="false">MEDIAN($F219)</f>
        <v>268</v>
      </c>
      <c r="AM219" s="1" t="n">
        <f aca="false">MEDIAN($G219)</f>
        <v>0</v>
      </c>
      <c r="AN219" s="1" t="n">
        <f aca="false">MEDIAN($H219)</f>
        <v>1</v>
      </c>
      <c r="AO219" s="1" t="n">
        <f aca="false">MEDIAN($I219)</f>
        <v>3.254</v>
      </c>
      <c r="AP219" s="1" t="n">
        <f aca="false">MEDIAN($J219)</f>
        <v>3.35</v>
      </c>
      <c r="AQ219" s="1" t="n">
        <f aca="false">MEDIAN($K219)</f>
        <v>0</v>
      </c>
      <c r="AR219" s="1" t="n">
        <f aca="false">MEDIAN($M219)</f>
        <v>737376</v>
      </c>
      <c r="AS219" s="1" t="n">
        <f aca="false">MEDIAN($N219)</f>
        <v>0.02</v>
      </c>
      <c r="AT219" s="1" t="n">
        <f aca="false">MEDIAN($P219)</f>
        <v>3.35</v>
      </c>
      <c r="AU219" s="1" t="n">
        <f aca="false">MEDIAN($Q219)</f>
        <v>0</v>
      </c>
      <c r="AV219" s="1" t="n">
        <f aca="false">MEDIAN($R219)</f>
        <v>265243</v>
      </c>
      <c r="AW219" s="1" t="n">
        <f aca="false">MAX($B219)</f>
        <v>667</v>
      </c>
      <c r="AX219" s="1" t="n">
        <f aca="false">MAX($C219)</f>
        <v>0</v>
      </c>
      <c r="AY219" s="1" t="n">
        <f aca="false">MAX($D219)</f>
        <v>253051</v>
      </c>
      <c r="AZ219" s="1" t="n">
        <f aca="false">MAX($E219)</f>
        <v>0</v>
      </c>
      <c r="BA219" s="1" t="n">
        <f aca="false">MAX($F219)</f>
        <v>268</v>
      </c>
      <c r="BB219" s="1" t="n">
        <f aca="false">MAX($G219)</f>
        <v>0</v>
      </c>
      <c r="BC219" s="1" t="n">
        <f aca="false">MAX($H219)</f>
        <v>1</v>
      </c>
      <c r="BD219" s="1" t="n">
        <f aca="false">MAX($I219)</f>
        <v>3.254</v>
      </c>
      <c r="BE219" s="1" t="n">
        <f aca="false">MAX($J219)</f>
        <v>3.35</v>
      </c>
      <c r="BF219" s="1" t="n">
        <f aca="false">MAX($K219)</f>
        <v>0</v>
      </c>
      <c r="BG219" s="1" t="n">
        <f aca="false">MAX($M219)</f>
        <v>737376</v>
      </c>
      <c r="BH219" s="1" t="n">
        <f aca="false">MAX($N219)</f>
        <v>0.02</v>
      </c>
      <c r="BI219" s="1" t="n">
        <f aca="false">MAX($P219)</f>
        <v>3.35</v>
      </c>
      <c r="BJ219" s="1" t="n">
        <f aca="false">MAX($Q219)</f>
        <v>0</v>
      </c>
      <c r="BK219" s="1" t="n">
        <f aca="false">MAX($R219)</f>
        <v>265243</v>
      </c>
    </row>
    <row r="220" customFormat="false" ht="15" hidden="false" customHeight="false" outlineLevel="0" collapsed="false">
      <c r="A220" s="1" t="s">
        <v>237</v>
      </c>
      <c r="B220" s="1" t="n">
        <f aca="false" t="array" ref="B220:B220">_xlfn.SWITCH($A$2,"average", AVERAGE(Instances!B220:B220),"median", MEDIAN(Instances!B220:B220),"min", MIN(Instances!B220:B220),"max", MAX(Instances!B220:B220),"diff", MAX(Instances!B220:B220)-MIN(Instances!B220:B220))</f>
        <v>367</v>
      </c>
      <c r="C220" s="1" t="n">
        <f aca="false" t="array" ref="C220:C220">_xlfn.SWITCH($A$2,"average", AVERAGE(Instances!C220:C220),"median", MEDIAN(Instances!C220:C220),"min", MIN(Instances!C220:C220),"max", MAX(Instances!C220:C220),"diff", MAX(Instances!C220:C220)-MIN(Instances!C220:C220))</f>
        <v>0</v>
      </c>
      <c r="D220" s="1" t="n">
        <f aca="false" t="array" ref="D220:D220">_xlfn.SWITCH($A$2,"average", AVERAGE(Instances!D220:D220),"median", MEDIAN(Instances!D220:D220),"min", MIN(Instances!D220:D220),"max", MAX(Instances!D220:D220),"diff", MAX(Instances!D220:D220)-MIN(Instances!D220:D220))</f>
        <v>222778</v>
      </c>
      <c r="E220" s="1" t="n">
        <f aca="false" t="array" ref="E220:E220">_xlfn.SWITCH($A$2,"average", AVERAGE(Instances!E220:E220),"median", MEDIAN(Instances!E220:E220),"min", MIN(Instances!E220:E220),"max", MAX(Instances!E220:E220),"diff", MAX(Instances!E220:E220)-MIN(Instances!E220:E220))</f>
        <v>0</v>
      </c>
      <c r="F220" s="1" t="n">
        <f aca="false" t="array" ref="F220:F220">_xlfn.SWITCH($A$2,"average", AVERAGE(Instances!F220:F220),"median", MEDIAN(Instances!F220:F220),"min", MIN(Instances!F220:F220),"max", MAX(Instances!F220:F220),"diff", MAX(Instances!F220:F220)-MIN(Instances!F220:F220))</f>
        <v>208</v>
      </c>
      <c r="G220" s="1" t="n">
        <f aca="false" t="array" ref="G220:G220">_xlfn.SWITCH($A$2,"average", AVERAGE(Instances!G220:G220),"median", MEDIAN(Instances!G220:G220),"min", MIN(Instances!G220:G220),"max", MAX(Instances!G220:G220),"diff", MAX(Instances!G220:G220)-MIN(Instances!G220:G220))</f>
        <v>0</v>
      </c>
      <c r="H220" s="1" t="n">
        <f aca="false" t="array" ref="H220:H220">_xlfn.SWITCH($A$2,"average", AVERAGE(Instances!H220:H220),"median", MEDIAN(Instances!H220:H220),"min", MIN(Instances!H220:H220),"max", MAX(Instances!H220:H220),"diff", MAX(Instances!H220:H220)-MIN(Instances!H220:H220))</f>
        <v>1</v>
      </c>
      <c r="I220" s="1" t="n">
        <f aca="false" t="array" ref="I220:I220">_xlfn.SWITCH($A$2,"average", AVERAGE(Instances!I220:I220),"median", MEDIAN(Instances!I220:I220),"min", MIN(Instances!I220:I220),"max", MAX(Instances!I220:I220),"diff", MAX(Instances!I220:I220)-MIN(Instances!I220:I220))</f>
        <v>2.504</v>
      </c>
      <c r="J220" s="1" t="n">
        <f aca="false" t="array" ref="J220:J220">_xlfn.SWITCH($A$2,"average", AVERAGE(Instances!J220:J220),"median", MEDIAN(Instances!J220:J220),"min", MIN(Instances!J220:J220),"max", MAX(Instances!J220:J220),"diff", MAX(Instances!J220:J220)-MIN(Instances!J220:J220))</f>
        <v>2.58</v>
      </c>
      <c r="K220" s="1" t="n">
        <f aca="false" t="array" ref="K220:K220">_xlfn.SWITCH($A$2,"average", AVERAGE(Instances!K220:K220),"median", MEDIAN(Instances!K220:K220),"min", MIN(Instances!K220:K220),"max", MAX(Instances!K220:K220),"diff", MAX(Instances!K220:K220)-MIN(Instances!K220:K220))</f>
        <v>0</v>
      </c>
      <c r="L220" s="1"/>
      <c r="M220" s="1" t="n">
        <f aca="false" t="array" ref="M220:M220">_xlfn.SWITCH($A$2,"average", AVERAGE(Instances!M220:M220),"median", MEDIAN(Instances!M220:M220),"min", MIN(Instances!M220:M220),"max", MAX(Instances!M220:M220),"diff", MAX(Instances!M220:M220)-MIN(Instances!M220:M220))</f>
        <v>539637</v>
      </c>
      <c r="N220" s="1" t="n">
        <f aca="false" t="array" ref="N220:N220">_xlfn.SWITCH($A$2,"average", AVERAGE(Instances!N220:N220),"median", MEDIAN(Instances!N220:N220),"min", MIN(Instances!N220:N220),"max", MAX(Instances!N220:N220),"diff", MAX(Instances!N220:N220)-MIN(Instances!N220:N220))</f>
        <v>0.02</v>
      </c>
      <c r="O220" s="1"/>
      <c r="P220" s="1" t="n">
        <f aca="false" t="array" ref="P220:P220">_xlfn.SWITCH($A$2,"average", AVERAGE(Instances!P220:P220),"median", MEDIAN(Instances!P220:P220),"min", MIN(Instances!P220:P220),"max", MAX(Instances!P220:P220),"diff", MAX(Instances!P220:P220)-MIN(Instances!P220:P220))</f>
        <v>2.58</v>
      </c>
      <c r="Q220" s="1" t="n">
        <f aca="false" t="array" ref="Q220:Q220">_xlfn.SWITCH($A$2,"average", AVERAGE(Instances!Q220:Q220),"median", MEDIAN(Instances!Q220:Q220),"min", MIN(Instances!Q220:Q220),"max", MAX(Instances!Q220:Q220),"diff", MAX(Instances!Q220:Q220)-MIN(Instances!Q220:Q220))</f>
        <v>0</v>
      </c>
      <c r="R220" s="1" t="n">
        <f aca="false" t="array" ref="R220:R220">_xlfn.SWITCH($A$2,"average", AVERAGE(Instances!R220:R220),"median", MEDIAN(Instances!R220:R220),"min", MIN(Instances!R220:R220),"max", MAX(Instances!R220:R220),"diff", MAX(Instances!R220:R220)-MIN(Instances!R220:R220))</f>
        <v>202941</v>
      </c>
      <c r="S220" s="1" t="n">
        <f aca="false">MIN($B220)</f>
        <v>367</v>
      </c>
      <c r="T220" s="1" t="n">
        <f aca="false">MIN($C220)</f>
        <v>0</v>
      </c>
      <c r="U220" s="1" t="n">
        <f aca="false">MIN($D220)</f>
        <v>222778</v>
      </c>
      <c r="V220" s="1" t="n">
        <f aca="false">MIN($E220)</f>
        <v>0</v>
      </c>
      <c r="W220" s="1" t="n">
        <f aca="false">MIN($F220)</f>
        <v>208</v>
      </c>
      <c r="X220" s="1" t="n">
        <f aca="false">MIN($G220)</f>
        <v>0</v>
      </c>
      <c r="Y220" s="1" t="n">
        <f aca="false">MIN($H220)</f>
        <v>1</v>
      </c>
      <c r="Z220" s="1" t="n">
        <f aca="false">MIN($I220)</f>
        <v>2.504</v>
      </c>
      <c r="AA220" s="1" t="n">
        <f aca="false">MIN($J220)</f>
        <v>2.58</v>
      </c>
      <c r="AB220" s="1" t="n">
        <f aca="false">MIN($K220)</f>
        <v>0</v>
      </c>
      <c r="AC220" s="1" t="n">
        <f aca="false">MIN($M220)</f>
        <v>539637</v>
      </c>
      <c r="AD220" s="1" t="n">
        <f aca="false">MIN($N220)</f>
        <v>0.02</v>
      </c>
      <c r="AE220" s="1" t="n">
        <f aca="false">MIN($P220)</f>
        <v>2.58</v>
      </c>
      <c r="AF220" s="1" t="n">
        <f aca="false">MIN($Q220)</f>
        <v>0</v>
      </c>
      <c r="AG220" s="1" t="n">
        <f aca="false">MIN($R220)</f>
        <v>202941</v>
      </c>
      <c r="AH220" s="1" t="n">
        <f aca="false">MEDIAN($B220)</f>
        <v>367</v>
      </c>
      <c r="AI220" s="1" t="n">
        <f aca="false">MEDIAN($C220)</f>
        <v>0</v>
      </c>
      <c r="AJ220" s="1" t="n">
        <f aca="false">MEDIAN($D220)</f>
        <v>222778</v>
      </c>
      <c r="AK220" s="1" t="n">
        <f aca="false">MEDIAN($E220)</f>
        <v>0</v>
      </c>
      <c r="AL220" s="1" t="n">
        <f aca="false">MEDIAN($F220)</f>
        <v>208</v>
      </c>
      <c r="AM220" s="1" t="n">
        <f aca="false">MEDIAN($G220)</f>
        <v>0</v>
      </c>
      <c r="AN220" s="1" t="n">
        <f aca="false">MEDIAN($H220)</f>
        <v>1</v>
      </c>
      <c r="AO220" s="1" t="n">
        <f aca="false">MEDIAN($I220)</f>
        <v>2.504</v>
      </c>
      <c r="AP220" s="1" t="n">
        <f aca="false">MEDIAN($J220)</f>
        <v>2.58</v>
      </c>
      <c r="AQ220" s="1" t="n">
        <f aca="false">MEDIAN($K220)</f>
        <v>0</v>
      </c>
      <c r="AR220" s="1" t="n">
        <f aca="false">MEDIAN($M220)</f>
        <v>539637</v>
      </c>
      <c r="AS220" s="1" t="n">
        <f aca="false">MEDIAN($N220)</f>
        <v>0.02</v>
      </c>
      <c r="AT220" s="1" t="n">
        <f aca="false">MEDIAN($P220)</f>
        <v>2.58</v>
      </c>
      <c r="AU220" s="1" t="n">
        <f aca="false">MEDIAN($Q220)</f>
        <v>0</v>
      </c>
      <c r="AV220" s="1" t="n">
        <f aca="false">MEDIAN($R220)</f>
        <v>202941</v>
      </c>
      <c r="AW220" s="1" t="n">
        <f aca="false">MAX($B220)</f>
        <v>367</v>
      </c>
      <c r="AX220" s="1" t="n">
        <f aca="false">MAX($C220)</f>
        <v>0</v>
      </c>
      <c r="AY220" s="1" t="n">
        <f aca="false">MAX($D220)</f>
        <v>222778</v>
      </c>
      <c r="AZ220" s="1" t="n">
        <f aca="false">MAX($E220)</f>
        <v>0</v>
      </c>
      <c r="BA220" s="1" t="n">
        <f aca="false">MAX($F220)</f>
        <v>208</v>
      </c>
      <c r="BB220" s="1" t="n">
        <f aca="false">MAX($G220)</f>
        <v>0</v>
      </c>
      <c r="BC220" s="1" t="n">
        <f aca="false">MAX($H220)</f>
        <v>1</v>
      </c>
      <c r="BD220" s="1" t="n">
        <f aca="false">MAX($I220)</f>
        <v>2.504</v>
      </c>
      <c r="BE220" s="1" t="n">
        <f aca="false">MAX($J220)</f>
        <v>2.58</v>
      </c>
      <c r="BF220" s="1" t="n">
        <f aca="false">MAX($K220)</f>
        <v>0</v>
      </c>
      <c r="BG220" s="1" t="n">
        <f aca="false">MAX($M220)</f>
        <v>539637</v>
      </c>
      <c r="BH220" s="1" t="n">
        <f aca="false">MAX($N220)</f>
        <v>0.02</v>
      </c>
      <c r="BI220" s="1" t="n">
        <f aca="false">MAX($P220)</f>
        <v>2.58</v>
      </c>
      <c r="BJ220" s="1" t="n">
        <f aca="false">MAX($Q220)</f>
        <v>0</v>
      </c>
      <c r="BK220" s="1" t="n">
        <f aca="false">MAX($R220)</f>
        <v>202941</v>
      </c>
    </row>
    <row r="221" customFormat="false" ht="15" hidden="false" customHeight="false" outlineLevel="0" collapsed="false">
      <c r="A221" s="1" t="s">
        <v>238</v>
      </c>
      <c r="B221" s="1" t="n">
        <f aca="false" t="array" ref="B221:B221">_xlfn.SWITCH($A$2,"average", AVERAGE(Instances!B221:B221),"median", MEDIAN(Instances!B221:B221),"min", MIN(Instances!B221:B221),"max", MAX(Instances!B221:B221),"diff", MAX(Instances!B221:B221)-MIN(Instances!B221:B221))</f>
        <v>950</v>
      </c>
      <c r="C221" s="1" t="n">
        <f aca="false" t="array" ref="C221:C221">_xlfn.SWITCH($A$2,"average", AVERAGE(Instances!C221:C221),"median", MEDIAN(Instances!C221:C221),"min", MIN(Instances!C221:C221),"max", MAX(Instances!C221:C221),"diff", MAX(Instances!C221:C221)-MIN(Instances!C221:C221))</f>
        <v>0</v>
      </c>
      <c r="D221" s="1" t="n">
        <f aca="false" t="array" ref="D221:D221">_xlfn.SWITCH($A$2,"average", AVERAGE(Instances!D221:D221),"median", MEDIAN(Instances!D221:D221),"min", MIN(Instances!D221:D221),"max", MAX(Instances!D221:D221),"diff", MAX(Instances!D221:D221)-MIN(Instances!D221:D221))</f>
        <v>221932</v>
      </c>
      <c r="E221" s="1" t="n">
        <f aca="false" t="array" ref="E221:E221">_xlfn.SWITCH($A$2,"average", AVERAGE(Instances!E221:E221),"median", MEDIAN(Instances!E221:E221),"min", MIN(Instances!E221:E221),"max", MAX(Instances!E221:E221),"diff", MAX(Instances!E221:E221)-MIN(Instances!E221:E221))</f>
        <v>0</v>
      </c>
      <c r="F221" s="1" t="n">
        <f aca="false" t="array" ref="F221:F221">_xlfn.SWITCH($A$2,"average", AVERAGE(Instances!F221:F221),"median", MEDIAN(Instances!F221:F221),"min", MIN(Instances!F221:F221),"max", MAX(Instances!F221:F221),"diff", MAX(Instances!F221:F221)-MIN(Instances!F221:F221))</f>
        <v>209</v>
      </c>
      <c r="G221" s="1" t="n">
        <f aca="false" t="array" ref="G221:G221">_xlfn.SWITCH($A$2,"average", AVERAGE(Instances!G221:G221),"median", MEDIAN(Instances!G221:G221),"min", MIN(Instances!G221:G221),"max", MAX(Instances!G221:G221),"diff", MAX(Instances!G221:G221)-MIN(Instances!G221:G221))</f>
        <v>0</v>
      </c>
      <c r="H221" s="1" t="n">
        <f aca="false" t="array" ref="H221:H221">_xlfn.SWITCH($A$2,"average", AVERAGE(Instances!H221:H221),"median", MEDIAN(Instances!H221:H221),"min", MIN(Instances!H221:H221),"max", MAX(Instances!H221:H221),"diff", MAX(Instances!H221:H221)-MIN(Instances!H221:H221))</f>
        <v>1</v>
      </c>
      <c r="I221" s="1" t="n">
        <f aca="false" t="array" ref="I221:I221">_xlfn.SWITCH($A$2,"average", AVERAGE(Instances!I221:I221),"median", MEDIAN(Instances!I221:I221),"min", MIN(Instances!I221:I221),"max", MAX(Instances!I221:I221),"diff", MAX(Instances!I221:I221)-MIN(Instances!I221:I221))</f>
        <v>2.642</v>
      </c>
      <c r="J221" s="1" t="n">
        <f aca="false" t="array" ref="J221:J221">_xlfn.SWITCH($A$2,"average", AVERAGE(Instances!J221:J221),"median", MEDIAN(Instances!J221:J221),"min", MIN(Instances!J221:J221),"max", MAX(Instances!J221:J221),"diff", MAX(Instances!J221:J221)-MIN(Instances!J221:J221))</f>
        <v>2.72</v>
      </c>
      <c r="K221" s="1" t="n">
        <f aca="false" t="array" ref="K221:K221">_xlfn.SWITCH($A$2,"average", AVERAGE(Instances!K221:K221),"median", MEDIAN(Instances!K221:K221),"min", MIN(Instances!K221:K221),"max", MAX(Instances!K221:K221),"diff", MAX(Instances!K221:K221)-MIN(Instances!K221:K221))</f>
        <v>0</v>
      </c>
      <c r="L221" s="1"/>
      <c r="M221" s="1" t="n">
        <f aca="false" t="array" ref="M221:M221">_xlfn.SWITCH($A$2,"average", AVERAGE(Instances!M221:M221),"median", MEDIAN(Instances!M221:M221),"min", MIN(Instances!M221:M221),"max", MAX(Instances!M221:M221),"diff", MAX(Instances!M221:M221)-MIN(Instances!M221:M221))</f>
        <v>556265</v>
      </c>
      <c r="N221" s="1" t="n">
        <f aca="false" t="array" ref="N221:N221">_xlfn.SWITCH($A$2,"average", AVERAGE(Instances!N221:N221),"median", MEDIAN(Instances!N221:N221),"min", MIN(Instances!N221:N221),"max", MAX(Instances!N221:N221),"diff", MAX(Instances!N221:N221)-MIN(Instances!N221:N221))</f>
        <v>0.02</v>
      </c>
      <c r="O221" s="1"/>
      <c r="P221" s="1" t="n">
        <f aca="false" t="array" ref="P221:P221">_xlfn.SWITCH($A$2,"average", AVERAGE(Instances!P221:P221),"median", MEDIAN(Instances!P221:P221),"min", MIN(Instances!P221:P221),"max", MAX(Instances!P221:P221),"diff", MAX(Instances!P221:P221)-MIN(Instances!P221:P221))</f>
        <v>2.72</v>
      </c>
      <c r="Q221" s="1" t="n">
        <f aca="false" t="array" ref="Q221:Q221">_xlfn.SWITCH($A$2,"average", AVERAGE(Instances!Q221:Q221),"median", MEDIAN(Instances!Q221:Q221),"min", MIN(Instances!Q221:Q221),"max", MAX(Instances!Q221:Q221),"diff", MAX(Instances!Q221:Q221)-MIN(Instances!Q221:Q221))</f>
        <v>0</v>
      </c>
      <c r="R221" s="1" t="n">
        <f aca="false" t="array" ref="R221:R221">_xlfn.SWITCH($A$2,"average", AVERAGE(Instances!R221:R221),"median", MEDIAN(Instances!R221:R221),"min", MIN(Instances!R221:R221),"max", MAX(Instances!R221:R221),"diff", MAX(Instances!R221:R221)-MIN(Instances!R221:R221))</f>
        <v>205670</v>
      </c>
      <c r="S221" s="1" t="n">
        <f aca="false">MIN($B221)</f>
        <v>950</v>
      </c>
      <c r="T221" s="1" t="n">
        <f aca="false">MIN($C221)</f>
        <v>0</v>
      </c>
      <c r="U221" s="1" t="n">
        <f aca="false">MIN($D221)</f>
        <v>221932</v>
      </c>
      <c r="V221" s="1" t="n">
        <f aca="false">MIN($E221)</f>
        <v>0</v>
      </c>
      <c r="W221" s="1" t="n">
        <f aca="false">MIN($F221)</f>
        <v>209</v>
      </c>
      <c r="X221" s="1" t="n">
        <f aca="false">MIN($G221)</f>
        <v>0</v>
      </c>
      <c r="Y221" s="1" t="n">
        <f aca="false">MIN($H221)</f>
        <v>1</v>
      </c>
      <c r="Z221" s="1" t="n">
        <f aca="false">MIN($I221)</f>
        <v>2.642</v>
      </c>
      <c r="AA221" s="1" t="n">
        <f aca="false">MIN($J221)</f>
        <v>2.72</v>
      </c>
      <c r="AB221" s="1" t="n">
        <f aca="false">MIN($K221)</f>
        <v>0</v>
      </c>
      <c r="AC221" s="1" t="n">
        <f aca="false">MIN($M221)</f>
        <v>556265</v>
      </c>
      <c r="AD221" s="1" t="n">
        <f aca="false">MIN($N221)</f>
        <v>0.02</v>
      </c>
      <c r="AE221" s="1" t="n">
        <f aca="false">MIN($P221)</f>
        <v>2.72</v>
      </c>
      <c r="AF221" s="1" t="n">
        <f aca="false">MIN($Q221)</f>
        <v>0</v>
      </c>
      <c r="AG221" s="1" t="n">
        <f aca="false">MIN($R221)</f>
        <v>205670</v>
      </c>
      <c r="AH221" s="1" t="n">
        <f aca="false">MEDIAN($B221)</f>
        <v>950</v>
      </c>
      <c r="AI221" s="1" t="n">
        <f aca="false">MEDIAN($C221)</f>
        <v>0</v>
      </c>
      <c r="AJ221" s="1" t="n">
        <f aca="false">MEDIAN($D221)</f>
        <v>221932</v>
      </c>
      <c r="AK221" s="1" t="n">
        <f aca="false">MEDIAN($E221)</f>
        <v>0</v>
      </c>
      <c r="AL221" s="1" t="n">
        <f aca="false">MEDIAN($F221)</f>
        <v>209</v>
      </c>
      <c r="AM221" s="1" t="n">
        <f aca="false">MEDIAN($G221)</f>
        <v>0</v>
      </c>
      <c r="AN221" s="1" t="n">
        <f aca="false">MEDIAN($H221)</f>
        <v>1</v>
      </c>
      <c r="AO221" s="1" t="n">
        <f aca="false">MEDIAN($I221)</f>
        <v>2.642</v>
      </c>
      <c r="AP221" s="1" t="n">
        <f aca="false">MEDIAN($J221)</f>
        <v>2.72</v>
      </c>
      <c r="AQ221" s="1" t="n">
        <f aca="false">MEDIAN($K221)</f>
        <v>0</v>
      </c>
      <c r="AR221" s="1" t="n">
        <f aca="false">MEDIAN($M221)</f>
        <v>556265</v>
      </c>
      <c r="AS221" s="1" t="n">
        <f aca="false">MEDIAN($N221)</f>
        <v>0.02</v>
      </c>
      <c r="AT221" s="1" t="n">
        <f aca="false">MEDIAN($P221)</f>
        <v>2.72</v>
      </c>
      <c r="AU221" s="1" t="n">
        <f aca="false">MEDIAN($Q221)</f>
        <v>0</v>
      </c>
      <c r="AV221" s="1" t="n">
        <f aca="false">MEDIAN($R221)</f>
        <v>205670</v>
      </c>
      <c r="AW221" s="1" t="n">
        <f aca="false">MAX($B221)</f>
        <v>950</v>
      </c>
      <c r="AX221" s="1" t="n">
        <f aca="false">MAX($C221)</f>
        <v>0</v>
      </c>
      <c r="AY221" s="1" t="n">
        <f aca="false">MAX($D221)</f>
        <v>221932</v>
      </c>
      <c r="AZ221" s="1" t="n">
        <f aca="false">MAX($E221)</f>
        <v>0</v>
      </c>
      <c r="BA221" s="1" t="n">
        <f aca="false">MAX($F221)</f>
        <v>209</v>
      </c>
      <c r="BB221" s="1" t="n">
        <f aca="false">MAX($G221)</f>
        <v>0</v>
      </c>
      <c r="BC221" s="1" t="n">
        <f aca="false">MAX($H221)</f>
        <v>1</v>
      </c>
      <c r="BD221" s="1" t="n">
        <f aca="false">MAX($I221)</f>
        <v>2.642</v>
      </c>
      <c r="BE221" s="1" t="n">
        <f aca="false">MAX($J221)</f>
        <v>2.72</v>
      </c>
      <c r="BF221" s="1" t="n">
        <f aca="false">MAX($K221)</f>
        <v>0</v>
      </c>
      <c r="BG221" s="1" t="n">
        <f aca="false">MAX($M221)</f>
        <v>556265</v>
      </c>
      <c r="BH221" s="1" t="n">
        <f aca="false">MAX($N221)</f>
        <v>0.02</v>
      </c>
      <c r="BI221" s="1" t="n">
        <f aca="false">MAX($P221)</f>
        <v>2.72</v>
      </c>
      <c r="BJ221" s="1" t="n">
        <f aca="false">MAX($Q221)</f>
        <v>0</v>
      </c>
      <c r="BK221" s="1" t="n">
        <f aca="false">MAX($R221)</f>
        <v>205670</v>
      </c>
    </row>
    <row r="222" customFormat="false" ht="15" hidden="false" customHeight="false" outlineLevel="0" collapsed="false">
      <c r="A222" s="1" t="s">
        <v>239</v>
      </c>
      <c r="B222" s="1" t="n">
        <f aca="false" t="array" ref="B222:B222">_xlfn.SWITCH($A$2,"average", AVERAGE(Instances!B222:B222),"median", MEDIAN(Instances!B222:B222),"min", MIN(Instances!B222:B222),"max", MAX(Instances!B222:B222),"diff", MAX(Instances!B222:B222)-MIN(Instances!B222:B222))</f>
        <v>331</v>
      </c>
      <c r="C222" s="1" t="n">
        <f aca="false" t="array" ref="C222:C222">_xlfn.SWITCH($A$2,"average", AVERAGE(Instances!C222:C222),"median", MEDIAN(Instances!C222:C222),"min", MIN(Instances!C222:C222),"max", MAX(Instances!C222:C222),"diff", MAX(Instances!C222:C222)-MIN(Instances!C222:C222))</f>
        <v>0</v>
      </c>
      <c r="D222" s="1" t="n">
        <f aca="false" t="array" ref="D222:D222">_xlfn.SWITCH($A$2,"average", AVERAGE(Instances!D222:D222),"median", MEDIAN(Instances!D222:D222),"min", MIN(Instances!D222:D222),"max", MAX(Instances!D222:D222),"diff", MAX(Instances!D222:D222)-MIN(Instances!D222:D222))</f>
        <v>83873</v>
      </c>
      <c r="E222" s="1" t="n">
        <f aca="false" t="array" ref="E222:E222">_xlfn.SWITCH($A$2,"average", AVERAGE(Instances!E222:E222),"median", MEDIAN(Instances!E222:E222),"min", MIN(Instances!E222:E222),"max", MAX(Instances!E222:E222),"diff", MAX(Instances!E222:E222)-MIN(Instances!E222:E222))</f>
        <v>0</v>
      </c>
      <c r="F222" s="1" t="n">
        <f aca="false" t="array" ref="F222:F222">_xlfn.SWITCH($A$2,"average", AVERAGE(Instances!F222:F222),"median", MEDIAN(Instances!F222:F222),"min", MIN(Instances!F222:F222),"max", MAX(Instances!F222:F222),"diff", MAX(Instances!F222:F222)-MIN(Instances!F222:F222))</f>
        <v>147</v>
      </c>
      <c r="G222" s="1" t="n">
        <f aca="false" t="array" ref="G222:G222">_xlfn.SWITCH($A$2,"average", AVERAGE(Instances!G222:G222),"median", MEDIAN(Instances!G222:G222),"min", MIN(Instances!G222:G222),"max", MAX(Instances!G222:G222),"diff", MAX(Instances!G222:G222)-MIN(Instances!G222:G222))</f>
        <v>0</v>
      </c>
      <c r="H222" s="1" t="n">
        <f aca="false" t="array" ref="H222:H222">_xlfn.SWITCH($A$2,"average", AVERAGE(Instances!H222:H222),"median", MEDIAN(Instances!H222:H222),"min", MIN(Instances!H222:H222),"max", MAX(Instances!H222:H222),"diff", MAX(Instances!H222:H222)-MIN(Instances!H222:H222))</f>
        <v>1</v>
      </c>
      <c r="I222" s="1" t="n">
        <f aca="false" t="array" ref="I222:I222">_xlfn.SWITCH($A$2,"average", AVERAGE(Instances!I222:I222),"median", MEDIAN(Instances!I222:I222),"min", MIN(Instances!I222:I222),"max", MAX(Instances!I222:I222),"diff", MAX(Instances!I222:I222)-MIN(Instances!I222:I222))</f>
        <v>1.971</v>
      </c>
      <c r="J222" s="1" t="n">
        <f aca="false" t="array" ref="J222:J222">_xlfn.SWITCH($A$2,"average", AVERAGE(Instances!J222:J222),"median", MEDIAN(Instances!J222:J222),"min", MIN(Instances!J222:J222),"max", MAX(Instances!J222:J222),"diff", MAX(Instances!J222:J222)-MIN(Instances!J222:J222))</f>
        <v>2.02</v>
      </c>
      <c r="K222" s="1" t="n">
        <f aca="false" t="array" ref="K222:K222">_xlfn.SWITCH($A$2,"average", AVERAGE(Instances!K222:K222),"median", MEDIAN(Instances!K222:K222),"min", MIN(Instances!K222:K222),"max", MAX(Instances!K222:K222),"diff", MAX(Instances!K222:K222)-MIN(Instances!K222:K222))</f>
        <v>0</v>
      </c>
      <c r="L222" s="1"/>
      <c r="M222" s="1" t="n">
        <f aca="false" t="array" ref="M222:M222">_xlfn.SWITCH($A$2,"average", AVERAGE(Instances!M222:M222),"median", MEDIAN(Instances!M222:M222),"min", MIN(Instances!M222:M222),"max", MAX(Instances!M222:M222),"diff", MAX(Instances!M222:M222)-MIN(Instances!M222:M222))</f>
        <v>408308</v>
      </c>
      <c r="N222" s="1" t="n">
        <f aca="false" t="array" ref="N222:N222">_xlfn.SWITCH($A$2,"average", AVERAGE(Instances!N222:N222),"median", MEDIAN(Instances!N222:N222),"min", MIN(Instances!N222:N222),"max", MAX(Instances!N222:N222),"diff", MAX(Instances!N222:N222)-MIN(Instances!N222:N222))</f>
        <v>0.01</v>
      </c>
      <c r="O222" s="1"/>
      <c r="P222" s="1" t="n">
        <f aca="false" t="array" ref="P222:P222">_xlfn.SWITCH($A$2,"average", AVERAGE(Instances!P222:P222),"median", MEDIAN(Instances!P222:P222),"min", MIN(Instances!P222:P222),"max", MAX(Instances!P222:P222),"diff", MAX(Instances!P222:P222)-MIN(Instances!P222:P222))</f>
        <v>2.02</v>
      </c>
      <c r="Q222" s="1" t="n">
        <f aca="false" t="array" ref="Q222:Q222">_xlfn.SWITCH($A$2,"average", AVERAGE(Instances!Q222:Q222),"median", MEDIAN(Instances!Q222:Q222),"min", MIN(Instances!Q222:Q222),"max", MAX(Instances!Q222:Q222),"diff", MAX(Instances!Q222:Q222)-MIN(Instances!Q222:Q222))</f>
        <v>0</v>
      </c>
      <c r="R222" s="1" t="n">
        <f aca="false" t="array" ref="R222:R222">_xlfn.SWITCH($A$2,"average", AVERAGE(Instances!R222:R222),"median", MEDIAN(Instances!R222:R222),"min", MIN(Instances!R222:R222),"max", MAX(Instances!R222:R222),"diff", MAX(Instances!R222:R222)-MIN(Instances!R222:R222))</f>
        <v>148186</v>
      </c>
      <c r="S222" s="1" t="n">
        <f aca="false">MIN($B222)</f>
        <v>331</v>
      </c>
      <c r="T222" s="1" t="n">
        <f aca="false">MIN($C222)</f>
        <v>0</v>
      </c>
      <c r="U222" s="1" t="n">
        <f aca="false">MIN($D222)</f>
        <v>83873</v>
      </c>
      <c r="V222" s="1" t="n">
        <f aca="false">MIN($E222)</f>
        <v>0</v>
      </c>
      <c r="W222" s="1" t="n">
        <f aca="false">MIN($F222)</f>
        <v>147</v>
      </c>
      <c r="X222" s="1" t="n">
        <f aca="false">MIN($G222)</f>
        <v>0</v>
      </c>
      <c r="Y222" s="1" t="n">
        <f aca="false">MIN($H222)</f>
        <v>1</v>
      </c>
      <c r="Z222" s="1" t="n">
        <f aca="false">MIN($I222)</f>
        <v>1.971</v>
      </c>
      <c r="AA222" s="1" t="n">
        <f aca="false">MIN($J222)</f>
        <v>2.02</v>
      </c>
      <c r="AB222" s="1" t="n">
        <f aca="false">MIN($K222)</f>
        <v>0</v>
      </c>
      <c r="AC222" s="1" t="n">
        <f aca="false">MIN($M222)</f>
        <v>408308</v>
      </c>
      <c r="AD222" s="1" t="n">
        <f aca="false">MIN($N222)</f>
        <v>0.01</v>
      </c>
      <c r="AE222" s="1" t="n">
        <f aca="false">MIN($P222)</f>
        <v>2.02</v>
      </c>
      <c r="AF222" s="1" t="n">
        <f aca="false">MIN($Q222)</f>
        <v>0</v>
      </c>
      <c r="AG222" s="1" t="n">
        <f aca="false">MIN($R222)</f>
        <v>148186</v>
      </c>
      <c r="AH222" s="1" t="n">
        <f aca="false">MEDIAN($B222)</f>
        <v>331</v>
      </c>
      <c r="AI222" s="1" t="n">
        <f aca="false">MEDIAN($C222)</f>
        <v>0</v>
      </c>
      <c r="AJ222" s="1" t="n">
        <f aca="false">MEDIAN($D222)</f>
        <v>83873</v>
      </c>
      <c r="AK222" s="1" t="n">
        <f aca="false">MEDIAN($E222)</f>
        <v>0</v>
      </c>
      <c r="AL222" s="1" t="n">
        <f aca="false">MEDIAN($F222)</f>
        <v>147</v>
      </c>
      <c r="AM222" s="1" t="n">
        <f aca="false">MEDIAN($G222)</f>
        <v>0</v>
      </c>
      <c r="AN222" s="1" t="n">
        <f aca="false">MEDIAN($H222)</f>
        <v>1</v>
      </c>
      <c r="AO222" s="1" t="n">
        <f aca="false">MEDIAN($I222)</f>
        <v>1.971</v>
      </c>
      <c r="AP222" s="1" t="n">
        <f aca="false">MEDIAN($J222)</f>
        <v>2.02</v>
      </c>
      <c r="AQ222" s="1" t="n">
        <f aca="false">MEDIAN($K222)</f>
        <v>0</v>
      </c>
      <c r="AR222" s="1" t="n">
        <f aca="false">MEDIAN($M222)</f>
        <v>408308</v>
      </c>
      <c r="AS222" s="1" t="n">
        <f aca="false">MEDIAN($N222)</f>
        <v>0.01</v>
      </c>
      <c r="AT222" s="1" t="n">
        <f aca="false">MEDIAN($P222)</f>
        <v>2.02</v>
      </c>
      <c r="AU222" s="1" t="n">
        <f aca="false">MEDIAN($Q222)</f>
        <v>0</v>
      </c>
      <c r="AV222" s="1" t="n">
        <f aca="false">MEDIAN($R222)</f>
        <v>148186</v>
      </c>
      <c r="AW222" s="1" t="n">
        <f aca="false">MAX($B222)</f>
        <v>331</v>
      </c>
      <c r="AX222" s="1" t="n">
        <f aca="false">MAX($C222)</f>
        <v>0</v>
      </c>
      <c r="AY222" s="1" t="n">
        <f aca="false">MAX($D222)</f>
        <v>83873</v>
      </c>
      <c r="AZ222" s="1" t="n">
        <f aca="false">MAX($E222)</f>
        <v>0</v>
      </c>
      <c r="BA222" s="1" t="n">
        <f aca="false">MAX($F222)</f>
        <v>147</v>
      </c>
      <c r="BB222" s="1" t="n">
        <f aca="false">MAX($G222)</f>
        <v>0</v>
      </c>
      <c r="BC222" s="1" t="n">
        <f aca="false">MAX($H222)</f>
        <v>1</v>
      </c>
      <c r="BD222" s="1" t="n">
        <f aca="false">MAX($I222)</f>
        <v>1.971</v>
      </c>
      <c r="BE222" s="1" t="n">
        <f aca="false">MAX($J222)</f>
        <v>2.02</v>
      </c>
      <c r="BF222" s="1" t="n">
        <f aca="false">MAX($K222)</f>
        <v>0</v>
      </c>
      <c r="BG222" s="1" t="n">
        <f aca="false">MAX($M222)</f>
        <v>408308</v>
      </c>
      <c r="BH222" s="1" t="n">
        <f aca="false">MAX($N222)</f>
        <v>0.01</v>
      </c>
      <c r="BI222" s="1" t="n">
        <f aca="false">MAX($P222)</f>
        <v>2.02</v>
      </c>
      <c r="BJ222" s="1" t="n">
        <f aca="false">MAX($Q222)</f>
        <v>0</v>
      </c>
      <c r="BK222" s="1" t="n">
        <f aca="false">MAX($R222)</f>
        <v>148186</v>
      </c>
    </row>
    <row r="223" customFormat="false" ht="15" hidden="false" customHeight="false" outlineLevel="0" collapsed="false">
      <c r="A223" s="1" t="s">
        <v>240</v>
      </c>
      <c r="B223" s="1" t="n">
        <f aca="false" t="array" ref="B223:B223">_xlfn.SWITCH($A$2,"average", AVERAGE(Instances!B223:B223),"median", MEDIAN(Instances!B223:B223),"min", MIN(Instances!B223:B223),"max", MAX(Instances!B223:B223),"diff", MAX(Instances!B223:B223)-MIN(Instances!B223:B223))</f>
        <v>345</v>
      </c>
      <c r="C223" s="1" t="n">
        <f aca="false" t="array" ref="C223:C223">_xlfn.SWITCH($A$2,"average", AVERAGE(Instances!C223:C223),"median", MEDIAN(Instances!C223:C223),"min", MIN(Instances!C223:C223),"max", MAX(Instances!C223:C223),"diff", MAX(Instances!C223:C223)-MIN(Instances!C223:C223))</f>
        <v>0</v>
      </c>
      <c r="D223" s="1" t="n">
        <f aca="false" t="array" ref="D223:D223">_xlfn.SWITCH($A$2,"average", AVERAGE(Instances!D223:D223),"median", MEDIAN(Instances!D223:D223),"min", MIN(Instances!D223:D223),"max", MAX(Instances!D223:D223),"diff", MAX(Instances!D223:D223)-MIN(Instances!D223:D223))</f>
        <v>229738</v>
      </c>
      <c r="E223" s="1" t="n">
        <f aca="false" t="array" ref="E223:E223">_xlfn.SWITCH($A$2,"average", AVERAGE(Instances!E223:E223),"median", MEDIAN(Instances!E223:E223),"min", MIN(Instances!E223:E223),"max", MAX(Instances!E223:E223),"diff", MAX(Instances!E223:E223)-MIN(Instances!E223:E223))</f>
        <v>0</v>
      </c>
      <c r="F223" s="1" t="n">
        <f aca="false" t="array" ref="F223:F223">_xlfn.SWITCH($A$2,"average", AVERAGE(Instances!F223:F223),"median", MEDIAN(Instances!F223:F223),"min", MIN(Instances!F223:F223),"max", MAX(Instances!F223:F223),"diff", MAX(Instances!F223:F223)-MIN(Instances!F223:F223))</f>
        <v>211</v>
      </c>
      <c r="G223" s="1" t="n">
        <f aca="false" t="array" ref="G223:G223">_xlfn.SWITCH($A$2,"average", AVERAGE(Instances!G223:G223),"median", MEDIAN(Instances!G223:G223),"min", MIN(Instances!G223:G223),"max", MAX(Instances!G223:G223),"diff", MAX(Instances!G223:G223)-MIN(Instances!G223:G223))</f>
        <v>0</v>
      </c>
      <c r="H223" s="1" t="n">
        <f aca="false" t="array" ref="H223:H223">_xlfn.SWITCH($A$2,"average", AVERAGE(Instances!H223:H223),"median", MEDIAN(Instances!H223:H223),"min", MIN(Instances!H223:H223),"max", MAX(Instances!H223:H223),"diff", MAX(Instances!H223:H223)-MIN(Instances!H223:H223))</f>
        <v>1</v>
      </c>
      <c r="I223" s="1" t="n">
        <f aca="false" t="array" ref="I223:I223">_xlfn.SWITCH($A$2,"average", AVERAGE(Instances!I223:I223),"median", MEDIAN(Instances!I223:I223),"min", MIN(Instances!I223:I223),"max", MAX(Instances!I223:I223),"diff", MAX(Instances!I223:I223)-MIN(Instances!I223:I223))</f>
        <v>2.562</v>
      </c>
      <c r="J223" s="1" t="n">
        <f aca="false" t="array" ref="J223:J223">_xlfn.SWITCH($A$2,"average", AVERAGE(Instances!J223:J223),"median", MEDIAN(Instances!J223:J223),"min", MIN(Instances!J223:J223),"max", MAX(Instances!J223:J223),"diff", MAX(Instances!J223:J223)-MIN(Instances!J223:J223))</f>
        <v>2.64</v>
      </c>
      <c r="K223" s="1" t="n">
        <f aca="false" t="array" ref="K223:K223">_xlfn.SWITCH($A$2,"average", AVERAGE(Instances!K223:K223),"median", MEDIAN(Instances!K223:K223),"min", MIN(Instances!K223:K223),"max", MAX(Instances!K223:K223),"diff", MAX(Instances!K223:K223)-MIN(Instances!K223:K223))</f>
        <v>0</v>
      </c>
      <c r="L223" s="1"/>
      <c r="M223" s="1" t="n">
        <f aca="false" t="array" ref="M223:M223">_xlfn.SWITCH($A$2,"average", AVERAGE(Instances!M223:M223),"median", MEDIAN(Instances!M223:M223),"min", MIN(Instances!M223:M223),"max", MAX(Instances!M223:M223),"diff", MAX(Instances!M223:M223)-MIN(Instances!M223:M223))</f>
        <v>546219</v>
      </c>
      <c r="N223" s="1" t="n">
        <f aca="false" t="array" ref="N223:N223">_xlfn.SWITCH($A$2,"average", AVERAGE(Instances!N223:N223),"median", MEDIAN(Instances!N223:N223),"min", MIN(Instances!N223:N223),"max", MAX(Instances!N223:N223),"diff", MAX(Instances!N223:N223)-MIN(Instances!N223:N223))</f>
        <v>0.02</v>
      </c>
      <c r="O223" s="1"/>
      <c r="P223" s="1" t="n">
        <f aca="false" t="array" ref="P223:P223">_xlfn.SWITCH($A$2,"average", AVERAGE(Instances!P223:P223),"median", MEDIAN(Instances!P223:P223),"min", MIN(Instances!P223:P223),"max", MAX(Instances!P223:P223),"diff", MAX(Instances!P223:P223)-MIN(Instances!P223:P223))</f>
        <v>2.64</v>
      </c>
      <c r="Q223" s="1" t="n">
        <f aca="false" t="array" ref="Q223:Q223">_xlfn.SWITCH($A$2,"average", AVERAGE(Instances!Q223:Q223),"median", MEDIAN(Instances!Q223:Q223),"min", MIN(Instances!Q223:Q223),"max", MAX(Instances!Q223:Q223),"diff", MAX(Instances!Q223:Q223)-MIN(Instances!Q223:Q223))</f>
        <v>0</v>
      </c>
      <c r="R223" s="1" t="n">
        <f aca="false" t="array" ref="R223:R223">_xlfn.SWITCH($A$2,"average", AVERAGE(Instances!R223:R223),"median", MEDIAN(Instances!R223:R223),"min", MIN(Instances!R223:R223),"max", MAX(Instances!R223:R223),"diff", MAX(Instances!R223:R223)-MIN(Instances!R223:R223))</f>
        <v>205677</v>
      </c>
      <c r="S223" s="1" t="n">
        <f aca="false">MIN($B223)</f>
        <v>345</v>
      </c>
      <c r="T223" s="1" t="n">
        <f aca="false">MIN($C223)</f>
        <v>0</v>
      </c>
      <c r="U223" s="1" t="n">
        <f aca="false">MIN($D223)</f>
        <v>229738</v>
      </c>
      <c r="V223" s="1" t="n">
        <f aca="false">MIN($E223)</f>
        <v>0</v>
      </c>
      <c r="W223" s="1" t="n">
        <f aca="false">MIN($F223)</f>
        <v>211</v>
      </c>
      <c r="X223" s="1" t="n">
        <f aca="false">MIN($G223)</f>
        <v>0</v>
      </c>
      <c r="Y223" s="1" t="n">
        <f aca="false">MIN($H223)</f>
        <v>1</v>
      </c>
      <c r="Z223" s="1" t="n">
        <f aca="false">MIN($I223)</f>
        <v>2.562</v>
      </c>
      <c r="AA223" s="1" t="n">
        <f aca="false">MIN($J223)</f>
        <v>2.64</v>
      </c>
      <c r="AB223" s="1" t="n">
        <f aca="false">MIN($K223)</f>
        <v>0</v>
      </c>
      <c r="AC223" s="1" t="n">
        <f aca="false">MIN($M223)</f>
        <v>546219</v>
      </c>
      <c r="AD223" s="1" t="n">
        <f aca="false">MIN($N223)</f>
        <v>0.02</v>
      </c>
      <c r="AE223" s="1" t="n">
        <f aca="false">MIN($P223)</f>
        <v>2.64</v>
      </c>
      <c r="AF223" s="1" t="n">
        <f aca="false">MIN($Q223)</f>
        <v>0</v>
      </c>
      <c r="AG223" s="1" t="n">
        <f aca="false">MIN($R223)</f>
        <v>205677</v>
      </c>
      <c r="AH223" s="1" t="n">
        <f aca="false">MEDIAN($B223)</f>
        <v>345</v>
      </c>
      <c r="AI223" s="1" t="n">
        <f aca="false">MEDIAN($C223)</f>
        <v>0</v>
      </c>
      <c r="AJ223" s="1" t="n">
        <f aca="false">MEDIAN($D223)</f>
        <v>229738</v>
      </c>
      <c r="AK223" s="1" t="n">
        <f aca="false">MEDIAN($E223)</f>
        <v>0</v>
      </c>
      <c r="AL223" s="1" t="n">
        <f aca="false">MEDIAN($F223)</f>
        <v>211</v>
      </c>
      <c r="AM223" s="1" t="n">
        <f aca="false">MEDIAN($G223)</f>
        <v>0</v>
      </c>
      <c r="AN223" s="1" t="n">
        <f aca="false">MEDIAN($H223)</f>
        <v>1</v>
      </c>
      <c r="AO223" s="1" t="n">
        <f aca="false">MEDIAN($I223)</f>
        <v>2.562</v>
      </c>
      <c r="AP223" s="1" t="n">
        <f aca="false">MEDIAN($J223)</f>
        <v>2.64</v>
      </c>
      <c r="AQ223" s="1" t="n">
        <f aca="false">MEDIAN($K223)</f>
        <v>0</v>
      </c>
      <c r="AR223" s="1" t="n">
        <f aca="false">MEDIAN($M223)</f>
        <v>546219</v>
      </c>
      <c r="AS223" s="1" t="n">
        <f aca="false">MEDIAN($N223)</f>
        <v>0.02</v>
      </c>
      <c r="AT223" s="1" t="n">
        <f aca="false">MEDIAN($P223)</f>
        <v>2.64</v>
      </c>
      <c r="AU223" s="1" t="n">
        <f aca="false">MEDIAN($Q223)</f>
        <v>0</v>
      </c>
      <c r="AV223" s="1" t="n">
        <f aca="false">MEDIAN($R223)</f>
        <v>205677</v>
      </c>
      <c r="AW223" s="1" t="n">
        <f aca="false">MAX($B223)</f>
        <v>345</v>
      </c>
      <c r="AX223" s="1" t="n">
        <f aca="false">MAX($C223)</f>
        <v>0</v>
      </c>
      <c r="AY223" s="1" t="n">
        <f aca="false">MAX($D223)</f>
        <v>229738</v>
      </c>
      <c r="AZ223" s="1" t="n">
        <f aca="false">MAX($E223)</f>
        <v>0</v>
      </c>
      <c r="BA223" s="1" t="n">
        <f aca="false">MAX($F223)</f>
        <v>211</v>
      </c>
      <c r="BB223" s="1" t="n">
        <f aca="false">MAX($G223)</f>
        <v>0</v>
      </c>
      <c r="BC223" s="1" t="n">
        <f aca="false">MAX($H223)</f>
        <v>1</v>
      </c>
      <c r="BD223" s="1" t="n">
        <f aca="false">MAX($I223)</f>
        <v>2.562</v>
      </c>
      <c r="BE223" s="1" t="n">
        <f aca="false">MAX($J223)</f>
        <v>2.64</v>
      </c>
      <c r="BF223" s="1" t="n">
        <f aca="false">MAX($K223)</f>
        <v>0</v>
      </c>
      <c r="BG223" s="1" t="n">
        <f aca="false">MAX($M223)</f>
        <v>546219</v>
      </c>
      <c r="BH223" s="1" t="n">
        <f aca="false">MAX($N223)</f>
        <v>0.02</v>
      </c>
      <c r="BI223" s="1" t="n">
        <f aca="false">MAX($P223)</f>
        <v>2.64</v>
      </c>
      <c r="BJ223" s="1" t="n">
        <f aca="false">MAX($Q223)</f>
        <v>0</v>
      </c>
      <c r="BK223" s="1" t="n">
        <f aca="false">MAX($R223)</f>
        <v>205677</v>
      </c>
    </row>
    <row r="224" customFormat="false" ht="15" hidden="false" customHeight="false" outlineLevel="0" collapsed="false">
      <c r="A224" s="1" t="s">
        <v>241</v>
      </c>
      <c r="B224" s="1" t="n">
        <f aca="false" t="array" ref="B224:B224">_xlfn.SWITCH($A$2,"average", AVERAGE(Instances!B224:B224),"median", MEDIAN(Instances!B224:B224),"min", MIN(Instances!B224:B224),"max", MAX(Instances!B224:B224),"diff", MAX(Instances!B224:B224)-MIN(Instances!B224:B224))</f>
        <v>265</v>
      </c>
      <c r="C224" s="1" t="n">
        <f aca="false" t="array" ref="C224:C224">_xlfn.SWITCH($A$2,"average", AVERAGE(Instances!C224:C224),"median", MEDIAN(Instances!C224:C224),"min", MIN(Instances!C224:C224),"max", MAX(Instances!C224:C224),"diff", MAX(Instances!C224:C224)-MIN(Instances!C224:C224))</f>
        <v>0</v>
      </c>
      <c r="D224" s="1" t="n">
        <f aca="false" t="array" ref="D224:D224">_xlfn.SWITCH($A$2,"average", AVERAGE(Instances!D224:D224),"median", MEDIAN(Instances!D224:D224),"min", MIN(Instances!D224:D224),"max", MAX(Instances!D224:D224),"diff", MAX(Instances!D224:D224)-MIN(Instances!D224:D224))</f>
        <v>58092</v>
      </c>
      <c r="E224" s="1" t="n">
        <f aca="false" t="array" ref="E224:E224">_xlfn.SWITCH($A$2,"average", AVERAGE(Instances!E224:E224),"median", MEDIAN(Instances!E224:E224),"min", MIN(Instances!E224:E224),"max", MAX(Instances!E224:E224),"diff", MAX(Instances!E224:E224)-MIN(Instances!E224:E224))</f>
        <v>0</v>
      </c>
      <c r="F224" s="1" t="n">
        <f aca="false" t="array" ref="F224:F224">_xlfn.SWITCH($A$2,"average", AVERAGE(Instances!F224:F224),"median", MEDIAN(Instances!F224:F224),"min", MIN(Instances!F224:F224),"max", MAX(Instances!F224:F224),"diff", MAX(Instances!F224:F224)-MIN(Instances!F224:F224))</f>
        <v>122</v>
      </c>
      <c r="G224" s="1" t="n">
        <f aca="false" t="array" ref="G224:G224">_xlfn.SWITCH($A$2,"average", AVERAGE(Instances!G224:G224),"median", MEDIAN(Instances!G224:G224),"min", MIN(Instances!G224:G224),"max", MAX(Instances!G224:G224),"diff", MAX(Instances!G224:G224)-MIN(Instances!G224:G224))</f>
        <v>0</v>
      </c>
      <c r="H224" s="1" t="n">
        <f aca="false" t="array" ref="H224:H224">_xlfn.SWITCH($A$2,"average", AVERAGE(Instances!H224:H224),"median", MEDIAN(Instances!H224:H224),"min", MIN(Instances!H224:H224),"max", MAX(Instances!H224:H224),"diff", MAX(Instances!H224:H224)-MIN(Instances!H224:H224))</f>
        <v>1</v>
      </c>
      <c r="I224" s="1" t="n">
        <f aca="false" t="array" ref="I224:I224">_xlfn.SWITCH($A$2,"average", AVERAGE(Instances!I224:I224),"median", MEDIAN(Instances!I224:I224),"min", MIN(Instances!I224:I224),"max", MAX(Instances!I224:I224),"diff", MAX(Instances!I224:I224)-MIN(Instances!I224:I224))</f>
        <v>1.595</v>
      </c>
      <c r="J224" s="1" t="n">
        <f aca="false" t="array" ref="J224:J224">_xlfn.SWITCH($A$2,"average", AVERAGE(Instances!J224:J224),"median", MEDIAN(Instances!J224:J224),"min", MIN(Instances!J224:J224),"max", MAX(Instances!J224:J224),"diff", MAX(Instances!J224:J224)-MIN(Instances!J224:J224))</f>
        <v>1.64</v>
      </c>
      <c r="K224" s="1" t="n">
        <f aca="false" t="array" ref="K224:K224">_xlfn.SWITCH($A$2,"average", AVERAGE(Instances!K224:K224),"median", MEDIAN(Instances!K224:K224),"min", MIN(Instances!K224:K224),"max", MAX(Instances!K224:K224),"diff", MAX(Instances!K224:K224)-MIN(Instances!K224:K224))</f>
        <v>0</v>
      </c>
      <c r="L224" s="1"/>
      <c r="M224" s="1" t="n">
        <f aca="false" t="array" ref="M224:M224">_xlfn.SWITCH($A$2,"average", AVERAGE(Instances!M224:M224),"median", MEDIAN(Instances!M224:M224),"min", MIN(Instances!M224:M224),"max", MAX(Instances!M224:M224),"diff", MAX(Instances!M224:M224)-MIN(Instances!M224:M224))</f>
        <v>334046</v>
      </c>
      <c r="N224" s="1" t="n">
        <f aca="false" t="array" ref="N224:N224">_xlfn.SWITCH($A$2,"average", AVERAGE(Instances!N224:N224),"median", MEDIAN(Instances!N224:N224),"min", MIN(Instances!N224:N224),"max", MAX(Instances!N224:N224),"diff", MAX(Instances!N224:N224)-MIN(Instances!N224:N224))</f>
        <v>0.01</v>
      </c>
      <c r="O224" s="1"/>
      <c r="P224" s="1" t="n">
        <f aca="false" t="array" ref="P224:P224">_xlfn.SWITCH($A$2,"average", AVERAGE(Instances!P224:P224),"median", MEDIAN(Instances!P224:P224),"min", MIN(Instances!P224:P224),"max", MAX(Instances!P224:P224),"diff", MAX(Instances!P224:P224)-MIN(Instances!P224:P224))</f>
        <v>1.64</v>
      </c>
      <c r="Q224" s="1" t="n">
        <f aca="false" t="array" ref="Q224:Q224">_xlfn.SWITCH($A$2,"average", AVERAGE(Instances!Q224:Q224),"median", MEDIAN(Instances!Q224:Q224),"min", MIN(Instances!Q224:Q224),"max", MAX(Instances!Q224:Q224),"diff", MAX(Instances!Q224:Q224)-MIN(Instances!Q224:Q224))</f>
        <v>0</v>
      </c>
      <c r="R224" s="1" t="n">
        <f aca="false" t="array" ref="R224:R224">_xlfn.SWITCH($A$2,"average", AVERAGE(Instances!R224:R224),"median", MEDIAN(Instances!R224:R224),"min", MIN(Instances!R224:R224),"max", MAX(Instances!R224:R224),"diff", MAX(Instances!R224:R224)-MIN(Instances!R224:R224))</f>
        <v>121881</v>
      </c>
      <c r="S224" s="1" t="n">
        <f aca="false">MIN($B224)</f>
        <v>265</v>
      </c>
      <c r="T224" s="1" t="n">
        <f aca="false">MIN($C224)</f>
        <v>0</v>
      </c>
      <c r="U224" s="1" t="n">
        <f aca="false">MIN($D224)</f>
        <v>58092</v>
      </c>
      <c r="V224" s="1" t="n">
        <f aca="false">MIN($E224)</f>
        <v>0</v>
      </c>
      <c r="W224" s="1" t="n">
        <f aca="false">MIN($F224)</f>
        <v>122</v>
      </c>
      <c r="X224" s="1" t="n">
        <f aca="false">MIN($G224)</f>
        <v>0</v>
      </c>
      <c r="Y224" s="1" t="n">
        <f aca="false">MIN($H224)</f>
        <v>1</v>
      </c>
      <c r="Z224" s="1" t="n">
        <f aca="false">MIN($I224)</f>
        <v>1.595</v>
      </c>
      <c r="AA224" s="1" t="n">
        <f aca="false">MIN($J224)</f>
        <v>1.64</v>
      </c>
      <c r="AB224" s="1" t="n">
        <f aca="false">MIN($K224)</f>
        <v>0</v>
      </c>
      <c r="AC224" s="1" t="n">
        <f aca="false">MIN($M224)</f>
        <v>334046</v>
      </c>
      <c r="AD224" s="1" t="n">
        <f aca="false">MIN($N224)</f>
        <v>0.01</v>
      </c>
      <c r="AE224" s="1" t="n">
        <f aca="false">MIN($P224)</f>
        <v>1.64</v>
      </c>
      <c r="AF224" s="1" t="n">
        <f aca="false">MIN($Q224)</f>
        <v>0</v>
      </c>
      <c r="AG224" s="1" t="n">
        <f aca="false">MIN($R224)</f>
        <v>121881</v>
      </c>
      <c r="AH224" s="1" t="n">
        <f aca="false">MEDIAN($B224)</f>
        <v>265</v>
      </c>
      <c r="AI224" s="1" t="n">
        <f aca="false">MEDIAN($C224)</f>
        <v>0</v>
      </c>
      <c r="AJ224" s="1" t="n">
        <f aca="false">MEDIAN($D224)</f>
        <v>58092</v>
      </c>
      <c r="AK224" s="1" t="n">
        <f aca="false">MEDIAN($E224)</f>
        <v>0</v>
      </c>
      <c r="AL224" s="1" t="n">
        <f aca="false">MEDIAN($F224)</f>
        <v>122</v>
      </c>
      <c r="AM224" s="1" t="n">
        <f aca="false">MEDIAN($G224)</f>
        <v>0</v>
      </c>
      <c r="AN224" s="1" t="n">
        <f aca="false">MEDIAN($H224)</f>
        <v>1</v>
      </c>
      <c r="AO224" s="1" t="n">
        <f aca="false">MEDIAN($I224)</f>
        <v>1.595</v>
      </c>
      <c r="AP224" s="1" t="n">
        <f aca="false">MEDIAN($J224)</f>
        <v>1.64</v>
      </c>
      <c r="AQ224" s="1" t="n">
        <f aca="false">MEDIAN($K224)</f>
        <v>0</v>
      </c>
      <c r="AR224" s="1" t="n">
        <f aca="false">MEDIAN($M224)</f>
        <v>334046</v>
      </c>
      <c r="AS224" s="1" t="n">
        <f aca="false">MEDIAN($N224)</f>
        <v>0.01</v>
      </c>
      <c r="AT224" s="1" t="n">
        <f aca="false">MEDIAN($P224)</f>
        <v>1.64</v>
      </c>
      <c r="AU224" s="1" t="n">
        <f aca="false">MEDIAN($Q224)</f>
        <v>0</v>
      </c>
      <c r="AV224" s="1" t="n">
        <f aca="false">MEDIAN($R224)</f>
        <v>121881</v>
      </c>
      <c r="AW224" s="1" t="n">
        <f aca="false">MAX($B224)</f>
        <v>265</v>
      </c>
      <c r="AX224" s="1" t="n">
        <f aca="false">MAX($C224)</f>
        <v>0</v>
      </c>
      <c r="AY224" s="1" t="n">
        <f aca="false">MAX($D224)</f>
        <v>58092</v>
      </c>
      <c r="AZ224" s="1" t="n">
        <f aca="false">MAX($E224)</f>
        <v>0</v>
      </c>
      <c r="BA224" s="1" t="n">
        <f aca="false">MAX($F224)</f>
        <v>122</v>
      </c>
      <c r="BB224" s="1" t="n">
        <f aca="false">MAX($G224)</f>
        <v>0</v>
      </c>
      <c r="BC224" s="1" t="n">
        <f aca="false">MAX($H224)</f>
        <v>1</v>
      </c>
      <c r="BD224" s="1" t="n">
        <f aca="false">MAX($I224)</f>
        <v>1.595</v>
      </c>
      <c r="BE224" s="1" t="n">
        <f aca="false">MAX($J224)</f>
        <v>1.64</v>
      </c>
      <c r="BF224" s="1" t="n">
        <f aca="false">MAX($K224)</f>
        <v>0</v>
      </c>
      <c r="BG224" s="1" t="n">
        <f aca="false">MAX($M224)</f>
        <v>334046</v>
      </c>
      <c r="BH224" s="1" t="n">
        <f aca="false">MAX($N224)</f>
        <v>0.01</v>
      </c>
      <c r="BI224" s="1" t="n">
        <f aca="false">MAX($P224)</f>
        <v>1.64</v>
      </c>
      <c r="BJ224" s="1" t="n">
        <f aca="false">MAX($Q224)</f>
        <v>0</v>
      </c>
      <c r="BK224" s="1" t="n">
        <f aca="false">MAX($R224)</f>
        <v>121881</v>
      </c>
    </row>
    <row r="225" customFormat="false" ht="15" hidden="false" customHeight="false" outlineLevel="0" collapsed="false">
      <c r="A225" s="1" t="s">
        <v>242</v>
      </c>
      <c r="B225" s="1" t="n">
        <f aca="false" t="array" ref="B225:B225">_xlfn.SWITCH($A$2,"average", AVERAGE(Instances!B225:B225),"median", MEDIAN(Instances!B225:B225),"min", MIN(Instances!B225:B225),"max", MAX(Instances!B225:B225),"diff", MAX(Instances!B225:B225)-MIN(Instances!B225:B225))</f>
        <v>1378</v>
      </c>
      <c r="C225" s="1" t="n">
        <f aca="false" t="array" ref="C225:C225">_xlfn.SWITCH($A$2,"average", AVERAGE(Instances!C225:C225),"median", MEDIAN(Instances!C225:C225),"min", MIN(Instances!C225:C225),"max", MAX(Instances!C225:C225),"diff", MAX(Instances!C225:C225)-MIN(Instances!C225:C225))</f>
        <v>3</v>
      </c>
      <c r="D225" s="1" t="n">
        <f aca="false" t="array" ref="D225:D225">_xlfn.SWITCH($A$2,"average", AVERAGE(Instances!D225:D225),"median", MEDIAN(Instances!D225:D225),"min", MIN(Instances!D225:D225),"max", MAX(Instances!D225:D225),"diff", MAX(Instances!D225:D225)-MIN(Instances!D225:D225))</f>
        <v>283942</v>
      </c>
      <c r="E225" s="1" t="n">
        <f aca="false" t="array" ref="E225:E225">_xlfn.SWITCH($A$2,"average", AVERAGE(Instances!E225:E225),"median", MEDIAN(Instances!E225:E225),"min", MIN(Instances!E225:E225),"max", MAX(Instances!E225:E225),"diff", MAX(Instances!E225:E225)-MIN(Instances!E225:E225))</f>
        <v>0</v>
      </c>
      <c r="F225" s="1" t="n">
        <f aca="false" t="array" ref="F225:F225">_xlfn.SWITCH($A$2,"average", AVERAGE(Instances!F225:F225),"median", MEDIAN(Instances!F225:F225),"min", MIN(Instances!F225:F225),"max", MAX(Instances!F225:F225),"diff", MAX(Instances!F225:F225)-MIN(Instances!F225:F225))</f>
        <v>304</v>
      </c>
      <c r="G225" s="1" t="n">
        <f aca="false" t="array" ref="G225:G225">_xlfn.SWITCH($A$2,"average", AVERAGE(Instances!G225:G225),"median", MEDIAN(Instances!G225:G225),"min", MIN(Instances!G225:G225),"max", MAX(Instances!G225:G225),"diff", MAX(Instances!G225:G225)-MIN(Instances!G225:G225))</f>
        <v>0</v>
      </c>
      <c r="H225" s="1" t="n">
        <f aca="false" t="array" ref="H225:H225">_xlfn.SWITCH($A$2,"average", AVERAGE(Instances!H225:H225),"median", MEDIAN(Instances!H225:H225),"min", MIN(Instances!H225:H225),"max", MAX(Instances!H225:H225),"diff", MAX(Instances!H225:H225)-MIN(Instances!H225:H225))</f>
        <v>1</v>
      </c>
      <c r="I225" s="1" t="n">
        <f aca="false" t="array" ref="I225:I225">_xlfn.SWITCH($A$2,"average", AVERAGE(Instances!I225:I225),"median", MEDIAN(Instances!I225:I225),"min", MIN(Instances!I225:I225),"max", MAX(Instances!I225:I225),"diff", MAX(Instances!I225:I225)-MIN(Instances!I225:I225))</f>
        <v>3.849</v>
      </c>
      <c r="J225" s="1" t="n">
        <f aca="false" t="array" ref="J225:J225">_xlfn.SWITCH($A$2,"average", AVERAGE(Instances!J225:J225),"median", MEDIAN(Instances!J225:J225),"min", MIN(Instances!J225:J225),"max", MAX(Instances!J225:J225),"diff", MAX(Instances!J225:J225)-MIN(Instances!J225:J225))</f>
        <v>3.97</v>
      </c>
      <c r="K225" s="1" t="n">
        <f aca="false" t="array" ref="K225:K225">_xlfn.SWITCH($A$2,"average", AVERAGE(Instances!K225:K225),"median", MEDIAN(Instances!K225:K225),"min", MIN(Instances!K225:K225),"max", MAX(Instances!K225:K225),"diff", MAX(Instances!K225:K225)-MIN(Instances!K225:K225))</f>
        <v>0</v>
      </c>
      <c r="L225" s="1"/>
      <c r="M225" s="1" t="n">
        <f aca="false" t="array" ref="M225:M225">_xlfn.SWITCH($A$2,"average", AVERAGE(Instances!M225:M225),"median", MEDIAN(Instances!M225:M225),"min", MIN(Instances!M225:M225),"max", MAX(Instances!M225:M225),"diff", MAX(Instances!M225:M225)-MIN(Instances!M225:M225))</f>
        <v>830585</v>
      </c>
      <c r="N225" s="1" t="n">
        <f aca="false" t="array" ref="N225:N225">_xlfn.SWITCH($A$2,"average", AVERAGE(Instances!N225:N225),"median", MEDIAN(Instances!N225:N225),"min", MIN(Instances!N225:N225),"max", MAX(Instances!N225:N225),"diff", MAX(Instances!N225:N225)-MIN(Instances!N225:N225))</f>
        <v>0.04</v>
      </c>
      <c r="O225" s="1"/>
      <c r="P225" s="1" t="n">
        <f aca="false" t="array" ref="P225:P225">_xlfn.SWITCH($A$2,"average", AVERAGE(Instances!P225:P225),"median", MEDIAN(Instances!P225:P225),"min", MIN(Instances!P225:P225),"max", MAX(Instances!P225:P225),"diff", MAX(Instances!P225:P225)-MIN(Instances!P225:P225))</f>
        <v>3.97</v>
      </c>
      <c r="Q225" s="1" t="n">
        <f aca="false" t="array" ref="Q225:Q225">_xlfn.SWITCH($A$2,"average", AVERAGE(Instances!Q225:Q225),"median", MEDIAN(Instances!Q225:Q225),"min", MIN(Instances!Q225:Q225),"max", MAX(Instances!Q225:Q225),"diff", MAX(Instances!Q225:Q225)-MIN(Instances!Q225:Q225))</f>
        <v>0</v>
      </c>
      <c r="R225" s="1" t="n">
        <f aca="false" t="array" ref="R225:R225">_xlfn.SWITCH($A$2,"average", AVERAGE(Instances!R225:R225),"median", MEDIAN(Instances!R225:R225),"min", MIN(Instances!R225:R225),"max", MAX(Instances!R225:R225),"diff", MAX(Instances!R225:R225)-MIN(Instances!R225:R225))</f>
        <v>306909</v>
      </c>
      <c r="S225" s="1" t="n">
        <f aca="false">MIN($B225)</f>
        <v>1378</v>
      </c>
      <c r="T225" s="1" t="n">
        <f aca="false">MIN($C225)</f>
        <v>3</v>
      </c>
      <c r="U225" s="1" t="n">
        <f aca="false">MIN($D225)</f>
        <v>283942</v>
      </c>
      <c r="V225" s="1" t="n">
        <f aca="false">MIN($E225)</f>
        <v>0</v>
      </c>
      <c r="W225" s="1" t="n">
        <f aca="false">MIN($F225)</f>
        <v>304</v>
      </c>
      <c r="X225" s="1" t="n">
        <f aca="false">MIN($G225)</f>
        <v>0</v>
      </c>
      <c r="Y225" s="1" t="n">
        <f aca="false">MIN($H225)</f>
        <v>1</v>
      </c>
      <c r="Z225" s="1" t="n">
        <f aca="false">MIN($I225)</f>
        <v>3.849</v>
      </c>
      <c r="AA225" s="1" t="n">
        <f aca="false">MIN($J225)</f>
        <v>3.97</v>
      </c>
      <c r="AB225" s="1" t="n">
        <f aca="false">MIN($K225)</f>
        <v>0</v>
      </c>
      <c r="AC225" s="1" t="n">
        <f aca="false">MIN($M225)</f>
        <v>830585</v>
      </c>
      <c r="AD225" s="1" t="n">
        <f aca="false">MIN($N225)</f>
        <v>0.04</v>
      </c>
      <c r="AE225" s="1" t="n">
        <f aca="false">MIN($P225)</f>
        <v>3.97</v>
      </c>
      <c r="AF225" s="1" t="n">
        <f aca="false">MIN($Q225)</f>
        <v>0</v>
      </c>
      <c r="AG225" s="1" t="n">
        <f aca="false">MIN($R225)</f>
        <v>306909</v>
      </c>
      <c r="AH225" s="1" t="n">
        <f aca="false">MEDIAN($B225)</f>
        <v>1378</v>
      </c>
      <c r="AI225" s="1" t="n">
        <f aca="false">MEDIAN($C225)</f>
        <v>3</v>
      </c>
      <c r="AJ225" s="1" t="n">
        <f aca="false">MEDIAN($D225)</f>
        <v>283942</v>
      </c>
      <c r="AK225" s="1" t="n">
        <f aca="false">MEDIAN($E225)</f>
        <v>0</v>
      </c>
      <c r="AL225" s="1" t="n">
        <f aca="false">MEDIAN($F225)</f>
        <v>304</v>
      </c>
      <c r="AM225" s="1" t="n">
        <f aca="false">MEDIAN($G225)</f>
        <v>0</v>
      </c>
      <c r="AN225" s="1" t="n">
        <f aca="false">MEDIAN($H225)</f>
        <v>1</v>
      </c>
      <c r="AO225" s="1" t="n">
        <f aca="false">MEDIAN($I225)</f>
        <v>3.849</v>
      </c>
      <c r="AP225" s="1" t="n">
        <f aca="false">MEDIAN($J225)</f>
        <v>3.97</v>
      </c>
      <c r="AQ225" s="1" t="n">
        <f aca="false">MEDIAN($K225)</f>
        <v>0</v>
      </c>
      <c r="AR225" s="1" t="n">
        <f aca="false">MEDIAN($M225)</f>
        <v>830585</v>
      </c>
      <c r="AS225" s="1" t="n">
        <f aca="false">MEDIAN($N225)</f>
        <v>0.04</v>
      </c>
      <c r="AT225" s="1" t="n">
        <f aca="false">MEDIAN($P225)</f>
        <v>3.97</v>
      </c>
      <c r="AU225" s="1" t="n">
        <f aca="false">MEDIAN($Q225)</f>
        <v>0</v>
      </c>
      <c r="AV225" s="1" t="n">
        <f aca="false">MEDIAN($R225)</f>
        <v>306909</v>
      </c>
      <c r="AW225" s="1" t="n">
        <f aca="false">MAX($B225)</f>
        <v>1378</v>
      </c>
      <c r="AX225" s="1" t="n">
        <f aca="false">MAX($C225)</f>
        <v>3</v>
      </c>
      <c r="AY225" s="1" t="n">
        <f aca="false">MAX($D225)</f>
        <v>283942</v>
      </c>
      <c r="AZ225" s="1" t="n">
        <f aca="false">MAX($E225)</f>
        <v>0</v>
      </c>
      <c r="BA225" s="1" t="n">
        <f aca="false">MAX($F225)</f>
        <v>304</v>
      </c>
      <c r="BB225" s="1" t="n">
        <f aca="false">MAX($G225)</f>
        <v>0</v>
      </c>
      <c r="BC225" s="1" t="n">
        <f aca="false">MAX($H225)</f>
        <v>1</v>
      </c>
      <c r="BD225" s="1" t="n">
        <f aca="false">MAX($I225)</f>
        <v>3.849</v>
      </c>
      <c r="BE225" s="1" t="n">
        <f aca="false">MAX($J225)</f>
        <v>3.97</v>
      </c>
      <c r="BF225" s="1" t="n">
        <f aca="false">MAX($K225)</f>
        <v>0</v>
      </c>
      <c r="BG225" s="1" t="n">
        <f aca="false">MAX($M225)</f>
        <v>830585</v>
      </c>
      <c r="BH225" s="1" t="n">
        <f aca="false">MAX($N225)</f>
        <v>0.04</v>
      </c>
      <c r="BI225" s="1" t="n">
        <f aca="false">MAX($P225)</f>
        <v>3.97</v>
      </c>
      <c r="BJ225" s="1" t="n">
        <f aca="false">MAX($Q225)</f>
        <v>0</v>
      </c>
      <c r="BK225" s="1" t="n">
        <f aca="false">MAX($R225)</f>
        <v>306909</v>
      </c>
    </row>
    <row r="226" customFormat="false" ht="15" hidden="false" customHeight="false" outlineLevel="0" collapsed="false">
      <c r="A226" s="1" t="s">
        <v>243</v>
      </c>
      <c r="B226" s="1" t="n">
        <f aca="false" t="array" ref="B226:B226">_xlfn.SWITCH($A$2,"average", AVERAGE(Instances!B226:B226),"median", MEDIAN(Instances!B226:B226),"min", MIN(Instances!B226:B226),"max", MAX(Instances!B226:B226),"diff", MAX(Instances!B226:B226)-MIN(Instances!B226:B226))</f>
        <v>2844</v>
      </c>
      <c r="C226" s="1" t="n">
        <f aca="false" t="array" ref="C226:C226">_xlfn.SWITCH($A$2,"average", AVERAGE(Instances!C226:C226),"median", MEDIAN(Instances!C226:C226),"min", MIN(Instances!C226:C226),"max", MAX(Instances!C226:C226),"diff", MAX(Instances!C226:C226)-MIN(Instances!C226:C226))</f>
        <v>79</v>
      </c>
      <c r="D226" s="1" t="n">
        <f aca="false" t="array" ref="D226:D226">_xlfn.SWITCH($A$2,"average", AVERAGE(Instances!D226:D226),"median", MEDIAN(Instances!D226:D226),"min", MIN(Instances!D226:D226),"max", MAX(Instances!D226:D226),"diff", MAX(Instances!D226:D226)-MIN(Instances!D226:D226))</f>
        <v>316042</v>
      </c>
      <c r="E226" s="1" t="n">
        <f aca="false" t="array" ref="E226:E226">_xlfn.SWITCH($A$2,"average", AVERAGE(Instances!E226:E226),"median", MEDIAN(Instances!E226:E226),"min", MIN(Instances!E226:E226),"max", MAX(Instances!E226:E226),"diff", MAX(Instances!E226:E226)-MIN(Instances!E226:E226))</f>
        <v>0</v>
      </c>
      <c r="F226" s="1" t="n">
        <f aca="false" t="array" ref="F226:F226">_xlfn.SWITCH($A$2,"average", AVERAGE(Instances!F226:F226),"median", MEDIAN(Instances!F226:F226),"min", MIN(Instances!F226:F226),"max", MAX(Instances!F226:F226),"diff", MAX(Instances!F226:F226)-MIN(Instances!F226:F226))</f>
        <v>349</v>
      </c>
      <c r="G226" s="1" t="n">
        <f aca="false" t="array" ref="G226:G226">_xlfn.SWITCH($A$2,"average", AVERAGE(Instances!G226:G226),"median", MEDIAN(Instances!G226:G226),"min", MIN(Instances!G226:G226),"max", MAX(Instances!G226:G226),"diff", MAX(Instances!G226:G226)-MIN(Instances!G226:G226))</f>
        <v>0</v>
      </c>
      <c r="H226" s="1" t="n">
        <f aca="false" t="array" ref="H226:H226">_xlfn.SWITCH($A$2,"average", AVERAGE(Instances!H226:H226),"median", MEDIAN(Instances!H226:H226),"min", MIN(Instances!H226:H226),"max", MAX(Instances!H226:H226),"diff", MAX(Instances!H226:H226)-MIN(Instances!H226:H226))</f>
        <v>1</v>
      </c>
      <c r="I226" s="1" t="n">
        <f aca="false" t="array" ref="I226:I226">_xlfn.SWITCH($A$2,"average", AVERAGE(Instances!I226:I226),"median", MEDIAN(Instances!I226:I226),"min", MIN(Instances!I226:I226),"max", MAX(Instances!I226:I226),"diff", MAX(Instances!I226:I226)-MIN(Instances!I226:I226))</f>
        <v>4.69</v>
      </c>
      <c r="J226" s="1" t="n">
        <f aca="false" t="array" ref="J226:J226">_xlfn.SWITCH($A$2,"average", AVERAGE(Instances!J226:J226),"median", MEDIAN(Instances!J226:J226),"min", MIN(Instances!J226:J226),"max", MAX(Instances!J226:J226),"diff", MAX(Instances!J226:J226)-MIN(Instances!J226:J226))</f>
        <v>4.81</v>
      </c>
      <c r="K226" s="1" t="n">
        <f aca="false" t="array" ref="K226:K226">_xlfn.SWITCH($A$2,"average", AVERAGE(Instances!K226:K226),"median", MEDIAN(Instances!K226:K226),"min", MIN(Instances!K226:K226),"max", MAX(Instances!K226:K226),"diff", MAX(Instances!K226:K226)-MIN(Instances!K226:K226))</f>
        <v>1</v>
      </c>
      <c r="L226" s="1"/>
      <c r="M226" s="1" t="n">
        <f aca="false" t="array" ref="M226:M226">_xlfn.SWITCH($A$2,"average", AVERAGE(Instances!M226:M226),"median", MEDIAN(Instances!M226:M226),"min", MIN(Instances!M226:M226),"max", MAX(Instances!M226:M226),"diff", MAX(Instances!M226:M226)-MIN(Instances!M226:M226))</f>
        <v>1027765</v>
      </c>
      <c r="N226" s="1" t="n">
        <f aca="false" t="array" ref="N226:N226">_xlfn.SWITCH($A$2,"average", AVERAGE(Instances!N226:N226),"median", MEDIAN(Instances!N226:N226),"min", MIN(Instances!N226:N226),"max", MAX(Instances!N226:N226),"diff", MAX(Instances!N226:N226)-MIN(Instances!N226:N226))</f>
        <v>0.08</v>
      </c>
      <c r="O226" s="1"/>
      <c r="P226" s="1" t="n">
        <f aca="false" t="array" ref="P226:P226">_xlfn.SWITCH($A$2,"average", AVERAGE(Instances!P226:P226),"median", MEDIAN(Instances!P226:P226),"min", MIN(Instances!P226:P226),"max", MAX(Instances!P226:P226),"diff", MAX(Instances!P226:P226)-MIN(Instances!P226:P226))</f>
        <v>4.81</v>
      </c>
      <c r="Q226" s="1" t="n">
        <f aca="false" t="array" ref="Q226:Q226">_xlfn.SWITCH($A$2,"average", AVERAGE(Instances!Q226:Q226),"median", MEDIAN(Instances!Q226:Q226),"min", MIN(Instances!Q226:Q226),"max", MAX(Instances!Q226:Q226),"diff", MAX(Instances!Q226:Q226)-MIN(Instances!Q226:Q226))</f>
        <v>0</v>
      </c>
      <c r="R226" s="1" t="n">
        <f aca="false" t="array" ref="R226:R226">_xlfn.SWITCH($A$2,"average", AVERAGE(Instances!R226:R226),"median", MEDIAN(Instances!R226:R226),"min", MIN(Instances!R226:R226),"max", MAX(Instances!R226:R226),"diff", MAX(Instances!R226:R226)-MIN(Instances!R226:R226))</f>
        <v>346581</v>
      </c>
      <c r="S226" s="1" t="n">
        <f aca="false">MIN($B226)</f>
        <v>2844</v>
      </c>
      <c r="T226" s="1" t="n">
        <f aca="false">MIN($C226)</f>
        <v>79</v>
      </c>
      <c r="U226" s="1" t="n">
        <f aca="false">MIN($D226)</f>
        <v>316042</v>
      </c>
      <c r="V226" s="1" t="n">
        <f aca="false">MIN($E226)</f>
        <v>0</v>
      </c>
      <c r="W226" s="1" t="n">
        <f aca="false">MIN($F226)</f>
        <v>349</v>
      </c>
      <c r="X226" s="1" t="n">
        <f aca="false">MIN($G226)</f>
        <v>0</v>
      </c>
      <c r="Y226" s="1" t="n">
        <f aca="false">MIN($H226)</f>
        <v>1</v>
      </c>
      <c r="Z226" s="1" t="n">
        <f aca="false">MIN($I226)</f>
        <v>4.69</v>
      </c>
      <c r="AA226" s="1" t="n">
        <f aca="false">MIN($J226)</f>
        <v>4.81</v>
      </c>
      <c r="AB226" s="1" t="n">
        <f aca="false">MIN($K226)</f>
        <v>1</v>
      </c>
      <c r="AC226" s="1" t="n">
        <f aca="false">MIN($M226)</f>
        <v>1027765</v>
      </c>
      <c r="AD226" s="1" t="n">
        <f aca="false">MIN($N226)</f>
        <v>0.08</v>
      </c>
      <c r="AE226" s="1" t="n">
        <f aca="false">MIN($P226)</f>
        <v>4.81</v>
      </c>
      <c r="AF226" s="1" t="n">
        <f aca="false">MIN($Q226)</f>
        <v>0</v>
      </c>
      <c r="AG226" s="1" t="n">
        <f aca="false">MIN($R226)</f>
        <v>346581</v>
      </c>
      <c r="AH226" s="1" t="n">
        <f aca="false">MEDIAN($B226)</f>
        <v>2844</v>
      </c>
      <c r="AI226" s="1" t="n">
        <f aca="false">MEDIAN($C226)</f>
        <v>79</v>
      </c>
      <c r="AJ226" s="1" t="n">
        <f aca="false">MEDIAN($D226)</f>
        <v>316042</v>
      </c>
      <c r="AK226" s="1" t="n">
        <f aca="false">MEDIAN($E226)</f>
        <v>0</v>
      </c>
      <c r="AL226" s="1" t="n">
        <f aca="false">MEDIAN($F226)</f>
        <v>349</v>
      </c>
      <c r="AM226" s="1" t="n">
        <f aca="false">MEDIAN($G226)</f>
        <v>0</v>
      </c>
      <c r="AN226" s="1" t="n">
        <f aca="false">MEDIAN($H226)</f>
        <v>1</v>
      </c>
      <c r="AO226" s="1" t="n">
        <f aca="false">MEDIAN($I226)</f>
        <v>4.69</v>
      </c>
      <c r="AP226" s="1" t="n">
        <f aca="false">MEDIAN($J226)</f>
        <v>4.81</v>
      </c>
      <c r="AQ226" s="1" t="n">
        <f aca="false">MEDIAN($K226)</f>
        <v>1</v>
      </c>
      <c r="AR226" s="1" t="n">
        <f aca="false">MEDIAN($M226)</f>
        <v>1027765</v>
      </c>
      <c r="AS226" s="1" t="n">
        <f aca="false">MEDIAN($N226)</f>
        <v>0.08</v>
      </c>
      <c r="AT226" s="1" t="n">
        <f aca="false">MEDIAN($P226)</f>
        <v>4.81</v>
      </c>
      <c r="AU226" s="1" t="n">
        <f aca="false">MEDIAN($Q226)</f>
        <v>0</v>
      </c>
      <c r="AV226" s="1" t="n">
        <f aca="false">MEDIAN($R226)</f>
        <v>346581</v>
      </c>
      <c r="AW226" s="1" t="n">
        <f aca="false">MAX($B226)</f>
        <v>2844</v>
      </c>
      <c r="AX226" s="1" t="n">
        <f aca="false">MAX($C226)</f>
        <v>79</v>
      </c>
      <c r="AY226" s="1" t="n">
        <f aca="false">MAX($D226)</f>
        <v>316042</v>
      </c>
      <c r="AZ226" s="1" t="n">
        <f aca="false">MAX($E226)</f>
        <v>0</v>
      </c>
      <c r="BA226" s="1" t="n">
        <f aca="false">MAX($F226)</f>
        <v>349</v>
      </c>
      <c r="BB226" s="1" t="n">
        <f aca="false">MAX($G226)</f>
        <v>0</v>
      </c>
      <c r="BC226" s="1" t="n">
        <f aca="false">MAX($H226)</f>
        <v>1</v>
      </c>
      <c r="BD226" s="1" t="n">
        <f aca="false">MAX($I226)</f>
        <v>4.69</v>
      </c>
      <c r="BE226" s="1" t="n">
        <f aca="false">MAX($J226)</f>
        <v>4.81</v>
      </c>
      <c r="BF226" s="1" t="n">
        <f aca="false">MAX($K226)</f>
        <v>1</v>
      </c>
      <c r="BG226" s="1" t="n">
        <f aca="false">MAX($M226)</f>
        <v>1027765</v>
      </c>
      <c r="BH226" s="1" t="n">
        <f aca="false">MAX($N226)</f>
        <v>0.08</v>
      </c>
      <c r="BI226" s="1" t="n">
        <f aca="false">MAX($P226)</f>
        <v>4.81</v>
      </c>
      <c r="BJ226" s="1" t="n">
        <f aca="false">MAX($Q226)</f>
        <v>0</v>
      </c>
      <c r="BK226" s="1" t="n">
        <f aca="false">MAX($R226)</f>
        <v>346581</v>
      </c>
    </row>
    <row r="227" customFormat="false" ht="15" hidden="false" customHeight="false" outlineLevel="0" collapsed="false">
      <c r="A227" s="1" t="s">
        <v>244</v>
      </c>
      <c r="B227" s="1" t="n">
        <f aca="false" t="array" ref="B227:B227">_xlfn.SWITCH($A$2,"average", AVERAGE(Instances!B227:B227),"median", MEDIAN(Instances!B227:B227),"min", MIN(Instances!B227:B227),"max", MAX(Instances!B227:B227),"diff", MAX(Instances!B227:B227)-MIN(Instances!B227:B227))</f>
        <v>1364</v>
      </c>
      <c r="C227" s="1" t="n">
        <f aca="false" t="array" ref="C227:C227">_xlfn.SWITCH($A$2,"average", AVERAGE(Instances!C227:C227),"median", MEDIAN(Instances!C227:C227),"min", MIN(Instances!C227:C227),"max", MAX(Instances!C227:C227),"diff", MAX(Instances!C227:C227)-MIN(Instances!C227:C227))</f>
        <v>0</v>
      </c>
      <c r="D227" s="1" t="n">
        <f aca="false" t="array" ref="D227:D227">_xlfn.SWITCH($A$2,"average", AVERAGE(Instances!D227:D227),"median", MEDIAN(Instances!D227:D227),"min", MIN(Instances!D227:D227),"max", MAX(Instances!D227:D227),"diff", MAX(Instances!D227:D227)-MIN(Instances!D227:D227))</f>
        <v>272925</v>
      </c>
      <c r="E227" s="1" t="n">
        <f aca="false" t="array" ref="E227:E227">_xlfn.SWITCH($A$2,"average", AVERAGE(Instances!E227:E227),"median", MEDIAN(Instances!E227:E227),"min", MIN(Instances!E227:E227),"max", MAX(Instances!E227:E227),"diff", MAX(Instances!E227:E227)-MIN(Instances!E227:E227))</f>
        <v>0</v>
      </c>
      <c r="F227" s="1" t="n">
        <f aca="false" t="array" ref="F227:F227">_xlfn.SWITCH($A$2,"average", AVERAGE(Instances!F227:F227),"median", MEDIAN(Instances!F227:F227),"min", MIN(Instances!F227:F227),"max", MAX(Instances!F227:F227),"diff", MAX(Instances!F227:F227)-MIN(Instances!F227:F227))</f>
        <v>287</v>
      </c>
      <c r="G227" s="1" t="n">
        <f aca="false" t="array" ref="G227:G227">_xlfn.SWITCH($A$2,"average", AVERAGE(Instances!G227:G227),"median", MEDIAN(Instances!G227:G227),"min", MIN(Instances!G227:G227),"max", MAX(Instances!G227:G227),"diff", MAX(Instances!G227:G227)-MIN(Instances!G227:G227))</f>
        <v>0</v>
      </c>
      <c r="H227" s="1" t="n">
        <f aca="false" t="array" ref="H227:H227">_xlfn.SWITCH($A$2,"average", AVERAGE(Instances!H227:H227),"median", MEDIAN(Instances!H227:H227),"min", MIN(Instances!H227:H227),"max", MAX(Instances!H227:H227),"diff", MAX(Instances!H227:H227)-MIN(Instances!H227:H227))</f>
        <v>1</v>
      </c>
      <c r="I227" s="1" t="n">
        <f aca="false" t="array" ref="I227:I227">_xlfn.SWITCH($A$2,"average", AVERAGE(Instances!I227:I227),"median", MEDIAN(Instances!I227:I227),"min", MIN(Instances!I227:I227),"max", MAX(Instances!I227:I227),"diff", MAX(Instances!I227:I227)-MIN(Instances!I227:I227))</f>
        <v>3.694</v>
      </c>
      <c r="J227" s="1" t="n">
        <f aca="false" t="array" ref="J227:J227">_xlfn.SWITCH($A$2,"average", AVERAGE(Instances!J227:J227),"median", MEDIAN(Instances!J227:J227),"min", MIN(Instances!J227:J227),"max", MAX(Instances!J227:J227),"diff", MAX(Instances!J227:J227)-MIN(Instances!J227:J227))</f>
        <v>3.8</v>
      </c>
      <c r="K227" s="1" t="n">
        <f aca="false" t="array" ref="K227:K227">_xlfn.SWITCH($A$2,"average", AVERAGE(Instances!K227:K227),"median", MEDIAN(Instances!K227:K227),"min", MIN(Instances!K227:K227),"max", MAX(Instances!K227:K227),"diff", MAX(Instances!K227:K227)-MIN(Instances!K227:K227))</f>
        <v>0</v>
      </c>
      <c r="L227" s="1"/>
      <c r="M227" s="1" t="n">
        <f aca="false" t="array" ref="M227:M227">_xlfn.SWITCH($A$2,"average", AVERAGE(Instances!M227:M227),"median", MEDIAN(Instances!M227:M227),"min", MIN(Instances!M227:M227),"max", MAX(Instances!M227:M227),"diff", MAX(Instances!M227:M227)-MIN(Instances!M227:M227))</f>
        <v>826392</v>
      </c>
      <c r="N227" s="1" t="n">
        <f aca="false" t="array" ref="N227:N227">_xlfn.SWITCH($A$2,"average", AVERAGE(Instances!N227:N227),"median", MEDIAN(Instances!N227:N227),"min", MIN(Instances!N227:N227),"max", MAX(Instances!N227:N227),"diff", MAX(Instances!N227:N227)-MIN(Instances!N227:N227))</f>
        <v>0.03</v>
      </c>
      <c r="O227" s="1"/>
      <c r="P227" s="1" t="n">
        <f aca="false" t="array" ref="P227:P227">_xlfn.SWITCH($A$2,"average", AVERAGE(Instances!P227:P227),"median", MEDIAN(Instances!P227:P227),"min", MIN(Instances!P227:P227),"max", MAX(Instances!P227:P227),"diff", MAX(Instances!P227:P227)-MIN(Instances!P227:P227))</f>
        <v>3.8</v>
      </c>
      <c r="Q227" s="1" t="n">
        <f aca="false" t="array" ref="Q227:Q227">_xlfn.SWITCH($A$2,"average", AVERAGE(Instances!Q227:Q227),"median", MEDIAN(Instances!Q227:Q227),"min", MIN(Instances!Q227:Q227),"max", MAX(Instances!Q227:Q227),"diff", MAX(Instances!Q227:Q227)-MIN(Instances!Q227:Q227))</f>
        <v>0</v>
      </c>
      <c r="R227" s="1" t="n">
        <f aca="false" t="array" ref="R227:R227">_xlfn.SWITCH($A$2,"average", AVERAGE(Instances!R227:R227),"median", MEDIAN(Instances!R227:R227),"min", MIN(Instances!R227:R227),"max", MAX(Instances!R227:R227),"diff", MAX(Instances!R227:R227)-MIN(Instances!R227:R227))</f>
        <v>284041</v>
      </c>
      <c r="S227" s="1" t="n">
        <f aca="false">MIN($B227)</f>
        <v>1364</v>
      </c>
      <c r="T227" s="1" t="n">
        <f aca="false">MIN($C227)</f>
        <v>0</v>
      </c>
      <c r="U227" s="1" t="n">
        <f aca="false">MIN($D227)</f>
        <v>272925</v>
      </c>
      <c r="V227" s="1" t="n">
        <f aca="false">MIN($E227)</f>
        <v>0</v>
      </c>
      <c r="W227" s="1" t="n">
        <f aca="false">MIN($F227)</f>
        <v>287</v>
      </c>
      <c r="X227" s="1" t="n">
        <f aca="false">MIN($G227)</f>
        <v>0</v>
      </c>
      <c r="Y227" s="1" t="n">
        <f aca="false">MIN($H227)</f>
        <v>1</v>
      </c>
      <c r="Z227" s="1" t="n">
        <f aca="false">MIN($I227)</f>
        <v>3.694</v>
      </c>
      <c r="AA227" s="1" t="n">
        <f aca="false">MIN($J227)</f>
        <v>3.8</v>
      </c>
      <c r="AB227" s="1" t="n">
        <f aca="false">MIN($K227)</f>
        <v>0</v>
      </c>
      <c r="AC227" s="1" t="n">
        <f aca="false">MIN($M227)</f>
        <v>826392</v>
      </c>
      <c r="AD227" s="1" t="n">
        <f aca="false">MIN($N227)</f>
        <v>0.03</v>
      </c>
      <c r="AE227" s="1" t="n">
        <f aca="false">MIN($P227)</f>
        <v>3.8</v>
      </c>
      <c r="AF227" s="1" t="n">
        <f aca="false">MIN($Q227)</f>
        <v>0</v>
      </c>
      <c r="AG227" s="1" t="n">
        <f aca="false">MIN($R227)</f>
        <v>284041</v>
      </c>
      <c r="AH227" s="1" t="n">
        <f aca="false">MEDIAN($B227)</f>
        <v>1364</v>
      </c>
      <c r="AI227" s="1" t="n">
        <f aca="false">MEDIAN($C227)</f>
        <v>0</v>
      </c>
      <c r="AJ227" s="1" t="n">
        <f aca="false">MEDIAN($D227)</f>
        <v>272925</v>
      </c>
      <c r="AK227" s="1" t="n">
        <f aca="false">MEDIAN($E227)</f>
        <v>0</v>
      </c>
      <c r="AL227" s="1" t="n">
        <f aca="false">MEDIAN($F227)</f>
        <v>287</v>
      </c>
      <c r="AM227" s="1" t="n">
        <f aca="false">MEDIAN($G227)</f>
        <v>0</v>
      </c>
      <c r="AN227" s="1" t="n">
        <f aca="false">MEDIAN($H227)</f>
        <v>1</v>
      </c>
      <c r="AO227" s="1" t="n">
        <f aca="false">MEDIAN($I227)</f>
        <v>3.694</v>
      </c>
      <c r="AP227" s="1" t="n">
        <f aca="false">MEDIAN($J227)</f>
        <v>3.8</v>
      </c>
      <c r="AQ227" s="1" t="n">
        <f aca="false">MEDIAN($K227)</f>
        <v>0</v>
      </c>
      <c r="AR227" s="1" t="n">
        <f aca="false">MEDIAN($M227)</f>
        <v>826392</v>
      </c>
      <c r="AS227" s="1" t="n">
        <f aca="false">MEDIAN($N227)</f>
        <v>0.03</v>
      </c>
      <c r="AT227" s="1" t="n">
        <f aca="false">MEDIAN($P227)</f>
        <v>3.8</v>
      </c>
      <c r="AU227" s="1" t="n">
        <f aca="false">MEDIAN($Q227)</f>
        <v>0</v>
      </c>
      <c r="AV227" s="1" t="n">
        <f aca="false">MEDIAN($R227)</f>
        <v>284041</v>
      </c>
      <c r="AW227" s="1" t="n">
        <f aca="false">MAX($B227)</f>
        <v>1364</v>
      </c>
      <c r="AX227" s="1" t="n">
        <f aca="false">MAX($C227)</f>
        <v>0</v>
      </c>
      <c r="AY227" s="1" t="n">
        <f aca="false">MAX($D227)</f>
        <v>272925</v>
      </c>
      <c r="AZ227" s="1" t="n">
        <f aca="false">MAX($E227)</f>
        <v>0</v>
      </c>
      <c r="BA227" s="1" t="n">
        <f aca="false">MAX($F227)</f>
        <v>287</v>
      </c>
      <c r="BB227" s="1" t="n">
        <f aca="false">MAX($G227)</f>
        <v>0</v>
      </c>
      <c r="BC227" s="1" t="n">
        <f aca="false">MAX($H227)</f>
        <v>1</v>
      </c>
      <c r="BD227" s="1" t="n">
        <f aca="false">MAX($I227)</f>
        <v>3.694</v>
      </c>
      <c r="BE227" s="1" t="n">
        <f aca="false">MAX($J227)</f>
        <v>3.8</v>
      </c>
      <c r="BF227" s="1" t="n">
        <f aca="false">MAX($K227)</f>
        <v>0</v>
      </c>
      <c r="BG227" s="1" t="n">
        <f aca="false">MAX($M227)</f>
        <v>826392</v>
      </c>
      <c r="BH227" s="1" t="n">
        <f aca="false">MAX($N227)</f>
        <v>0.03</v>
      </c>
      <c r="BI227" s="1" t="n">
        <f aca="false">MAX($P227)</f>
        <v>3.8</v>
      </c>
      <c r="BJ227" s="1" t="n">
        <f aca="false">MAX($Q227)</f>
        <v>0</v>
      </c>
      <c r="BK227" s="1" t="n">
        <f aca="false">MAX($R227)</f>
        <v>284041</v>
      </c>
    </row>
    <row r="228" customFormat="false" ht="15" hidden="false" customHeight="false" outlineLevel="0" collapsed="false">
      <c r="A228" s="1" t="s">
        <v>245</v>
      </c>
      <c r="B228" s="1" t="n">
        <f aca="false" t="array" ref="B228:B228">_xlfn.SWITCH($A$2,"average", AVERAGE(Instances!B228:B228),"median", MEDIAN(Instances!B228:B228),"min", MIN(Instances!B228:B228),"max", MAX(Instances!B228:B228),"diff", MAX(Instances!B228:B228)-MIN(Instances!B228:B228))</f>
        <v>933</v>
      </c>
      <c r="C228" s="1" t="n">
        <f aca="false" t="array" ref="C228:C228">_xlfn.SWITCH($A$2,"average", AVERAGE(Instances!C228:C228),"median", MEDIAN(Instances!C228:C228),"min", MIN(Instances!C228:C228),"max", MAX(Instances!C228:C228),"diff", MAX(Instances!C228:C228)-MIN(Instances!C228:C228))</f>
        <v>1</v>
      </c>
      <c r="D228" s="1" t="n">
        <f aca="false" t="array" ref="D228:D228">_xlfn.SWITCH($A$2,"average", AVERAGE(Instances!D228:D228),"median", MEDIAN(Instances!D228:D228),"min", MIN(Instances!D228:D228),"max", MAX(Instances!D228:D228),"diff", MAX(Instances!D228:D228)-MIN(Instances!D228:D228))</f>
        <v>171827</v>
      </c>
      <c r="E228" s="1" t="n">
        <f aca="false" t="array" ref="E228:E228">_xlfn.SWITCH($A$2,"average", AVERAGE(Instances!E228:E228),"median", MEDIAN(Instances!E228:E228),"min", MIN(Instances!E228:E228),"max", MAX(Instances!E228:E228),"diff", MAX(Instances!E228:E228)-MIN(Instances!E228:E228))</f>
        <v>0</v>
      </c>
      <c r="F228" s="1" t="n">
        <f aca="false" t="array" ref="F228:F228">_xlfn.SWITCH($A$2,"average", AVERAGE(Instances!F228:F228),"median", MEDIAN(Instances!F228:F228),"min", MIN(Instances!F228:F228),"max", MAX(Instances!F228:F228),"diff", MAX(Instances!F228:F228)-MIN(Instances!F228:F228))</f>
        <v>292</v>
      </c>
      <c r="G228" s="1" t="n">
        <f aca="false" t="array" ref="G228:G228">_xlfn.SWITCH($A$2,"average", AVERAGE(Instances!G228:G228),"median", MEDIAN(Instances!G228:G228),"min", MIN(Instances!G228:G228),"max", MAX(Instances!G228:G228),"diff", MAX(Instances!G228:G228)-MIN(Instances!G228:G228))</f>
        <v>0</v>
      </c>
      <c r="H228" s="1" t="n">
        <f aca="false" t="array" ref="H228:H228">_xlfn.SWITCH($A$2,"average", AVERAGE(Instances!H228:H228),"median", MEDIAN(Instances!H228:H228),"min", MIN(Instances!H228:H228),"max", MAX(Instances!H228:H228),"diff", MAX(Instances!H228:H228)-MIN(Instances!H228:H228))</f>
        <v>1</v>
      </c>
      <c r="I228" s="1" t="n">
        <f aca="false" t="array" ref="I228:I228">_xlfn.SWITCH($A$2,"average", AVERAGE(Instances!I228:I228),"median", MEDIAN(Instances!I228:I228),"min", MIN(Instances!I228:I228),"max", MAX(Instances!I228:I228),"diff", MAX(Instances!I228:I228)-MIN(Instances!I228:I228))</f>
        <v>3.651</v>
      </c>
      <c r="J228" s="1" t="n">
        <f aca="false" t="array" ref="J228:J228">_xlfn.SWITCH($A$2,"average", AVERAGE(Instances!J228:J228),"median", MEDIAN(Instances!J228:J228),"min", MIN(Instances!J228:J228),"max", MAX(Instances!J228:J228),"diff", MAX(Instances!J228:J228)-MIN(Instances!J228:J228))</f>
        <v>3.76</v>
      </c>
      <c r="K228" s="1" t="n">
        <f aca="false" t="array" ref="K228:K228">_xlfn.SWITCH($A$2,"average", AVERAGE(Instances!K228:K228),"median", MEDIAN(Instances!K228:K228),"min", MIN(Instances!K228:K228),"max", MAX(Instances!K228:K228),"diff", MAX(Instances!K228:K228)-MIN(Instances!K228:K228))</f>
        <v>0</v>
      </c>
      <c r="L228" s="1"/>
      <c r="M228" s="1" t="n">
        <f aca="false" t="array" ref="M228:M228">_xlfn.SWITCH($A$2,"average", AVERAGE(Instances!M228:M228),"median", MEDIAN(Instances!M228:M228),"min", MIN(Instances!M228:M228),"max", MAX(Instances!M228:M228),"diff", MAX(Instances!M228:M228)-MIN(Instances!M228:M228))</f>
        <v>821353</v>
      </c>
      <c r="N228" s="1" t="n">
        <f aca="false" t="array" ref="N228:N228">_xlfn.SWITCH($A$2,"average", AVERAGE(Instances!N228:N228),"median", MEDIAN(Instances!N228:N228),"min", MIN(Instances!N228:N228),"max", MAX(Instances!N228:N228),"diff", MAX(Instances!N228:N228)-MIN(Instances!N228:N228))</f>
        <v>0.02</v>
      </c>
      <c r="O228" s="1"/>
      <c r="P228" s="1" t="n">
        <f aca="false" t="array" ref="P228:P228">_xlfn.SWITCH($A$2,"average", AVERAGE(Instances!P228:P228),"median", MEDIAN(Instances!P228:P228),"min", MIN(Instances!P228:P228),"max", MAX(Instances!P228:P228),"diff", MAX(Instances!P228:P228)-MIN(Instances!P228:P228))</f>
        <v>3.76</v>
      </c>
      <c r="Q228" s="1" t="n">
        <f aca="false" t="array" ref="Q228:Q228">_xlfn.SWITCH($A$2,"average", AVERAGE(Instances!Q228:Q228),"median", MEDIAN(Instances!Q228:Q228),"min", MIN(Instances!Q228:Q228),"max", MAX(Instances!Q228:Q228),"diff", MAX(Instances!Q228:Q228)-MIN(Instances!Q228:Q228))</f>
        <v>0</v>
      </c>
      <c r="R228" s="1" t="n">
        <f aca="false" t="array" ref="R228:R228">_xlfn.SWITCH($A$2,"average", AVERAGE(Instances!R228:R228),"median", MEDIAN(Instances!R228:R228),"min", MIN(Instances!R228:R228),"max", MAX(Instances!R228:R228),"diff", MAX(Instances!R228:R228)-MIN(Instances!R228:R228))</f>
        <v>291667</v>
      </c>
      <c r="S228" s="1" t="n">
        <f aca="false">MIN($B228)</f>
        <v>933</v>
      </c>
      <c r="T228" s="1" t="n">
        <f aca="false">MIN($C228)</f>
        <v>1</v>
      </c>
      <c r="U228" s="1" t="n">
        <f aca="false">MIN($D228)</f>
        <v>171827</v>
      </c>
      <c r="V228" s="1" t="n">
        <f aca="false">MIN($E228)</f>
        <v>0</v>
      </c>
      <c r="W228" s="1" t="n">
        <f aca="false">MIN($F228)</f>
        <v>292</v>
      </c>
      <c r="X228" s="1" t="n">
        <f aca="false">MIN($G228)</f>
        <v>0</v>
      </c>
      <c r="Y228" s="1" t="n">
        <f aca="false">MIN($H228)</f>
        <v>1</v>
      </c>
      <c r="Z228" s="1" t="n">
        <f aca="false">MIN($I228)</f>
        <v>3.651</v>
      </c>
      <c r="AA228" s="1" t="n">
        <f aca="false">MIN($J228)</f>
        <v>3.76</v>
      </c>
      <c r="AB228" s="1" t="n">
        <f aca="false">MIN($K228)</f>
        <v>0</v>
      </c>
      <c r="AC228" s="1" t="n">
        <f aca="false">MIN($M228)</f>
        <v>821353</v>
      </c>
      <c r="AD228" s="1" t="n">
        <f aca="false">MIN($N228)</f>
        <v>0.02</v>
      </c>
      <c r="AE228" s="1" t="n">
        <f aca="false">MIN($P228)</f>
        <v>3.76</v>
      </c>
      <c r="AF228" s="1" t="n">
        <f aca="false">MIN($Q228)</f>
        <v>0</v>
      </c>
      <c r="AG228" s="1" t="n">
        <f aca="false">MIN($R228)</f>
        <v>291667</v>
      </c>
      <c r="AH228" s="1" t="n">
        <f aca="false">MEDIAN($B228)</f>
        <v>933</v>
      </c>
      <c r="AI228" s="1" t="n">
        <f aca="false">MEDIAN($C228)</f>
        <v>1</v>
      </c>
      <c r="AJ228" s="1" t="n">
        <f aca="false">MEDIAN($D228)</f>
        <v>171827</v>
      </c>
      <c r="AK228" s="1" t="n">
        <f aca="false">MEDIAN($E228)</f>
        <v>0</v>
      </c>
      <c r="AL228" s="1" t="n">
        <f aca="false">MEDIAN($F228)</f>
        <v>292</v>
      </c>
      <c r="AM228" s="1" t="n">
        <f aca="false">MEDIAN($G228)</f>
        <v>0</v>
      </c>
      <c r="AN228" s="1" t="n">
        <f aca="false">MEDIAN($H228)</f>
        <v>1</v>
      </c>
      <c r="AO228" s="1" t="n">
        <f aca="false">MEDIAN($I228)</f>
        <v>3.651</v>
      </c>
      <c r="AP228" s="1" t="n">
        <f aca="false">MEDIAN($J228)</f>
        <v>3.76</v>
      </c>
      <c r="AQ228" s="1" t="n">
        <f aca="false">MEDIAN($K228)</f>
        <v>0</v>
      </c>
      <c r="AR228" s="1" t="n">
        <f aca="false">MEDIAN($M228)</f>
        <v>821353</v>
      </c>
      <c r="AS228" s="1" t="n">
        <f aca="false">MEDIAN($N228)</f>
        <v>0.02</v>
      </c>
      <c r="AT228" s="1" t="n">
        <f aca="false">MEDIAN($P228)</f>
        <v>3.76</v>
      </c>
      <c r="AU228" s="1" t="n">
        <f aca="false">MEDIAN($Q228)</f>
        <v>0</v>
      </c>
      <c r="AV228" s="1" t="n">
        <f aca="false">MEDIAN($R228)</f>
        <v>291667</v>
      </c>
      <c r="AW228" s="1" t="n">
        <f aca="false">MAX($B228)</f>
        <v>933</v>
      </c>
      <c r="AX228" s="1" t="n">
        <f aca="false">MAX($C228)</f>
        <v>1</v>
      </c>
      <c r="AY228" s="1" t="n">
        <f aca="false">MAX($D228)</f>
        <v>171827</v>
      </c>
      <c r="AZ228" s="1" t="n">
        <f aca="false">MAX($E228)</f>
        <v>0</v>
      </c>
      <c r="BA228" s="1" t="n">
        <f aca="false">MAX($F228)</f>
        <v>292</v>
      </c>
      <c r="BB228" s="1" t="n">
        <f aca="false">MAX($G228)</f>
        <v>0</v>
      </c>
      <c r="BC228" s="1" t="n">
        <f aca="false">MAX($H228)</f>
        <v>1</v>
      </c>
      <c r="BD228" s="1" t="n">
        <f aca="false">MAX($I228)</f>
        <v>3.651</v>
      </c>
      <c r="BE228" s="1" t="n">
        <f aca="false">MAX($J228)</f>
        <v>3.76</v>
      </c>
      <c r="BF228" s="1" t="n">
        <f aca="false">MAX($K228)</f>
        <v>0</v>
      </c>
      <c r="BG228" s="1" t="n">
        <f aca="false">MAX($M228)</f>
        <v>821353</v>
      </c>
      <c r="BH228" s="1" t="n">
        <f aca="false">MAX($N228)</f>
        <v>0.02</v>
      </c>
      <c r="BI228" s="1" t="n">
        <f aca="false">MAX($P228)</f>
        <v>3.76</v>
      </c>
      <c r="BJ228" s="1" t="n">
        <f aca="false">MAX($Q228)</f>
        <v>0</v>
      </c>
      <c r="BK228" s="1" t="n">
        <f aca="false">MAX($R228)</f>
        <v>291667</v>
      </c>
    </row>
    <row r="229" customFormat="false" ht="15" hidden="false" customHeight="false" outlineLevel="0" collapsed="false">
      <c r="A229" s="1" t="s">
        <v>246</v>
      </c>
      <c r="B229" s="1" t="n">
        <f aca="false" t="array" ref="B229:B229">_xlfn.SWITCH($A$2,"average", AVERAGE(Instances!B229:B229),"median", MEDIAN(Instances!B229:B229),"min", MIN(Instances!B229:B229),"max", MAX(Instances!B229:B229),"diff", MAX(Instances!B229:B229)-MIN(Instances!B229:B229))</f>
        <v>1056</v>
      </c>
      <c r="C229" s="1" t="n">
        <f aca="false" t="array" ref="C229:C229">_xlfn.SWITCH($A$2,"average", AVERAGE(Instances!C229:C229),"median", MEDIAN(Instances!C229:C229),"min", MIN(Instances!C229:C229),"max", MAX(Instances!C229:C229),"diff", MAX(Instances!C229:C229)-MIN(Instances!C229:C229))</f>
        <v>9</v>
      </c>
      <c r="D229" s="1" t="n">
        <f aca="false" t="array" ref="D229:D229">_xlfn.SWITCH($A$2,"average", AVERAGE(Instances!D229:D229),"median", MEDIAN(Instances!D229:D229),"min", MIN(Instances!D229:D229),"max", MAX(Instances!D229:D229),"diff", MAX(Instances!D229:D229)-MIN(Instances!D229:D229))</f>
        <v>143834</v>
      </c>
      <c r="E229" s="1" t="n">
        <f aca="false" t="array" ref="E229:E229">_xlfn.SWITCH($A$2,"average", AVERAGE(Instances!E229:E229),"median", MEDIAN(Instances!E229:E229),"min", MIN(Instances!E229:E229),"max", MAX(Instances!E229:E229),"diff", MAX(Instances!E229:E229)-MIN(Instances!E229:E229))</f>
        <v>0</v>
      </c>
      <c r="F229" s="1" t="n">
        <f aca="false" t="array" ref="F229:F229">_xlfn.SWITCH($A$2,"average", AVERAGE(Instances!F229:F229),"median", MEDIAN(Instances!F229:F229),"min", MIN(Instances!F229:F229),"max", MAX(Instances!F229:F229),"diff", MAX(Instances!F229:F229)-MIN(Instances!F229:F229))</f>
        <v>224</v>
      </c>
      <c r="G229" s="1" t="n">
        <f aca="false" t="array" ref="G229:G229">_xlfn.SWITCH($A$2,"average", AVERAGE(Instances!G229:G229),"median", MEDIAN(Instances!G229:G229),"min", MIN(Instances!G229:G229),"max", MAX(Instances!G229:G229),"diff", MAX(Instances!G229:G229)-MIN(Instances!G229:G229))</f>
        <v>0</v>
      </c>
      <c r="H229" s="1" t="n">
        <f aca="false" t="array" ref="H229:H229">_xlfn.SWITCH($A$2,"average", AVERAGE(Instances!H229:H229),"median", MEDIAN(Instances!H229:H229),"min", MIN(Instances!H229:H229),"max", MAX(Instances!H229:H229),"diff", MAX(Instances!H229:H229)-MIN(Instances!H229:H229))</f>
        <v>1</v>
      </c>
      <c r="I229" s="1" t="n">
        <f aca="false" t="array" ref="I229:I229">_xlfn.SWITCH($A$2,"average", AVERAGE(Instances!I229:I229),"median", MEDIAN(Instances!I229:I229),"min", MIN(Instances!I229:I229),"max", MAX(Instances!I229:I229),"diff", MAX(Instances!I229:I229)-MIN(Instances!I229:I229))</f>
        <v>2.947</v>
      </c>
      <c r="J229" s="1" t="n">
        <f aca="false" t="array" ref="J229:J229">_xlfn.SWITCH($A$2,"average", AVERAGE(Instances!J229:J229),"median", MEDIAN(Instances!J229:J229),"min", MIN(Instances!J229:J229),"max", MAX(Instances!J229:J229),"diff", MAX(Instances!J229:J229)-MIN(Instances!J229:J229))</f>
        <v>3.03</v>
      </c>
      <c r="K229" s="1" t="n">
        <f aca="false" t="array" ref="K229:K229">_xlfn.SWITCH($A$2,"average", AVERAGE(Instances!K229:K229),"median", MEDIAN(Instances!K229:K229),"min", MIN(Instances!K229:K229),"max", MAX(Instances!K229:K229),"diff", MAX(Instances!K229:K229)-MIN(Instances!K229:K229))</f>
        <v>0</v>
      </c>
      <c r="L229" s="1"/>
      <c r="M229" s="1" t="n">
        <f aca="false" t="array" ref="M229:M229">_xlfn.SWITCH($A$2,"average", AVERAGE(Instances!M229:M229),"median", MEDIAN(Instances!M229:M229),"min", MIN(Instances!M229:M229),"max", MAX(Instances!M229:M229),"diff", MAX(Instances!M229:M229)-MIN(Instances!M229:M229))</f>
        <v>649820</v>
      </c>
      <c r="N229" s="1" t="n">
        <f aca="false" t="array" ref="N229:N229">_xlfn.SWITCH($A$2,"average", AVERAGE(Instances!N229:N229),"median", MEDIAN(Instances!N229:N229),"min", MIN(Instances!N229:N229),"max", MAX(Instances!N229:N229),"diff", MAX(Instances!N229:N229)-MIN(Instances!N229:N229))</f>
        <v>0.02</v>
      </c>
      <c r="O229" s="1"/>
      <c r="P229" s="1" t="n">
        <f aca="false" t="array" ref="P229:P229">_xlfn.SWITCH($A$2,"average", AVERAGE(Instances!P229:P229),"median", MEDIAN(Instances!P229:P229),"min", MIN(Instances!P229:P229),"max", MAX(Instances!P229:P229),"diff", MAX(Instances!P229:P229)-MIN(Instances!P229:P229))</f>
        <v>3.03</v>
      </c>
      <c r="Q229" s="1" t="n">
        <f aca="false" t="array" ref="Q229:Q229">_xlfn.SWITCH($A$2,"average", AVERAGE(Instances!Q229:Q229),"median", MEDIAN(Instances!Q229:Q229),"min", MIN(Instances!Q229:Q229),"max", MAX(Instances!Q229:Q229),"diff", MAX(Instances!Q229:Q229)-MIN(Instances!Q229:Q229))</f>
        <v>0</v>
      </c>
      <c r="R229" s="1" t="n">
        <f aca="false" t="array" ref="R229:R229">_xlfn.SWITCH($A$2,"average", AVERAGE(Instances!R229:R229),"median", MEDIAN(Instances!R229:R229),"min", MIN(Instances!R229:R229),"max", MAX(Instances!R229:R229),"diff", MAX(Instances!R229:R229)-MIN(Instances!R229:R229))</f>
        <v>220674</v>
      </c>
      <c r="S229" s="1" t="n">
        <f aca="false">MIN($B229)</f>
        <v>1056</v>
      </c>
      <c r="T229" s="1" t="n">
        <f aca="false">MIN($C229)</f>
        <v>9</v>
      </c>
      <c r="U229" s="1" t="n">
        <f aca="false">MIN($D229)</f>
        <v>143834</v>
      </c>
      <c r="V229" s="1" t="n">
        <f aca="false">MIN($E229)</f>
        <v>0</v>
      </c>
      <c r="W229" s="1" t="n">
        <f aca="false">MIN($F229)</f>
        <v>224</v>
      </c>
      <c r="X229" s="1" t="n">
        <f aca="false">MIN($G229)</f>
        <v>0</v>
      </c>
      <c r="Y229" s="1" t="n">
        <f aca="false">MIN($H229)</f>
        <v>1</v>
      </c>
      <c r="Z229" s="1" t="n">
        <f aca="false">MIN($I229)</f>
        <v>2.947</v>
      </c>
      <c r="AA229" s="1" t="n">
        <f aca="false">MIN($J229)</f>
        <v>3.03</v>
      </c>
      <c r="AB229" s="1" t="n">
        <f aca="false">MIN($K229)</f>
        <v>0</v>
      </c>
      <c r="AC229" s="1" t="n">
        <f aca="false">MIN($M229)</f>
        <v>649820</v>
      </c>
      <c r="AD229" s="1" t="n">
        <f aca="false">MIN($N229)</f>
        <v>0.02</v>
      </c>
      <c r="AE229" s="1" t="n">
        <f aca="false">MIN($P229)</f>
        <v>3.03</v>
      </c>
      <c r="AF229" s="1" t="n">
        <f aca="false">MIN($Q229)</f>
        <v>0</v>
      </c>
      <c r="AG229" s="1" t="n">
        <f aca="false">MIN($R229)</f>
        <v>220674</v>
      </c>
      <c r="AH229" s="1" t="n">
        <f aca="false">MEDIAN($B229)</f>
        <v>1056</v>
      </c>
      <c r="AI229" s="1" t="n">
        <f aca="false">MEDIAN($C229)</f>
        <v>9</v>
      </c>
      <c r="AJ229" s="1" t="n">
        <f aca="false">MEDIAN($D229)</f>
        <v>143834</v>
      </c>
      <c r="AK229" s="1" t="n">
        <f aca="false">MEDIAN($E229)</f>
        <v>0</v>
      </c>
      <c r="AL229" s="1" t="n">
        <f aca="false">MEDIAN($F229)</f>
        <v>224</v>
      </c>
      <c r="AM229" s="1" t="n">
        <f aca="false">MEDIAN($G229)</f>
        <v>0</v>
      </c>
      <c r="AN229" s="1" t="n">
        <f aca="false">MEDIAN($H229)</f>
        <v>1</v>
      </c>
      <c r="AO229" s="1" t="n">
        <f aca="false">MEDIAN($I229)</f>
        <v>2.947</v>
      </c>
      <c r="AP229" s="1" t="n">
        <f aca="false">MEDIAN($J229)</f>
        <v>3.03</v>
      </c>
      <c r="AQ229" s="1" t="n">
        <f aca="false">MEDIAN($K229)</f>
        <v>0</v>
      </c>
      <c r="AR229" s="1" t="n">
        <f aca="false">MEDIAN($M229)</f>
        <v>649820</v>
      </c>
      <c r="AS229" s="1" t="n">
        <f aca="false">MEDIAN($N229)</f>
        <v>0.02</v>
      </c>
      <c r="AT229" s="1" t="n">
        <f aca="false">MEDIAN($P229)</f>
        <v>3.03</v>
      </c>
      <c r="AU229" s="1" t="n">
        <f aca="false">MEDIAN($Q229)</f>
        <v>0</v>
      </c>
      <c r="AV229" s="1" t="n">
        <f aca="false">MEDIAN($R229)</f>
        <v>220674</v>
      </c>
      <c r="AW229" s="1" t="n">
        <f aca="false">MAX($B229)</f>
        <v>1056</v>
      </c>
      <c r="AX229" s="1" t="n">
        <f aca="false">MAX($C229)</f>
        <v>9</v>
      </c>
      <c r="AY229" s="1" t="n">
        <f aca="false">MAX($D229)</f>
        <v>143834</v>
      </c>
      <c r="AZ229" s="1" t="n">
        <f aca="false">MAX($E229)</f>
        <v>0</v>
      </c>
      <c r="BA229" s="1" t="n">
        <f aca="false">MAX($F229)</f>
        <v>224</v>
      </c>
      <c r="BB229" s="1" t="n">
        <f aca="false">MAX($G229)</f>
        <v>0</v>
      </c>
      <c r="BC229" s="1" t="n">
        <f aca="false">MAX($H229)</f>
        <v>1</v>
      </c>
      <c r="BD229" s="1" t="n">
        <f aca="false">MAX($I229)</f>
        <v>2.947</v>
      </c>
      <c r="BE229" s="1" t="n">
        <f aca="false">MAX($J229)</f>
        <v>3.03</v>
      </c>
      <c r="BF229" s="1" t="n">
        <f aca="false">MAX($K229)</f>
        <v>0</v>
      </c>
      <c r="BG229" s="1" t="n">
        <f aca="false">MAX($M229)</f>
        <v>649820</v>
      </c>
      <c r="BH229" s="1" t="n">
        <f aca="false">MAX($N229)</f>
        <v>0.02</v>
      </c>
      <c r="BI229" s="1" t="n">
        <f aca="false">MAX($P229)</f>
        <v>3.03</v>
      </c>
      <c r="BJ229" s="1" t="n">
        <f aca="false">MAX($Q229)</f>
        <v>0</v>
      </c>
      <c r="BK229" s="1" t="n">
        <f aca="false">MAX($R229)</f>
        <v>220674</v>
      </c>
    </row>
    <row r="230" customFormat="false" ht="15" hidden="false" customHeight="false" outlineLevel="0" collapsed="false">
      <c r="A230" s="1" t="s">
        <v>247</v>
      </c>
      <c r="B230" s="1" t="n">
        <f aca="false" t="array" ref="B230:B230">_xlfn.SWITCH($A$2,"average", AVERAGE(Instances!B230:B230),"median", MEDIAN(Instances!B230:B230),"min", MIN(Instances!B230:B230),"max", MAX(Instances!B230:B230),"diff", MAX(Instances!B230:B230)-MIN(Instances!B230:B230))</f>
        <v>1534</v>
      </c>
      <c r="C230" s="1" t="n">
        <f aca="false" t="array" ref="C230:C230">_xlfn.SWITCH($A$2,"average", AVERAGE(Instances!C230:C230),"median", MEDIAN(Instances!C230:C230),"min", MIN(Instances!C230:C230),"max", MAX(Instances!C230:C230),"diff", MAX(Instances!C230:C230)-MIN(Instances!C230:C230))</f>
        <v>1</v>
      </c>
      <c r="D230" s="1" t="n">
        <f aca="false" t="array" ref="D230:D230">_xlfn.SWITCH($A$2,"average", AVERAGE(Instances!D230:D230),"median", MEDIAN(Instances!D230:D230),"min", MIN(Instances!D230:D230),"max", MAX(Instances!D230:D230),"diff", MAX(Instances!D230:D230)-MIN(Instances!D230:D230))</f>
        <v>578685</v>
      </c>
      <c r="E230" s="1" t="n">
        <f aca="false" t="array" ref="E230:E230">_xlfn.SWITCH($A$2,"average", AVERAGE(Instances!E230:E230),"median", MEDIAN(Instances!E230:E230),"min", MIN(Instances!E230:E230),"max", MAX(Instances!E230:E230),"diff", MAX(Instances!E230:E230)-MIN(Instances!E230:E230))</f>
        <v>0</v>
      </c>
      <c r="F230" s="1" t="n">
        <f aca="false" t="array" ref="F230:F230">_xlfn.SWITCH($A$2,"average", AVERAGE(Instances!F230:F230),"median", MEDIAN(Instances!F230:F230),"min", MIN(Instances!F230:F230),"max", MAX(Instances!F230:F230),"diff", MAX(Instances!F230:F230)-MIN(Instances!F230:F230))</f>
        <v>482</v>
      </c>
      <c r="G230" s="1" t="n">
        <f aca="false" t="array" ref="G230:G230">_xlfn.SWITCH($A$2,"average", AVERAGE(Instances!G230:G230),"median", MEDIAN(Instances!G230:G230),"min", MIN(Instances!G230:G230),"max", MAX(Instances!G230:G230),"diff", MAX(Instances!G230:G230)-MIN(Instances!G230:G230))</f>
        <v>0</v>
      </c>
      <c r="H230" s="1" t="n">
        <f aca="false" t="array" ref="H230:H230">_xlfn.SWITCH($A$2,"average", AVERAGE(Instances!H230:H230),"median", MEDIAN(Instances!H230:H230),"min", MIN(Instances!H230:H230),"max", MAX(Instances!H230:H230),"diff", MAX(Instances!H230:H230)-MIN(Instances!H230:H230))</f>
        <v>1</v>
      </c>
      <c r="I230" s="1" t="n">
        <f aca="false" t="array" ref="I230:I230">_xlfn.SWITCH($A$2,"average", AVERAGE(Instances!I230:I230),"median", MEDIAN(Instances!I230:I230),"min", MIN(Instances!I230:I230),"max", MAX(Instances!I230:I230),"diff", MAX(Instances!I230:I230)-MIN(Instances!I230:I230))</f>
        <v>6.203</v>
      </c>
      <c r="J230" s="1" t="n">
        <f aca="false" t="array" ref="J230:J230">_xlfn.SWITCH($A$2,"average", AVERAGE(Instances!J230:J230),"median", MEDIAN(Instances!J230:J230),"min", MIN(Instances!J230:J230),"max", MAX(Instances!J230:J230),"diff", MAX(Instances!J230:J230)-MIN(Instances!J230:J230))</f>
        <v>6.38</v>
      </c>
      <c r="K230" s="1" t="n">
        <f aca="false" t="array" ref="K230:K230">_xlfn.SWITCH($A$2,"average", AVERAGE(Instances!K230:K230),"median", MEDIAN(Instances!K230:K230),"min", MIN(Instances!K230:K230),"max", MAX(Instances!K230:K230),"diff", MAX(Instances!K230:K230)-MIN(Instances!K230:K230))</f>
        <v>0</v>
      </c>
      <c r="L230" s="1"/>
      <c r="M230" s="1" t="n">
        <f aca="false" t="array" ref="M230:M230">_xlfn.SWITCH($A$2,"average", AVERAGE(Instances!M230:M230),"median", MEDIAN(Instances!M230:M230),"min", MIN(Instances!M230:M230),"max", MAX(Instances!M230:M230),"diff", MAX(Instances!M230:M230)-MIN(Instances!M230:M230))</f>
        <v>1417185</v>
      </c>
      <c r="N230" s="1" t="n">
        <f aca="false" t="array" ref="N230:N230">_xlfn.SWITCH($A$2,"average", AVERAGE(Instances!N230:N230),"median", MEDIAN(Instances!N230:N230),"min", MIN(Instances!N230:N230),"max", MAX(Instances!N230:N230),"diff", MAX(Instances!N230:N230)-MIN(Instances!N230:N230))</f>
        <v>0.05</v>
      </c>
      <c r="O230" s="1"/>
      <c r="P230" s="1" t="n">
        <f aca="false" t="array" ref="P230:P230">_xlfn.SWITCH($A$2,"average", AVERAGE(Instances!P230:P230),"median", MEDIAN(Instances!P230:P230),"min", MIN(Instances!P230:P230),"max", MAX(Instances!P230:P230),"diff", MAX(Instances!P230:P230)-MIN(Instances!P230:P230))</f>
        <v>6.38</v>
      </c>
      <c r="Q230" s="1" t="n">
        <f aca="false" t="array" ref="Q230:Q230">_xlfn.SWITCH($A$2,"average", AVERAGE(Instances!Q230:Q230),"median", MEDIAN(Instances!Q230:Q230),"min", MIN(Instances!Q230:Q230),"max", MAX(Instances!Q230:Q230),"diff", MAX(Instances!Q230:Q230)-MIN(Instances!Q230:Q230))</f>
        <v>0</v>
      </c>
      <c r="R230" s="1" t="n">
        <f aca="false" t="array" ref="R230:R230">_xlfn.SWITCH($A$2,"average", AVERAGE(Instances!R230:R230),"median", MEDIAN(Instances!R230:R230),"min", MIN(Instances!R230:R230),"max", MAX(Instances!R230:R230),"diff", MAX(Instances!R230:R230)-MIN(Instances!R230:R230))</f>
        <v>474960</v>
      </c>
      <c r="S230" s="1" t="n">
        <f aca="false">MIN($B230)</f>
        <v>1534</v>
      </c>
      <c r="T230" s="1" t="n">
        <f aca="false">MIN($C230)</f>
        <v>1</v>
      </c>
      <c r="U230" s="1" t="n">
        <f aca="false">MIN($D230)</f>
        <v>578685</v>
      </c>
      <c r="V230" s="1" t="n">
        <f aca="false">MIN($E230)</f>
        <v>0</v>
      </c>
      <c r="W230" s="1" t="n">
        <f aca="false">MIN($F230)</f>
        <v>482</v>
      </c>
      <c r="X230" s="1" t="n">
        <f aca="false">MIN($G230)</f>
        <v>0</v>
      </c>
      <c r="Y230" s="1" t="n">
        <f aca="false">MIN($H230)</f>
        <v>1</v>
      </c>
      <c r="Z230" s="1" t="n">
        <f aca="false">MIN($I230)</f>
        <v>6.203</v>
      </c>
      <c r="AA230" s="1" t="n">
        <f aca="false">MIN($J230)</f>
        <v>6.38</v>
      </c>
      <c r="AB230" s="1" t="n">
        <f aca="false">MIN($K230)</f>
        <v>0</v>
      </c>
      <c r="AC230" s="1" t="n">
        <f aca="false">MIN($M230)</f>
        <v>1417185</v>
      </c>
      <c r="AD230" s="1" t="n">
        <f aca="false">MIN($N230)</f>
        <v>0.05</v>
      </c>
      <c r="AE230" s="1" t="n">
        <f aca="false">MIN($P230)</f>
        <v>6.38</v>
      </c>
      <c r="AF230" s="1" t="n">
        <f aca="false">MIN($Q230)</f>
        <v>0</v>
      </c>
      <c r="AG230" s="1" t="n">
        <f aca="false">MIN($R230)</f>
        <v>474960</v>
      </c>
      <c r="AH230" s="1" t="n">
        <f aca="false">MEDIAN($B230)</f>
        <v>1534</v>
      </c>
      <c r="AI230" s="1" t="n">
        <f aca="false">MEDIAN($C230)</f>
        <v>1</v>
      </c>
      <c r="AJ230" s="1" t="n">
        <f aca="false">MEDIAN($D230)</f>
        <v>578685</v>
      </c>
      <c r="AK230" s="1" t="n">
        <f aca="false">MEDIAN($E230)</f>
        <v>0</v>
      </c>
      <c r="AL230" s="1" t="n">
        <f aca="false">MEDIAN($F230)</f>
        <v>482</v>
      </c>
      <c r="AM230" s="1" t="n">
        <f aca="false">MEDIAN($G230)</f>
        <v>0</v>
      </c>
      <c r="AN230" s="1" t="n">
        <f aca="false">MEDIAN($H230)</f>
        <v>1</v>
      </c>
      <c r="AO230" s="1" t="n">
        <f aca="false">MEDIAN($I230)</f>
        <v>6.203</v>
      </c>
      <c r="AP230" s="1" t="n">
        <f aca="false">MEDIAN($J230)</f>
        <v>6.38</v>
      </c>
      <c r="AQ230" s="1" t="n">
        <f aca="false">MEDIAN($K230)</f>
        <v>0</v>
      </c>
      <c r="AR230" s="1" t="n">
        <f aca="false">MEDIAN($M230)</f>
        <v>1417185</v>
      </c>
      <c r="AS230" s="1" t="n">
        <f aca="false">MEDIAN($N230)</f>
        <v>0.05</v>
      </c>
      <c r="AT230" s="1" t="n">
        <f aca="false">MEDIAN($P230)</f>
        <v>6.38</v>
      </c>
      <c r="AU230" s="1" t="n">
        <f aca="false">MEDIAN($Q230)</f>
        <v>0</v>
      </c>
      <c r="AV230" s="1" t="n">
        <f aca="false">MEDIAN($R230)</f>
        <v>474960</v>
      </c>
      <c r="AW230" s="1" t="n">
        <f aca="false">MAX($B230)</f>
        <v>1534</v>
      </c>
      <c r="AX230" s="1" t="n">
        <f aca="false">MAX($C230)</f>
        <v>1</v>
      </c>
      <c r="AY230" s="1" t="n">
        <f aca="false">MAX($D230)</f>
        <v>578685</v>
      </c>
      <c r="AZ230" s="1" t="n">
        <f aca="false">MAX($E230)</f>
        <v>0</v>
      </c>
      <c r="BA230" s="1" t="n">
        <f aca="false">MAX($F230)</f>
        <v>482</v>
      </c>
      <c r="BB230" s="1" t="n">
        <f aca="false">MAX($G230)</f>
        <v>0</v>
      </c>
      <c r="BC230" s="1" t="n">
        <f aca="false">MAX($H230)</f>
        <v>1</v>
      </c>
      <c r="BD230" s="1" t="n">
        <f aca="false">MAX($I230)</f>
        <v>6.203</v>
      </c>
      <c r="BE230" s="1" t="n">
        <f aca="false">MAX($J230)</f>
        <v>6.38</v>
      </c>
      <c r="BF230" s="1" t="n">
        <f aca="false">MAX($K230)</f>
        <v>0</v>
      </c>
      <c r="BG230" s="1" t="n">
        <f aca="false">MAX($M230)</f>
        <v>1417185</v>
      </c>
      <c r="BH230" s="1" t="n">
        <f aca="false">MAX($N230)</f>
        <v>0.05</v>
      </c>
      <c r="BI230" s="1" t="n">
        <f aca="false">MAX($P230)</f>
        <v>6.38</v>
      </c>
      <c r="BJ230" s="1" t="n">
        <f aca="false">MAX($Q230)</f>
        <v>0</v>
      </c>
      <c r="BK230" s="1" t="n">
        <f aca="false">MAX($R230)</f>
        <v>474960</v>
      </c>
    </row>
    <row r="231" customFormat="false" ht="15" hidden="false" customHeight="false" outlineLevel="0" collapsed="false">
      <c r="A231" s="1" t="s">
        <v>248</v>
      </c>
      <c r="B231" s="1" t="n">
        <f aca="false" t="array" ref="B231:B231">_xlfn.SWITCH($A$2,"average", AVERAGE(Instances!B231:B231),"median", MEDIAN(Instances!B231:B231),"min", MIN(Instances!B231:B231),"max", MAX(Instances!B231:B231),"diff", MAX(Instances!B231:B231)-MIN(Instances!B231:B231))</f>
        <v>1939</v>
      </c>
      <c r="C231" s="1" t="n">
        <f aca="false" t="array" ref="C231:C231">_xlfn.SWITCH($A$2,"average", AVERAGE(Instances!C231:C231),"median", MEDIAN(Instances!C231:C231),"min", MIN(Instances!C231:C231),"max", MAX(Instances!C231:C231),"diff", MAX(Instances!C231:C231)-MIN(Instances!C231:C231))</f>
        <v>1</v>
      </c>
      <c r="D231" s="1" t="n">
        <f aca="false" t="array" ref="D231:D231">_xlfn.SWITCH($A$2,"average", AVERAGE(Instances!D231:D231),"median", MEDIAN(Instances!D231:D231),"min", MIN(Instances!D231:D231),"max", MAX(Instances!D231:D231),"diff", MAX(Instances!D231:D231)-MIN(Instances!D231:D231))</f>
        <v>318627</v>
      </c>
      <c r="E231" s="1" t="n">
        <f aca="false" t="array" ref="E231:E231">_xlfn.SWITCH($A$2,"average", AVERAGE(Instances!E231:E231),"median", MEDIAN(Instances!E231:E231),"min", MIN(Instances!E231:E231),"max", MAX(Instances!E231:E231),"diff", MAX(Instances!E231:E231)-MIN(Instances!E231:E231))</f>
        <v>0</v>
      </c>
      <c r="F231" s="1" t="n">
        <f aca="false" t="array" ref="F231:F231">_xlfn.SWITCH($A$2,"average", AVERAGE(Instances!F231:F231),"median", MEDIAN(Instances!F231:F231),"min", MIN(Instances!F231:F231),"max", MAX(Instances!F231:F231),"diff", MAX(Instances!F231:F231)-MIN(Instances!F231:F231))</f>
        <v>441</v>
      </c>
      <c r="G231" s="1" t="n">
        <f aca="false" t="array" ref="G231:G231">_xlfn.SWITCH($A$2,"average", AVERAGE(Instances!G231:G231),"median", MEDIAN(Instances!G231:G231),"min", MIN(Instances!G231:G231),"max", MAX(Instances!G231:G231),"diff", MAX(Instances!G231:G231)-MIN(Instances!G231:G231))</f>
        <v>0</v>
      </c>
      <c r="H231" s="1" t="n">
        <f aca="false" t="array" ref="H231:H231">_xlfn.SWITCH($A$2,"average", AVERAGE(Instances!H231:H231),"median", MEDIAN(Instances!H231:H231),"min", MIN(Instances!H231:H231),"max", MAX(Instances!H231:H231),"diff", MAX(Instances!H231:H231)-MIN(Instances!H231:H231))</f>
        <v>1</v>
      </c>
      <c r="I231" s="1" t="n">
        <f aca="false" t="array" ref="I231:I231">_xlfn.SWITCH($A$2,"average", AVERAGE(Instances!I231:I231),"median", MEDIAN(Instances!I231:I231),"min", MIN(Instances!I231:I231),"max", MAX(Instances!I231:I231),"diff", MAX(Instances!I231:I231)-MIN(Instances!I231:I231))</f>
        <v>5.771</v>
      </c>
      <c r="J231" s="1" t="n">
        <f aca="false" t="array" ref="J231:J231">_xlfn.SWITCH($A$2,"average", AVERAGE(Instances!J231:J231),"median", MEDIAN(Instances!J231:J231),"min", MIN(Instances!J231:J231),"max", MAX(Instances!J231:J231),"diff", MAX(Instances!J231:J231)-MIN(Instances!J231:J231))</f>
        <v>5.94</v>
      </c>
      <c r="K231" s="1" t="n">
        <f aca="false" t="array" ref="K231:K231">_xlfn.SWITCH($A$2,"average", AVERAGE(Instances!K231:K231),"median", MEDIAN(Instances!K231:K231),"min", MIN(Instances!K231:K231),"max", MAX(Instances!K231:K231),"diff", MAX(Instances!K231:K231)-MIN(Instances!K231:K231))</f>
        <v>0</v>
      </c>
      <c r="L231" s="1"/>
      <c r="M231" s="1" t="n">
        <f aca="false" t="array" ref="M231:M231">_xlfn.SWITCH($A$2,"average", AVERAGE(Instances!M231:M231),"median", MEDIAN(Instances!M231:M231),"min", MIN(Instances!M231:M231),"max", MAX(Instances!M231:M231),"diff", MAX(Instances!M231:M231)-MIN(Instances!M231:M231))</f>
        <v>1268609</v>
      </c>
      <c r="N231" s="1" t="n">
        <f aca="false" t="array" ref="N231:N231">_xlfn.SWITCH($A$2,"average", AVERAGE(Instances!N231:N231),"median", MEDIAN(Instances!N231:N231),"min", MIN(Instances!N231:N231),"max", MAX(Instances!N231:N231),"diff", MAX(Instances!N231:N231)-MIN(Instances!N231:N231))</f>
        <v>0.04</v>
      </c>
      <c r="O231" s="1"/>
      <c r="P231" s="1" t="n">
        <f aca="false" t="array" ref="P231:P231">_xlfn.SWITCH($A$2,"average", AVERAGE(Instances!P231:P231),"median", MEDIAN(Instances!P231:P231),"min", MIN(Instances!P231:P231),"max", MAX(Instances!P231:P231),"diff", MAX(Instances!P231:P231)-MIN(Instances!P231:P231))</f>
        <v>5.94</v>
      </c>
      <c r="Q231" s="1" t="n">
        <f aca="false" t="array" ref="Q231:Q231">_xlfn.SWITCH($A$2,"average", AVERAGE(Instances!Q231:Q231),"median", MEDIAN(Instances!Q231:Q231),"min", MIN(Instances!Q231:Q231),"max", MAX(Instances!Q231:Q231),"diff", MAX(Instances!Q231:Q231)-MIN(Instances!Q231:Q231))</f>
        <v>0</v>
      </c>
      <c r="R231" s="1" t="n">
        <f aca="false" t="array" ref="R231:R231">_xlfn.SWITCH($A$2,"average", AVERAGE(Instances!R231:R231),"median", MEDIAN(Instances!R231:R231),"min", MIN(Instances!R231:R231),"max", MAX(Instances!R231:R231),"diff", MAX(Instances!R231:R231)-MIN(Instances!R231:R231))</f>
        <v>435446</v>
      </c>
      <c r="S231" s="1" t="n">
        <f aca="false">MIN($B231)</f>
        <v>1939</v>
      </c>
      <c r="T231" s="1" t="n">
        <f aca="false">MIN($C231)</f>
        <v>1</v>
      </c>
      <c r="U231" s="1" t="n">
        <f aca="false">MIN($D231)</f>
        <v>318627</v>
      </c>
      <c r="V231" s="1" t="n">
        <f aca="false">MIN($E231)</f>
        <v>0</v>
      </c>
      <c r="W231" s="1" t="n">
        <f aca="false">MIN($F231)</f>
        <v>441</v>
      </c>
      <c r="X231" s="1" t="n">
        <f aca="false">MIN($G231)</f>
        <v>0</v>
      </c>
      <c r="Y231" s="1" t="n">
        <f aca="false">MIN($H231)</f>
        <v>1</v>
      </c>
      <c r="Z231" s="1" t="n">
        <f aca="false">MIN($I231)</f>
        <v>5.771</v>
      </c>
      <c r="AA231" s="1" t="n">
        <f aca="false">MIN($J231)</f>
        <v>5.94</v>
      </c>
      <c r="AB231" s="1" t="n">
        <f aca="false">MIN($K231)</f>
        <v>0</v>
      </c>
      <c r="AC231" s="1" t="n">
        <f aca="false">MIN($M231)</f>
        <v>1268609</v>
      </c>
      <c r="AD231" s="1" t="n">
        <f aca="false">MIN($N231)</f>
        <v>0.04</v>
      </c>
      <c r="AE231" s="1" t="n">
        <f aca="false">MIN($P231)</f>
        <v>5.94</v>
      </c>
      <c r="AF231" s="1" t="n">
        <f aca="false">MIN($Q231)</f>
        <v>0</v>
      </c>
      <c r="AG231" s="1" t="n">
        <f aca="false">MIN($R231)</f>
        <v>435446</v>
      </c>
      <c r="AH231" s="1" t="n">
        <f aca="false">MEDIAN($B231)</f>
        <v>1939</v>
      </c>
      <c r="AI231" s="1" t="n">
        <f aca="false">MEDIAN($C231)</f>
        <v>1</v>
      </c>
      <c r="AJ231" s="1" t="n">
        <f aca="false">MEDIAN($D231)</f>
        <v>318627</v>
      </c>
      <c r="AK231" s="1" t="n">
        <f aca="false">MEDIAN($E231)</f>
        <v>0</v>
      </c>
      <c r="AL231" s="1" t="n">
        <f aca="false">MEDIAN($F231)</f>
        <v>441</v>
      </c>
      <c r="AM231" s="1" t="n">
        <f aca="false">MEDIAN($G231)</f>
        <v>0</v>
      </c>
      <c r="AN231" s="1" t="n">
        <f aca="false">MEDIAN($H231)</f>
        <v>1</v>
      </c>
      <c r="AO231" s="1" t="n">
        <f aca="false">MEDIAN($I231)</f>
        <v>5.771</v>
      </c>
      <c r="AP231" s="1" t="n">
        <f aca="false">MEDIAN($J231)</f>
        <v>5.94</v>
      </c>
      <c r="AQ231" s="1" t="n">
        <f aca="false">MEDIAN($K231)</f>
        <v>0</v>
      </c>
      <c r="AR231" s="1" t="n">
        <f aca="false">MEDIAN($M231)</f>
        <v>1268609</v>
      </c>
      <c r="AS231" s="1" t="n">
        <f aca="false">MEDIAN($N231)</f>
        <v>0.04</v>
      </c>
      <c r="AT231" s="1" t="n">
        <f aca="false">MEDIAN($P231)</f>
        <v>5.94</v>
      </c>
      <c r="AU231" s="1" t="n">
        <f aca="false">MEDIAN($Q231)</f>
        <v>0</v>
      </c>
      <c r="AV231" s="1" t="n">
        <f aca="false">MEDIAN($R231)</f>
        <v>435446</v>
      </c>
      <c r="AW231" s="1" t="n">
        <f aca="false">MAX($B231)</f>
        <v>1939</v>
      </c>
      <c r="AX231" s="1" t="n">
        <f aca="false">MAX($C231)</f>
        <v>1</v>
      </c>
      <c r="AY231" s="1" t="n">
        <f aca="false">MAX($D231)</f>
        <v>318627</v>
      </c>
      <c r="AZ231" s="1" t="n">
        <f aca="false">MAX($E231)</f>
        <v>0</v>
      </c>
      <c r="BA231" s="1" t="n">
        <f aca="false">MAX($F231)</f>
        <v>441</v>
      </c>
      <c r="BB231" s="1" t="n">
        <f aca="false">MAX($G231)</f>
        <v>0</v>
      </c>
      <c r="BC231" s="1" t="n">
        <f aca="false">MAX($H231)</f>
        <v>1</v>
      </c>
      <c r="BD231" s="1" t="n">
        <f aca="false">MAX($I231)</f>
        <v>5.771</v>
      </c>
      <c r="BE231" s="1" t="n">
        <f aca="false">MAX($J231)</f>
        <v>5.94</v>
      </c>
      <c r="BF231" s="1" t="n">
        <f aca="false">MAX($K231)</f>
        <v>0</v>
      </c>
      <c r="BG231" s="1" t="n">
        <f aca="false">MAX($M231)</f>
        <v>1268609</v>
      </c>
      <c r="BH231" s="1" t="n">
        <f aca="false">MAX($N231)</f>
        <v>0.04</v>
      </c>
      <c r="BI231" s="1" t="n">
        <f aca="false">MAX($P231)</f>
        <v>5.94</v>
      </c>
      <c r="BJ231" s="1" t="n">
        <f aca="false">MAX($Q231)</f>
        <v>0</v>
      </c>
      <c r="BK231" s="1" t="n">
        <f aca="false">MAX($R231)</f>
        <v>435446</v>
      </c>
    </row>
    <row r="232" customFormat="false" ht="15" hidden="false" customHeight="false" outlineLevel="0" collapsed="false">
      <c r="A232" s="1" t="s">
        <v>249</v>
      </c>
      <c r="B232" s="1" t="n">
        <f aca="false" t="array" ref="B232:B232">_xlfn.SWITCH($A$2,"average", AVERAGE(Instances!B232:B232),"median", MEDIAN(Instances!B232:B232),"min", MIN(Instances!B232:B232),"max", MAX(Instances!B232:B232),"diff", MAX(Instances!B232:B232)-MIN(Instances!B232:B232))</f>
        <v>966</v>
      </c>
      <c r="C232" s="1" t="n">
        <f aca="false" t="array" ref="C232:C232">_xlfn.SWITCH($A$2,"average", AVERAGE(Instances!C232:C232),"median", MEDIAN(Instances!C232:C232),"min", MIN(Instances!C232:C232),"max", MAX(Instances!C232:C232),"diff", MAX(Instances!C232:C232)-MIN(Instances!C232:C232))</f>
        <v>0</v>
      </c>
      <c r="D232" s="1" t="n">
        <f aca="false" t="array" ref="D232:D232">_xlfn.SWITCH($A$2,"average", AVERAGE(Instances!D232:D232),"median", MEDIAN(Instances!D232:D232),"min", MIN(Instances!D232:D232),"max", MAX(Instances!D232:D232),"diff", MAX(Instances!D232:D232)-MIN(Instances!D232:D232))</f>
        <v>310418</v>
      </c>
      <c r="E232" s="1" t="n">
        <f aca="false" t="array" ref="E232:E232">_xlfn.SWITCH($A$2,"average", AVERAGE(Instances!E232:E232),"median", MEDIAN(Instances!E232:E232),"min", MIN(Instances!E232:E232),"max", MAX(Instances!E232:E232),"diff", MAX(Instances!E232:E232)-MIN(Instances!E232:E232))</f>
        <v>0</v>
      </c>
      <c r="F232" s="1" t="n">
        <f aca="false" t="array" ref="F232:F232">_xlfn.SWITCH($A$2,"average", AVERAGE(Instances!F232:F232),"median", MEDIAN(Instances!F232:F232),"min", MIN(Instances!F232:F232),"max", MAX(Instances!F232:F232),"diff", MAX(Instances!F232:F232)-MIN(Instances!F232:F232))</f>
        <v>404</v>
      </c>
      <c r="G232" s="1" t="n">
        <f aca="false" t="array" ref="G232:G232">_xlfn.SWITCH($A$2,"average", AVERAGE(Instances!G232:G232),"median", MEDIAN(Instances!G232:G232),"min", MIN(Instances!G232:G232),"max", MAX(Instances!G232:G232),"diff", MAX(Instances!G232:G232)-MIN(Instances!G232:G232))</f>
        <v>0</v>
      </c>
      <c r="H232" s="1" t="n">
        <f aca="false" t="array" ref="H232:H232">_xlfn.SWITCH($A$2,"average", AVERAGE(Instances!H232:H232),"median", MEDIAN(Instances!H232:H232),"min", MIN(Instances!H232:H232),"max", MAX(Instances!H232:H232),"diff", MAX(Instances!H232:H232)-MIN(Instances!H232:H232))</f>
        <v>1</v>
      </c>
      <c r="I232" s="1" t="n">
        <f aca="false" t="array" ref="I232:I232">_xlfn.SWITCH($A$2,"average", AVERAGE(Instances!I232:I232),"median", MEDIAN(Instances!I232:I232),"min", MIN(Instances!I232:I232),"max", MAX(Instances!I232:I232),"diff", MAX(Instances!I232:I232)-MIN(Instances!I232:I232))</f>
        <v>5.099</v>
      </c>
      <c r="J232" s="1" t="n">
        <f aca="false" t="array" ref="J232:J232">_xlfn.SWITCH($A$2,"average", AVERAGE(Instances!J232:J232),"median", MEDIAN(Instances!J232:J232),"min", MIN(Instances!J232:J232),"max", MAX(Instances!J232:J232),"diff", MAX(Instances!J232:J232)-MIN(Instances!J232:J232))</f>
        <v>5.24</v>
      </c>
      <c r="K232" s="1" t="n">
        <f aca="false" t="array" ref="K232:K232">_xlfn.SWITCH($A$2,"average", AVERAGE(Instances!K232:K232),"median", MEDIAN(Instances!K232:K232),"min", MIN(Instances!K232:K232),"max", MAX(Instances!K232:K232),"diff", MAX(Instances!K232:K232)-MIN(Instances!K232:K232))</f>
        <v>0</v>
      </c>
      <c r="L232" s="1"/>
      <c r="M232" s="1" t="n">
        <f aca="false" t="array" ref="M232:M232">_xlfn.SWITCH($A$2,"average", AVERAGE(Instances!M232:M232),"median", MEDIAN(Instances!M232:M232),"min", MIN(Instances!M232:M232),"max", MAX(Instances!M232:M232),"diff", MAX(Instances!M232:M232)-MIN(Instances!M232:M232))</f>
        <v>1144394</v>
      </c>
      <c r="N232" s="1" t="n">
        <f aca="false" t="array" ref="N232:N232">_xlfn.SWITCH($A$2,"average", AVERAGE(Instances!N232:N232),"median", MEDIAN(Instances!N232:N232),"min", MIN(Instances!N232:N232),"max", MAX(Instances!N232:N232),"diff", MAX(Instances!N232:N232)-MIN(Instances!N232:N232))</f>
        <v>0.03</v>
      </c>
      <c r="O232" s="1"/>
      <c r="P232" s="1" t="n">
        <f aca="false" t="array" ref="P232:P232">_xlfn.SWITCH($A$2,"average", AVERAGE(Instances!P232:P232),"median", MEDIAN(Instances!P232:P232),"min", MIN(Instances!P232:P232),"max", MAX(Instances!P232:P232),"diff", MAX(Instances!P232:P232)-MIN(Instances!P232:P232))</f>
        <v>5.24</v>
      </c>
      <c r="Q232" s="1" t="n">
        <f aca="false" t="array" ref="Q232:Q232">_xlfn.SWITCH($A$2,"average", AVERAGE(Instances!Q232:Q232),"median", MEDIAN(Instances!Q232:Q232),"min", MIN(Instances!Q232:Q232),"max", MAX(Instances!Q232:Q232),"diff", MAX(Instances!Q232:Q232)-MIN(Instances!Q232:Q232))</f>
        <v>0</v>
      </c>
      <c r="R232" s="1" t="n">
        <f aca="false" t="array" ref="R232:R232">_xlfn.SWITCH($A$2,"average", AVERAGE(Instances!R232:R232),"median", MEDIAN(Instances!R232:R232),"min", MIN(Instances!R232:R232),"max", MAX(Instances!R232:R232),"diff", MAX(Instances!R232:R232)-MIN(Instances!R232:R232))</f>
        <v>392372</v>
      </c>
      <c r="S232" s="1" t="n">
        <f aca="false">MIN($B232)</f>
        <v>966</v>
      </c>
      <c r="T232" s="1" t="n">
        <f aca="false">MIN($C232)</f>
        <v>0</v>
      </c>
      <c r="U232" s="1" t="n">
        <f aca="false">MIN($D232)</f>
        <v>310418</v>
      </c>
      <c r="V232" s="1" t="n">
        <f aca="false">MIN($E232)</f>
        <v>0</v>
      </c>
      <c r="W232" s="1" t="n">
        <f aca="false">MIN($F232)</f>
        <v>404</v>
      </c>
      <c r="X232" s="1" t="n">
        <f aca="false">MIN($G232)</f>
        <v>0</v>
      </c>
      <c r="Y232" s="1" t="n">
        <f aca="false">MIN($H232)</f>
        <v>1</v>
      </c>
      <c r="Z232" s="1" t="n">
        <f aca="false">MIN($I232)</f>
        <v>5.099</v>
      </c>
      <c r="AA232" s="1" t="n">
        <f aca="false">MIN($J232)</f>
        <v>5.24</v>
      </c>
      <c r="AB232" s="1" t="n">
        <f aca="false">MIN($K232)</f>
        <v>0</v>
      </c>
      <c r="AC232" s="1" t="n">
        <f aca="false">MIN($M232)</f>
        <v>1144394</v>
      </c>
      <c r="AD232" s="1" t="n">
        <f aca="false">MIN($N232)</f>
        <v>0.03</v>
      </c>
      <c r="AE232" s="1" t="n">
        <f aca="false">MIN($P232)</f>
        <v>5.24</v>
      </c>
      <c r="AF232" s="1" t="n">
        <f aca="false">MIN($Q232)</f>
        <v>0</v>
      </c>
      <c r="AG232" s="1" t="n">
        <f aca="false">MIN($R232)</f>
        <v>392372</v>
      </c>
      <c r="AH232" s="1" t="n">
        <f aca="false">MEDIAN($B232)</f>
        <v>966</v>
      </c>
      <c r="AI232" s="1" t="n">
        <f aca="false">MEDIAN($C232)</f>
        <v>0</v>
      </c>
      <c r="AJ232" s="1" t="n">
        <f aca="false">MEDIAN($D232)</f>
        <v>310418</v>
      </c>
      <c r="AK232" s="1" t="n">
        <f aca="false">MEDIAN($E232)</f>
        <v>0</v>
      </c>
      <c r="AL232" s="1" t="n">
        <f aca="false">MEDIAN($F232)</f>
        <v>404</v>
      </c>
      <c r="AM232" s="1" t="n">
        <f aca="false">MEDIAN($G232)</f>
        <v>0</v>
      </c>
      <c r="AN232" s="1" t="n">
        <f aca="false">MEDIAN($H232)</f>
        <v>1</v>
      </c>
      <c r="AO232" s="1" t="n">
        <f aca="false">MEDIAN($I232)</f>
        <v>5.099</v>
      </c>
      <c r="AP232" s="1" t="n">
        <f aca="false">MEDIAN($J232)</f>
        <v>5.24</v>
      </c>
      <c r="AQ232" s="1" t="n">
        <f aca="false">MEDIAN($K232)</f>
        <v>0</v>
      </c>
      <c r="AR232" s="1" t="n">
        <f aca="false">MEDIAN($M232)</f>
        <v>1144394</v>
      </c>
      <c r="AS232" s="1" t="n">
        <f aca="false">MEDIAN($N232)</f>
        <v>0.03</v>
      </c>
      <c r="AT232" s="1" t="n">
        <f aca="false">MEDIAN($P232)</f>
        <v>5.24</v>
      </c>
      <c r="AU232" s="1" t="n">
        <f aca="false">MEDIAN($Q232)</f>
        <v>0</v>
      </c>
      <c r="AV232" s="1" t="n">
        <f aca="false">MEDIAN($R232)</f>
        <v>392372</v>
      </c>
      <c r="AW232" s="1" t="n">
        <f aca="false">MAX($B232)</f>
        <v>966</v>
      </c>
      <c r="AX232" s="1" t="n">
        <f aca="false">MAX($C232)</f>
        <v>0</v>
      </c>
      <c r="AY232" s="1" t="n">
        <f aca="false">MAX($D232)</f>
        <v>310418</v>
      </c>
      <c r="AZ232" s="1" t="n">
        <f aca="false">MAX($E232)</f>
        <v>0</v>
      </c>
      <c r="BA232" s="1" t="n">
        <f aca="false">MAX($F232)</f>
        <v>404</v>
      </c>
      <c r="BB232" s="1" t="n">
        <f aca="false">MAX($G232)</f>
        <v>0</v>
      </c>
      <c r="BC232" s="1" t="n">
        <f aca="false">MAX($H232)</f>
        <v>1</v>
      </c>
      <c r="BD232" s="1" t="n">
        <f aca="false">MAX($I232)</f>
        <v>5.099</v>
      </c>
      <c r="BE232" s="1" t="n">
        <f aca="false">MAX($J232)</f>
        <v>5.24</v>
      </c>
      <c r="BF232" s="1" t="n">
        <f aca="false">MAX($K232)</f>
        <v>0</v>
      </c>
      <c r="BG232" s="1" t="n">
        <f aca="false">MAX($M232)</f>
        <v>1144394</v>
      </c>
      <c r="BH232" s="1" t="n">
        <f aca="false">MAX($N232)</f>
        <v>0.03</v>
      </c>
      <c r="BI232" s="1" t="n">
        <f aca="false">MAX($P232)</f>
        <v>5.24</v>
      </c>
      <c r="BJ232" s="1" t="n">
        <f aca="false">MAX($Q232)</f>
        <v>0</v>
      </c>
      <c r="BK232" s="1" t="n">
        <f aca="false">MAX($R232)</f>
        <v>392372</v>
      </c>
    </row>
    <row r="233" customFormat="false" ht="15" hidden="false" customHeight="false" outlineLevel="0" collapsed="false">
      <c r="A233" s="1" t="s">
        <v>250</v>
      </c>
      <c r="B233" s="1" t="n">
        <f aca="false" t="array" ref="B233:B233">_xlfn.SWITCH($A$2,"average", AVERAGE(Instances!B233:B233),"median", MEDIAN(Instances!B233:B233),"min", MIN(Instances!B233:B233),"max", MAX(Instances!B233:B233),"diff", MAX(Instances!B233:B233)-MIN(Instances!B233:B233))</f>
        <v>1961</v>
      </c>
      <c r="C233" s="1" t="n">
        <f aca="false" t="array" ref="C233:C233">_xlfn.SWITCH($A$2,"average", AVERAGE(Instances!C233:C233),"median", MEDIAN(Instances!C233:C233),"min", MIN(Instances!C233:C233),"max", MAX(Instances!C233:C233),"diff", MAX(Instances!C233:C233)-MIN(Instances!C233:C233))</f>
        <v>3</v>
      </c>
      <c r="D233" s="1" t="n">
        <f aca="false" t="array" ref="D233:D233">_xlfn.SWITCH($A$2,"average", AVERAGE(Instances!D233:D233),"median", MEDIAN(Instances!D233:D233),"min", MIN(Instances!D233:D233),"max", MAX(Instances!D233:D233),"diff", MAX(Instances!D233:D233)-MIN(Instances!D233:D233))</f>
        <v>408997</v>
      </c>
      <c r="E233" s="1" t="n">
        <f aca="false" t="array" ref="E233:E233">_xlfn.SWITCH($A$2,"average", AVERAGE(Instances!E233:E233),"median", MEDIAN(Instances!E233:E233),"min", MIN(Instances!E233:E233),"max", MAX(Instances!E233:E233),"diff", MAX(Instances!E233:E233)-MIN(Instances!E233:E233))</f>
        <v>0</v>
      </c>
      <c r="F233" s="1" t="n">
        <f aca="false" t="array" ref="F233:F233">_xlfn.SWITCH($A$2,"average", AVERAGE(Instances!F233:F233),"median", MEDIAN(Instances!F233:F233),"min", MIN(Instances!F233:F233),"max", MAX(Instances!F233:F233),"diff", MAX(Instances!F233:F233)-MIN(Instances!F233:F233))</f>
        <v>448</v>
      </c>
      <c r="G233" s="1" t="n">
        <f aca="false" t="array" ref="G233:G233">_xlfn.SWITCH($A$2,"average", AVERAGE(Instances!G233:G233),"median", MEDIAN(Instances!G233:G233),"min", MIN(Instances!G233:G233),"max", MAX(Instances!G233:G233),"diff", MAX(Instances!G233:G233)-MIN(Instances!G233:G233))</f>
        <v>0</v>
      </c>
      <c r="H233" s="1" t="n">
        <f aca="false" t="array" ref="H233:H233">_xlfn.SWITCH($A$2,"average", AVERAGE(Instances!H233:H233),"median", MEDIAN(Instances!H233:H233),"min", MIN(Instances!H233:H233),"max", MAX(Instances!H233:H233),"diff", MAX(Instances!H233:H233)-MIN(Instances!H233:H233))</f>
        <v>1</v>
      </c>
      <c r="I233" s="1" t="n">
        <f aca="false" t="array" ref="I233:I233">_xlfn.SWITCH($A$2,"average", AVERAGE(Instances!I233:I233),"median", MEDIAN(Instances!I233:I233),"min", MIN(Instances!I233:I233),"max", MAX(Instances!I233:I233),"diff", MAX(Instances!I233:I233)-MIN(Instances!I233:I233))</f>
        <v>6.062</v>
      </c>
      <c r="J233" s="1" t="n">
        <f aca="false" t="array" ref="J233:J233">_xlfn.SWITCH($A$2,"average", AVERAGE(Instances!J233:J233),"median", MEDIAN(Instances!J233:J233),"min", MIN(Instances!J233:J233),"max", MAX(Instances!J233:J233),"diff", MAX(Instances!J233:J233)-MIN(Instances!J233:J233))</f>
        <v>6.23</v>
      </c>
      <c r="K233" s="1" t="n">
        <f aca="false" t="array" ref="K233:K233">_xlfn.SWITCH($A$2,"average", AVERAGE(Instances!K233:K233),"median", MEDIAN(Instances!K233:K233),"min", MIN(Instances!K233:K233),"max", MAX(Instances!K233:K233),"diff", MAX(Instances!K233:K233)-MIN(Instances!K233:K233))</f>
        <v>0</v>
      </c>
      <c r="L233" s="1"/>
      <c r="M233" s="1" t="n">
        <f aca="false" t="array" ref="M233:M233">_xlfn.SWITCH($A$2,"average", AVERAGE(Instances!M233:M233),"median", MEDIAN(Instances!M233:M233),"min", MIN(Instances!M233:M233),"max", MAX(Instances!M233:M233),"diff", MAX(Instances!M233:M233)-MIN(Instances!M233:M233))</f>
        <v>1356220</v>
      </c>
      <c r="N233" s="1" t="n">
        <f aca="false" t="array" ref="N233:N233">_xlfn.SWITCH($A$2,"average", AVERAGE(Instances!N233:N233),"median", MEDIAN(Instances!N233:N233),"min", MIN(Instances!N233:N233),"max", MAX(Instances!N233:N233),"diff", MAX(Instances!N233:N233)-MIN(Instances!N233:N233))</f>
        <v>0.04</v>
      </c>
      <c r="O233" s="1"/>
      <c r="P233" s="1" t="n">
        <f aca="false" t="array" ref="P233:P233">_xlfn.SWITCH($A$2,"average", AVERAGE(Instances!P233:P233),"median", MEDIAN(Instances!P233:P233),"min", MIN(Instances!P233:P233),"max", MAX(Instances!P233:P233),"diff", MAX(Instances!P233:P233)-MIN(Instances!P233:P233))</f>
        <v>6.23</v>
      </c>
      <c r="Q233" s="1" t="n">
        <f aca="false" t="array" ref="Q233:Q233">_xlfn.SWITCH($A$2,"average", AVERAGE(Instances!Q233:Q233),"median", MEDIAN(Instances!Q233:Q233),"min", MIN(Instances!Q233:Q233),"max", MAX(Instances!Q233:Q233),"diff", MAX(Instances!Q233:Q233)-MIN(Instances!Q233:Q233))</f>
        <v>0</v>
      </c>
      <c r="R233" s="1" t="n">
        <f aca="false" t="array" ref="R233:R233">_xlfn.SWITCH($A$2,"average", AVERAGE(Instances!R233:R233),"median", MEDIAN(Instances!R233:R233),"min", MIN(Instances!R233:R233),"max", MAX(Instances!R233:R233),"diff", MAX(Instances!R233:R233)-MIN(Instances!R233:R233))</f>
        <v>440936</v>
      </c>
      <c r="S233" s="1" t="n">
        <f aca="false">MIN($B233)</f>
        <v>1961</v>
      </c>
      <c r="T233" s="1" t="n">
        <f aca="false">MIN($C233)</f>
        <v>3</v>
      </c>
      <c r="U233" s="1" t="n">
        <f aca="false">MIN($D233)</f>
        <v>408997</v>
      </c>
      <c r="V233" s="1" t="n">
        <f aca="false">MIN($E233)</f>
        <v>0</v>
      </c>
      <c r="W233" s="1" t="n">
        <f aca="false">MIN($F233)</f>
        <v>448</v>
      </c>
      <c r="X233" s="1" t="n">
        <f aca="false">MIN($G233)</f>
        <v>0</v>
      </c>
      <c r="Y233" s="1" t="n">
        <f aca="false">MIN($H233)</f>
        <v>1</v>
      </c>
      <c r="Z233" s="1" t="n">
        <f aca="false">MIN($I233)</f>
        <v>6.062</v>
      </c>
      <c r="AA233" s="1" t="n">
        <f aca="false">MIN($J233)</f>
        <v>6.23</v>
      </c>
      <c r="AB233" s="1" t="n">
        <f aca="false">MIN($K233)</f>
        <v>0</v>
      </c>
      <c r="AC233" s="1" t="n">
        <f aca="false">MIN($M233)</f>
        <v>1356220</v>
      </c>
      <c r="AD233" s="1" t="n">
        <f aca="false">MIN($N233)</f>
        <v>0.04</v>
      </c>
      <c r="AE233" s="1" t="n">
        <f aca="false">MIN($P233)</f>
        <v>6.23</v>
      </c>
      <c r="AF233" s="1" t="n">
        <f aca="false">MIN($Q233)</f>
        <v>0</v>
      </c>
      <c r="AG233" s="1" t="n">
        <f aca="false">MIN($R233)</f>
        <v>440936</v>
      </c>
      <c r="AH233" s="1" t="n">
        <f aca="false">MEDIAN($B233)</f>
        <v>1961</v>
      </c>
      <c r="AI233" s="1" t="n">
        <f aca="false">MEDIAN($C233)</f>
        <v>3</v>
      </c>
      <c r="AJ233" s="1" t="n">
        <f aca="false">MEDIAN($D233)</f>
        <v>408997</v>
      </c>
      <c r="AK233" s="1" t="n">
        <f aca="false">MEDIAN($E233)</f>
        <v>0</v>
      </c>
      <c r="AL233" s="1" t="n">
        <f aca="false">MEDIAN($F233)</f>
        <v>448</v>
      </c>
      <c r="AM233" s="1" t="n">
        <f aca="false">MEDIAN($G233)</f>
        <v>0</v>
      </c>
      <c r="AN233" s="1" t="n">
        <f aca="false">MEDIAN($H233)</f>
        <v>1</v>
      </c>
      <c r="AO233" s="1" t="n">
        <f aca="false">MEDIAN($I233)</f>
        <v>6.062</v>
      </c>
      <c r="AP233" s="1" t="n">
        <f aca="false">MEDIAN($J233)</f>
        <v>6.23</v>
      </c>
      <c r="AQ233" s="1" t="n">
        <f aca="false">MEDIAN($K233)</f>
        <v>0</v>
      </c>
      <c r="AR233" s="1" t="n">
        <f aca="false">MEDIAN($M233)</f>
        <v>1356220</v>
      </c>
      <c r="AS233" s="1" t="n">
        <f aca="false">MEDIAN($N233)</f>
        <v>0.04</v>
      </c>
      <c r="AT233" s="1" t="n">
        <f aca="false">MEDIAN($P233)</f>
        <v>6.23</v>
      </c>
      <c r="AU233" s="1" t="n">
        <f aca="false">MEDIAN($Q233)</f>
        <v>0</v>
      </c>
      <c r="AV233" s="1" t="n">
        <f aca="false">MEDIAN($R233)</f>
        <v>440936</v>
      </c>
      <c r="AW233" s="1" t="n">
        <f aca="false">MAX($B233)</f>
        <v>1961</v>
      </c>
      <c r="AX233" s="1" t="n">
        <f aca="false">MAX($C233)</f>
        <v>3</v>
      </c>
      <c r="AY233" s="1" t="n">
        <f aca="false">MAX($D233)</f>
        <v>408997</v>
      </c>
      <c r="AZ233" s="1" t="n">
        <f aca="false">MAX($E233)</f>
        <v>0</v>
      </c>
      <c r="BA233" s="1" t="n">
        <f aca="false">MAX($F233)</f>
        <v>448</v>
      </c>
      <c r="BB233" s="1" t="n">
        <f aca="false">MAX($G233)</f>
        <v>0</v>
      </c>
      <c r="BC233" s="1" t="n">
        <f aca="false">MAX($H233)</f>
        <v>1</v>
      </c>
      <c r="BD233" s="1" t="n">
        <f aca="false">MAX($I233)</f>
        <v>6.062</v>
      </c>
      <c r="BE233" s="1" t="n">
        <f aca="false">MAX($J233)</f>
        <v>6.23</v>
      </c>
      <c r="BF233" s="1" t="n">
        <f aca="false">MAX($K233)</f>
        <v>0</v>
      </c>
      <c r="BG233" s="1" t="n">
        <f aca="false">MAX($M233)</f>
        <v>1356220</v>
      </c>
      <c r="BH233" s="1" t="n">
        <f aca="false">MAX($N233)</f>
        <v>0.04</v>
      </c>
      <c r="BI233" s="1" t="n">
        <f aca="false">MAX($P233)</f>
        <v>6.23</v>
      </c>
      <c r="BJ233" s="1" t="n">
        <f aca="false">MAX($Q233)</f>
        <v>0</v>
      </c>
      <c r="BK233" s="1" t="n">
        <f aca="false">MAX($R233)</f>
        <v>440936</v>
      </c>
    </row>
    <row r="234" customFormat="false" ht="15" hidden="false" customHeight="false" outlineLevel="0" collapsed="false">
      <c r="A234" s="1" t="s">
        <v>251</v>
      </c>
      <c r="B234" s="1" t="n">
        <f aca="false" t="array" ref="B234:B234">_xlfn.SWITCH($A$2,"average", AVERAGE(Instances!B234:B234),"median", MEDIAN(Instances!B234:B234),"min", MIN(Instances!B234:B234),"max", MAX(Instances!B234:B234),"diff", MAX(Instances!B234:B234)-MIN(Instances!B234:B234))</f>
        <v>1202</v>
      </c>
      <c r="C234" s="1" t="n">
        <f aca="false" t="array" ref="C234:C234">_xlfn.SWITCH($A$2,"average", AVERAGE(Instances!C234:C234),"median", MEDIAN(Instances!C234:C234),"min", MIN(Instances!C234:C234),"max", MAX(Instances!C234:C234),"diff", MAX(Instances!C234:C234)-MIN(Instances!C234:C234))</f>
        <v>2</v>
      </c>
      <c r="D234" s="1" t="n">
        <f aca="false" t="array" ref="D234:D234">_xlfn.SWITCH($A$2,"average", AVERAGE(Instances!D234:D234),"median", MEDIAN(Instances!D234:D234),"min", MIN(Instances!D234:D234),"max", MAX(Instances!D234:D234),"diff", MAX(Instances!D234:D234)-MIN(Instances!D234:D234))</f>
        <v>190245</v>
      </c>
      <c r="E234" s="1" t="n">
        <f aca="false" t="array" ref="E234:E234">_xlfn.SWITCH($A$2,"average", AVERAGE(Instances!E234:E234),"median", MEDIAN(Instances!E234:E234),"min", MIN(Instances!E234:E234),"max", MAX(Instances!E234:E234),"diff", MAX(Instances!E234:E234)-MIN(Instances!E234:E234))</f>
        <v>0</v>
      </c>
      <c r="F234" s="1" t="n">
        <f aca="false" t="array" ref="F234:F234">_xlfn.SWITCH($A$2,"average", AVERAGE(Instances!F234:F234),"median", MEDIAN(Instances!F234:F234),"min", MIN(Instances!F234:F234),"max", MAX(Instances!F234:F234),"diff", MAX(Instances!F234:F234)-MIN(Instances!F234:F234))</f>
        <v>378</v>
      </c>
      <c r="G234" s="1" t="n">
        <f aca="false" t="array" ref="G234:G234">_xlfn.SWITCH($A$2,"average", AVERAGE(Instances!G234:G234),"median", MEDIAN(Instances!G234:G234),"min", MIN(Instances!G234:G234),"max", MAX(Instances!G234:G234),"diff", MAX(Instances!G234:G234)-MIN(Instances!G234:G234))</f>
        <v>0</v>
      </c>
      <c r="H234" s="1" t="n">
        <f aca="false" t="array" ref="H234:H234">_xlfn.SWITCH($A$2,"average", AVERAGE(Instances!H234:H234),"median", MEDIAN(Instances!H234:H234),"min", MIN(Instances!H234:H234),"max", MAX(Instances!H234:H234),"diff", MAX(Instances!H234:H234)-MIN(Instances!H234:H234))</f>
        <v>1</v>
      </c>
      <c r="I234" s="1" t="n">
        <f aca="false" t="array" ref="I234:I234">_xlfn.SWITCH($A$2,"average", AVERAGE(Instances!I234:I234),"median", MEDIAN(Instances!I234:I234),"min", MIN(Instances!I234:I234),"max", MAX(Instances!I234:I234),"diff", MAX(Instances!I234:I234)-MIN(Instances!I234:I234))</f>
        <v>4.986</v>
      </c>
      <c r="J234" s="1" t="n">
        <f aca="false" t="array" ref="J234:J234">_xlfn.SWITCH($A$2,"average", AVERAGE(Instances!J234:J234),"median", MEDIAN(Instances!J234:J234),"min", MIN(Instances!J234:J234),"max", MAX(Instances!J234:J234),"diff", MAX(Instances!J234:J234)-MIN(Instances!J234:J234))</f>
        <v>5.12</v>
      </c>
      <c r="K234" s="1" t="n">
        <f aca="false" t="array" ref="K234:K234">_xlfn.SWITCH($A$2,"average", AVERAGE(Instances!K234:K234),"median", MEDIAN(Instances!K234:K234),"min", MIN(Instances!K234:K234),"max", MAX(Instances!K234:K234),"diff", MAX(Instances!K234:K234)-MIN(Instances!K234:K234))</f>
        <v>0</v>
      </c>
      <c r="L234" s="1"/>
      <c r="M234" s="1" t="n">
        <f aca="false" t="array" ref="M234:M234">_xlfn.SWITCH($A$2,"average", AVERAGE(Instances!M234:M234),"median", MEDIAN(Instances!M234:M234),"min", MIN(Instances!M234:M234),"max", MAX(Instances!M234:M234),"diff", MAX(Instances!M234:M234)-MIN(Instances!M234:M234))</f>
        <v>1105113</v>
      </c>
      <c r="N234" s="1" t="n">
        <f aca="false" t="array" ref="N234:N234">_xlfn.SWITCH($A$2,"average", AVERAGE(Instances!N234:N234),"median", MEDIAN(Instances!N234:N234),"min", MIN(Instances!N234:N234),"max", MAX(Instances!N234:N234),"diff", MAX(Instances!N234:N234)-MIN(Instances!N234:N234))</f>
        <v>0.03</v>
      </c>
      <c r="O234" s="1"/>
      <c r="P234" s="1" t="n">
        <f aca="false" t="array" ref="P234:P234">_xlfn.SWITCH($A$2,"average", AVERAGE(Instances!P234:P234),"median", MEDIAN(Instances!P234:P234),"min", MIN(Instances!P234:P234),"max", MAX(Instances!P234:P234),"diff", MAX(Instances!P234:P234)-MIN(Instances!P234:P234))</f>
        <v>5.12</v>
      </c>
      <c r="Q234" s="1" t="n">
        <f aca="false" t="array" ref="Q234:Q234">_xlfn.SWITCH($A$2,"average", AVERAGE(Instances!Q234:Q234),"median", MEDIAN(Instances!Q234:Q234),"min", MIN(Instances!Q234:Q234),"max", MAX(Instances!Q234:Q234),"diff", MAX(Instances!Q234:Q234)-MIN(Instances!Q234:Q234))</f>
        <v>0</v>
      </c>
      <c r="R234" s="1" t="n">
        <f aca="false" t="array" ref="R234:R234">_xlfn.SWITCH($A$2,"average", AVERAGE(Instances!R234:R234),"median", MEDIAN(Instances!R234:R234),"min", MIN(Instances!R234:R234),"max", MAX(Instances!R234:R234),"diff", MAX(Instances!R234:R234)-MIN(Instances!R234:R234))</f>
        <v>360926</v>
      </c>
      <c r="S234" s="1" t="n">
        <f aca="false">MIN($B234)</f>
        <v>1202</v>
      </c>
      <c r="T234" s="1" t="n">
        <f aca="false">MIN($C234)</f>
        <v>2</v>
      </c>
      <c r="U234" s="1" t="n">
        <f aca="false">MIN($D234)</f>
        <v>190245</v>
      </c>
      <c r="V234" s="1" t="n">
        <f aca="false">MIN($E234)</f>
        <v>0</v>
      </c>
      <c r="W234" s="1" t="n">
        <f aca="false">MIN($F234)</f>
        <v>378</v>
      </c>
      <c r="X234" s="1" t="n">
        <f aca="false">MIN($G234)</f>
        <v>0</v>
      </c>
      <c r="Y234" s="1" t="n">
        <f aca="false">MIN($H234)</f>
        <v>1</v>
      </c>
      <c r="Z234" s="1" t="n">
        <f aca="false">MIN($I234)</f>
        <v>4.986</v>
      </c>
      <c r="AA234" s="1" t="n">
        <f aca="false">MIN($J234)</f>
        <v>5.12</v>
      </c>
      <c r="AB234" s="1" t="n">
        <f aca="false">MIN($K234)</f>
        <v>0</v>
      </c>
      <c r="AC234" s="1" t="n">
        <f aca="false">MIN($M234)</f>
        <v>1105113</v>
      </c>
      <c r="AD234" s="1" t="n">
        <f aca="false">MIN($N234)</f>
        <v>0.03</v>
      </c>
      <c r="AE234" s="1" t="n">
        <f aca="false">MIN($P234)</f>
        <v>5.12</v>
      </c>
      <c r="AF234" s="1" t="n">
        <f aca="false">MIN($Q234)</f>
        <v>0</v>
      </c>
      <c r="AG234" s="1" t="n">
        <f aca="false">MIN($R234)</f>
        <v>360926</v>
      </c>
      <c r="AH234" s="1" t="n">
        <f aca="false">MEDIAN($B234)</f>
        <v>1202</v>
      </c>
      <c r="AI234" s="1" t="n">
        <f aca="false">MEDIAN($C234)</f>
        <v>2</v>
      </c>
      <c r="AJ234" s="1" t="n">
        <f aca="false">MEDIAN($D234)</f>
        <v>190245</v>
      </c>
      <c r="AK234" s="1" t="n">
        <f aca="false">MEDIAN($E234)</f>
        <v>0</v>
      </c>
      <c r="AL234" s="1" t="n">
        <f aca="false">MEDIAN($F234)</f>
        <v>378</v>
      </c>
      <c r="AM234" s="1" t="n">
        <f aca="false">MEDIAN($G234)</f>
        <v>0</v>
      </c>
      <c r="AN234" s="1" t="n">
        <f aca="false">MEDIAN($H234)</f>
        <v>1</v>
      </c>
      <c r="AO234" s="1" t="n">
        <f aca="false">MEDIAN($I234)</f>
        <v>4.986</v>
      </c>
      <c r="AP234" s="1" t="n">
        <f aca="false">MEDIAN($J234)</f>
        <v>5.12</v>
      </c>
      <c r="AQ234" s="1" t="n">
        <f aca="false">MEDIAN($K234)</f>
        <v>0</v>
      </c>
      <c r="AR234" s="1" t="n">
        <f aca="false">MEDIAN($M234)</f>
        <v>1105113</v>
      </c>
      <c r="AS234" s="1" t="n">
        <f aca="false">MEDIAN($N234)</f>
        <v>0.03</v>
      </c>
      <c r="AT234" s="1" t="n">
        <f aca="false">MEDIAN($P234)</f>
        <v>5.12</v>
      </c>
      <c r="AU234" s="1" t="n">
        <f aca="false">MEDIAN($Q234)</f>
        <v>0</v>
      </c>
      <c r="AV234" s="1" t="n">
        <f aca="false">MEDIAN($R234)</f>
        <v>360926</v>
      </c>
      <c r="AW234" s="1" t="n">
        <f aca="false">MAX($B234)</f>
        <v>1202</v>
      </c>
      <c r="AX234" s="1" t="n">
        <f aca="false">MAX($C234)</f>
        <v>2</v>
      </c>
      <c r="AY234" s="1" t="n">
        <f aca="false">MAX($D234)</f>
        <v>190245</v>
      </c>
      <c r="AZ234" s="1" t="n">
        <f aca="false">MAX($E234)</f>
        <v>0</v>
      </c>
      <c r="BA234" s="1" t="n">
        <f aca="false">MAX($F234)</f>
        <v>378</v>
      </c>
      <c r="BB234" s="1" t="n">
        <f aca="false">MAX($G234)</f>
        <v>0</v>
      </c>
      <c r="BC234" s="1" t="n">
        <f aca="false">MAX($H234)</f>
        <v>1</v>
      </c>
      <c r="BD234" s="1" t="n">
        <f aca="false">MAX($I234)</f>
        <v>4.986</v>
      </c>
      <c r="BE234" s="1" t="n">
        <f aca="false">MAX($J234)</f>
        <v>5.12</v>
      </c>
      <c r="BF234" s="1" t="n">
        <f aca="false">MAX($K234)</f>
        <v>0</v>
      </c>
      <c r="BG234" s="1" t="n">
        <f aca="false">MAX($M234)</f>
        <v>1105113</v>
      </c>
      <c r="BH234" s="1" t="n">
        <f aca="false">MAX($N234)</f>
        <v>0.03</v>
      </c>
      <c r="BI234" s="1" t="n">
        <f aca="false">MAX($P234)</f>
        <v>5.12</v>
      </c>
      <c r="BJ234" s="1" t="n">
        <f aca="false">MAX($Q234)</f>
        <v>0</v>
      </c>
      <c r="BK234" s="1" t="n">
        <f aca="false">MAX($R234)</f>
        <v>360926</v>
      </c>
    </row>
    <row r="235" customFormat="false" ht="15" hidden="false" customHeight="false" outlineLevel="0" collapsed="false">
      <c r="A235" s="1" t="s">
        <v>252</v>
      </c>
      <c r="B235" s="1" t="n">
        <f aca="false" t="array" ref="B235:B235">_xlfn.SWITCH($A$2,"average", AVERAGE(Instances!B235:B235),"median", MEDIAN(Instances!B235:B235),"min", MIN(Instances!B235:B235),"max", MAX(Instances!B235:B235),"diff", MAX(Instances!B235:B235)-MIN(Instances!B235:B235))</f>
        <v>3797</v>
      </c>
      <c r="C235" s="1" t="n">
        <f aca="false" t="array" ref="C235:C235">_xlfn.SWITCH($A$2,"average", AVERAGE(Instances!C235:C235),"median", MEDIAN(Instances!C235:C235),"min", MIN(Instances!C235:C235),"max", MAX(Instances!C235:C235),"diff", MAX(Instances!C235:C235)-MIN(Instances!C235:C235))</f>
        <v>5</v>
      </c>
      <c r="D235" s="1" t="n">
        <f aca="false" t="array" ref="D235:D235">_xlfn.SWITCH($A$2,"average", AVERAGE(Instances!D235:D235),"median", MEDIAN(Instances!D235:D235),"min", MIN(Instances!D235:D235),"max", MAX(Instances!D235:D235),"diff", MAX(Instances!D235:D235)-MIN(Instances!D235:D235))</f>
        <v>622023</v>
      </c>
      <c r="E235" s="1" t="n">
        <f aca="false" t="array" ref="E235:E235">_xlfn.SWITCH($A$2,"average", AVERAGE(Instances!E235:E235),"median", MEDIAN(Instances!E235:E235),"min", MIN(Instances!E235:E235),"max", MAX(Instances!E235:E235),"diff", MAX(Instances!E235:E235)-MIN(Instances!E235:E235))</f>
        <v>0</v>
      </c>
      <c r="F235" s="1" t="n">
        <f aca="false" t="array" ref="F235:F235">_xlfn.SWITCH($A$2,"average", AVERAGE(Instances!F235:F235),"median", MEDIAN(Instances!F235:F235),"min", MIN(Instances!F235:F235),"max", MAX(Instances!F235:F235),"diff", MAX(Instances!F235:F235)-MIN(Instances!F235:F235))</f>
        <v>631</v>
      </c>
      <c r="G235" s="1" t="n">
        <f aca="false" t="array" ref="G235:G235">_xlfn.SWITCH($A$2,"average", AVERAGE(Instances!G235:G235),"median", MEDIAN(Instances!G235:G235),"min", MIN(Instances!G235:G235),"max", MAX(Instances!G235:G235),"diff", MAX(Instances!G235:G235)-MIN(Instances!G235:G235))</f>
        <v>0</v>
      </c>
      <c r="H235" s="1" t="n">
        <f aca="false" t="array" ref="H235:H235">_xlfn.SWITCH($A$2,"average", AVERAGE(Instances!H235:H235),"median", MEDIAN(Instances!H235:H235),"min", MIN(Instances!H235:H235),"max", MAX(Instances!H235:H235),"diff", MAX(Instances!H235:H235)-MIN(Instances!H235:H235))</f>
        <v>1</v>
      </c>
      <c r="I235" s="1" t="n">
        <f aca="false" t="array" ref="I235:I235">_xlfn.SWITCH($A$2,"average", AVERAGE(Instances!I235:I235),"median", MEDIAN(Instances!I235:I235),"min", MIN(Instances!I235:I235),"max", MAX(Instances!I235:I235),"diff", MAX(Instances!I235:I235)-MIN(Instances!I235:I235))</f>
        <v>8.829</v>
      </c>
      <c r="J235" s="1" t="n">
        <f aca="false" t="array" ref="J235:J235">_xlfn.SWITCH($A$2,"average", AVERAGE(Instances!J235:J235),"median", MEDIAN(Instances!J235:J235),"min", MIN(Instances!J235:J235),"max", MAX(Instances!J235:J235),"diff", MAX(Instances!J235:J235)-MIN(Instances!J235:J235))</f>
        <v>9.05</v>
      </c>
      <c r="K235" s="1" t="n">
        <f aca="false" t="array" ref="K235:K235">_xlfn.SWITCH($A$2,"average", AVERAGE(Instances!K235:K235),"median", MEDIAN(Instances!K235:K235),"min", MIN(Instances!K235:K235),"max", MAX(Instances!K235:K235),"diff", MAX(Instances!K235:K235)-MIN(Instances!K235:K235))</f>
        <v>0</v>
      </c>
      <c r="L235" s="1"/>
      <c r="M235" s="1" t="n">
        <f aca="false" t="array" ref="M235:M235">_xlfn.SWITCH($A$2,"average", AVERAGE(Instances!M235:M235),"median", MEDIAN(Instances!M235:M235),"min", MIN(Instances!M235:M235),"max", MAX(Instances!M235:M235),"diff", MAX(Instances!M235:M235)-MIN(Instances!M235:M235))</f>
        <v>2051108</v>
      </c>
      <c r="N235" s="1" t="n">
        <f aca="false" t="array" ref="N235:N235">_xlfn.SWITCH($A$2,"average", AVERAGE(Instances!N235:N235),"median", MEDIAN(Instances!N235:N235),"min", MIN(Instances!N235:N235),"max", MAX(Instances!N235:N235),"diff", MAX(Instances!N235:N235)-MIN(Instances!N235:N235))</f>
        <v>0.06</v>
      </c>
      <c r="O235" s="1"/>
      <c r="P235" s="1" t="n">
        <f aca="false" t="array" ref="P235:P235">_xlfn.SWITCH($A$2,"average", AVERAGE(Instances!P235:P235),"median", MEDIAN(Instances!P235:P235),"min", MIN(Instances!P235:P235),"max", MAX(Instances!P235:P235),"diff", MAX(Instances!P235:P235)-MIN(Instances!P235:P235))</f>
        <v>9.05</v>
      </c>
      <c r="Q235" s="1" t="n">
        <f aca="false" t="array" ref="Q235:Q235">_xlfn.SWITCH($A$2,"average", AVERAGE(Instances!Q235:Q235),"median", MEDIAN(Instances!Q235:Q235),"min", MIN(Instances!Q235:Q235),"max", MAX(Instances!Q235:Q235),"diff", MAX(Instances!Q235:Q235)-MIN(Instances!Q235:Q235))</f>
        <v>0</v>
      </c>
      <c r="R235" s="1" t="n">
        <f aca="false" t="array" ref="R235:R235">_xlfn.SWITCH($A$2,"average", AVERAGE(Instances!R235:R235),"median", MEDIAN(Instances!R235:R235),"min", MIN(Instances!R235:R235),"max", MAX(Instances!R235:R235),"diff", MAX(Instances!R235:R235)-MIN(Instances!R235:R235))</f>
        <v>635540</v>
      </c>
      <c r="S235" s="1" t="n">
        <f aca="false">MIN($B235)</f>
        <v>3797</v>
      </c>
      <c r="T235" s="1" t="n">
        <f aca="false">MIN($C235)</f>
        <v>5</v>
      </c>
      <c r="U235" s="1" t="n">
        <f aca="false">MIN($D235)</f>
        <v>622023</v>
      </c>
      <c r="V235" s="1" t="n">
        <f aca="false">MIN($E235)</f>
        <v>0</v>
      </c>
      <c r="W235" s="1" t="n">
        <f aca="false">MIN($F235)</f>
        <v>631</v>
      </c>
      <c r="X235" s="1" t="n">
        <f aca="false">MIN($G235)</f>
        <v>0</v>
      </c>
      <c r="Y235" s="1" t="n">
        <f aca="false">MIN($H235)</f>
        <v>1</v>
      </c>
      <c r="Z235" s="1" t="n">
        <f aca="false">MIN($I235)</f>
        <v>8.829</v>
      </c>
      <c r="AA235" s="1" t="n">
        <f aca="false">MIN($J235)</f>
        <v>9.05</v>
      </c>
      <c r="AB235" s="1" t="n">
        <f aca="false">MIN($K235)</f>
        <v>0</v>
      </c>
      <c r="AC235" s="1" t="n">
        <f aca="false">MIN($M235)</f>
        <v>2051108</v>
      </c>
      <c r="AD235" s="1" t="n">
        <f aca="false">MIN($N235)</f>
        <v>0.06</v>
      </c>
      <c r="AE235" s="1" t="n">
        <f aca="false">MIN($P235)</f>
        <v>9.05</v>
      </c>
      <c r="AF235" s="1" t="n">
        <f aca="false">MIN($Q235)</f>
        <v>0</v>
      </c>
      <c r="AG235" s="1" t="n">
        <f aca="false">MIN($R235)</f>
        <v>635540</v>
      </c>
      <c r="AH235" s="1" t="n">
        <f aca="false">MEDIAN($B235)</f>
        <v>3797</v>
      </c>
      <c r="AI235" s="1" t="n">
        <f aca="false">MEDIAN($C235)</f>
        <v>5</v>
      </c>
      <c r="AJ235" s="1" t="n">
        <f aca="false">MEDIAN($D235)</f>
        <v>622023</v>
      </c>
      <c r="AK235" s="1" t="n">
        <f aca="false">MEDIAN($E235)</f>
        <v>0</v>
      </c>
      <c r="AL235" s="1" t="n">
        <f aca="false">MEDIAN($F235)</f>
        <v>631</v>
      </c>
      <c r="AM235" s="1" t="n">
        <f aca="false">MEDIAN($G235)</f>
        <v>0</v>
      </c>
      <c r="AN235" s="1" t="n">
        <f aca="false">MEDIAN($H235)</f>
        <v>1</v>
      </c>
      <c r="AO235" s="1" t="n">
        <f aca="false">MEDIAN($I235)</f>
        <v>8.829</v>
      </c>
      <c r="AP235" s="1" t="n">
        <f aca="false">MEDIAN($J235)</f>
        <v>9.05</v>
      </c>
      <c r="AQ235" s="1" t="n">
        <f aca="false">MEDIAN($K235)</f>
        <v>0</v>
      </c>
      <c r="AR235" s="1" t="n">
        <f aca="false">MEDIAN($M235)</f>
        <v>2051108</v>
      </c>
      <c r="AS235" s="1" t="n">
        <f aca="false">MEDIAN($N235)</f>
        <v>0.06</v>
      </c>
      <c r="AT235" s="1" t="n">
        <f aca="false">MEDIAN($P235)</f>
        <v>9.05</v>
      </c>
      <c r="AU235" s="1" t="n">
        <f aca="false">MEDIAN($Q235)</f>
        <v>0</v>
      </c>
      <c r="AV235" s="1" t="n">
        <f aca="false">MEDIAN($R235)</f>
        <v>635540</v>
      </c>
      <c r="AW235" s="1" t="n">
        <f aca="false">MAX($B235)</f>
        <v>3797</v>
      </c>
      <c r="AX235" s="1" t="n">
        <f aca="false">MAX($C235)</f>
        <v>5</v>
      </c>
      <c r="AY235" s="1" t="n">
        <f aca="false">MAX($D235)</f>
        <v>622023</v>
      </c>
      <c r="AZ235" s="1" t="n">
        <f aca="false">MAX($E235)</f>
        <v>0</v>
      </c>
      <c r="BA235" s="1" t="n">
        <f aca="false">MAX($F235)</f>
        <v>631</v>
      </c>
      <c r="BB235" s="1" t="n">
        <f aca="false">MAX($G235)</f>
        <v>0</v>
      </c>
      <c r="BC235" s="1" t="n">
        <f aca="false">MAX($H235)</f>
        <v>1</v>
      </c>
      <c r="BD235" s="1" t="n">
        <f aca="false">MAX($I235)</f>
        <v>8.829</v>
      </c>
      <c r="BE235" s="1" t="n">
        <f aca="false">MAX($J235)</f>
        <v>9.05</v>
      </c>
      <c r="BF235" s="1" t="n">
        <f aca="false">MAX($K235)</f>
        <v>0</v>
      </c>
      <c r="BG235" s="1" t="n">
        <f aca="false">MAX($M235)</f>
        <v>2051108</v>
      </c>
      <c r="BH235" s="1" t="n">
        <f aca="false">MAX($N235)</f>
        <v>0.06</v>
      </c>
      <c r="BI235" s="1" t="n">
        <f aca="false">MAX($P235)</f>
        <v>9.05</v>
      </c>
      <c r="BJ235" s="1" t="n">
        <f aca="false">MAX($Q235)</f>
        <v>0</v>
      </c>
      <c r="BK235" s="1" t="n">
        <f aca="false">MAX($R235)</f>
        <v>635540</v>
      </c>
    </row>
    <row r="236" customFormat="false" ht="15" hidden="false" customHeight="false" outlineLevel="0" collapsed="false">
      <c r="A236" s="1" t="s">
        <v>253</v>
      </c>
      <c r="B236" s="1" t="n">
        <f aca="false" t="array" ref="B236:B236">_xlfn.SWITCH($A$2,"average", AVERAGE(Instances!B236:B236),"median", MEDIAN(Instances!B236:B236),"min", MIN(Instances!B236:B236),"max", MAX(Instances!B236:B236),"diff", MAX(Instances!B236:B236)-MIN(Instances!B236:B236))</f>
        <v>4500</v>
      </c>
      <c r="C236" s="1" t="n">
        <f aca="false" t="array" ref="C236:C236">_xlfn.SWITCH($A$2,"average", AVERAGE(Instances!C236:C236),"median", MEDIAN(Instances!C236:C236),"min", MIN(Instances!C236:C236),"max", MAX(Instances!C236:C236),"diff", MAX(Instances!C236:C236)-MIN(Instances!C236:C236))</f>
        <v>3</v>
      </c>
      <c r="D236" s="1" t="n">
        <f aca="false" t="array" ref="D236:D236">_xlfn.SWITCH($A$2,"average", AVERAGE(Instances!D236:D236),"median", MEDIAN(Instances!D236:D236),"min", MIN(Instances!D236:D236),"max", MAX(Instances!D236:D236),"diff", MAX(Instances!D236:D236)-MIN(Instances!D236:D236))</f>
        <v>746819</v>
      </c>
      <c r="E236" s="1" t="n">
        <f aca="false" t="array" ref="E236:E236">_xlfn.SWITCH($A$2,"average", AVERAGE(Instances!E236:E236),"median", MEDIAN(Instances!E236:E236),"min", MIN(Instances!E236:E236),"max", MAX(Instances!E236:E236),"diff", MAX(Instances!E236:E236)-MIN(Instances!E236:E236))</f>
        <v>0</v>
      </c>
      <c r="F236" s="1" t="n">
        <f aca="false" t="array" ref="F236:F236">_xlfn.SWITCH($A$2,"average", AVERAGE(Instances!F236:F236),"median", MEDIAN(Instances!F236:F236),"min", MIN(Instances!F236:F236),"max", MAX(Instances!F236:F236),"diff", MAX(Instances!F236:F236)-MIN(Instances!F236:F236))</f>
        <v>659</v>
      </c>
      <c r="G236" s="1" t="n">
        <f aca="false" t="array" ref="G236:G236">_xlfn.SWITCH($A$2,"average", AVERAGE(Instances!G236:G236),"median", MEDIAN(Instances!G236:G236),"min", MIN(Instances!G236:G236),"max", MAX(Instances!G236:G236),"diff", MAX(Instances!G236:G236)-MIN(Instances!G236:G236))</f>
        <v>0</v>
      </c>
      <c r="H236" s="1" t="n">
        <f aca="false" t="array" ref="H236:H236">_xlfn.SWITCH($A$2,"average", AVERAGE(Instances!H236:H236),"median", MEDIAN(Instances!H236:H236),"min", MIN(Instances!H236:H236),"max", MAX(Instances!H236:H236),"diff", MAX(Instances!H236:H236)-MIN(Instances!H236:H236))</f>
        <v>1</v>
      </c>
      <c r="I236" s="1" t="n">
        <f aca="false" t="array" ref="I236:I236">_xlfn.SWITCH($A$2,"average", AVERAGE(Instances!I236:I236),"median", MEDIAN(Instances!I236:I236),"min", MIN(Instances!I236:I236),"max", MAX(Instances!I236:I236),"diff", MAX(Instances!I236:I236)-MIN(Instances!I236:I236))</f>
        <v>9.382</v>
      </c>
      <c r="J236" s="1" t="n">
        <f aca="false" t="array" ref="J236:J236">_xlfn.SWITCH($A$2,"average", AVERAGE(Instances!J236:J236),"median", MEDIAN(Instances!J236:J236),"min", MIN(Instances!J236:J236),"max", MAX(Instances!J236:J236),"diff", MAX(Instances!J236:J236)-MIN(Instances!J236:J236))</f>
        <v>9.63</v>
      </c>
      <c r="K236" s="1" t="n">
        <f aca="false" t="array" ref="K236:K236">_xlfn.SWITCH($A$2,"average", AVERAGE(Instances!K236:K236),"median", MEDIAN(Instances!K236:K236),"min", MIN(Instances!K236:K236),"max", MAX(Instances!K236:K236),"diff", MAX(Instances!K236:K236)-MIN(Instances!K236:K236))</f>
        <v>0</v>
      </c>
      <c r="L236" s="1"/>
      <c r="M236" s="1" t="n">
        <f aca="false" t="array" ref="M236:M236">_xlfn.SWITCH($A$2,"average", AVERAGE(Instances!M236:M236),"median", MEDIAN(Instances!M236:M236),"min", MIN(Instances!M236:M236),"max", MAX(Instances!M236:M236),"diff", MAX(Instances!M236:M236)-MIN(Instances!M236:M236))</f>
        <v>2156840</v>
      </c>
      <c r="N236" s="1" t="n">
        <f aca="false" t="array" ref="N236:N236">_xlfn.SWITCH($A$2,"average", AVERAGE(Instances!N236:N236),"median", MEDIAN(Instances!N236:N236),"min", MIN(Instances!N236:N236),"max", MAX(Instances!N236:N236),"diff", MAX(Instances!N236:N236)-MIN(Instances!N236:N236))</f>
        <v>0.07</v>
      </c>
      <c r="O236" s="1"/>
      <c r="P236" s="1" t="n">
        <f aca="false" t="array" ref="P236:P236">_xlfn.SWITCH($A$2,"average", AVERAGE(Instances!P236:P236),"median", MEDIAN(Instances!P236:P236),"min", MIN(Instances!P236:P236),"max", MAX(Instances!P236:P236),"diff", MAX(Instances!P236:P236)-MIN(Instances!P236:P236))</f>
        <v>9.63</v>
      </c>
      <c r="Q236" s="1" t="n">
        <f aca="false" t="array" ref="Q236:Q236">_xlfn.SWITCH($A$2,"average", AVERAGE(Instances!Q236:Q236),"median", MEDIAN(Instances!Q236:Q236),"min", MIN(Instances!Q236:Q236),"max", MAX(Instances!Q236:Q236),"diff", MAX(Instances!Q236:Q236)-MIN(Instances!Q236:Q236))</f>
        <v>0</v>
      </c>
      <c r="R236" s="1" t="n">
        <f aca="false" t="array" ref="R236:R236">_xlfn.SWITCH($A$2,"average", AVERAGE(Instances!R236:R236),"median", MEDIAN(Instances!R236:R236),"min", MIN(Instances!R236:R236),"max", MAX(Instances!R236:R236),"diff", MAX(Instances!R236:R236)-MIN(Instances!R236:R236))</f>
        <v>660423</v>
      </c>
      <c r="S236" s="1" t="n">
        <f aca="false">MIN($B236)</f>
        <v>4500</v>
      </c>
      <c r="T236" s="1" t="n">
        <f aca="false">MIN($C236)</f>
        <v>3</v>
      </c>
      <c r="U236" s="1" t="n">
        <f aca="false">MIN($D236)</f>
        <v>746819</v>
      </c>
      <c r="V236" s="1" t="n">
        <f aca="false">MIN($E236)</f>
        <v>0</v>
      </c>
      <c r="W236" s="1" t="n">
        <f aca="false">MIN($F236)</f>
        <v>659</v>
      </c>
      <c r="X236" s="1" t="n">
        <f aca="false">MIN($G236)</f>
        <v>0</v>
      </c>
      <c r="Y236" s="1" t="n">
        <f aca="false">MIN($H236)</f>
        <v>1</v>
      </c>
      <c r="Z236" s="1" t="n">
        <f aca="false">MIN($I236)</f>
        <v>9.382</v>
      </c>
      <c r="AA236" s="1" t="n">
        <f aca="false">MIN($J236)</f>
        <v>9.63</v>
      </c>
      <c r="AB236" s="1" t="n">
        <f aca="false">MIN($K236)</f>
        <v>0</v>
      </c>
      <c r="AC236" s="1" t="n">
        <f aca="false">MIN($M236)</f>
        <v>2156840</v>
      </c>
      <c r="AD236" s="1" t="n">
        <f aca="false">MIN($N236)</f>
        <v>0.07</v>
      </c>
      <c r="AE236" s="1" t="n">
        <f aca="false">MIN($P236)</f>
        <v>9.63</v>
      </c>
      <c r="AF236" s="1" t="n">
        <f aca="false">MIN($Q236)</f>
        <v>0</v>
      </c>
      <c r="AG236" s="1" t="n">
        <f aca="false">MIN($R236)</f>
        <v>660423</v>
      </c>
      <c r="AH236" s="1" t="n">
        <f aca="false">MEDIAN($B236)</f>
        <v>4500</v>
      </c>
      <c r="AI236" s="1" t="n">
        <f aca="false">MEDIAN($C236)</f>
        <v>3</v>
      </c>
      <c r="AJ236" s="1" t="n">
        <f aca="false">MEDIAN($D236)</f>
        <v>746819</v>
      </c>
      <c r="AK236" s="1" t="n">
        <f aca="false">MEDIAN($E236)</f>
        <v>0</v>
      </c>
      <c r="AL236" s="1" t="n">
        <f aca="false">MEDIAN($F236)</f>
        <v>659</v>
      </c>
      <c r="AM236" s="1" t="n">
        <f aca="false">MEDIAN($G236)</f>
        <v>0</v>
      </c>
      <c r="AN236" s="1" t="n">
        <f aca="false">MEDIAN($H236)</f>
        <v>1</v>
      </c>
      <c r="AO236" s="1" t="n">
        <f aca="false">MEDIAN($I236)</f>
        <v>9.382</v>
      </c>
      <c r="AP236" s="1" t="n">
        <f aca="false">MEDIAN($J236)</f>
        <v>9.63</v>
      </c>
      <c r="AQ236" s="1" t="n">
        <f aca="false">MEDIAN($K236)</f>
        <v>0</v>
      </c>
      <c r="AR236" s="1" t="n">
        <f aca="false">MEDIAN($M236)</f>
        <v>2156840</v>
      </c>
      <c r="AS236" s="1" t="n">
        <f aca="false">MEDIAN($N236)</f>
        <v>0.07</v>
      </c>
      <c r="AT236" s="1" t="n">
        <f aca="false">MEDIAN($P236)</f>
        <v>9.63</v>
      </c>
      <c r="AU236" s="1" t="n">
        <f aca="false">MEDIAN($Q236)</f>
        <v>0</v>
      </c>
      <c r="AV236" s="1" t="n">
        <f aca="false">MEDIAN($R236)</f>
        <v>660423</v>
      </c>
      <c r="AW236" s="1" t="n">
        <f aca="false">MAX($B236)</f>
        <v>4500</v>
      </c>
      <c r="AX236" s="1" t="n">
        <f aca="false">MAX($C236)</f>
        <v>3</v>
      </c>
      <c r="AY236" s="1" t="n">
        <f aca="false">MAX($D236)</f>
        <v>746819</v>
      </c>
      <c r="AZ236" s="1" t="n">
        <f aca="false">MAX($E236)</f>
        <v>0</v>
      </c>
      <c r="BA236" s="1" t="n">
        <f aca="false">MAX($F236)</f>
        <v>659</v>
      </c>
      <c r="BB236" s="1" t="n">
        <f aca="false">MAX($G236)</f>
        <v>0</v>
      </c>
      <c r="BC236" s="1" t="n">
        <f aca="false">MAX($H236)</f>
        <v>1</v>
      </c>
      <c r="BD236" s="1" t="n">
        <f aca="false">MAX($I236)</f>
        <v>9.382</v>
      </c>
      <c r="BE236" s="1" t="n">
        <f aca="false">MAX($J236)</f>
        <v>9.63</v>
      </c>
      <c r="BF236" s="1" t="n">
        <f aca="false">MAX($K236)</f>
        <v>0</v>
      </c>
      <c r="BG236" s="1" t="n">
        <f aca="false">MAX($M236)</f>
        <v>2156840</v>
      </c>
      <c r="BH236" s="1" t="n">
        <f aca="false">MAX($N236)</f>
        <v>0.07</v>
      </c>
      <c r="BI236" s="1" t="n">
        <f aca="false">MAX($P236)</f>
        <v>9.63</v>
      </c>
      <c r="BJ236" s="1" t="n">
        <f aca="false">MAX($Q236)</f>
        <v>0</v>
      </c>
      <c r="BK236" s="1" t="n">
        <f aca="false">MAX($R236)</f>
        <v>660423</v>
      </c>
    </row>
    <row r="237" customFormat="false" ht="15" hidden="false" customHeight="false" outlineLevel="0" collapsed="false">
      <c r="A237" s="1" t="s">
        <v>254</v>
      </c>
      <c r="B237" s="1" t="n">
        <f aca="false" t="array" ref="B237:B237">_xlfn.SWITCH($A$2,"average", AVERAGE(Instances!B237:B237),"median", MEDIAN(Instances!B237:B237),"min", MIN(Instances!B237:B237),"max", MAX(Instances!B237:B237),"diff", MAX(Instances!B237:B237)-MIN(Instances!B237:B237))</f>
        <v>2827</v>
      </c>
      <c r="C237" s="1" t="n">
        <f aca="false" t="array" ref="C237:C237">_xlfn.SWITCH($A$2,"average", AVERAGE(Instances!C237:C237),"median", MEDIAN(Instances!C237:C237),"min", MIN(Instances!C237:C237),"max", MAX(Instances!C237:C237),"diff", MAX(Instances!C237:C237)-MIN(Instances!C237:C237))</f>
        <v>2</v>
      </c>
      <c r="D237" s="1" t="n">
        <f aca="false" t="array" ref="D237:D237">_xlfn.SWITCH($A$2,"average", AVERAGE(Instances!D237:D237),"median", MEDIAN(Instances!D237:D237),"min", MIN(Instances!D237:D237),"max", MAX(Instances!D237:D237),"diff", MAX(Instances!D237:D237)-MIN(Instances!D237:D237))</f>
        <v>617412</v>
      </c>
      <c r="E237" s="1" t="n">
        <f aca="false" t="array" ref="E237:E237">_xlfn.SWITCH($A$2,"average", AVERAGE(Instances!E237:E237),"median", MEDIAN(Instances!E237:E237),"min", MIN(Instances!E237:E237),"max", MAX(Instances!E237:E237),"diff", MAX(Instances!E237:E237)-MIN(Instances!E237:E237))</f>
        <v>0</v>
      </c>
      <c r="F237" s="1" t="n">
        <f aca="false" t="array" ref="F237:F237">_xlfn.SWITCH($A$2,"average", AVERAGE(Instances!F237:F237),"median", MEDIAN(Instances!F237:F237),"min", MIN(Instances!F237:F237),"max", MAX(Instances!F237:F237),"diff", MAX(Instances!F237:F237)-MIN(Instances!F237:F237))</f>
        <v>589</v>
      </c>
      <c r="G237" s="1" t="n">
        <f aca="false" t="array" ref="G237:G237">_xlfn.SWITCH($A$2,"average", AVERAGE(Instances!G237:G237),"median", MEDIAN(Instances!G237:G237),"min", MIN(Instances!G237:G237),"max", MAX(Instances!G237:G237),"diff", MAX(Instances!G237:G237)-MIN(Instances!G237:G237))</f>
        <v>0</v>
      </c>
      <c r="H237" s="1" t="n">
        <f aca="false" t="array" ref="H237:H237">_xlfn.SWITCH($A$2,"average", AVERAGE(Instances!H237:H237),"median", MEDIAN(Instances!H237:H237),"min", MIN(Instances!H237:H237),"max", MAX(Instances!H237:H237),"diff", MAX(Instances!H237:H237)-MIN(Instances!H237:H237))</f>
        <v>1</v>
      </c>
      <c r="I237" s="1" t="n">
        <f aca="false" t="array" ref="I237:I237">_xlfn.SWITCH($A$2,"average", AVERAGE(Instances!I237:I237),"median", MEDIAN(Instances!I237:I237),"min", MIN(Instances!I237:I237),"max", MAX(Instances!I237:I237),"diff", MAX(Instances!I237:I237)-MIN(Instances!I237:I237))</f>
        <v>8.294</v>
      </c>
      <c r="J237" s="1" t="n">
        <f aca="false" t="array" ref="J237:J237">_xlfn.SWITCH($A$2,"average", AVERAGE(Instances!J237:J237),"median", MEDIAN(Instances!J237:J237),"min", MIN(Instances!J237:J237),"max", MAX(Instances!J237:J237),"diff", MAX(Instances!J237:J237)-MIN(Instances!J237:J237))</f>
        <v>8.52</v>
      </c>
      <c r="K237" s="1" t="n">
        <f aca="false" t="array" ref="K237:K237">_xlfn.SWITCH($A$2,"average", AVERAGE(Instances!K237:K237),"median", MEDIAN(Instances!K237:K237),"min", MIN(Instances!K237:K237),"max", MAX(Instances!K237:K237),"diff", MAX(Instances!K237:K237)-MIN(Instances!K237:K237))</f>
        <v>0</v>
      </c>
      <c r="L237" s="1"/>
      <c r="M237" s="1" t="n">
        <f aca="false" t="array" ref="M237:M237">_xlfn.SWITCH($A$2,"average", AVERAGE(Instances!M237:M237),"median", MEDIAN(Instances!M237:M237),"min", MIN(Instances!M237:M237),"max", MAX(Instances!M237:M237),"diff", MAX(Instances!M237:M237)-MIN(Instances!M237:M237))</f>
        <v>1921852</v>
      </c>
      <c r="N237" s="1" t="n">
        <f aca="false" t="array" ref="N237:N237">_xlfn.SWITCH($A$2,"average", AVERAGE(Instances!N237:N237),"median", MEDIAN(Instances!N237:N237),"min", MIN(Instances!N237:N237),"max", MAX(Instances!N237:N237),"diff", MAX(Instances!N237:N237)-MIN(Instances!N237:N237))</f>
        <v>0.06</v>
      </c>
      <c r="O237" s="1"/>
      <c r="P237" s="1" t="n">
        <f aca="false" t="array" ref="P237:P237">_xlfn.SWITCH($A$2,"average", AVERAGE(Instances!P237:P237),"median", MEDIAN(Instances!P237:P237),"min", MIN(Instances!P237:P237),"max", MAX(Instances!P237:P237),"diff", MAX(Instances!P237:P237)-MIN(Instances!P237:P237))</f>
        <v>8.52</v>
      </c>
      <c r="Q237" s="1" t="n">
        <f aca="false" t="array" ref="Q237:Q237">_xlfn.SWITCH($A$2,"average", AVERAGE(Instances!Q237:Q237),"median", MEDIAN(Instances!Q237:Q237),"min", MIN(Instances!Q237:Q237),"max", MAX(Instances!Q237:Q237),"diff", MAX(Instances!Q237:Q237)-MIN(Instances!Q237:Q237))</f>
        <v>0</v>
      </c>
      <c r="R237" s="1" t="n">
        <f aca="false" t="array" ref="R237:R237">_xlfn.SWITCH($A$2,"average", AVERAGE(Instances!R237:R237),"median", MEDIAN(Instances!R237:R237),"min", MIN(Instances!R237:R237),"max", MAX(Instances!R237:R237),"diff", MAX(Instances!R237:R237)-MIN(Instances!R237:R237))</f>
        <v>603775</v>
      </c>
      <c r="S237" s="1" t="n">
        <f aca="false">MIN($B237)</f>
        <v>2827</v>
      </c>
      <c r="T237" s="1" t="n">
        <f aca="false">MIN($C237)</f>
        <v>2</v>
      </c>
      <c r="U237" s="1" t="n">
        <f aca="false">MIN($D237)</f>
        <v>617412</v>
      </c>
      <c r="V237" s="1" t="n">
        <f aca="false">MIN($E237)</f>
        <v>0</v>
      </c>
      <c r="W237" s="1" t="n">
        <f aca="false">MIN($F237)</f>
        <v>589</v>
      </c>
      <c r="X237" s="1" t="n">
        <f aca="false">MIN($G237)</f>
        <v>0</v>
      </c>
      <c r="Y237" s="1" t="n">
        <f aca="false">MIN($H237)</f>
        <v>1</v>
      </c>
      <c r="Z237" s="1" t="n">
        <f aca="false">MIN($I237)</f>
        <v>8.294</v>
      </c>
      <c r="AA237" s="1" t="n">
        <f aca="false">MIN($J237)</f>
        <v>8.52</v>
      </c>
      <c r="AB237" s="1" t="n">
        <f aca="false">MIN($K237)</f>
        <v>0</v>
      </c>
      <c r="AC237" s="1" t="n">
        <f aca="false">MIN($M237)</f>
        <v>1921852</v>
      </c>
      <c r="AD237" s="1" t="n">
        <f aca="false">MIN($N237)</f>
        <v>0.06</v>
      </c>
      <c r="AE237" s="1" t="n">
        <f aca="false">MIN($P237)</f>
        <v>8.52</v>
      </c>
      <c r="AF237" s="1" t="n">
        <f aca="false">MIN($Q237)</f>
        <v>0</v>
      </c>
      <c r="AG237" s="1" t="n">
        <f aca="false">MIN($R237)</f>
        <v>603775</v>
      </c>
      <c r="AH237" s="1" t="n">
        <f aca="false">MEDIAN($B237)</f>
        <v>2827</v>
      </c>
      <c r="AI237" s="1" t="n">
        <f aca="false">MEDIAN($C237)</f>
        <v>2</v>
      </c>
      <c r="AJ237" s="1" t="n">
        <f aca="false">MEDIAN($D237)</f>
        <v>617412</v>
      </c>
      <c r="AK237" s="1" t="n">
        <f aca="false">MEDIAN($E237)</f>
        <v>0</v>
      </c>
      <c r="AL237" s="1" t="n">
        <f aca="false">MEDIAN($F237)</f>
        <v>589</v>
      </c>
      <c r="AM237" s="1" t="n">
        <f aca="false">MEDIAN($G237)</f>
        <v>0</v>
      </c>
      <c r="AN237" s="1" t="n">
        <f aca="false">MEDIAN($H237)</f>
        <v>1</v>
      </c>
      <c r="AO237" s="1" t="n">
        <f aca="false">MEDIAN($I237)</f>
        <v>8.294</v>
      </c>
      <c r="AP237" s="1" t="n">
        <f aca="false">MEDIAN($J237)</f>
        <v>8.52</v>
      </c>
      <c r="AQ237" s="1" t="n">
        <f aca="false">MEDIAN($K237)</f>
        <v>0</v>
      </c>
      <c r="AR237" s="1" t="n">
        <f aca="false">MEDIAN($M237)</f>
        <v>1921852</v>
      </c>
      <c r="AS237" s="1" t="n">
        <f aca="false">MEDIAN($N237)</f>
        <v>0.06</v>
      </c>
      <c r="AT237" s="1" t="n">
        <f aca="false">MEDIAN($P237)</f>
        <v>8.52</v>
      </c>
      <c r="AU237" s="1" t="n">
        <f aca="false">MEDIAN($Q237)</f>
        <v>0</v>
      </c>
      <c r="AV237" s="1" t="n">
        <f aca="false">MEDIAN($R237)</f>
        <v>603775</v>
      </c>
      <c r="AW237" s="1" t="n">
        <f aca="false">MAX($B237)</f>
        <v>2827</v>
      </c>
      <c r="AX237" s="1" t="n">
        <f aca="false">MAX($C237)</f>
        <v>2</v>
      </c>
      <c r="AY237" s="1" t="n">
        <f aca="false">MAX($D237)</f>
        <v>617412</v>
      </c>
      <c r="AZ237" s="1" t="n">
        <f aca="false">MAX($E237)</f>
        <v>0</v>
      </c>
      <c r="BA237" s="1" t="n">
        <f aca="false">MAX($F237)</f>
        <v>589</v>
      </c>
      <c r="BB237" s="1" t="n">
        <f aca="false">MAX($G237)</f>
        <v>0</v>
      </c>
      <c r="BC237" s="1" t="n">
        <f aca="false">MAX($H237)</f>
        <v>1</v>
      </c>
      <c r="BD237" s="1" t="n">
        <f aca="false">MAX($I237)</f>
        <v>8.294</v>
      </c>
      <c r="BE237" s="1" t="n">
        <f aca="false">MAX($J237)</f>
        <v>8.52</v>
      </c>
      <c r="BF237" s="1" t="n">
        <f aca="false">MAX($K237)</f>
        <v>0</v>
      </c>
      <c r="BG237" s="1" t="n">
        <f aca="false">MAX($M237)</f>
        <v>1921852</v>
      </c>
      <c r="BH237" s="1" t="n">
        <f aca="false">MAX($N237)</f>
        <v>0.06</v>
      </c>
      <c r="BI237" s="1" t="n">
        <f aca="false">MAX($P237)</f>
        <v>8.52</v>
      </c>
      <c r="BJ237" s="1" t="n">
        <f aca="false">MAX($Q237)</f>
        <v>0</v>
      </c>
      <c r="BK237" s="1" t="n">
        <f aca="false">MAX($R237)</f>
        <v>603775</v>
      </c>
    </row>
    <row r="238" customFormat="false" ht="15" hidden="false" customHeight="false" outlineLevel="0" collapsed="false">
      <c r="A238" s="1" t="s">
        <v>255</v>
      </c>
      <c r="B238" s="1" t="n">
        <f aca="false" t="array" ref="B238:B238">_xlfn.SWITCH($A$2,"average", AVERAGE(Instances!B238:B238),"median", MEDIAN(Instances!B238:B238),"min", MIN(Instances!B238:B238),"max", MAX(Instances!B238:B238),"diff", MAX(Instances!B238:B238)-MIN(Instances!B238:B238))</f>
        <v>3365</v>
      </c>
      <c r="C238" s="1" t="n">
        <f aca="false" t="array" ref="C238:C238">_xlfn.SWITCH($A$2,"average", AVERAGE(Instances!C238:C238),"median", MEDIAN(Instances!C238:C238),"min", MIN(Instances!C238:C238),"max", MAX(Instances!C238:C238),"diff", MAX(Instances!C238:C238)-MIN(Instances!C238:C238))</f>
        <v>2</v>
      </c>
      <c r="D238" s="1" t="n">
        <f aca="false" t="array" ref="D238:D238">_xlfn.SWITCH($A$2,"average", AVERAGE(Instances!D238:D238),"median", MEDIAN(Instances!D238:D238),"min", MIN(Instances!D238:D238),"max", MAX(Instances!D238:D238),"diff", MAX(Instances!D238:D238)-MIN(Instances!D238:D238))</f>
        <v>607186</v>
      </c>
      <c r="E238" s="1" t="n">
        <f aca="false" t="array" ref="E238:E238">_xlfn.SWITCH($A$2,"average", AVERAGE(Instances!E238:E238),"median", MEDIAN(Instances!E238:E238),"min", MIN(Instances!E238:E238),"max", MAX(Instances!E238:E238),"diff", MAX(Instances!E238:E238)-MIN(Instances!E238:E238))</f>
        <v>0</v>
      </c>
      <c r="F238" s="1" t="n">
        <f aca="false" t="array" ref="F238:F238">_xlfn.SWITCH($A$2,"average", AVERAGE(Instances!F238:F238),"median", MEDIAN(Instances!F238:F238),"min", MIN(Instances!F238:F238),"max", MAX(Instances!F238:F238),"diff", MAX(Instances!F238:F238)-MIN(Instances!F238:F238))</f>
        <v>531</v>
      </c>
      <c r="G238" s="1" t="n">
        <f aca="false" t="array" ref="G238:G238">_xlfn.SWITCH($A$2,"average", AVERAGE(Instances!G238:G238),"median", MEDIAN(Instances!G238:G238),"min", MIN(Instances!G238:G238),"max", MAX(Instances!G238:G238),"diff", MAX(Instances!G238:G238)-MIN(Instances!G238:G238))</f>
        <v>0</v>
      </c>
      <c r="H238" s="1" t="n">
        <f aca="false" t="array" ref="H238:H238">_xlfn.SWITCH($A$2,"average", AVERAGE(Instances!H238:H238),"median", MEDIAN(Instances!H238:H238),"min", MIN(Instances!H238:H238),"max", MAX(Instances!H238:H238),"diff", MAX(Instances!H238:H238)-MIN(Instances!H238:H238))</f>
        <v>1</v>
      </c>
      <c r="I238" s="1" t="n">
        <f aca="false" t="array" ref="I238:I238">_xlfn.SWITCH($A$2,"average", AVERAGE(Instances!I238:I238),"median", MEDIAN(Instances!I238:I238),"min", MIN(Instances!I238:I238),"max", MAX(Instances!I238:I238),"diff", MAX(Instances!I238:I238)-MIN(Instances!I238:I238))</f>
        <v>7.195</v>
      </c>
      <c r="J238" s="1" t="n">
        <f aca="false" t="array" ref="J238:J238">_xlfn.SWITCH($A$2,"average", AVERAGE(Instances!J238:J238),"median", MEDIAN(Instances!J238:J238),"min", MIN(Instances!J238:J238),"max", MAX(Instances!J238:J238),"diff", MAX(Instances!J238:J238)-MIN(Instances!J238:J238))</f>
        <v>7.39</v>
      </c>
      <c r="K238" s="1" t="n">
        <f aca="false" t="array" ref="K238:K238">_xlfn.SWITCH($A$2,"average", AVERAGE(Instances!K238:K238),"median", MEDIAN(Instances!K238:K238),"min", MIN(Instances!K238:K238),"max", MAX(Instances!K238:K238),"diff", MAX(Instances!K238:K238)-MIN(Instances!K238:K238))</f>
        <v>0</v>
      </c>
      <c r="L238" s="1"/>
      <c r="M238" s="1" t="n">
        <f aca="false" t="array" ref="M238:M238">_xlfn.SWITCH($A$2,"average", AVERAGE(Instances!M238:M238),"median", MEDIAN(Instances!M238:M238),"min", MIN(Instances!M238:M238),"max", MAX(Instances!M238:M238),"diff", MAX(Instances!M238:M238)-MIN(Instances!M238:M238))</f>
        <v>1669088</v>
      </c>
      <c r="N238" s="1" t="n">
        <f aca="false" t="array" ref="N238:N238">_xlfn.SWITCH($A$2,"average", AVERAGE(Instances!N238:N238),"median", MEDIAN(Instances!N238:N238),"min", MIN(Instances!N238:N238),"max", MAX(Instances!N238:N238),"diff", MAX(Instances!N238:N238)-MIN(Instances!N238:N238))</f>
        <v>0.06</v>
      </c>
      <c r="O238" s="1"/>
      <c r="P238" s="1" t="n">
        <f aca="false" t="array" ref="P238:P238">_xlfn.SWITCH($A$2,"average", AVERAGE(Instances!P238:P238),"median", MEDIAN(Instances!P238:P238),"min", MIN(Instances!P238:P238),"max", MAX(Instances!P238:P238),"diff", MAX(Instances!P238:P238)-MIN(Instances!P238:P238))</f>
        <v>7.39</v>
      </c>
      <c r="Q238" s="1" t="n">
        <f aca="false" t="array" ref="Q238:Q238">_xlfn.SWITCH($A$2,"average", AVERAGE(Instances!Q238:Q238),"median", MEDIAN(Instances!Q238:Q238),"min", MIN(Instances!Q238:Q238),"max", MAX(Instances!Q238:Q238),"diff", MAX(Instances!Q238:Q238)-MIN(Instances!Q238:Q238))</f>
        <v>0</v>
      </c>
      <c r="R238" s="1" t="n">
        <f aca="false" t="array" ref="R238:R238">_xlfn.SWITCH($A$2,"average", AVERAGE(Instances!R238:R238),"median", MEDIAN(Instances!R238:R238),"min", MIN(Instances!R238:R238),"max", MAX(Instances!R238:R238),"diff", MAX(Instances!R238:R238)-MIN(Instances!R238:R238))</f>
        <v>533188</v>
      </c>
      <c r="S238" s="1" t="n">
        <f aca="false">MIN($B238)</f>
        <v>3365</v>
      </c>
      <c r="T238" s="1" t="n">
        <f aca="false">MIN($C238)</f>
        <v>2</v>
      </c>
      <c r="U238" s="1" t="n">
        <f aca="false">MIN($D238)</f>
        <v>607186</v>
      </c>
      <c r="V238" s="1" t="n">
        <f aca="false">MIN($E238)</f>
        <v>0</v>
      </c>
      <c r="W238" s="1" t="n">
        <f aca="false">MIN($F238)</f>
        <v>531</v>
      </c>
      <c r="X238" s="1" t="n">
        <f aca="false">MIN($G238)</f>
        <v>0</v>
      </c>
      <c r="Y238" s="1" t="n">
        <f aca="false">MIN($H238)</f>
        <v>1</v>
      </c>
      <c r="Z238" s="1" t="n">
        <f aca="false">MIN($I238)</f>
        <v>7.195</v>
      </c>
      <c r="AA238" s="1" t="n">
        <f aca="false">MIN($J238)</f>
        <v>7.39</v>
      </c>
      <c r="AB238" s="1" t="n">
        <f aca="false">MIN($K238)</f>
        <v>0</v>
      </c>
      <c r="AC238" s="1" t="n">
        <f aca="false">MIN($M238)</f>
        <v>1669088</v>
      </c>
      <c r="AD238" s="1" t="n">
        <f aca="false">MIN($N238)</f>
        <v>0.06</v>
      </c>
      <c r="AE238" s="1" t="n">
        <f aca="false">MIN($P238)</f>
        <v>7.39</v>
      </c>
      <c r="AF238" s="1" t="n">
        <f aca="false">MIN($Q238)</f>
        <v>0</v>
      </c>
      <c r="AG238" s="1" t="n">
        <f aca="false">MIN($R238)</f>
        <v>533188</v>
      </c>
      <c r="AH238" s="1" t="n">
        <f aca="false">MEDIAN($B238)</f>
        <v>3365</v>
      </c>
      <c r="AI238" s="1" t="n">
        <f aca="false">MEDIAN($C238)</f>
        <v>2</v>
      </c>
      <c r="AJ238" s="1" t="n">
        <f aca="false">MEDIAN($D238)</f>
        <v>607186</v>
      </c>
      <c r="AK238" s="1" t="n">
        <f aca="false">MEDIAN($E238)</f>
        <v>0</v>
      </c>
      <c r="AL238" s="1" t="n">
        <f aca="false">MEDIAN($F238)</f>
        <v>531</v>
      </c>
      <c r="AM238" s="1" t="n">
        <f aca="false">MEDIAN($G238)</f>
        <v>0</v>
      </c>
      <c r="AN238" s="1" t="n">
        <f aca="false">MEDIAN($H238)</f>
        <v>1</v>
      </c>
      <c r="AO238" s="1" t="n">
        <f aca="false">MEDIAN($I238)</f>
        <v>7.195</v>
      </c>
      <c r="AP238" s="1" t="n">
        <f aca="false">MEDIAN($J238)</f>
        <v>7.39</v>
      </c>
      <c r="AQ238" s="1" t="n">
        <f aca="false">MEDIAN($K238)</f>
        <v>0</v>
      </c>
      <c r="AR238" s="1" t="n">
        <f aca="false">MEDIAN($M238)</f>
        <v>1669088</v>
      </c>
      <c r="AS238" s="1" t="n">
        <f aca="false">MEDIAN($N238)</f>
        <v>0.06</v>
      </c>
      <c r="AT238" s="1" t="n">
        <f aca="false">MEDIAN($P238)</f>
        <v>7.39</v>
      </c>
      <c r="AU238" s="1" t="n">
        <f aca="false">MEDIAN($Q238)</f>
        <v>0</v>
      </c>
      <c r="AV238" s="1" t="n">
        <f aca="false">MEDIAN($R238)</f>
        <v>533188</v>
      </c>
      <c r="AW238" s="1" t="n">
        <f aca="false">MAX($B238)</f>
        <v>3365</v>
      </c>
      <c r="AX238" s="1" t="n">
        <f aca="false">MAX($C238)</f>
        <v>2</v>
      </c>
      <c r="AY238" s="1" t="n">
        <f aca="false">MAX($D238)</f>
        <v>607186</v>
      </c>
      <c r="AZ238" s="1" t="n">
        <f aca="false">MAX($E238)</f>
        <v>0</v>
      </c>
      <c r="BA238" s="1" t="n">
        <f aca="false">MAX($F238)</f>
        <v>531</v>
      </c>
      <c r="BB238" s="1" t="n">
        <f aca="false">MAX($G238)</f>
        <v>0</v>
      </c>
      <c r="BC238" s="1" t="n">
        <f aca="false">MAX($H238)</f>
        <v>1</v>
      </c>
      <c r="BD238" s="1" t="n">
        <f aca="false">MAX($I238)</f>
        <v>7.195</v>
      </c>
      <c r="BE238" s="1" t="n">
        <f aca="false">MAX($J238)</f>
        <v>7.39</v>
      </c>
      <c r="BF238" s="1" t="n">
        <f aca="false">MAX($K238)</f>
        <v>0</v>
      </c>
      <c r="BG238" s="1" t="n">
        <f aca="false">MAX($M238)</f>
        <v>1669088</v>
      </c>
      <c r="BH238" s="1" t="n">
        <f aca="false">MAX($N238)</f>
        <v>0.06</v>
      </c>
      <c r="BI238" s="1" t="n">
        <f aca="false">MAX($P238)</f>
        <v>7.39</v>
      </c>
      <c r="BJ238" s="1" t="n">
        <f aca="false">MAX($Q238)</f>
        <v>0</v>
      </c>
      <c r="BK238" s="1" t="n">
        <f aca="false">MAX($R238)</f>
        <v>533188</v>
      </c>
    </row>
    <row r="239" customFormat="false" ht="15" hidden="false" customHeight="false" outlineLevel="0" collapsed="false">
      <c r="A239" s="1" t="s">
        <v>256</v>
      </c>
      <c r="B239" s="1" t="n">
        <f aca="false" t="array" ref="B239:B239">_xlfn.SWITCH($A$2,"average", AVERAGE(Instances!B239:B239),"median", MEDIAN(Instances!B239:B239),"min", MIN(Instances!B239:B239),"max", MAX(Instances!B239:B239),"diff", MAX(Instances!B239:B239)-MIN(Instances!B239:B239))</f>
        <v>1885</v>
      </c>
      <c r="C239" s="1" t="n">
        <f aca="false" t="array" ref="C239:C239">_xlfn.SWITCH($A$2,"average", AVERAGE(Instances!C239:C239),"median", MEDIAN(Instances!C239:C239),"min", MIN(Instances!C239:C239),"max", MAX(Instances!C239:C239),"diff", MAX(Instances!C239:C239)-MIN(Instances!C239:C239))</f>
        <v>1</v>
      </c>
      <c r="D239" s="1" t="n">
        <f aca="false" t="array" ref="D239:D239">_xlfn.SWITCH($A$2,"average", AVERAGE(Instances!D239:D239),"median", MEDIAN(Instances!D239:D239),"min", MIN(Instances!D239:D239),"max", MAX(Instances!D239:D239),"diff", MAX(Instances!D239:D239)-MIN(Instances!D239:D239))</f>
        <v>339855</v>
      </c>
      <c r="E239" s="1" t="n">
        <f aca="false" t="array" ref="E239:E239">_xlfn.SWITCH($A$2,"average", AVERAGE(Instances!E239:E239),"median", MEDIAN(Instances!E239:E239),"min", MIN(Instances!E239:E239),"max", MAX(Instances!E239:E239),"diff", MAX(Instances!E239:E239)-MIN(Instances!E239:E239))</f>
        <v>0</v>
      </c>
      <c r="F239" s="1" t="n">
        <f aca="false" t="array" ref="F239:F239">_xlfn.SWITCH($A$2,"average", AVERAGE(Instances!F239:F239),"median", MEDIAN(Instances!F239:F239),"min", MIN(Instances!F239:F239),"max", MAX(Instances!F239:F239),"diff", MAX(Instances!F239:F239)-MIN(Instances!F239:F239))</f>
        <v>458</v>
      </c>
      <c r="G239" s="1" t="n">
        <f aca="false" t="array" ref="G239:G239">_xlfn.SWITCH($A$2,"average", AVERAGE(Instances!G239:G239),"median", MEDIAN(Instances!G239:G239),"min", MIN(Instances!G239:G239),"max", MAX(Instances!G239:G239),"diff", MAX(Instances!G239:G239)-MIN(Instances!G239:G239))</f>
        <v>0</v>
      </c>
      <c r="H239" s="1" t="n">
        <f aca="false" t="array" ref="H239:H239">_xlfn.SWITCH($A$2,"average", AVERAGE(Instances!H239:H239),"median", MEDIAN(Instances!H239:H239),"min", MIN(Instances!H239:H239),"max", MAX(Instances!H239:H239),"diff", MAX(Instances!H239:H239)-MIN(Instances!H239:H239))</f>
        <v>1</v>
      </c>
      <c r="I239" s="1" t="n">
        <f aca="false" t="array" ref="I239:I239">_xlfn.SWITCH($A$2,"average", AVERAGE(Instances!I239:I239),"median", MEDIAN(Instances!I239:I239),"min", MIN(Instances!I239:I239),"max", MAX(Instances!I239:I239),"diff", MAX(Instances!I239:I239)-MIN(Instances!I239:I239))</f>
        <v>6.237</v>
      </c>
      <c r="J239" s="1" t="n">
        <f aca="false" t="array" ref="J239:J239">_xlfn.SWITCH($A$2,"average", AVERAGE(Instances!J239:J239),"median", MEDIAN(Instances!J239:J239),"min", MIN(Instances!J239:J239),"max", MAX(Instances!J239:J239),"diff", MAX(Instances!J239:J239)-MIN(Instances!J239:J239))</f>
        <v>6.41</v>
      </c>
      <c r="K239" s="1" t="n">
        <f aca="false" t="array" ref="K239:K239">_xlfn.SWITCH($A$2,"average", AVERAGE(Instances!K239:K239),"median", MEDIAN(Instances!K239:K239),"min", MIN(Instances!K239:K239),"max", MAX(Instances!K239:K239),"diff", MAX(Instances!K239:K239)-MIN(Instances!K239:K239))</f>
        <v>0</v>
      </c>
      <c r="L239" s="1"/>
      <c r="M239" s="1" t="n">
        <f aca="false" t="array" ref="M239:M239">_xlfn.SWITCH($A$2,"average", AVERAGE(Instances!M239:M239),"median", MEDIAN(Instances!M239:M239),"min", MIN(Instances!M239:M239),"max", MAX(Instances!M239:M239),"diff", MAX(Instances!M239:M239)-MIN(Instances!M239:M239))</f>
        <v>1405453</v>
      </c>
      <c r="N239" s="1" t="n">
        <f aca="false" t="array" ref="N239:N239">_xlfn.SWITCH($A$2,"average", AVERAGE(Instances!N239:N239),"median", MEDIAN(Instances!N239:N239),"min", MIN(Instances!N239:N239),"max", MAX(Instances!N239:N239),"diff", MAX(Instances!N239:N239)-MIN(Instances!N239:N239))</f>
        <v>0.03</v>
      </c>
      <c r="O239" s="1"/>
      <c r="P239" s="1" t="n">
        <f aca="false" t="array" ref="P239:P239">_xlfn.SWITCH($A$2,"average", AVERAGE(Instances!P239:P239),"median", MEDIAN(Instances!P239:P239),"min", MIN(Instances!P239:P239),"max", MAX(Instances!P239:P239),"diff", MAX(Instances!P239:P239)-MIN(Instances!P239:P239))</f>
        <v>6.41</v>
      </c>
      <c r="Q239" s="1" t="n">
        <f aca="false" t="array" ref="Q239:Q239">_xlfn.SWITCH($A$2,"average", AVERAGE(Instances!Q239:Q239),"median", MEDIAN(Instances!Q239:Q239),"min", MIN(Instances!Q239:Q239),"max", MAX(Instances!Q239:Q239),"diff", MAX(Instances!Q239:Q239)-MIN(Instances!Q239:Q239))</f>
        <v>0</v>
      </c>
      <c r="R239" s="1" t="n">
        <f aca="false" t="array" ref="R239:R239">_xlfn.SWITCH($A$2,"average", AVERAGE(Instances!R239:R239),"median", MEDIAN(Instances!R239:R239),"min", MIN(Instances!R239:R239),"max", MAX(Instances!R239:R239),"diff", MAX(Instances!R239:R239)-MIN(Instances!R239:R239))</f>
        <v>453998</v>
      </c>
      <c r="S239" s="1" t="n">
        <f aca="false">MIN($B239)</f>
        <v>1885</v>
      </c>
      <c r="T239" s="1" t="n">
        <f aca="false">MIN($C239)</f>
        <v>1</v>
      </c>
      <c r="U239" s="1" t="n">
        <f aca="false">MIN($D239)</f>
        <v>339855</v>
      </c>
      <c r="V239" s="1" t="n">
        <f aca="false">MIN($E239)</f>
        <v>0</v>
      </c>
      <c r="W239" s="1" t="n">
        <f aca="false">MIN($F239)</f>
        <v>458</v>
      </c>
      <c r="X239" s="1" t="n">
        <f aca="false">MIN($G239)</f>
        <v>0</v>
      </c>
      <c r="Y239" s="1" t="n">
        <f aca="false">MIN($H239)</f>
        <v>1</v>
      </c>
      <c r="Z239" s="1" t="n">
        <f aca="false">MIN($I239)</f>
        <v>6.237</v>
      </c>
      <c r="AA239" s="1" t="n">
        <f aca="false">MIN($J239)</f>
        <v>6.41</v>
      </c>
      <c r="AB239" s="1" t="n">
        <f aca="false">MIN($K239)</f>
        <v>0</v>
      </c>
      <c r="AC239" s="1" t="n">
        <f aca="false">MIN($M239)</f>
        <v>1405453</v>
      </c>
      <c r="AD239" s="1" t="n">
        <f aca="false">MIN($N239)</f>
        <v>0.03</v>
      </c>
      <c r="AE239" s="1" t="n">
        <f aca="false">MIN($P239)</f>
        <v>6.41</v>
      </c>
      <c r="AF239" s="1" t="n">
        <f aca="false">MIN($Q239)</f>
        <v>0</v>
      </c>
      <c r="AG239" s="1" t="n">
        <f aca="false">MIN($R239)</f>
        <v>453998</v>
      </c>
      <c r="AH239" s="1" t="n">
        <f aca="false">MEDIAN($B239)</f>
        <v>1885</v>
      </c>
      <c r="AI239" s="1" t="n">
        <f aca="false">MEDIAN($C239)</f>
        <v>1</v>
      </c>
      <c r="AJ239" s="1" t="n">
        <f aca="false">MEDIAN($D239)</f>
        <v>339855</v>
      </c>
      <c r="AK239" s="1" t="n">
        <f aca="false">MEDIAN($E239)</f>
        <v>0</v>
      </c>
      <c r="AL239" s="1" t="n">
        <f aca="false">MEDIAN($F239)</f>
        <v>458</v>
      </c>
      <c r="AM239" s="1" t="n">
        <f aca="false">MEDIAN($G239)</f>
        <v>0</v>
      </c>
      <c r="AN239" s="1" t="n">
        <f aca="false">MEDIAN($H239)</f>
        <v>1</v>
      </c>
      <c r="AO239" s="1" t="n">
        <f aca="false">MEDIAN($I239)</f>
        <v>6.237</v>
      </c>
      <c r="AP239" s="1" t="n">
        <f aca="false">MEDIAN($J239)</f>
        <v>6.41</v>
      </c>
      <c r="AQ239" s="1" t="n">
        <f aca="false">MEDIAN($K239)</f>
        <v>0</v>
      </c>
      <c r="AR239" s="1" t="n">
        <f aca="false">MEDIAN($M239)</f>
        <v>1405453</v>
      </c>
      <c r="AS239" s="1" t="n">
        <f aca="false">MEDIAN($N239)</f>
        <v>0.03</v>
      </c>
      <c r="AT239" s="1" t="n">
        <f aca="false">MEDIAN($P239)</f>
        <v>6.41</v>
      </c>
      <c r="AU239" s="1" t="n">
        <f aca="false">MEDIAN($Q239)</f>
        <v>0</v>
      </c>
      <c r="AV239" s="1" t="n">
        <f aca="false">MEDIAN($R239)</f>
        <v>453998</v>
      </c>
      <c r="AW239" s="1" t="n">
        <f aca="false">MAX($B239)</f>
        <v>1885</v>
      </c>
      <c r="AX239" s="1" t="n">
        <f aca="false">MAX($C239)</f>
        <v>1</v>
      </c>
      <c r="AY239" s="1" t="n">
        <f aca="false">MAX($D239)</f>
        <v>339855</v>
      </c>
      <c r="AZ239" s="1" t="n">
        <f aca="false">MAX($E239)</f>
        <v>0</v>
      </c>
      <c r="BA239" s="1" t="n">
        <f aca="false">MAX($F239)</f>
        <v>458</v>
      </c>
      <c r="BB239" s="1" t="n">
        <f aca="false">MAX($G239)</f>
        <v>0</v>
      </c>
      <c r="BC239" s="1" t="n">
        <f aca="false">MAX($H239)</f>
        <v>1</v>
      </c>
      <c r="BD239" s="1" t="n">
        <f aca="false">MAX($I239)</f>
        <v>6.237</v>
      </c>
      <c r="BE239" s="1" t="n">
        <f aca="false">MAX($J239)</f>
        <v>6.41</v>
      </c>
      <c r="BF239" s="1" t="n">
        <f aca="false">MAX($K239)</f>
        <v>0</v>
      </c>
      <c r="BG239" s="1" t="n">
        <f aca="false">MAX($M239)</f>
        <v>1405453</v>
      </c>
      <c r="BH239" s="1" t="n">
        <f aca="false">MAX($N239)</f>
        <v>0.03</v>
      </c>
      <c r="BI239" s="1" t="n">
        <f aca="false">MAX($P239)</f>
        <v>6.41</v>
      </c>
      <c r="BJ239" s="1" t="n">
        <f aca="false">MAX($Q239)</f>
        <v>0</v>
      </c>
      <c r="BK239" s="1" t="n">
        <f aca="false">MAX($R239)</f>
        <v>453998</v>
      </c>
    </row>
    <row r="240" customFormat="false" ht="15" hidden="false" customHeight="false" outlineLevel="0" collapsed="false">
      <c r="A240" s="1" t="s">
        <v>257</v>
      </c>
      <c r="B240" s="1" t="n">
        <f aca="false" t="array" ref="B240:B240">_xlfn.SWITCH($A$2,"average", AVERAGE(Instances!B240:B240),"median", MEDIAN(Instances!B240:B240),"min", MIN(Instances!B240:B240),"max", MAX(Instances!B240:B240),"diff", MAX(Instances!B240:B240)-MIN(Instances!B240:B240))</f>
        <v>2346</v>
      </c>
      <c r="C240" s="1" t="n">
        <f aca="false" t="array" ref="C240:C240">_xlfn.SWITCH($A$2,"average", AVERAGE(Instances!C240:C240),"median", MEDIAN(Instances!C240:C240),"min", MIN(Instances!C240:C240),"max", MAX(Instances!C240:C240),"diff", MAX(Instances!C240:C240)-MIN(Instances!C240:C240))</f>
        <v>2</v>
      </c>
      <c r="D240" s="1" t="n">
        <f aca="false" t="array" ref="D240:D240">_xlfn.SWITCH($A$2,"average", AVERAGE(Instances!D240:D240),"median", MEDIAN(Instances!D240:D240),"min", MIN(Instances!D240:D240),"max", MAX(Instances!D240:D240),"diff", MAX(Instances!D240:D240)-MIN(Instances!D240:D240))</f>
        <v>511151</v>
      </c>
      <c r="E240" s="1" t="n">
        <f aca="false" t="array" ref="E240:E240">_xlfn.SWITCH($A$2,"average", AVERAGE(Instances!E240:E240),"median", MEDIAN(Instances!E240:E240),"min", MIN(Instances!E240:E240),"max", MAX(Instances!E240:E240),"diff", MAX(Instances!E240:E240)-MIN(Instances!E240:E240))</f>
        <v>0</v>
      </c>
      <c r="F240" s="1" t="n">
        <f aca="false" t="array" ref="F240:F240">_xlfn.SWITCH($A$2,"average", AVERAGE(Instances!F240:F240),"median", MEDIAN(Instances!F240:F240),"min", MIN(Instances!F240:F240),"max", MAX(Instances!F240:F240),"diff", MAX(Instances!F240:F240)-MIN(Instances!F240:F240))</f>
        <v>540</v>
      </c>
      <c r="G240" s="1" t="n">
        <f aca="false" t="array" ref="G240:G240">_xlfn.SWITCH($A$2,"average", AVERAGE(Instances!G240:G240),"median", MEDIAN(Instances!G240:G240),"min", MIN(Instances!G240:G240),"max", MAX(Instances!G240:G240),"diff", MAX(Instances!G240:G240)-MIN(Instances!G240:G240))</f>
        <v>0</v>
      </c>
      <c r="H240" s="1" t="n">
        <f aca="false" t="array" ref="H240:H240">_xlfn.SWITCH($A$2,"average", AVERAGE(Instances!H240:H240),"median", MEDIAN(Instances!H240:H240),"min", MIN(Instances!H240:H240),"max", MAX(Instances!H240:H240),"diff", MAX(Instances!H240:H240)-MIN(Instances!H240:H240))</f>
        <v>1</v>
      </c>
      <c r="I240" s="1" t="n">
        <f aca="false" t="array" ref="I240:I240">_xlfn.SWITCH($A$2,"average", AVERAGE(Instances!I240:I240),"median", MEDIAN(Instances!I240:I240),"min", MIN(Instances!I240:I240),"max", MAX(Instances!I240:I240),"diff", MAX(Instances!I240:I240)-MIN(Instances!I240:I240))</f>
        <v>7.598</v>
      </c>
      <c r="J240" s="1" t="n">
        <f aca="false" t="array" ref="J240:J240">_xlfn.SWITCH($A$2,"average", AVERAGE(Instances!J240:J240),"median", MEDIAN(Instances!J240:J240),"min", MIN(Instances!J240:J240),"max", MAX(Instances!J240:J240),"diff", MAX(Instances!J240:J240)-MIN(Instances!J240:J240))</f>
        <v>7.8</v>
      </c>
      <c r="K240" s="1" t="n">
        <f aca="false" t="array" ref="K240:K240">_xlfn.SWITCH($A$2,"average", AVERAGE(Instances!K240:K240),"median", MEDIAN(Instances!K240:K240),"min", MIN(Instances!K240:K240),"max", MAX(Instances!K240:K240),"diff", MAX(Instances!K240:K240)-MIN(Instances!K240:K240))</f>
        <v>0</v>
      </c>
      <c r="L240" s="1"/>
      <c r="M240" s="1" t="n">
        <f aca="false" t="array" ref="M240:M240">_xlfn.SWITCH($A$2,"average", AVERAGE(Instances!M240:M240),"median", MEDIAN(Instances!M240:M240),"min", MIN(Instances!M240:M240),"max", MAX(Instances!M240:M240),"diff", MAX(Instances!M240:M240)-MIN(Instances!M240:M240))</f>
        <v>1786304</v>
      </c>
      <c r="N240" s="1" t="n">
        <f aca="false" t="array" ref="N240:N240">_xlfn.SWITCH($A$2,"average", AVERAGE(Instances!N240:N240),"median", MEDIAN(Instances!N240:N240),"min", MIN(Instances!N240:N240),"max", MAX(Instances!N240:N240),"diff", MAX(Instances!N240:N240)-MIN(Instances!N240:N240))</f>
        <v>0.05</v>
      </c>
      <c r="O240" s="1"/>
      <c r="P240" s="1" t="n">
        <f aca="false" t="array" ref="P240:P240">_xlfn.SWITCH($A$2,"average", AVERAGE(Instances!P240:P240),"median", MEDIAN(Instances!P240:P240),"min", MIN(Instances!P240:P240),"max", MAX(Instances!P240:P240),"diff", MAX(Instances!P240:P240)-MIN(Instances!P240:P240))</f>
        <v>7.8</v>
      </c>
      <c r="Q240" s="1" t="n">
        <f aca="false" t="array" ref="Q240:Q240">_xlfn.SWITCH($A$2,"average", AVERAGE(Instances!Q240:Q240),"median", MEDIAN(Instances!Q240:Q240),"min", MIN(Instances!Q240:Q240),"max", MAX(Instances!Q240:Q240),"diff", MAX(Instances!Q240:Q240)-MIN(Instances!Q240:Q240))</f>
        <v>0</v>
      </c>
      <c r="R240" s="1" t="n">
        <f aca="false" t="array" ref="R240:R240">_xlfn.SWITCH($A$2,"average", AVERAGE(Instances!R240:R240),"median", MEDIAN(Instances!R240:R240),"min", MIN(Instances!R240:R240),"max", MAX(Instances!R240:R240),"diff", MAX(Instances!R240:R240)-MIN(Instances!R240:R240))</f>
        <v>540052</v>
      </c>
      <c r="S240" s="1" t="n">
        <f aca="false">MIN($B240)</f>
        <v>2346</v>
      </c>
      <c r="T240" s="1" t="n">
        <f aca="false">MIN($C240)</f>
        <v>2</v>
      </c>
      <c r="U240" s="1" t="n">
        <f aca="false">MIN($D240)</f>
        <v>511151</v>
      </c>
      <c r="V240" s="1" t="n">
        <f aca="false">MIN($E240)</f>
        <v>0</v>
      </c>
      <c r="W240" s="1" t="n">
        <f aca="false">MIN($F240)</f>
        <v>540</v>
      </c>
      <c r="X240" s="1" t="n">
        <f aca="false">MIN($G240)</f>
        <v>0</v>
      </c>
      <c r="Y240" s="1" t="n">
        <f aca="false">MIN($H240)</f>
        <v>1</v>
      </c>
      <c r="Z240" s="1" t="n">
        <f aca="false">MIN($I240)</f>
        <v>7.598</v>
      </c>
      <c r="AA240" s="1" t="n">
        <f aca="false">MIN($J240)</f>
        <v>7.8</v>
      </c>
      <c r="AB240" s="1" t="n">
        <f aca="false">MIN($K240)</f>
        <v>0</v>
      </c>
      <c r="AC240" s="1" t="n">
        <f aca="false">MIN($M240)</f>
        <v>1786304</v>
      </c>
      <c r="AD240" s="1" t="n">
        <f aca="false">MIN($N240)</f>
        <v>0.05</v>
      </c>
      <c r="AE240" s="1" t="n">
        <f aca="false">MIN($P240)</f>
        <v>7.8</v>
      </c>
      <c r="AF240" s="1" t="n">
        <f aca="false">MIN($Q240)</f>
        <v>0</v>
      </c>
      <c r="AG240" s="1" t="n">
        <f aca="false">MIN($R240)</f>
        <v>540052</v>
      </c>
      <c r="AH240" s="1" t="n">
        <f aca="false">MEDIAN($B240)</f>
        <v>2346</v>
      </c>
      <c r="AI240" s="1" t="n">
        <f aca="false">MEDIAN($C240)</f>
        <v>2</v>
      </c>
      <c r="AJ240" s="1" t="n">
        <f aca="false">MEDIAN($D240)</f>
        <v>511151</v>
      </c>
      <c r="AK240" s="1" t="n">
        <f aca="false">MEDIAN($E240)</f>
        <v>0</v>
      </c>
      <c r="AL240" s="1" t="n">
        <f aca="false">MEDIAN($F240)</f>
        <v>540</v>
      </c>
      <c r="AM240" s="1" t="n">
        <f aca="false">MEDIAN($G240)</f>
        <v>0</v>
      </c>
      <c r="AN240" s="1" t="n">
        <f aca="false">MEDIAN($H240)</f>
        <v>1</v>
      </c>
      <c r="AO240" s="1" t="n">
        <f aca="false">MEDIAN($I240)</f>
        <v>7.598</v>
      </c>
      <c r="AP240" s="1" t="n">
        <f aca="false">MEDIAN($J240)</f>
        <v>7.8</v>
      </c>
      <c r="AQ240" s="1" t="n">
        <f aca="false">MEDIAN($K240)</f>
        <v>0</v>
      </c>
      <c r="AR240" s="1" t="n">
        <f aca="false">MEDIAN($M240)</f>
        <v>1786304</v>
      </c>
      <c r="AS240" s="1" t="n">
        <f aca="false">MEDIAN($N240)</f>
        <v>0.05</v>
      </c>
      <c r="AT240" s="1" t="n">
        <f aca="false">MEDIAN($P240)</f>
        <v>7.8</v>
      </c>
      <c r="AU240" s="1" t="n">
        <f aca="false">MEDIAN($Q240)</f>
        <v>0</v>
      </c>
      <c r="AV240" s="1" t="n">
        <f aca="false">MEDIAN($R240)</f>
        <v>540052</v>
      </c>
      <c r="AW240" s="1" t="n">
        <f aca="false">MAX($B240)</f>
        <v>2346</v>
      </c>
      <c r="AX240" s="1" t="n">
        <f aca="false">MAX($C240)</f>
        <v>2</v>
      </c>
      <c r="AY240" s="1" t="n">
        <f aca="false">MAX($D240)</f>
        <v>511151</v>
      </c>
      <c r="AZ240" s="1" t="n">
        <f aca="false">MAX($E240)</f>
        <v>0</v>
      </c>
      <c r="BA240" s="1" t="n">
        <f aca="false">MAX($F240)</f>
        <v>540</v>
      </c>
      <c r="BB240" s="1" t="n">
        <f aca="false">MAX($G240)</f>
        <v>0</v>
      </c>
      <c r="BC240" s="1" t="n">
        <f aca="false">MAX($H240)</f>
        <v>1</v>
      </c>
      <c r="BD240" s="1" t="n">
        <f aca="false">MAX($I240)</f>
        <v>7.598</v>
      </c>
      <c r="BE240" s="1" t="n">
        <f aca="false">MAX($J240)</f>
        <v>7.8</v>
      </c>
      <c r="BF240" s="1" t="n">
        <f aca="false">MAX($K240)</f>
        <v>0</v>
      </c>
      <c r="BG240" s="1" t="n">
        <f aca="false">MAX($M240)</f>
        <v>1786304</v>
      </c>
      <c r="BH240" s="1" t="n">
        <f aca="false">MAX($N240)</f>
        <v>0.05</v>
      </c>
      <c r="BI240" s="1" t="n">
        <f aca="false">MAX($P240)</f>
        <v>7.8</v>
      </c>
      <c r="BJ240" s="1" t="n">
        <f aca="false">MAX($Q240)</f>
        <v>0</v>
      </c>
      <c r="BK240" s="1" t="n">
        <f aca="false">MAX($R240)</f>
        <v>540052</v>
      </c>
    </row>
    <row r="241" customFormat="false" ht="15" hidden="false" customHeight="false" outlineLevel="0" collapsed="false">
      <c r="A241" s="1" t="s">
        <v>258</v>
      </c>
      <c r="B241" s="1" t="n">
        <f aca="false" t="array" ref="B241:B241">_xlfn.SWITCH($A$2,"average", AVERAGE(Instances!B241:B241),"median", MEDIAN(Instances!B241:B241),"min", MIN(Instances!B241:B241),"max", MAX(Instances!B241:B241),"diff", MAX(Instances!B241:B241)-MIN(Instances!B241:B241))</f>
        <v>2257</v>
      </c>
      <c r="C241" s="1" t="n">
        <f aca="false" t="array" ref="C241:C241">_xlfn.SWITCH($A$2,"average", AVERAGE(Instances!C241:C241),"median", MEDIAN(Instances!C241:C241),"min", MIN(Instances!C241:C241),"max", MAX(Instances!C241:C241),"diff", MAX(Instances!C241:C241)-MIN(Instances!C241:C241))</f>
        <v>8</v>
      </c>
      <c r="D241" s="1" t="n">
        <f aca="false" t="array" ref="D241:D241">_xlfn.SWITCH($A$2,"average", AVERAGE(Instances!D241:D241),"median", MEDIAN(Instances!D241:D241),"min", MIN(Instances!D241:D241),"max", MAX(Instances!D241:D241),"diff", MAX(Instances!D241:D241)-MIN(Instances!D241:D241))</f>
        <v>401523</v>
      </c>
      <c r="E241" s="1" t="n">
        <f aca="false" t="array" ref="E241:E241">_xlfn.SWITCH($A$2,"average", AVERAGE(Instances!E241:E241),"median", MEDIAN(Instances!E241:E241),"min", MIN(Instances!E241:E241),"max", MAX(Instances!E241:E241),"diff", MAX(Instances!E241:E241)-MIN(Instances!E241:E241))</f>
        <v>0</v>
      </c>
      <c r="F241" s="1" t="n">
        <f aca="false" t="array" ref="F241:F241">_xlfn.SWITCH($A$2,"average", AVERAGE(Instances!F241:F241),"median", MEDIAN(Instances!F241:F241),"min", MIN(Instances!F241:F241),"max", MAX(Instances!F241:F241),"diff", MAX(Instances!F241:F241)-MIN(Instances!F241:F241))</f>
        <v>453</v>
      </c>
      <c r="G241" s="1" t="n">
        <f aca="false" t="array" ref="G241:G241">_xlfn.SWITCH($A$2,"average", AVERAGE(Instances!G241:G241),"median", MEDIAN(Instances!G241:G241),"min", MIN(Instances!G241:G241),"max", MAX(Instances!G241:G241),"diff", MAX(Instances!G241:G241)-MIN(Instances!G241:G241))</f>
        <v>0</v>
      </c>
      <c r="H241" s="1" t="n">
        <f aca="false" t="array" ref="H241:H241">_xlfn.SWITCH($A$2,"average", AVERAGE(Instances!H241:H241),"median", MEDIAN(Instances!H241:H241),"min", MIN(Instances!H241:H241),"max", MAX(Instances!H241:H241),"diff", MAX(Instances!H241:H241)-MIN(Instances!H241:H241))</f>
        <v>1</v>
      </c>
      <c r="I241" s="1" t="n">
        <f aca="false" t="array" ref="I241:I241">_xlfn.SWITCH($A$2,"average", AVERAGE(Instances!I241:I241),"median", MEDIAN(Instances!I241:I241),"min", MIN(Instances!I241:I241),"max", MAX(Instances!I241:I241),"diff", MAX(Instances!I241:I241)-MIN(Instances!I241:I241))</f>
        <v>6.408</v>
      </c>
      <c r="J241" s="1" t="n">
        <f aca="false" t="array" ref="J241:J241">_xlfn.SWITCH($A$2,"average", AVERAGE(Instances!J241:J241),"median", MEDIAN(Instances!J241:J241),"min", MIN(Instances!J241:J241),"max", MAX(Instances!J241:J241),"diff", MAX(Instances!J241:J241)-MIN(Instances!J241:J241))</f>
        <v>6.58</v>
      </c>
      <c r="K241" s="1" t="n">
        <f aca="false" t="array" ref="K241:K241">_xlfn.SWITCH($A$2,"average", AVERAGE(Instances!K241:K241),"median", MEDIAN(Instances!K241:K241),"min", MIN(Instances!K241:K241),"max", MAX(Instances!K241:K241),"diff", MAX(Instances!K241:K241)-MIN(Instances!K241:K241))</f>
        <v>0</v>
      </c>
      <c r="L241" s="1"/>
      <c r="M241" s="1" t="n">
        <f aca="false" t="array" ref="M241:M241">_xlfn.SWITCH($A$2,"average", AVERAGE(Instances!M241:M241),"median", MEDIAN(Instances!M241:M241),"min", MIN(Instances!M241:M241),"max", MAX(Instances!M241:M241),"diff", MAX(Instances!M241:M241)-MIN(Instances!M241:M241))</f>
        <v>1481787</v>
      </c>
      <c r="N241" s="1" t="n">
        <f aca="false" t="array" ref="N241:N241">_xlfn.SWITCH($A$2,"average", AVERAGE(Instances!N241:N241),"median", MEDIAN(Instances!N241:N241),"min", MIN(Instances!N241:N241),"max", MAX(Instances!N241:N241),"diff", MAX(Instances!N241:N241)-MIN(Instances!N241:N241))</f>
        <v>0.05</v>
      </c>
      <c r="O241" s="1"/>
      <c r="P241" s="1" t="n">
        <f aca="false" t="array" ref="P241:P241">_xlfn.SWITCH($A$2,"average", AVERAGE(Instances!P241:P241),"median", MEDIAN(Instances!P241:P241),"min", MIN(Instances!P241:P241),"max", MAX(Instances!P241:P241),"diff", MAX(Instances!P241:P241)-MIN(Instances!P241:P241))</f>
        <v>6.58</v>
      </c>
      <c r="Q241" s="1" t="n">
        <f aca="false" t="array" ref="Q241:Q241">_xlfn.SWITCH($A$2,"average", AVERAGE(Instances!Q241:Q241),"median", MEDIAN(Instances!Q241:Q241),"min", MIN(Instances!Q241:Q241),"max", MAX(Instances!Q241:Q241),"diff", MAX(Instances!Q241:Q241)-MIN(Instances!Q241:Q241))</f>
        <v>0</v>
      </c>
      <c r="R241" s="1" t="n">
        <f aca="false" t="array" ref="R241:R241">_xlfn.SWITCH($A$2,"average", AVERAGE(Instances!R241:R241),"median", MEDIAN(Instances!R241:R241),"min", MIN(Instances!R241:R241),"max", MAX(Instances!R241:R241),"diff", MAX(Instances!R241:R241)-MIN(Instances!R241:R241))</f>
        <v>442844</v>
      </c>
      <c r="S241" s="1" t="n">
        <f aca="false">MIN($B241)</f>
        <v>2257</v>
      </c>
      <c r="T241" s="1" t="n">
        <f aca="false">MIN($C241)</f>
        <v>8</v>
      </c>
      <c r="U241" s="1" t="n">
        <f aca="false">MIN($D241)</f>
        <v>401523</v>
      </c>
      <c r="V241" s="1" t="n">
        <f aca="false">MIN($E241)</f>
        <v>0</v>
      </c>
      <c r="W241" s="1" t="n">
        <f aca="false">MIN($F241)</f>
        <v>453</v>
      </c>
      <c r="X241" s="1" t="n">
        <f aca="false">MIN($G241)</f>
        <v>0</v>
      </c>
      <c r="Y241" s="1" t="n">
        <f aca="false">MIN($H241)</f>
        <v>1</v>
      </c>
      <c r="Z241" s="1" t="n">
        <f aca="false">MIN($I241)</f>
        <v>6.408</v>
      </c>
      <c r="AA241" s="1" t="n">
        <f aca="false">MIN($J241)</f>
        <v>6.58</v>
      </c>
      <c r="AB241" s="1" t="n">
        <f aca="false">MIN($K241)</f>
        <v>0</v>
      </c>
      <c r="AC241" s="1" t="n">
        <f aca="false">MIN($M241)</f>
        <v>1481787</v>
      </c>
      <c r="AD241" s="1" t="n">
        <f aca="false">MIN($N241)</f>
        <v>0.05</v>
      </c>
      <c r="AE241" s="1" t="n">
        <f aca="false">MIN($P241)</f>
        <v>6.58</v>
      </c>
      <c r="AF241" s="1" t="n">
        <f aca="false">MIN($Q241)</f>
        <v>0</v>
      </c>
      <c r="AG241" s="1" t="n">
        <f aca="false">MIN($R241)</f>
        <v>442844</v>
      </c>
      <c r="AH241" s="1" t="n">
        <f aca="false">MEDIAN($B241)</f>
        <v>2257</v>
      </c>
      <c r="AI241" s="1" t="n">
        <f aca="false">MEDIAN($C241)</f>
        <v>8</v>
      </c>
      <c r="AJ241" s="1" t="n">
        <f aca="false">MEDIAN($D241)</f>
        <v>401523</v>
      </c>
      <c r="AK241" s="1" t="n">
        <f aca="false">MEDIAN($E241)</f>
        <v>0</v>
      </c>
      <c r="AL241" s="1" t="n">
        <f aca="false">MEDIAN($F241)</f>
        <v>453</v>
      </c>
      <c r="AM241" s="1" t="n">
        <f aca="false">MEDIAN($G241)</f>
        <v>0</v>
      </c>
      <c r="AN241" s="1" t="n">
        <f aca="false">MEDIAN($H241)</f>
        <v>1</v>
      </c>
      <c r="AO241" s="1" t="n">
        <f aca="false">MEDIAN($I241)</f>
        <v>6.408</v>
      </c>
      <c r="AP241" s="1" t="n">
        <f aca="false">MEDIAN($J241)</f>
        <v>6.58</v>
      </c>
      <c r="AQ241" s="1" t="n">
        <f aca="false">MEDIAN($K241)</f>
        <v>0</v>
      </c>
      <c r="AR241" s="1" t="n">
        <f aca="false">MEDIAN($M241)</f>
        <v>1481787</v>
      </c>
      <c r="AS241" s="1" t="n">
        <f aca="false">MEDIAN($N241)</f>
        <v>0.05</v>
      </c>
      <c r="AT241" s="1" t="n">
        <f aca="false">MEDIAN($P241)</f>
        <v>6.58</v>
      </c>
      <c r="AU241" s="1" t="n">
        <f aca="false">MEDIAN($Q241)</f>
        <v>0</v>
      </c>
      <c r="AV241" s="1" t="n">
        <f aca="false">MEDIAN($R241)</f>
        <v>442844</v>
      </c>
      <c r="AW241" s="1" t="n">
        <f aca="false">MAX($B241)</f>
        <v>2257</v>
      </c>
      <c r="AX241" s="1" t="n">
        <f aca="false">MAX($C241)</f>
        <v>8</v>
      </c>
      <c r="AY241" s="1" t="n">
        <f aca="false">MAX($D241)</f>
        <v>401523</v>
      </c>
      <c r="AZ241" s="1" t="n">
        <f aca="false">MAX($E241)</f>
        <v>0</v>
      </c>
      <c r="BA241" s="1" t="n">
        <f aca="false">MAX($F241)</f>
        <v>453</v>
      </c>
      <c r="BB241" s="1" t="n">
        <f aca="false">MAX($G241)</f>
        <v>0</v>
      </c>
      <c r="BC241" s="1" t="n">
        <f aca="false">MAX($H241)</f>
        <v>1</v>
      </c>
      <c r="BD241" s="1" t="n">
        <f aca="false">MAX($I241)</f>
        <v>6.408</v>
      </c>
      <c r="BE241" s="1" t="n">
        <f aca="false">MAX($J241)</f>
        <v>6.58</v>
      </c>
      <c r="BF241" s="1" t="n">
        <f aca="false">MAX($K241)</f>
        <v>0</v>
      </c>
      <c r="BG241" s="1" t="n">
        <f aca="false">MAX($M241)</f>
        <v>1481787</v>
      </c>
      <c r="BH241" s="1" t="n">
        <f aca="false">MAX($N241)</f>
        <v>0.05</v>
      </c>
      <c r="BI241" s="1" t="n">
        <f aca="false">MAX($P241)</f>
        <v>6.58</v>
      </c>
      <c r="BJ241" s="1" t="n">
        <f aca="false">MAX($Q241)</f>
        <v>0</v>
      </c>
      <c r="BK241" s="1" t="n">
        <f aca="false">MAX($R241)</f>
        <v>442844</v>
      </c>
    </row>
    <row r="242" customFormat="false" ht="15" hidden="false" customHeight="false" outlineLevel="0" collapsed="false">
      <c r="A242" s="1" t="s">
        <v>259</v>
      </c>
      <c r="B242" s="1" t="n">
        <f aca="false" t="array" ref="B242:B242">_xlfn.SWITCH($A$2,"average", AVERAGE(Instances!B242:B242),"median", MEDIAN(Instances!B242:B242),"min", MIN(Instances!B242:B242),"max", MAX(Instances!B242:B242),"diff", MAX(Instances!B242:B242)-MIN(Instances!B242:B242))</f>
        <v>2990</v>
      </c>
      <c r="C242" s="1" t="n">
        <f aca="false" t="array" ref="C242:C242">_xlfn.SWITCH($A$2,"average", AVERAGE(Instances!C242:C242),"median", MEDIAN(Instances!C242:C242),"min", MIN(Instances!C242:C242),"max", MAX(Instances!C242:C242),"diff", MAX(Instances!C242:C242)-MIN(Instances!C242:C242))</f>
        <v>2</v>
      </c>
      <c r="D242" s="1" t="n">
        <f aca="false" t="array" ref="D242:D242">_xlfn.SWITCH($A$2,"average", AVERAGE(Instances!D242:D242),"median", MEDIAN(Instances!D242:D242),"min", MIN(Instances!D242:D242),"max", MAX(Instances!D242:D242),"diff", MAX(Instances!D242:D242)-MIN(Instances!D242:D242))</f>
        <v>491543</v>
      </c>
      <c r="E242" s="1" t="n">
        <f aca="false" t="array" ref="E242:E242">_xlfn.SWITCH($A$2,"average", AVERAGE(Instances!E242:E242),"median", MEDIAN(Instances!E242:E242),"min", MIN(Instances!E242:E242),"max", MAX(Instances!E242:E242),"diff", MAX(Instances!E242:E242)-MIN(Instances!E242:E242))</f>
        <v>0</v>
      </c>
      <c r="F242" s="1" t="n">
        <f aca="false" t="array" ref="F242:F242">_xlfn.SWITCH($A$2,"average", AVERAGE(Instances!F242:F242),"median", MEDIAN(Instances!F242:F242),"min", MIN(Instances!F242:F242),"max", MAX(Instances!F242:F242),"diff", MAX(Instances!F242:F242)-MIN(Instances!F242:F242))</f>
        <v>675</v>
      </c>
      <c r="G242" s="1" t="n">
        <f aca="false" t="array" ref="G242:G242">_xlfn.SWITCH($A$2,"average", AVERAGE(Instances!G242:G242),"median", MEDIAN(Instances!G242:G242),"min", MIN(Instances!G242:G242),"max", MAX(Instances!G242:G242),"diff", MAX(Instances!G242:G242)-MIN(Instances!G242:G242))</f>
        <v>0</v>
      </c>
      <c r="H242" s="1" t="n">
        <f aca="false" t="array" ref="H242:H242">_xlfn.SWITCH($A$2,"average", AVERAGE(Instances!H242:H242),"median", MEDIAN(Instances!H242:H242),"min", MIN(Instances!H242:H242),"max", MAX(Instances!H242:H242),"diff", MAX(Instances!H242:H242)-MIN(Instances!H242:H242))</f>
        <v>1</v>
      </c>
      <c r="I242" s="1" t="n">
        <f aca="false" t="array" ref="I242:I242">_xlfn.SWITCH($A$2,"average", AVERAGE(Instances!I242:I242),"median", MEDIAN(Instances!I242:I242),"min", MIN(Instances!I242:I242),"max", MAX(Instances!I242:I242),"diff", MAX(Instances!I242:I242)-MIN(Instances!I242:I242))</f>
        <v>9.774</v>
      </c>
      <c r="J242" s="1" t="n">
        <f aca="false" t="array" ref="J242:J242">_xlfn.SWITCH($A$2,"average", AVERAGE(Instances!J242:J242),"median", MEDIAN(Instances!J242:J242),"min", MIN(Instances!J242:J242),"max", MAX(Instances!J242:J242),"diff", MAX(Instances!J242:J242)-MIN(Instances!J242:J242))</f>
        <v>10.02</v>
      </c>
      <c r="K242" s="1" t="n">
        <f aca="false" t="array" ref="K242:K242">_xlfn.SWITCH($A$2,"average", AVERAGE(Instances!K242:K242),"median", MEDIAN(Instances!K242:K242),"min", MIN(Instances!K242:K242),"max", MAX(Instances!K242:K242),"diff", MAX(Instances!K242:K242)-MIN(Instances!K242:K242))</f>
        <v>0</v>
      </c>
      <c r="L242" s="1"/>
      <c r="M242" s="1" t="n">
        <f aca="false" t="array" ref="M242:M242">_xlfn.SWITCH($A$2,"average", AVERAGE(Instances!M242:M242),"median", MEDIAN(Instances!M242:M242),"min", MIN(Instances!M242:M242),"max", MAX(Instances!M242:M242),"diff", MAX(Instances!M242:M242)-MIN(Instances!M242:M242))</f>
        <v>2274531</v>
      </c>
      <c r="N242" s="1" t="n">
        <f aca="false" t="array" ref="N242:N242">_xlfn.SWITCH($A$2,"average", AVERAGE(Instances!N242:N242),"median", MEDIAN(Instances!N242:N242),"min", MIN(Instances!N242:N242),"max", MAX(Instances!N242:N242),"diff", MAX(Instances!N242:N242)-MIN(Instances!N242:N242))</f>
        <v>0.05</v>
      </c>
      <c r="O242" s="1"/>
      <c r="P242" s="1" t="n">
        <f aca="false" t="array" ref="P242:P242">_xlfn.SWITCH($A$2,"average", AVERAGE(Instances!P242:P242),"median", MEDIAN(Instances!P242:P242),"min", MIN(Instances!P242:P242),"max", MAX(Instances!P242:P242),"diff", MAX(Instances!P242:P242)-MIN(Instances!P242:P242))</f>
        <v>10.02</v>
      </c>
      <c r="Q242" s="1" t="n">
        <f aca="false" t="array" ref="Q242:Q242">_xlfn.SWITCH($A$2,"average", AVERAGE(Instances!Q242:Q242),"median", MEDIAN(Instances!Q242:Q242),"min", MIN(Instances!Q242:Q242),"max", MAX(Instances!Q242:Q242),"diff", MAX(Instances!Q242:Q242)-MIN(Instances!Q242:Q242))</f>
        <v>0</v>
      </c>
      <c r="R242" s="1" t="n">
        <f aca="false" t="array" ref="R242:R242">_xlfn.SWITCH($A$2,"average", AVERAGE(Instances!R242:R242),"median", MEDIAN(Instances!R242:R242),"min", MIN(Instances!R242:R242),"max", MAX(Instances!R242:R242),"diff", MAX(Instances!R242:R242)-MIN(Instances!R242:R242))</f>
        <v>668392</v>
      </c>
      <c r="S242" s="1" t="n">
        <f aca="false">MIN($B242)</f>
        <v>2990</v>
      </c>
      <c r="T242" s="1" t="n">
        <f aca="false">MIN($C242)</f>
        <v>2</v>
      </c>
      <c r="U242" s="1" t="n">
        <f aca="false">MIN($D242)</f>
        <v>491543</v>
      </c>
      <c r="V242" s="1" t="n">
        <f aca="false">MIN($E242)</f>
        <v>0</v>
      </c>
      <c r="W242" s="1" t="n">
        <f aca="false">MIN($F242)</f>
        <v>675</v>
      </c>
      <c r="X242" s="1" t="n">
        <f aca="false">MIN($G242)</f>
        <v>0</v>
      </c>
      <c r="Y242" s="1" t="n">
        <f aca="false">MIN($H242)</f>
        <v>1</v>
      </c>
      <c r="Z242" s="1" t="n">
        <f aca="false">MIN($I242)</f>
        <v>9.774</v>
      </c>
      <c r="AA242" s="1" t="n">
        <f aca="false">MIN($J242)</f>
        <v>10.02</v>
      </c>
      <c r="AB242" s="1" t="n">
        <f aca="false">MIN($K242)</f>
        <v>0</v>
      </c>
      <c r="AC242" s="1" t="n">
        <f aca="false">MIN($M242)</f>
        <v>2274531</v>
      </c>
      <c r="AD242" s="1" t="n">
        <f aca="false">MIN($N242)</f>
        <v>0.05</v>
      </c>
      <c r="AE242" s="1" t="n">
        <f aca="false">MIN($P242)</f>
        <v>10.02</v>
      </c>
      <c r="AF242" s="1" t="n">
        <f aca="false">MIN($Q242)</f>
        <v>0</v>
      </c>
      <c r="AG242" s="1" t="n">
        <f aca="false">MIN($R242)</f>
        <v>668392</v>
      </c>
      <c r="AH242" s="1" t="n">
        <f aca="false">MEDIAN($B242)</f>
        <v>2990</v>
      </c>
      <c r="AI242" s="1" t="n">
        <f aca="false">MEDIAN($C242)</f>
        <v>2</v>
      </c>
      <c r="AJ242" s="1" t="n">
        <f aca="false">MEDIAN($D242)</f>
        <v>491543</v>
      </c>
      <c r="AK242" s="1" t="n">
        <f aca="false">MEDIAN($E242)</f>
        <v>0</v>
      </c>
      <c r="AL242" s="1" t="n">
        <f aca="false">MEDIAN($F242)</f>
        <v>675</v>
      </c>
      <c r="AM242" s="1" t="n">
        <f aca="false">MEDIAN($G242)</f>
        <v>0</v>
      </c>
      <c r="AN242" s="1" t="n">
        <f aca="false">MEDIAN($H242)</f>
        <v>1</v>
      </c>
      <c r="AO242" s="1" t="n">
        <f aca="false">MEDIAN($I242)</f>
        <v>9.774</v>
      </c>
      <c r="AP242" s="1" t="n">
        <f aca="false">MEDIAN($J242)</f>
        <v>10.02</v>
      </c>
      <c r="AQ242" s="1" t="n">
        <f aca="false">MEDIAN($K242)</f>
        <v>0</v>
      </c>
      <c r="AR242" s="1" t="n">
        <f aca="false">MEDIAN($M242)</f>
        <v>2274531</v>
      </c>
      <c r="AS242" s="1" t="n">
        <f aca="false">MEDIAN($N242)</f>
        <v>0.05</v>
      </c>
      <c r="AT242" s="1" t="n">
        <f aca="false">MEDIAN($P242)</f>
        <v>10.02</v>
      </c>
      <c r="AU242" s="1" t="n">
        <f aca="false">MEDIAN($Q242)</f>
        <v>0</v>
      </c>
      <c r="AV242" s="1" t="n">
        <f aca="false">MEDIAN($R242)</f>
        <v>668392</v>
      </c>
      <c r="AW242" s="1" t="n">
        <f aca="false">MAX($B242)</f>
        <v>2990</v>
      </c>
      <c r="AX242" s="1" t="n">
        <f aca="false">MAX($C242)</f>
        <v>2</v>
      </c>
      <c r="AY242" s="1" t="n">
        <f aca="false">MAX($D242)</f>
        <v>491543</v>
      </c>
      <c r="AZ242" s="1" t="n">
        <f aca="false">MAX($E242)</f>
        <v>0</v>
      </c>
      <c r="BA242" s="1" t="n">
        <f aca="false">MAX($F242)</f>
        <v>675</v>
      </c>
      <c r="BB242" s="1" t="n">
        <f aca="false">MAX($G242)</f>
        <v>0</v>
      </c>
      <c r="BC242" s="1" t="n">
        <f aca="false">MAX($H242)</f>
        <v>1</v>
      </c>
      <c r="BD242" s="1" t="n">
        <f aca="false">MAX($I242)</f>
        <v>9.774</v>
      </c>
      <c r="BE242" s="1" t="n">
        <f aca="false">MAX($J242)</f>
        <v>10.02</v>
      </c>
      <c r="BF242" s="1" t="n">
        <f aca="false">MAX($K242)</f>
        <v>0</v>
      </c>
      <c r="BG242" s="1" t="n">
        <f aca="false">MAX($M242)</f>
        <v>2274531</v>
      </c>
      <c r="BH242" s="1" t="n">
        <f aca="false">MAX($N242)</f>
        <v>0.05</v>
      </c>
      <c r="BI242" s="1" t="n">
        <f aca="false">MAX($P242)</f>
        <v>10.02</v>
      </c>
      <c r="BJ242" s="1" t="n">
        <f aca="false">MAX($Q242)</f>
        <v>0</v>
      </c>
      <c r="BK242" s="1" t="n">
        <f aca="false">MAX($R242)</f>
        <v>668392</v>
      </c>
    </row>
    <row r="243" customFormat="false" ht="15" hidden="false" customHeight="false" outlineLevel="0" collapsed="false">
      <c r="A243" s="1" t="s">
        <v>260</v>
      </c>
      <c r="B243" s="1" t="n">
        <f aca="false" t="array" ref="B243:B243">_xlfn.SWITCH($A$2,"average", AVERAGE(Instances!B243:B243),"median", MEDIAN(Instances!B243:B243),"min", MIN(Instances!B243:B243),"max", MAX(Instances!B243:B243),"diff", MAX(Instances!B243:B243)-MIN(Instances!B243:B243))</f>
        <v>2948</v>
      </c>
      <c r="C243" s="1" t="n">
        <f aca="false" t="array" ref="C243:C243">_xlfn.SWITCH($A$2,"average", AVERAGE(Instances!C243:C243),"median", MEDIAN(Instances!C243:C243),"min", MIN(Instances!C243:C243),"max", MAX(Instances!C243:C243),"diff", MAX(Instances!C243:C243)-MIN(Instances!C243:C243))</f>
        <v>2</v>
      </c>
      <c r="D243" s="1" t="n">
        <f aca="false" t="array" ref="D243:D243">_xlfn.SWITCH($A$2,"average", AVERAGE(Instances!D243:D243),"median", MEDIAN(Instances!D243:D243),"min", MIN(Instances!D243:D243),"max", MAX(Instances!D243:D243),"diff", MAX(Instances!D243:D243)-MIN(Instances!D243:D243))</f>
        <v>648214</v>
      </c>
      <c r="E243" s="1" t="n">
        <f aca="false" t="array" ref="E243:E243">_xlfn.SWITCH($A$2,"average", AVERAGE(Instances!E243:E243),"median", MEDIAN(Instances!E243:E243),"min", MIN(Instances!E243:E243),"max", MAX(Instances!E243:E243),"diff", MAX(Instances!E243:E243)-MIN(Instances!E243:E243))</f>
        <v>0</v>
      </c>
      <c r="F243" s="1" t="n">
        <f aca="false" t="array" ref="F243:F243">_xlfn.SWITCH($A$2,"average", AVERAGE(Instances!F243:F243),"median", MEDIAN(Instances!F243:F243),"min", MIN(Instances!F243:F243),"max", MAX(Instances!F243:F243),"diff", MAX(Instances!F243:F243)-MIN(Instances!F243:F243))</f>
        <v>692</v>
      </c>
      <c r="G243" s="1" t="n">
        <f aca="false" t="array" ref="G243:G243">_xlfn.SWITCH($A$2,"average", AVERAGE(Instances!G243:G243),"median", MEDIAN(Instances!G243:G243),"min", MIN(Instances!G243:G243),"max", MAX(Instances!G243:G243),"diff", MAX(Instances!G243:G243)-MIN(Instances!G243:G243))</f>
        <v>0</v>
      </c>
      <c r="H243" s="1" t="n">
        <f aca="false" t="array" ref="H243:H243">_xlfn.SWITCH($A$2,"average", AVERAGE(Instances!H243:H243),"median", MEDIAN(Instances!H243:H243),"min", MIN(Instances!H243:H243),"max", MAX(Instances!H243:H243),"diff", MAX(Instances!H243:H243)-MIN(Instances!H243:H243))</f>
        <v>1</v>
      </c>
      <c r="I243" s="1" t="n">
        <f aca="false" t="array" ref="I243:I243">_xlfn.SWITCH($A$2,"average", AVERAGE(Instances!I243:I243),"median", MEDIAN(Instances!I243:I243),"min", MIN(Instances!I243:I243),"max", MAX(Instances!I243:I243),"diff", MAX(Instances!I243:I243)-MIN(Instances!I243:I243))</f>
        <v>10.18</v>
      </c>
      <c r="J243" s="1" t="n">
        <f aca="false" t="array" ref="J243:J243">_xlfn.SWITCH($A$2,"average", AVERAGE(Instances!J243:J243),"median", MEDIAN(Instances!J243:J243),"min", MIN(Instances!J243:J243),"max", MAX(Instances!J243:J243),"diff", MAX(Instances!J243:J243)-MIN(Instances!J243:J243))</f>
        <v>10.43</v>
      </c>
      <c r="K243" s="1" t="n">
        <f aca="false" t="array" ref="K243:K243">_xlfn.SWITCH($A$2,"average", AVERAGE(Instances!K243:K243),"median", MEDIAN(Instances!K243:K243),"min", MIN(Instances!K243:K243),"max", MAX(Instances!K243:K243),"diff", MAX(Instances!K243:K243)-MIN(Instances!K243:K243))</f>
        <v>0</v>
      </c>
      <c r="L243" s="1"/>
      <c r="M243" s="1" t="n">
        <f aca="false" t="array" ref="M243:M243">_xlfn.SWITCH($A$2,"average", AVERAGE(Instances!M243:M243),"median", MEDIAN(Instances!M243:M243),"min", MIN(Instances!M243:M243),"max", MAX(Instances!M243:M243),"diff", MAX(Instances!M243:M243)-MIN(Instances!M243:M243))</f>
        <v>2329385</v>
      </c>
      <c r="N243" s="1" t="n">
        <f aca="false" t="array" ref="N243:N243">_xlfn.SWITCH($A$2,"average", AVERAGE(Instances!N243:N243),"median", MEDIAN(Instances!N243:N243),"min", MIN(Instances!N243:N243),"max", MAX(Instances!N243:N243),"diff", MAX(Instances!N243:N243)-MIN(Instances!N243:N243))</f>
        <v>0.07</v>
      </c>
      <c r="O243" s="1"/>
      <c r="P243" s="1" t="n">
        <f aca="false" t="array" ref="P243:P243">_xlfn.SWITCH($A$2,"average", AVERAGE(Instances!P243:P243),"median", MEDIAN(Instances!P243:P243),"min", MIN(Instances!P243:P243),"max", MAX(Instances!P243:P243),"diff", MAX(Instances!P243:P243)-MIN(Instances!P243:P243))</f>
        <v>10.43</v>
      </c>
      <c r="Q243" s="1" t="n">
        <f aca="false" t="array" ref="Q243:Q243">_xlfn.SWITCH($A$2,"average", AVERAGE(Instances!Q243:Q243),"median", MEDIAN(Instances!Q243:Q243),"min", MIN(Instances!Q243:Q243),"max", MAX(Instances!Q243:Q243),"diff", MAX(Instances!Q243:Q243)-MIN(Instances!Q243:Q243))</f>
        <v>0</v>
      </c>
      <c r="R243" s="1" t="n">
        <f aca="false" t="array" ref="R243:R243">_xlfn.SWITCH($A$2,"average", AVERAGE(Instances!R243:R243),"median", MEDIAN(Instances!R243:R243),"min", MIN(Instances!R243:R243),"max", MAX(Instances!R243:R243),"diff", MAX(Instances!R243:R243)-MIN(Instances!R243:R243))</f>
        <v>691930</v>
      </c>
      <c r="S243" s="1" t="n">
        <f aca="false">MIN($B243)</f>
        <v>2948</v>
      </c>
      <c r="T243" s="1" t="n">
        <f aca="false">MIN($C243)</f>
        <v>2</v>
      </c>
      <c r="U243" s="1" t="n">
        <f aca="false">MIN($D243)</f>
        <v>648214</v>
      </c>
      <c r="V243" s="1" t="n">
        <f aca="false">MIN($E243)</f>
        <v>0</v>
      </c>
      <c r="W243" s="1" t="n">
        <f aca="false">MIN($F243)</f>
        <v>692</v>
      </c>
      <c r="X243" s="1" t="n">
        <f aca="false">MIN($G243)</f>
        <v>0</v>
      </c>
      <c r="Y243" s="1" t="n">
        <f aca="false">MIN($H243)</f>
        <v>1</v>
      </c>
      <c r="Z243" s="1" t="n">
        <f aca="false">MIN($I243)</f>
        <v>10.18</v>
      </c>
      <c r="AA243" s="1" t="n">
        <f aca="false">MIN($J243)</f>
        <v>10.43</v>
      </c>
      <c r="AB243" s="1" t="n">
        <f aca="false">MIN($K243)</f>
        <v>0</v>
      </c>
      <c r="AC243" s="1" t="n">
        <f aca="false">MIN($M243)</f>
        <v>2329385</v>
      </c>
      <c r="AD243" s="1" t="n">
        <f aca="false">MIN($N243)</f>
        <v>0.07</v>
      </c>
      <c r="AE243" s="1" t="n">
        <f aca="false">MIN($P243)</f>
        <v>10.43</v>
      </c>
      <c r="AF243" s="1" t="n">
        <f aca="false">MIN($Q243)</f>
        <v>0</v>
      </c>
      <c r="AG243" s="1" t="n">
        <f aca="false">MIN($R243)</f>
        <v>691930</v>
      </c>
      <c r="AH243" s="1" t="n">
        <f aca="false">MEDIAN($B243)</f>
        <v>2948</v>
      </c>
      <c r="AI243" s="1" t="n">
        <f aca="false">MEDIAN($C243)</f>
        <v>2</v>
      </c>
      <c r="AJ243" s="1" t="n">
        <f aca="false">MEDIAN($D243)</f>
        <v>648214</v>
      </c>
      <c r="AK243" s="1" t="n">
        <f aca="false">MEDIAN($E243)</f>
        <v>0</v>
      </c>
      <c r="AL243" s="1" t="n">
        <f aca="false">MEDIAN($F243)</f>
        <v>692</v>
      </c>
      <c r="AM243" s="1" t="n">
        <f aca="false">MEDIAN($G243)</f>
        <v>0</v>
      </c>
      <c r="AN243" s="1" t="n">
        <f aca="false">MEDIAN($H243)</f>
        <v>1</v>
      </c>
      <c r="AO243" s="1" t="n">
        <f aca="false">MEDIAN($I243)</f>
        <v>10.18</v>
      </c>
      <c r="AP243" s="1" t="n">
        <f aca="false">MEDIAN($J243)</f>
        <v>10.43</v>
      </c>
      <c r="AQ243" s="1" t="n">
        <f aca="false">MEDIAN($K243)</f>
        <v>0</v>
      </c>
      <c r="AR243" s="1" t="n">
        <f aca="false">MEDIAN($M243)</f>
        <v>2329385</v>
      </c>
      <c r="AS243" s="1" t="n">
        <f aca="false">MEDIAN($N243)</f>
        <v>0.07</v>
      </c>
      <c r="AT243" s="1" t="n">
        <f aca="false">MEDIAN($P243)</f>
        <v>10.43</v>
      </c>
      <c r="AU243" s="1" t="n">
        <f aca="false">MEDIAN($Q243)</f>
        <v>0</v>
      </c>
      <c r="AV243" s="1" t="n">
        <f aca="false">MEDIAN($R243)</f>
        <v>691930</v>
      </c>
      <c r="AW243" s="1" t="n">
        <f aca="false">MAX($B243)</f>
        <v>2948</v>
      </c>
      <c r="AX243" s="1" t="n">
        <f aca="false">MAX($C243)</f>
        <v>2</v>
      </c>
      <c r="AY243" s="1" t="n">
        <f aca="false">MAX($D243)</f>
        <v>648214</v>
      </c>
      <c r="AZ243" s="1" t="n">
        <f aca="false">MAX($E243)</f>
        <v>0</v>
      </c>
      <c r="BA243" s="1" t="n">
        <f aca="false">MAX($F243)</f>
        <v>692</v>
      </c>
      <c r="BB243" s="1" t="n">
        <f aca="false">MAX($G243)</f>
        <v>0</v>
      </c>
      <c r="BC243" s="1" t="n">
        <f aca="false">MAX($H243)</f>
        <v>1</v>
      </c>
      <c r="BD243" s="1" t="n">
        <f aca="false">MAX($I243)</f>
        <v>10.18</v>
      </c>
      <c r="BE243" s="1" t="n">
        <f aca="false">MAX($J243)</f>
        <v>10.43</v>
      </c>
      <c r="BF243" s="1" t="n">
        <f aca="false">MAX($K243)</f>
        <v>0</v>
      </c>
      <c r="BG243" s="1" t="n">
        <f aca="false">MAX($M243)</f>
        <v>2329385</v>
      </c>
      <c r="BH243" s="1" t="n">
        <f aca="false">MAX($N243)</f>
        <v>0.07</v>
      </c>
      <c r="BI243" s="1" t="n">
        <f aca="false">MAX($P243)</f>
        <v>10.43</v>
      </c>
      <c r="BJ243" s="1" t="n">
        <f aca="false">MAX($Q243)</f>
        <v>0</v>
      </c>
      <c r="BK243" s="1" t="n">
        <f aca="false">MAX($R243)</f>
        <v>691930</v>
      </c>
    </row>
    <row r="244" customFormat="false" ht="15" hidden="false" customHeight="false" outlineLevel="0" collapsed="false">
      <c r="A244" s="1" t="s">
        <v>261</v>
      </c>
      <c r="B244" s="1" t="n">
        <f aca="false" t="array" ref="B244:B244">_xlfn.SWITCH($A$2,"average", AVERAGE(Instances!B244:B244),"median", MEDIAN(Instances!B244:B244),"min", MIN(Instances!B244:B244),"max", MAX(Instances!B244:B244),"diff", MAX(Instances!B244:B244)-MIN(Instances!B244:B244))</f>
        <v>2438</v>
      </c>
      <c r="C244" s="1" t="n">
        <f aca="false" t="array" ref="C244:C244">_xlfn.SWITCH($A$2,"average", AVERAGE(Instances!C244:C244),"median", MEDIAN(Instances!C244:C244),"min", MIN(Instances!C244:C244),"max", MAX(Instances!C244:C244),"diff", MAX(Instances!C244:C244)-MIN(Instances!C244:C244))</f>
        <v>1</v>
      </c>
      <c r="D244" s="1" t="n">
        <f aca="false" t="array" ref="D244:D244">_xlfn.SWITCH($A$2,"average", AVERAGE(Instances!D244:D244),"median", MEDIAN(Instances!D244:D244),"min", MIN(Instances!D244:D244),"max", MAX(Instances!D244:D244),"diff", MAX(Instances!D244:D244)-MIN(Instances!D244:D244))</f>
        <v>519744</v>
      </c>
      <c r="E244" s="1" t="n">
        <f aca="false" t="array" ref="E244:E244">_xlfn.SWITCH($A$2,"average", AVERAGE(Instances!E244:E244),"median", MEDIAN(Instances!E244:E244),"min", MIN(Instances!E244:E244),"max", MAX(Instances!E244:E244),"diff", MAX(Instances!E244:E244)-MIN(Instances!E244:E244))</f>
        <v>0</v>
      </c>
      <c r="F244" s="1" t="n">
        <f aca="false" t="array" ref="F244:F244">_xlfn.SWITCH($A$2,"average", AVERAGE(Instances!F244:F244),"median", MEDIAN(Instances!F244:F244),"min", MIN(Instances!F244:F244),"max", MAX(Instances!F244:F244),"diff", MAX(Instances!F244:F244)-MIN(Instances!F244:F244))</f>
        <v>585</v>
      </c>
      <c r="G244" s="1" t="n">
        <f aca="false" t="array" ref="G244:G244">_xlfn.SWITCH($A$2,"average", AVERAGE(Instances!G244:G244),"median", MEDIAN(Instances!G244:G244),"min", MIN(Instances!G244:G244),"max", MAX(Instances!G244:G244),"diff", MAX(Instances!G244:G244)-MIN(Instances!G244:G244))</f>
        <v>0</v>
      </c>
      <c r="H244" s="1" t="n">
        <f aca="false" t="array" ref="H244:H244">_xlfn.SWITCH($A$2,"average", AVERAGE(Instances!H244:H244),"median", MEDIAN(Instances!H244:H244),"min", MIN(Instances!H244:H244),"max", MAX(Instances!H244:H244),"diff", MAX(Instances!H244:H244)-MIN(Instances!H244:H244))</f>
        <v>1</v>
      </c>
      <c r="I244" s="1" t="n">
        <f aca="false" t="array" ref="I244:I244">_xlfn.SWITCH($A$2,"average", AVERAGE(Instances!I244:I244),"median", MEDIAN(Instances!I244:I244),"min", MIN(Instances!I244:I244),"max", MAX(Instances!I244:I244),"diff", MAX(Instances!I244:I244)-MIN(Instances!I244:I244))</f>
        <v>8.628</v>
      </c>
      <c r="J244" s="1" t="n">
        <f aca="false" t="array" ref="J244:J244">_xlfn.SWITCH($A$2,"average", AVERAGE(Instances!J244:J244),"median", MEDIAN(Instances!J244:J244),"min", MIN(Instances!J244:J244),"max", MAX(Instances!J244:J244),"diff", MAX(Instances!J244:J244)-MIN(Instances!J244:J244))</f>
        <v>8.85</v>
      </c>
      <c r="K244" s="1" t="n">
        <f aca="false" t="array" ref="K244:K244">_xlfn.SWITCH($A$2,"average", AVERAGE(Instances!K244:K244),"median", MEDIAN(Instances!K244:K244),"min", MIN(Instances!K244:K244),"max", MAX(Instances!K244:K244),"diff", MAX(Instances!K244:K244)-MIN(Instances!K244:K244))</f>
        <v>0</v>
      </c>
      <c r="L244" s="1"/>
      <c r="M244" s="1" t="n">
        <f aca="false" t="array" ref="M244:M244">_xlfn.SWITCH($A$2,"average", AVERAGE(Instances!M244:M244),"median", MEDIAN(Instances!M244:M244),"min", MIN(Instances!M244:M244),"max", MAX(Instances!M244:M244),"diff", MAX(Instances!M244:M244)-MIN(Instances!M244:M244))</f>
        <v>1985147</v>
      </c>
      <c r="N244" s="1" t="n">
        <f aca="false" t="array" ref="N244:N244">_xlfn.SWITCH($A$2,"average", AVERAGE(Instances!N244:N244),"median", MEDIAN(Instances!N244:N244),"min", MIN(Instances!N244:N244),"max", MAX(Instances!N244:N244),"diff", MAX(Instances!N244:N244)-MIN(Instances!N244:N244))</f>
        <v>0.05</v>
      </c>
      <c r="O244" s="1"/>
      <c r="P244" s="1" t="n">
        <f aca="false" t="array" ref="P244:P244">_xlfn.SWITCH($A$2,"average", AVERAGE(Instances!P244:P244),"median", MEDIAN(Instances!P244:P244),"min", MIN(Instances!P244:P244),"max", MAX(Instances!P244:P244),"diff", MAX(Instances!P244:P244)-MIN(Instances!P244:P244))</f>
        <v>8.85</v>
      </c>
      <c r="Q244" s="1" t="n">
        <f aca="false" t="array" ref="Q244:Q244">_xlfn.SWITCH($A$2,"average", AVERAGE(Instances!Q244:Q244),"median", MEDIAN(Instances!Q244:Q244),"min", MIN(Instances!Q244:Q244),"max", MAX(Instances!Q244:Q244),"diff", MAX(Instances!Q244:Q244)-MIN(Instances!Q244:Q244))</f>
        <v>0</v>
      </c>
      <c r="R244" s="1" t="n">
        <f aca="false" t="array" ref="R244:R244">_xlfn.SWITCH($A$2,"average", AVERAGE(Instances!R244:R244),"median", MEDIAN(Instances!R244:R244),"min", MIN(Instances!R244:R244),"max", MAX(Instances!R244:R244),"diff", MAX(Instances!R244:R244)-MIN(Instances!R244:R244))</f>
        <v>594700</v>
      </c>
      <c r="S244" s="1" t="n">
        <f aca="false">MIN($B244)</f>
        <v>2438</v>
      </c>
      <c r="T244" s="1" t="n">
        <f aca="false">MIN($C244)</f>
        <v>1</v>
      </c>
      <c r="U244" s="1" t="n">
        <f aca="false">MIN($D244)</f>
        <v>519744</v>
      </c>
      <c r="V244" s="1" t="n">
        <f aca="false">MIN($E244)</f>
        <v>0</v>
      </c>
      <c r="W244" s="1" t="n">
        <f aca="false">MIN($F244)</f>
        <v>585</v>
      </c>
      <c r="X244" s="1" t="n">
        <f aca="false">MIN($G244)</f>
        <v>0</v>
      </c>
      <c r="Y244" s="1" t="n">
        <f aca="false">MIN($H244)</f>
        <v>1</v>
      </c>
      <c r="Z244" s="1" t="n">
        <f aca="false">MIN($I244)</f>
        <v>8.628</v>
      </c>
      <c r="AA244" s="1" t="n">
        <f aca="false">MIN($J244)</f>
        <v>8.85</v>
      </c>
      <c r="AB244" s="1" t="n">
        <f aca="false">MIN($K244)</f>
        <v>0</v>
      </c>
      <c r="AC244" s="1" t="n">
        <f aca="false">MIN($M244)</f>
        <v>1985147</v>
      </c>
      <c r="AD244" s="1" t="n">
        <f aca="false">MIN($N244)</f>
        <v>0.05</v>
      </c>
      <c r="AE244" s="1" t="n">
        <f aca="false">MIN($P244)</f>
        <v>8.85</v>
      </c>
      <c r="AF244" s="1" t="n">
        <f aca="false">MIN($Q244)</f>
        <v>0</v>
      </c>
      <c r="AG244" s="1" t="n">
        <f aca="false">MIN($R244)</f>
        <v>594700</v>
      </c>
      <c r="AH244" s="1" t="n">
        <f aca="false">MEDIAN($B244)</f>
        <v>2438</v>
      </c>
      <c r="AI244" s="1" t="n">
        <f aca="false">MEDIAN($C244)</f>
        <v>1</v>
      </c>
      <c r="AJ244" s="1" t="n">
        <f aca="false">MEDIAN($D244)</f>
        <v>519744</v>
      </c>
      <c r="AK244" s="1" t="n">
        <f aca="false">MEDIAN($E244)</f>
        <v>0</v>
      </c>
      <c r="AL244" s="1" t="n">
        <f aca="false">MEDIAN($F244)</f>
        <v>585</v>
      </c>
      <c r="AM244" s="1" t="n">
        <f aca="false">MEDIAN($G244)</f>
        <v>0</v>
      </c>
      <c r="AN244" s="1" t="n">
        <f aca="false">MEDIAN($H244)</f>
        <v>1</v>
      </c>
      <c r="AO244" s="1" t="n">
        <f aca="false">MEDIAN($I244)</f>
        <v>8.628</v>
      </c>
      <c r="AP244" s="1" t="n">
        <f aca="false">MEDIAN($J244)</f>
        <v>8.85</v>
      </c>
      <c r="AQ244" s="1" t="n">
        <f aca="false">MEDIAN($K244)</f>
        <v>0</v>
      </c>
      <c r="AR244" s="1" t="n">
        <f aca="false">MEDIAN($M244)</f>
        <v>1985147</v>
      </c>
      <c r="AS244" s="1" t="n">
        <f aca="false">MEDIAN($N244)</f>
        <v>0.05</v>
      </c>
      <c r="AT244" s="1" t="n">
        <f aca="false">MEDIAN($P244)</f>
        <v>8.85</v>
      </c>
      <c r="AU244" s="1" t="n">
        <f aca="false">MEDIAN($Q244)</f>
        <v>0</v>
      </c>
      <c r="AV244" s="1" t="n">
        <f aca="false">MEDIAN($R244)</f>
        <v>594700</v>
      </c>
      <c r="AW244" s="1" t="n">
        <f aca="false">MAX($B244)</f>
        <v>2438</v>
      </c>
      <c r="AX244" s="1" t="n">
        <f aca="false">MAX($C244)</f>
        <v>1</v>
      </c>
      <c r="AY244" s="1" t="n">
        <f aca="false">MAX($D244)</f>
        <v>519744</v>
      </c>
      <c r="AZ244" s="1" t="n">
        <f aca="false">MAX($E244)</f>
        <v>0</v>
      </c>
      <c r="BA244" s="1" t="n">
        <f aca="false">MAX($F244)</f>
        <v>585</v>
      </c>
      <c r="BB244" s="1" t="n">
        <f aca="false">MAX($G244)</f>
        <v>0</v>
      </c>
      <c r="BC244" s="1" t="n">
        <f aca="false">MAX($H244)</f>
        <v>1</v>
      </c>
      <c r="BD244" s="1" t="n">
        <f aca="false">MAX($I244)</f>
        <v>8.628</v>
      </c>
      <c r="BE244" s="1" t="n">
        <f aca="false">MAX($J244)</f>
        <v>8.85</v>
      </c>
      <c r="BF244" s="1" t="n">
        <f aca="false">MAX($K244)</f>
        <v>0</v>
      </c>
      <c r="BG244" s="1" t="n">
        <f aca="false">MAX($M244)</f>
        <v>1985147</v>
      </c>
      <c r="BH244" s="1" t="n">
        <f aca="false">MAX($N244)</f>
        <v>0.05</v>
      </c>
      <c r="BI244" s="1" t="n">
        <f aca="false">MAX($P244)</f>
        <v>8.85</v>
      </c>
      <c r="BJ244" s="1" t="n">
        <f aca="false">MAX($Q244)</f>
        <v>0</v>
      </c>
      <c r="BK244" s="1" t="n">
        <f aca="false">MAX($R244)</f>
        <v>594700</v>
      </c>
    </row>
    <row r="245" customFormat="false" ht="15" hidden="false" customHeight="false" outlineLevel="0" collapsed="false">
      <c r="A245" s="1" t="s">
        <v>262</v>
      </c>
      <c r="B245" s="1" t="n">
        <f aca="false" t="array" ref="B245:B245">_xlfn.SWITCH($A$2,"average", AVERAGE(Instances!B245:B245),"median", MEDIAN(Instances!B245:B245),"min", MIN(Instances!B245:B245),"max", MAX(Instances!B245:B245),"diff", MAX(Instances!B245:B245)-MIN(Instances!B245:B245))</f>
        <v>3367</v>
      </c>
      <c r="C245" s="1" t="n">
        <f aca="false" t="array" ref="C245:C245">_xlfn.SWITCH($A$2,"average", AVERAGE(Instances!C245:C245),"median", MEDIAN(Instances!C245:C245),"min", MIN(Instances!C245:C245),"max", MAX(Instances!C245:C245),"diff", MAX(Instances!C245:C245)-MIN(Instances!C245:C245))</f>
        <v>6</v>
      </c>
      <c r="D245" s="1" t="n">
        <f aca="false" t="array" ref="D245:D245">_xlfn.SWITCH($A$2,"average", AVERAGE(Instances!D245:D245),"median", MEDIAN(Instances!D245:D245),"min", MIN(Instances!D245:D245),"max", MAX(Instances!D245:D245),"diff", MAX(Instances!D245:D245)-MIN(Instances!D245:D245))</f>
        <v>639519</v>
      </c>
      <c r="E245" s="1" t="n">
        <f aca="false" t="array" ref="E245:E245">_xlfn.SWITCH($A$2,"average", AVERAGE(Instances!E245:E245),"median", MEDIAN(Instances!E245:E245),"min", MIN(Instances!E245:E245),"max", MAX(Instances!E245:E245),"diff", MAX(Instances!E245:E245)-MIN(Instances!E245:E245))</f>
        <v>0</v>
      </c>
      <c r="F245" s="1" t="n">
        <f aca="false" t="array" ref="F245:F245">_xlfn.SWITCH($A$2,"average", AVERAGE(Instances!F245:F245),"median", MEDIAN(Instances!F245:F245),"min", MIN(Instances!F245:F245),"max", MAX(Instances!F245:F245),"diff", MAX(Instances!F245:F245)-MIN(Instances!F245:F245))</f>
        <v>622</v>
      </c>
      <c r="G245" s="1" t="n">
        <f aca="false" t="array" ref="G245:G245">_xlfn.SWITCH($A$2,"average", AVERAGE(Instances!G245:G245),"median", MEDIAN(Instances!G245:G245),"min", MIN(Instances!G245:G245),"max", MAX(Instances!G245:G245),"diff", MAX(Instances!G245:G245)-MIN(Instances!G245:G245))</f>
        <v>0</v>
      </c>
      <c r="H245" s="1" t="n">
        <f aca="false" t="array" ref="H245:H245">_xlfn.SWITCH($A$2,"average", AVERAGE(Instances!H245:H245),"median", MEDIAN(Instances!H245:H245),"min", MIN(Instances!H245:H245),"max", MAX(Instances!H245:H245),"diff", MAX(Instances!H245:H245)-MIN(Instances!H245:H245))</f>
        <v>1</v>
      </c>
      <c r="I245" s="1" t="n">
        <f aca="false" t="array" ref="I245:I245">_xlfn.SWITCH($A$2,"average", AVERAGE(Instances!I245:I245),"median", MEDIAN(Instances!I245:I245),"min", MIN(Instances!I245:I245),"max", MAX(Instances!I245:I245),"diff", MAX(Instances!I245:I245)-MIN(Instances!I245:I245))</f>
        <v>9.036</v>
      </c>
      <c r="J245" s="1" t="n">
        <f aca="false" t="array" ref="J245:J245">_xlfn.SWITCH($A$2,"average", AVERAGE(Instances!J245:J245),"median", MEDIAN(Instances!J245:J245),"min", MIN(Instances!J245:J245),"max", MAX(Instances!J245:J245),"diff", MAX(Instances!J245:J245)-MIN(Instances!J245:J245))</f>
        <v>9.25</v>
      </c>
      <c r="K245" s="1" t="n">
        <f aca="false" t="array" ref="K245:K245">_xlfn.SWITCH($A$2,"average", AVERAGE(Instances!K245:K245),"median", MEDIAN(Instances!K245:K245),"min", MIN(Instances!K245:K245),"max", MAX(Instances!K245:K245),"diff", MAX(Instances!K245:K245)-MIN(Instances!K245:K245))</f>
        <v>0</v>
      </c>
      <c r="L245" s="1"/>
      <c r="M245" s="1" t="n">
        <f aca="false" t="array" ref="M245:M245">_xlfn.SWITCH($A$2,"average", AVERAGE(Instances!M245:M245),"median", MEDIAN(Instances!M245:M245),"min", MIN(Instances!M245:M245),"max", MAX(Instances!M245:M245),"diff", MAX(Instances!M245:M245)-MIN(Instances!M245:M245))</f>
        <v>2075841</v>
      </c>
      <c r="N245" s="1" t="n">
        <f aca="false" t="array" ref="N245:N245">_xlfn.SWITCH($A$2,"average", AVERAGE(Instances!N245:N245),"median", MEDIAN(Instances!N245:N245),"min", MIN(Instances!N245:N245),"max", MAX(Instances!N245:N245),"diff", MAX(Instances!N245:N245)-MIN(Instances!N245:N245))</f>
        <v>0.07</v>
      </c>
      <c r="O245" s="1"/>
      <c r="P245" s="1" t="n">
        <f aca="false" t="array" ref="P245:P245">_xlfn.SWITCH($A$2,"average", AVERAGE(Instances!P245:P245),"median", MEDIAN(Instances!P245:P245),"min", MIN(Instances!P245:P245),"max", MAX(Instances!P245:P245),"diff", MAX(Instances!P245:P245)-MIN(Instances!P245:P245))</f>
        <v>9.25</v>
      </c>
      <c r="Q245" s="1" t="n">
        <f aca="false" t="array" ref="Q245:Q245">_xlfn.SWITCH($A$2,"average", AVERAGE(Instances!Q245:Q245),"median", MEDIAN(Instances!Q245:Q245),"min", MIN(Instances!Q245:Q245),"max", MAX(Instances!Q245:Q245),"diff", MAX(Instances!Q245:Q245)-MIN(Instances!Q245:Q245))</f>
        <v>0</v>
      </c>
      <c r="R245" s="1" t="n">
        <f aca="false" t="array" ref="R245:R245">_xlfn.SWITCH($A$2,"average", AVERAGE(Instances!R245:R245),"median", MEDIAN(Instances!R245:R245),"min", MIN(Instances!R245:R245),"max", MAX(Instances!R245:R245),"diff", MAX(Instances!R245:R245)-MIN(Instances!R245:R245))</f>
        <v>621065</v>
      </c>
      <c r="S245" s="1" t="n">
        <f aca="false">MIN($B245)</f>
        <v>3367</v>
      </c>
      <c r="T245" s="1" t="n">
        <f aca="false">MIN($C245)</f>
        <v>6</v>
      </c>
      <c r="U245" s="1" t="n">
        <f aca="false">MIN($D245)</f>
        <v>639519</v>
      </c>
      <c r="V245" s="1" t="n">
        <f aca="false">MIN($E245)</f>
        <v>0</v>
      </c>
      <c r="W245" s="1" t="n">
        <f aca="false">MIN($F245)</f>
        <v>622</v>
      </c>
      <c r="X245" s="1" t="n">
        <f aca="false">MIN($G245)</f>
        <v>0</v>
      </c>
      <c r="Y245" s="1" t="n">
        <f aca="false">MIN($H245)</f>
        <v>1</v>
      </c>
      <c r="Z245" s="1" t="n">
        <f aca="false">MIN($I245)</f>
        <v>9.036</v>
      </c>
      <c r="AA245" s="1" t="n">
        <f aca="false">MIN($J245)</f>
        <v>9.25</v>
      </c>
      <c r="AB245" s="1" t="n">
        <f aca="false">MIN($K245)</f>
        <v>0</v>
      </c>
      <c r="AC245" s="1" t="n">
        <f aca="false">MIN($M245)</f>
        <v>2075841</v>
      </c>
      <c r="AD245" s="1" t="n">
        <f aca="false">MIN($N245)</f>
        <v>0.07</v>
      </c>
      <c r="AE245" s="1" t="n">
        <f aca="false">MIN($P245)</f>
        <v>9.25</v>
      </c>
      <c r="AF245" s="1" t="n">
        <f aca="false">MIN($Q245)</f>
        <v>0</v>
      </c>
      <c r="AG245" s="1" t="n">
        <f aca="false">MIN($R245)</f>
        <v>621065</v>
      </c>
      <c r="AH245" s="1" t="n">
        <f aca="false">MEDIAN($B245)</f>
        <v>3367</v>
      </c>
      <c r="AI245" s="1" t="n">
        <f aca="false">MEDIAN($C245)</f>
        <v>6</v>
      </c>
      <c r="AJ245" s="1" t="n">
        <f aca="false">MEDIAN($D245)</f>
        <v>639519</v>
      </c>
      <c r="AK245" s="1" t="n">
        <f aca="false">MEDIAN($E245)</f>
        <v>0</v>
      </c>
      <c r="AL245" s="1" t="n">
        <f aca="false">MEDIAN($F245)</f>
        <v>622</v>
      </c>
      <c r="AM245" s="1" t="n">
        <f aca="false">MEDIAN($G245)</f>
        <v>0</v>
      </c>
      <c r="AN245" s="1" t="n">
        <f aca="false">MEDIAN($H245)</f>
        <v>1</v>
      </c>
      <c r="AO245" s="1" t="n">
        <f aca="false">MEDIAN($I245)</f>
        <v>9.036</v>
      </c>
      <c r="AP245" s="1" t="n">
        <f aca="false">MEDIAN($J245)</f>
        <v>9.25</v>
      </c>
      <c r="AQ245" s="1" t="n">
        <f aca="false">MEDIAN($K245)</f>
        <v>0</v>
      </c>
      <c r="AR245" s="1" t="n">
        <f aca="false">MEDIAN($M245)</f>
        <v>2075841</v>
      </c>
      <c r="AS245" s="1" t="n">
        <f aca="false">MEDIAN($N245)</f>
        <v>0.07</v>
      </c>
      <c r="AT245" s="1" t="n">
        <f aca="false">MEDIAN($P245)</f>
        <v>9.25</v>
      </c>
      <c r="AU245" s="1" t="n">
        <f aca="false">MEDIAN($Q245)</f>
        <v>0</v>
      </c>
      <c r="AV245" s="1" t="n">
        <f aca="false">MEDIAN($R245)</f>
        <v>621065</v>
      </c>
      <c r="AW245" s="1" t="n">
        <f aca="false">MAX($B245)</f>
        <v>3367</v>
      </c>
      <c r="AX245" s="1" t="n">
        <f aca="false">MAX($C245)</f>
        <v>6</v>
      </c>
      <c r="AY245" s="1" t="n">
        <f aca="false">MAX($D245)</f>
        <v>639519</v>
      </c>
      <c r="AZ245" s="1" t="n">
        <f aca="false">MAX($E245)</f>
        <v>0</v>
      </c>
      <c r="BA245" s="1" t="n">
        <f aca="false">MAX($F245)</f>
        <v>622</v>
      </c>
      <c r="BB245" s="1" t="n">
        <f aca="false">MAX($G245)</f>
        <v>0</v>
      </c>
      <c r="BC245" s="1" t="n">
        <f aca="false">MAX($H245)</f>
        <v>1</v>
      </c>
      <c r="BD245" s="1" t="n">
        <f aca="false">MAX($I245)</f>
        <v>9.036</v>
      </c>
      <c r="BE245" s="1" t="n">
        <f aca="false">MAX($J245)</f>
        <v>9.25</v>
      </c>
      <c r="BF245" s="1" t="n">
        <f aca="false">MAX($K245)</f>
        <v>0</v>
      </c>
      <c r="BG245" s="1" t="n">
        <f aca="false">MAX($M245)</f>
        <v>2075841</v>
      </c>
      <c r="BH245" s="1" t="n">
        <f aca="false">MAX($N245)</f>
        <v>0.07</v>
      </c>
      <c r="BI245" s="1" t="n">
        <f aca="false">MAX($P245)</f>
        <v>9.25</v>
      </c>
      <c r="BJ245" s="1" t="n">
        <f aca="false">MAX($Q245)</f>
        <v>0</v>
      </c>
      <c r="BK245" s="1" t="n">
        <f aca="false">MAX($R245)</f>
        <v>621065</v>
      </c>
    </row>
    <row r="246" customFormat="false" ht="15" hidden="false" customHeight="false" outlineLevel="0" collapsed="false">
      <c r="A246" s="1" t="s">
        <v>263</v>
      </c>
      <c r="B246" s="1" t="n">
        <f aca="false" t="array" ref="B246:B246">_xlfn.SWITCH($A$2,"average", AVERAGE(Instances!B246:B246),"median", MEDIAN(Instances!B246:B246),"min", MIN(Instances!B246:B246),"max", MAX(Instances!B246:B246),"diff", MAX(Instances!B246:B246)-MIN(Instances!B246:B246))</f>
        <v>2030</v>
      </c>
      <c r="C246" s="1" t="n">
        <f aca="false" t="array" ref="C246:C246">_xlfn.SWITCH($A$2,"average", AVERAGE(Instances!C246:C246),"median", MEDIAN(Instances!C246:C246),"min", MIN(Instances!C246:C246),"max", MAX(Instances!C246:C246),"diff", MAX(Instances!C246:C246)-MIN(Instances!C246:C246))</f>
        <v>1</v>
      </c>
      <c r="D246" s="1" t="n">
        <f aca="false" t="array" ref="D246:D246">_xlfn.SWITCH($A$2,"average", AVERAGE(Instances!D246:D246),"median", MEDIAN(Instances!D246:D246),"min", MIN(Instances!D246:D246),"max", MAX(Instances!D246:D246),"diff", MAX(Instances!D246:D246)-MIN(Instances!D246:D246))</f>
        <v>369701</v>
      </c>
      <c r="E246" s="1" t="n">
        <f aca="false" t="array" ref="E246:E246">_xlfn.SWITCH($A$2,"average", AVERAGE(Instances!E246:E246),"median", MEDIAN(Instances!E246:E246),"min", MIN(Instances!E246:E246),"max", MAX(Instances!E246:E246),"diff", MAX(Instances!E246:E246)-MIN(Instances!E246:E246))</f>
        <v>0</v>
      </c>
      <c r="F246" s="1" t="n">
        <f aca="false" t="array" ref="F246:F246">_xlfn.SWITCH($A$2,"average", AVERAGE(Instances!F246:F246),"median", MEDIAN(Instances!F246:F246),"min", MIN(Instances!F246:F246),"max", MAX(Instances!F246:F246),"diff", MAX(Instances!F246:F246)-MIN(Instances!F246:F246))</f>
        <v>543</v>
      </c>
      <c r="G246" s="1" t="n">
        <f aca="false" t="array" ref="G246:G246">_xlfn.SWITCH($A$2,"average", AVERAGE(Instances!G246:G246),"median", MEDIAN(Instances!G246:G246),"min", MIN(Instances!G246:G246),"max", MAX(Instances!G246:G246),"diff", MAX(Instances!G246:G246)-MIN(Instances!G246:G246))</f>
        <v>0</v>
      </c>
      <c r="H246" s="1" t="n">
        <f aca="false" t="array" ref="H246:H246">_xlfn.SWITCH($A$2,"average", AVERAGE(Instances!H246:H246),"median", MEDIAN(Instances!H246:H246),"min", MIN(Instances!H246:H246),"max", MAX(Instances!H246:H246),"diff", MAX(Instances!H246:H246)-MIN(Instances!H246:H246))</f>
        <v>1</v>
      </c>
      <c r="I246" s="1" t="n">
        <f aca="false" t="array" ref="I246:I246">_xlfn.SWITCH($A$2,"average", AVERAGE(Instances!I246:I246),"median", MEDIAN(Instances!I246:I246),"min", MIN(Instances!I246:I246),"max", MAX(Instances!I246:I246),"diff", MAX(Instances!I246:I246)-MIN(Instances!I246:I246))</f>
        <v>7.789</v>
      </c>
      <c r="J246" s="1" t="n">
        <f aca="false" t="array" ref="J246:J246">_xlfn.SWITCH($A$2,"average", AVERAGE(Instances!J246:J246),"median", MEDIAN(Instances!J246:J246),"min", MIN(Instances!J246:J246),"max", MAX(Instances!J246:J246),"diff", MAX(Instances!J246:J246)-MIN(Instances!J246:J246))</f>
        <v>7.99</v>
      </c>
      <c r="K246" s="1" t="n">
        <f aca="false" t="array" ref="K246:K246">_xlfn.SWITCH($A$2,"average", AVERAGE(Instances!K246:K246),"median", MEDIAN(Instances!K246:K246),"min", MIN(Instances!K246:K246),"max", MAX(Instances!K246:K246),"diff", MAX(Instances!K246:K246)-MIN(Instances!K246:K246))</f>
        <v>0</v>
      </c>
      <c r="L246" s="1"/>
      <c r="M246" s="1" t="n">
        <f aca="false" t="array" ref="M246:M246">_xlfn.SWITCH($A$2,"average", AVERAGE(Instances!M246:M246),"median", MEDIAN(Instances!M246:M246),"min", MIN(Instances!M246:M246),"max", MAX(Instances!M246:M246),"diff", MAX(Instances!M246:M246)-MIN(Instances!M246:M246))</f>
        <v>1811304</v>
      </c>
      <c r="N246" s="1" t="n">
        <f aca="false" t="array" ref="N246:N246">_xlfn.SWITCH($A$2,"average", AVERAGE(Instances!N246:N246),"median", MEDIAN(Instances!N246:N246),"min", MIN(Instances!N246:N246),"max", MAX(Instances!N246:N246),"diff", MAX(Instances!N246:N246)-MIN(Instances!N246:N246))</f>
        <v>0.04</v>
      </c>
      <c r="O246" s="1"/>
      <c r="P246" s="1" t="n">
        <f aca="false" t="array" ref="P246:P246">_xlfn.SWITCH($A$2,"average", AVERAGE(Instances!P246:P246),"median", MEDIAN(Instances!P246:P246),"min", MIN(Instances!P246:P246),"max", MAX(Instances!P246:P246),"diff", MAX(Instances!P246:P246)-MIN(Instances!P246:P246))</f>
        <v>7.99</v>
      </c>
      <c r="Q246" s="1" t="n">
        <f aca="false" t="array" ref="Q246:Q246">_xlfn.SWITCH($A$2,"average", AVERAGE(Instances!Q246:Q246),"median", MEDIAN(Instances!Q246:Q246),"min", MIN(Instances!Q246:Q246),"max", MAX(Instances!Q246:Q246),"diff", MAX(Instances!Q246:Q246)-MIN(Instances!Q246:Q246))</f>
        <v>0</v>
      </c>
      <c r="R246" s="1" t="n">
        <f aca="false" t="array" ref="R246:R246">_xlfn.SWITCH($A$2,"average", AVERAGE(Instances!R246:R246),"median", MEDIAN(Instances!R246:R246),"min", MIN(Instances!R246:R246),"max", MAX(Instances!R246:R246),"diff", MAX(Instances!R246:R246)-MIN(Instances!R246:R246))</f>
        <v>540341</v>
      </c>
      <c r="S246" s="1" t="n">
        <f aca="false">MIN($B246)</f>
        <v>2030</v>
      </c>
      <c r="T246" s="1" t="n">
        <f aca="false">MIN($C246)</f>
        <v>1</v>
      </c>
      <c r="U246" s="1" t="n">
        <f aca="false">MIN($D246)</f>
        <v>369701</v>
      </c>
      <c r="V246" s="1" t="n">
        <f aca="false">MIN($E246)</f>
        <v>0</v>
      </c>
      <c r="W246" s="1" t="n">
        <f aca="false">MIN($F246)</f>
        <v>543</v>
      </c>
      <c r="X246" s="1" t="n">
        <f aca="false">MIN($G246)</f>
        <v>0</v>
      </c>
      <c r="Y246" s="1" t="n">
        <f aca="false">MIN($H246)</f>
        <v>1</v>
      </c>
      <c r="Z246" s="1" t="n">
        <f aca="false">MIN($I246)</f>
        <v>7.789</v>
      </c>
      <c r="AA246" s="1" t="n">
        <f aca="false">MIN($J246)</f>
        <v>7.99</v>
      </c>
      <c r="AB246" s="1" t="n">
        <f aca="false">MIN($K246)</f>
        <v>0</v>
      </c>
      <c r="AC246" s="1" t="n">
        <f aca="false">MIN($M246)</f>
        <v>1811304</v>
      </c>
      <c r="AD246" s="1" t="n">
        <f aca="false">MIN($N246)</f>
        <v>0.04</v>
      </c>
      <c r="AE246" s="1" t="n">
        <f aca="false">MIN($P246)</f>
        <v>7.99</v>
      </c>
      <c r="AF246" s="1" t="n">
        <f aca="false">MIN($Q246)</f>
        <v>0</v>
      </c>
      <c r="AG246" s="1" t="n">
        <f aca="false">MIN($R246)</f>
        <v>540341</v>
      </c>
      <c r="AH246" s="1" t="n">
        <f aca="false">MEDIAN($B246)</f>
        <v>2030</v>
      </c>
      <c r="AI246" s="1" t="n">
        <f aca="false">MEDIAN($C246)</f>
        <v>1</v>
      </c>
      <c r="AJ246" s="1" t="n">
        <f aca="false">MEDIAN($D246)</f>
        <v>369701</v>
      </c>
      <c r="AK246" s="1" t="n">
        <f aca="false">MEDIAN($E246)</f>
        <v>0</v>
      </c>
      <c r="AL246" s="1" t="n">
        <f aca="false">MEDIAN($F246)</f>
        <v>543</v>
      </c>
      <c r="AM246" s="1" t="n">
        <f aca="false">MEDIAN($G246)</f>
        <v>0</v>
      </c>
      <c r="AN246" s="1" t="n">
        <f aca="false">MEDIAN($H246)</f>
        <v>1</v>
      </c>
      <c r="AO246" s="1" t="n">
        <f aca="false">MEDIAN($I246)</f>
        <v>7.789</v>
      </c>
      <c r="AP246" s="1" t="n">
        <f aca="false">MEDIAN($J246)</f>
        <v>7.99</v>
      </c>
      <c r="AQ246" s="1" t="n">
        <f aca="false">MEDIAN($K246)</f>
        <v>0</v>
      </c>
      <c r="AR246" s="1" t="n">
        <f aca="false">MEDIAN($M246)</f>
        <v>1811304</v>
      </c>
      <c r="AS246" s="1" t="n">
        <f aca="false">MEDIAN($N246)</f>
        <v>0.04</v>
      </c>
      <c r="AT246" s="1" t="n">
        <f aca="false">MEDIAN($P246)</f>
        <v>7.99</v>
      </c>
      <c r="AU246" s="1" t="n">
        <f aca="false">MEDIAN($Q246)</f>
        <v>0</v>
      </c>
      <c r="AV246" s="1" t="n">
        <f aca="false">MEDIAN($R246)</f>
        <v>540341</v>
      </c>
      <c r="AW246" s="1" t="n">
        <f aca="false">MAX($B246)</f>
        <v>2030</v>
      </c>
      <c r="AX246" s="1" t="n">
        <f aca="false">MAX($C246)</f>
        <v>1</v>
      </c>
      <c r="AY246" s="1" t="n">
        <f aca="false">MAX($D246)</f>
        <v>369701</v>
      </c>
      <c r="AZ246" s="1" t="n">
        <f aca="false">MAX($E246)</f>
        <v>0</v>
      </c>
      <c r="BA246" s="1" t="n">
        <f aca="false">MAX($F246)</f>
        <v>543</v>
      </c>
      <c r="BB246" s="1" t="n">
        <f aca="false">MAX($G246)</f>
        <v>0</v>
      </c>
      <c r="BC246" s="1" t="n">
        <f aca="false">MAX($H246)</f>
        <v>1</v>
      </c>
      <c r="BD246" s="1" t="n">
        <f aca="false">MAX($I246)</f>
        <v>7.789</v>
      </c>
      <c r="BE246" s="1" t="n">
        <f aca="false">MAX($J246)</f>
        <v>7.99</v>
      </c>
      <c r="BF246" s="1" t="n">
        <f aca="false">MAX($K246)</f>
        <v>0</v>
      </c>
      <c r="BG246" s="1" t="n">
        <f aca="false">MAX($M246)</f>
        <v>1811304</v>
      </c>
      <c r="BH246" s="1" t="n">
        <f aca="false">MAX($N246)</f>
        <v>0.04</v>
      </c>
      <c r="BI246" s="1" t="n">
        <f aca="false">MAX($P246)</f>
        <v>7.99</v>
      </c>
      <c r="BJ246" s="1" t="n">
        <f aca="false">MAX($Q246)</f>
        <v>0</v>
      </c>
      <c r="BK246" s="1" t="n">
        <f aca="false">MAX($R246)</f>
        <v>540341</v>
      </c>
    </row>
    <row r="247" customFormat="false" ht="15" hidden="false" customHeight="false" outlineLevel="0" collapsed="false">
      <c r="A247" s="1" t="s">
        <v>264</v>
      </c>
      <c r="B247" s="1" t="n">
        <f aca="false" t="array" ref="B247:B247">_xlfn.SWITCH($A$2,"average", AVERAGE(Instances!B247:B247),"median", MEDIAN(Instances!B247:B247),"min", MIN(Instances!B247:B247),"max", MAX(Instances!B247:B247),"diff", MAX(Instances!B247:B247)-MIN(Instances!B247:B247))</f>
        <v>2505</v>
      </c>
      <c r="C247" s="1" t="n">
        <f aca="false" t="array" ref="C247:C247">_xlfn.SWITCH($A$2,"average", AVERAGE(Instances!C247:C247),"median", MEDIAN(Instances!C247:C247),"min", MIN(Instances!C247:C247),"max", MAX(Instances!C247:C247),"diff", MAX(Instances!C247:C247)-MIN(Instances!C247:C247))</f>
        <v>3</v>
      </c>
      <c r="D247" s="1" t="n">
        <f aca="false" t="array" ref="D247:D247">_xlfn.SWITCH($A$2,"average", AVERAGE(Instances!D247:D247),"median", MEDIAN(Instances!D247:D247),"min", MIN(Instances!D247:D247),"max", MAX(Instances!D247:D247),"diff", MAX(Instances!D247:D247)-MIN(Instances!D247:D247))</f>
        <v>535200</v>
      </c>
      <c r="E247" s="1" t="n">
        <f aca="false" t="array" ref="E247:E247">_xlfn.SWITCH($A$2,"average", AVERAGE(Instances!E247:E247),"median", MEDIAN(Instances!E247:E247),"min", MIN(Instances!E247:E247),"max", MAX(Instances!E247:E247),"diff", MAX(Instances!E247:E247)-MIN(Instances!E247:E247))</f>
        <v>0</v>
      </c>
      <c r="F247" s="1" t="n">
        <f aca="false" t="array" ref="F247:F247">_xlfn.SWITCH($A$2,"average", AVERAGE(Instances!F247:F247),"median", MEDIAN(Instances!F247:F247),"min", MIN(Instances!F247:F247),"max", MAX(Instances!F247:F247),"diff", MAX(Instances!F247:F247)-MIN(Instances!F247:F247))</f>
        <v>608</v>
      </c>
      <c r="G247" s="1" t="n">
        <f aca="false" t="array" ref="G247:G247">_xlfn.SWITCH($A$2,"average", AVERAGE(Instances!G247:G247),"median", MEDIAN(Instances!G247:G247),"min", MIN(Instances!G247:G247),"max", MAX(Instances!G247:G247),"diff", MAX(Instances!G247:G247)-MIN(Instances!G247:G247))</f>
        <v>0</v>
      </c>
      <c r="H247" s="1" t="n">
        <f aca="false" t="array" ref="H247:H247">_xlfn.SWITCH($A$2,"average", AVERAGE(Instances!H247:H247),"median", MEDIAN(Instances!H247:H247),"min", MIN(Instances!H247:H247),"max", MAX(Instances!H247:H247),"diff", MAX(Instances!H247:H247)-MIN(Instances!H247:H247))</f>
        <v>1</v>
      </c>
      <c r="I247" s="1" t="n">
        <f aca="false" t="array" ref="I247:I247">_xlfn.SWITCH($A$2,"average", AVERAGE(Instances!I247:I247),"median", MEDIAN(Instances!I247:I247),"min", MIN(Instances!I247:I247),"max", MAX(Instances!I247:I247),"diff", MAX(Instances!I247:I247)-MIN(Instances!I247:I247))</f>
        <v>8.984</v>
      </c>
      <c r="J247" s="1" t="n">
        <f aca="false" t="array" ref="J247:J247">_xlfn.SWITCH($A$2,"average", AVERAGE(Instances!J247:J247),"median", MEDIAN(Instances!J247:J247),"min", MIN(Instances!J247:J247),"max", MAX(Instances!J247:J247),"diff", MAX(Instances!J247:J247)-MIN(Instances!J247:J247))</f>
        <v>9.21</v>
      </c>
      <c r="K247" s="1" t="n">
        <f aca="false" t="array" ref="K247:K247">_xlfn.SWITCH($A$2,"average", AVERAGE(Instances!K247:K247),"median", MEDIAN(Instances!K247:K247),"min", MIN(Instances!K247:K247),"max", MAX(Instances!K247:K247),"diff", MAX(Instances!K247:K247)-MIN(Instances!K247:K247))</f>
        <v>0</v>
      </c>
      <c r="L247" s="1"/>
      <c r="M247" s="1" t="n">
        <f aca="false" t="array" ref="M247:M247">_xlfn.SWITCH($A$2,"average", AVERAGE(Instances!M247:M247),"median", MEDIAN(Instances!M247:M247),"min", MIN(Instances!M247:M247),"max", MAX(Instances!M247:M247),"diff", MAX(Instances!M247:M247)-MIN(Instances!M247:M247))</f>
        <v>2172418</v>
      </c>
      <c r="N247" s="1" t="n">
        <f aca="false" t="array" ref="N247:N247">_xlfn.SWITCH($A$2,"average", AVERAGE(Instances!N247:N247),"median", MEDIAN(Instances!N247:N247),"min", MIN(Instances!N247:N247),"max", MAX(Instances!N247:N247),"diff", MAX(Instances!N247:N247)-MIN(Instances!N247:N247))</f>
        <v>0.06</v>
      </c>
      <c r="O247" s="1"/>
      <c r="P247" s="1" t="n">
        <f aca="false" t="array" ref="P247:P247">_xlfn.SWITCH($A$2,"average", AVERAGE(Instances!P247:P247),"median", MEDIAN(Instances!P247:P247),"min", MIN(Instances!P247:P247),"max", MAX(Instances!P247:P247),"diff", MAX(Instances!P247:P247)-MIN(Instances!P247:P247))</f>
        <v>9.21</v>
      </c>
      <c r="Q247" s="1" t="n">
        <f aca="false" t="array" ref="Q247:Q247">_xlfn.SWITCH($A$2,"average", AVERAGE(Instances!Q247:Q247),"median", MEDIAN(Instances!Q247:Q247),"min", MIN(Instances!Q247:Q247),"max", MAX(Instances!Q247:Q247),"diff", MAX(Instances!Q247:Q247)-MIN(Instances!Q247:Q247))</f>
        <v>0</v>
      </c>
      <c r="R247" s="1" t="n">
        <f aca="false" t="array" ref="R247:R247">_xlfn.SWITCH($A$2,"average", AVERAGE(Instances!R247:R247),"median", MEDIAN(Instances!R247:R247),"min", MIN(Instances!R247:R247),"max", MAX(Instances!R247:R247),"diff", MAX(Instances!R247:R247)-MIN(Instances!R247:R247))</f>
        <v>613923</v>
      </c>
      <c r="S247" s="1" t="n">
        <f aca="false">MIN($B247)</f>
        <v>2505</v>
      </c>
      <c r="T247" s="1" t="n">
        <f aca="false">MIN($C247)</f>
        <v>3</v>
      </c>
      <c r="U247" s="1" t="n">
        <f aca="false">MIN($D247)</f>
        <v>535200</v>
      </c>
      <c r="V247" s="1" t="n">
        <f aca="false">MIN($E247)</f>
        <v>0</v>
      </c>
      <c r="W247" s="1" t="n">
        <f aca="false">MIN($F247)</f>
        <v>608</v>
      </c>
      <c r="X247" s="1" t="n">
        <f aca="false">MIN($G247)</f>
        <v>0</v>
      </c>
      <c r="Y247" s="1" t="n">
        <f aca="false">MIN($H247)</f>
        <v>1</v>
      </c>
      <c r="Z247" s="1" t="n">
        <f aca="false">MIN($I247)</f>
        <v>8.984</v>
      </c>
      <c r="AA247" s="1" t="n">
        <f aca="false">MIN($J247)</f>
        <v>9.21</v>
      </c>
      <c r="AB247" s="1" t="n">
        <f aca="false">MIN($K247)</f>
        <v>0</v>
      </c>
      <c r="AC247" s="1" t="n">
        <f aca="false">MIN($M247)</f>
        <v>2172418</v>
      </c>
      <c r="AD247" s="1" t="n">
        <f aca="false">MIN($N247)</f>
        <v>0.06</v>
      </c>
      <c r="AE247" s="1" t="n">
        <f aca="false">MIN($P247)</f>
        <v>9.21</v>
      </c>
      <c r="AF247" s="1" t="n">
        <f aca="false">MIN($Q247)</f>
        <v>0</v>
      </c>
      <c r="AG247" s="1" t="n">
        <f aca="false">MIN($R247)</f>
        <v>613923</v>
      </c>
      <c r="AH247" s="1" t="n">
        <f aca="false">MEDIAN($B247)</f>
        <v>2505</v>
      </c>
      <c r="AI247" s="1" t="n">
        <f aca="false">MEDIAN($C247)</f>
        <v>3</v>
      </c>
      <c r="AJ247" s="1" t="n">
        <f aca="false">MEDIAN($D247)</f>
        <v>535200</v>
      </c>
      <c r="AK247" s="1" t="n">
        <f aca="false">MEDIAN($E247)</f>
        <v>0</v>
      </c>
      <c r="AL247" s="1" t="n">
        <f aca="false">MEDIAN($F247)</f>
        <v>608</v>
      </c>
      <c r="AM247" s="1" t="n">
        <f aca="false">MEDIAN($G247)</f>
        <v>0</v>
      </c>
      <c r="AN247" s="1" t="n">
        <f aca="false">MEDIAN($H247)</f>
        <v>1</v>
      </c>
      <c r="AO247" s="1" t="n">
        <f aca="false">MEDIAN($I247)</f>
        <v>8.984</v>
      </c>
      <c r="AP247" s="1" t="n">
        <f aca="false">MEDIAN($J247)</f>
        <v>9.21</v>
      </c>
      <c r="AQ247" s="1" t="n">
        <f aca="false">MEDIAN($K247)</f>
        <v>0</v>
      </c>
      <c r="AR247" s="1" t="n">
        <f aca="false">MEDIAN($M247)</f>
        <v>2172418</v>
      </c>
      <c r="AS247" s="1" t="n">
        <f aca="false">MEDIAN($N247)</f>
        <v>0.06</v>
      </c>
      <c r="AT247" s="1" t="n">
        <f aca="false">MEDIAN($P247)</f>
        <v>9.21</v>
      </c>
      <c r="AU247" s="1" t="n">
        <f aca="false">MEDIAN($Q247)</f>
        <v>0</v>
      </c>
      <c r="AV247" s="1" t="n">
        <f aca="false">MEDIAN($R247)</f>
        <v>613923</v>
      </c>
      <c r="AW247" s="1" t="n">
        <f aca="false">MAX($B247)</f>
        <v>2505</v>
      </c>
      <c r="AX247" s="1" t="n">
        <f aca="false">MAX($C247)</f>
        <v>3</v>
      </c>
      <c r="AY247" s="1" t="n">
        <f aca="false">MAX($D247)</f>
        <v>535200</v>
      </c>
      <c r="AZ247" s="1" t="n">
        <f aca="false">MAX($E247)</f>
        <v>0</v>
      </c>
      <c r="BA247" s="1" t="n">
        <f aca="false">MAX($F247)</f>
        <v>608</v>
      </c>
      <c r="BB247" s="1" t="n">
        <f aca="false">MAX($G247)</f>
        <v>0</v>
      </c>
      <c r="BC247" s="1" t="n">
        <f aca="false">MAX($H247)</f>
        <v>1</v>
      </c>
      <c r="BD247" s="1" t="n">
        <f aca="false">MAX($I247)</f>
        <v>8.984</v>
      </c>
      <c r="BE247" s="1" t="n">
        <f aca="false">MAX($J247)</f>
        <v>9.21</v>
      </c>
      <c r="BF247" s="1" t="n">
        <f aca="false">MAX($K247)</f>
        <v>0</v>
      </c>
      <c r="BG247" s="1" t="n">
        <f aca="false">MAX($M247)</f>
        <v>2172418</v>
      </c>
      <c r="BH247" s="1" t="n">
        <f aca="false">MAX($N247)</f>
        <v>0.06</v>
      </c>
      <c r="BI247" s="1" t="n">
        <f aca="false">MAX($P247)</f>
        <v>9.21</v>
      </c>
      <c r="BJ247" s="1" t="n">
        <f aca="false">MAX($Q247)</f>
        <v>0</v>
      </c>
      <c r="BK247" s="1" t="n">
        <f aca="false">MAX($R247)</f>
        <v>613923</v>
      </c>
    </row>
    <row r="248" customFormat="false" ht="15" hidden="false" customHeight="false" outlineLevel="0" collapsed="false">
      <c r="A248" s="1" t="s">
        <v>265</v>
      </c>
      <c r="B248" s="1" t="n">
        <f aca="false" t="array" ref="B248:B248">_xlfn.SWITCH($A$2,"average", AVERAGE(Instances!B248:B248),"median", MEDIAN(Instances!B248:B248),"min", MIN(Instances!B248:B248),"max", MAX(Instances!B248:B248),"diff", MAX(Instances!B248:B248)-MIN(Instances!B248:B248))</f>
        <v>3603</v>
      </c>
      <c r="C248" s="1" t="n">
        <f aca="false" t="array" ref="C248:C248">_xlfn.SWITCH($A$2,"average", AVERAGE(Instances!C248:C248),"median", MEDIAN(Instances!C248:C248),"min", MIN(Instances!C248:C248),"max", MAX(Instances!C248:C248),"diff", MAX(Instances!C248:C248)-MIN(Instances!C248:C248))</f>
        <v>3</v>
      </c>
      <c r="D248" s="1" t="n">
        <f aca="false" t="array" ref="D248:D248">_xlfn.SWITCH($A$2,"average", AVERAGE(Instances!D248:D248),"median", MEDIAN(Instances!D248:D248),"min", MIN(Instances!D248:D248),"max", MAX(Instances!D248:D248),"diff", MAX(Instances!D248:D248)-MIN(Instances!D248:D248))</f>
        <v>811432</v>
      </c>
      <c r="E248" s="1" t="n">
        <f aca="false" t="array" ref="E248:E248">_xlfn.SWITCH($A$2,"average", AVERAGE(Instances!E248:E248),"median", MEDIAN(Instances!E248:E248),"min", MIN(Instances!E248:E248),"max", MAX(Instances!E248:E248),"diff", MAX(Instances!E248:E248)-MIN(Instances!E248:E248))</f>
        <v>0</v>
      </c>
      <c r="F248" s="1" t="n">
        <f aca="false" t="array" ref="F248:F248">_xlfn.SWITCH($A$2,"average", AVERAGE(Instances!F248:F248),"median", MEDIAN(Instances!F248:F248),"min", MIN(Instances!F248:F248),"max", MAX(Instances!F248:F248),"diff", MAX(Instances!F248:F248)-MIN(Instances!F248:F248))</f>
        <v>837</v>
      </c>
      <c r="G248" s="1" t="n">
        <f aca="false" t="array" ref="G248:G248">_xlfn.SWITCH($A$2,"average", AVERAGE(Instances!G248:G248),"median", MEDIAN(Instances!G248:G248),"min", MIN(Instances!G248:G248),"max", MAX(Instances!G248:G248),"diff", MAX(Instances!G248:G248)-MIN(Instances!G248:G248))</f>
        <v>0</v>
      </c>
      <c r="H248" s="1" t="n">
        <f aca="false" t="array" ref="H248:H248">_xlfn.SWITCH($A$2,"average", AVERAGE(Instances!H248:H248),"median", MEDIAN(Instances!H248:H248),"min", MIN(Instances!H248:H248),"max", MAX(Instances!H248:H248),"diff", MAX(Instances!H248:H248)-MIN(Instances!H248:H248))</f>
        <v>1</v>
      </c>
      <c r="I248" s="1" t="n">
        <f aca="false" t="array" ref="I248:I248">_xlfn.SWITCH($A$2,"average", AVERAGE(Instances!I248:I248),"median", MEDIAN(Instances!I248:I248),"min", MIN(Instances!I248:I248),"max", MAX(Instances!I248:I248),"diff", MAX(Instances!I248:I248)-MIN(Instances!I248:I248))</f>
        <v>12.253</v>
      </c>
      <c r="J248" s="1" t="n">
        <f aca="false" t="array" ref="J248:J248">_xlfn.SWITCH($A$2,"average", AVERAGE(Instances!J248:J248),"median", MEDIAN(Instances!J248:J248),"min", MIN(Instances!J248:J248),"max", MAX(Instances!J248:J248),"diff", MAX(Instances!J248:J248)-MIN(Instances!J248:J248))</f>
        <v>12.55</v>
      </c>
      <c r="K248" s="1" t="n">
        <f aca="false" t="array" ref="K248:K248">_xlfn.SWITCH($A$2,"average", AVERAGE(Instances!K248:K248),"median", MEDIAN(Instances!K248:K248),"min", MIN(Instances!K248:K248),"max", MAX(Instances!K248:K248),"diff", MAX(Instances!K248:K248)-MIN(Instances!K248:K248))</f>
        <v>0</v>
      </c>
      <c r="L248" s="1"/>
      <c r="M248" s="1" t="n">
        <f aca="false" t="array" ref="M248:M248">_xlfn.SWITCH($A$2,"average", AVERAGE(Instances!M248:M248),"median", MEDIAN(Instances!M248:M248),"min", MIN(Instances!M248:M248),"max", MAX(Instances!M248:M248),"diff", MAX(Instances!M248:M248)-MIN(Instances!M248:M248))</f>
        <v>2923192</v>
      </c>
      <c r="N248" s="1" t="n">
        <f aca="false" t="array" ref="N248:N248">_xlfn.SWITCH($A$2,"average", AVERAGE(Instances!N248:N248),"median", MEDIAN(Instances!N248:N248),"min", MIN(Instances!N248:N248),"max", MAX(Instances!N248:N248),"diff", MAX(Instances!N248:N248)-MIN(Instances!N248:N248))</f>
        <v>0.08</v>
      </c>
      <c r="O248" s="1"/>
      <c r="P248" s="1" t="n">
        <f aca="false" t="array" ref="P248:P248">_xlfn.SWITCH($A$2,"average", AVERAGE(Instances!P248:P248),"median", MEDIAN(Instances!P248:P248),"min", MIN(Instances!P248:P248),"max", MAX(Instances!P248:P248),"diff", MAX(Instances!P248:P248)-MIN(Instances!P248:P248))</f>
        <v>12.55</v>
      </c>
      <c r="Q248" s="1" t="n">
        <f aca="false" t="array" ref="Q248:Q248">_xlfn.SWITCH($A$2,"average", AVERAGE(Instances!Q248:Q248),"median", MEDIAN(Instances!Q248:Q248),"min", MIN(Instances!Q248:Q248),"max", MAX(Instances!Q248:Q248),"diff", MAX(Instances!Q248:Q248)-MIN(Instances!Q248:Q248))</f>
        <v>0</v>
      </c>
      <c r="R248" s="1" t="n">
        <f aca="false" t="array" ref="R248:R248">_xlfn.SWITCH($A$2,"average", AVERAGE(Instances!R248:R248),"median", MEDIAN(Instances!R248:R248),"min", MIN(Instances!R248:R248),"max", MAX(Instances!R248:R248),"diff", MAX(Instances!R248:R248)-MIN(Instances!R248:R248))</f>
        <v>811944</v>
      </c>
      <c r="S248" s="1" t="n">
        <f aca="false">MIN($B248)</f>
        <v>3603</v>
      </c>
      <c r="T248" s="1" t="n">
        <f aca="false">MIN($C248)</f>
        <v>3</v>
      </c>
      <c r="U248" s="1" t="n">
        <f aca="false">MIN($D248)</f>
        <v>811432</v>
      </c>
      <c r="V248" s="1" t="n">
        <f aca="false">MIN($E248)</f>
        <v>0</v>
      </c>
      <c r="W248" s="1" t="n">
        <f aca="false">MIN($F248)</f>
        <v>837</v>
      </c>
      <c r="X248" s="1" t="n">
        <f aca="false">MIN($G248)</f>
        <v>0</v>
      </c>
      <c r="Y248" s="1" t="n">
        <f aca="false">MIN($H248)</f>
        <v>1</v>
      </c>
      <c r="Z248" s="1" t="n">
        <f aca="false">MIN($I248)</f>
        <v>12.253</v>
      </c>
      <c r="AA248" s="1" t="n">
        <f aca="false">MIN($J248)</f>
        <v>12.55</v>
      </c>
      <c r="AB248" s="1" t="n">
        <f aca="false">MIN($K248)</f>
        <v>0</v>
      </c>
      <c r="AC248" s="1" t="n">
        <f aca="false">MIN($M248)</f>
        <v>2923192</v>
      </c>
      <c r="AD248" s="1" t="n">
        <f aca="false">MIN($N248)</f>
        <v>0.08</v>
      </c>
      <c r="AE248" s="1" t="n">
        <f aca="false">MIN($P248)</f>
        <v>12.55</v>
      </c>
      <c r="AF248" s="1" t="n">
        <f aca="false">MIN($Q248)</f>
        <v>0</v>
      </c>
      <c r="AG248" s="1" t="n">
        <f aca="false">MIN($R248)</f>
        <v>811944</v>
      </c>
      <c r="AH248" s="1" t="n">
        <f aca="false">MEDIAN($B248)</f>
        <v>3603</v>
      </c>
      <c r="AI248" s="1" t="n">
        <f aca="false">MEDIAN($C248)</f>
        <v>3</v>
      </c>
      <c r="AJ248" s="1" t="n">
        <f aca="false">MEDIAN($D248)</f>
        <v>811432</v>
      </c>
      <c r="AK248" s="1" t="n">
        <f aca="false">MEDIAN($E248)</f>
        <v>0</v>
      </c>
      <c r="AL248" s="1" t="n">
        <f aca="false">MEDIAN($F248)</f>
        <v>837</v>
      </c>
      <c r="AM248" s="1" t="n">
        <f aca="false">MEDIAN($G248)</f>
        <v>0</v>
      </c>
      <c r="AN248" s="1" t="n">
        <f aca="false">MEDIAN($H248)</f>
        <v>1</v>
      </c>
      <c r="AO248" s="1" t="n">
        <f aca="false">MEDIAN($I248)</f>
        <v>12.253</v>
      </c>
      <c r="AP248" s="1" t="n">
        <f aca="false">MEDIAN($J248)</f>
        <v>12.55</v>
      </c>
      <c r="AQ248" s="1" t="n">
        <f aca="false">MEDIAN($K248)</f>
        <v>0</v>
      </c>
      <c r="AR248" s="1" t="n">
        <f aca="false">MEDIAN($M248)</f>
        <v>2923192</v>
      </c>
      <c r="AS248" s="1" t="n">
        <f aca="false">MEDIAN($N248)</f>
        <v>0.08</v>
      </c>
      <c r="AT248" s="1" t="n">
        <f aca="false">MEDIAN($P248)</f>
        <v>12.55</v>
      </c>
      <c r="AU248" s="1" t="n">
        <f aca="false">MEDIAN($Q248)</f>
        <v>0</v>
      </c>
      <c r="AV248" s="1" t="n">
        <f aca="false">MEDIAN($R248)</f>
        <v>811944</v>
      </c>
      <c r="AW248" s="1" t="n">
        <f aca="false">MAX($B248)</f>
        <v>3603</v>
      </c>
      <c r="AX248" s="1" t="n">
        <f aca="false">MAX($C248)</f>
        <v>3</v>
      </c>
      <c r="AY248" s="1" t="n">
        <f aca="false">MAX($D248)</f>
        <v>811432</v>
      </c>
      <c r="AZ248" s="1" t="n">
        <f aca="false">MAX($E248)</f>
        <v>0</v>
      </c>
      <c r="BA248" s="1" t="n">
        <f aca="false">MAX($F248)</f>
        <v>837</v>
      </c>
      <c r="BB248" s="1" t="n">
        <f aca="false">MAX($G248)</f>
        <v>0</v>
      </c>
      <c r="BC248" s="1" t="n">
        <f aca="false">MAX($H248)</f>
        <v>1</v>
      </c>
      <c r="BD248" s="1" t="n">
        <f aca="false">MAX($I248)</f>
        <v>12.253</v>
      </c>
      <c r="BE248" s="1" t="n">
        <f aca="false">MAX($J248)</f>
        <v>12.55</v>
      </c>
      <c r="BF248" s="1" t="n">
        <f aca="false">MAX($K248)</f>
        <v>0</v>
      </c>
      <c r="BG248" s="1" t="n">
        <f aca="false">MAX($M248)</f>
        <v>2923192</v>
      </c>
      <c r="BH248" s="1" t="n">
        <f aca="false">MAX($N248)</f>
        <v>0.08</v>
      </c>
      <c r="BI248" s="1" t="n">
        <f aca="false">MAX($P248)</f>
        <v>12.55</v>
      </c>
      <c r="BJ248" s="1" t="n">
        <f aca="false">MAX($Q248)</f>
        <v>0</v>
      </c>
      <c r="BK248" s="1" t="n">
        <f aca="false">MAX($R248)</f>
        <v>811944</v>
      </c>
    </row>
    <row r="249" customFormat="false" ht="15" hidden="false" customHeight="false" outlineLevel="0" collapsed="false">
      <c r="A249" s="1" t="s">
        <v>266</v>
      </c>
      <c r="B249" s="1" t="n">
        <f aca="false" t="array" ref="B249:B249">_xlfn.SWITCH($A$2,"average", AVERAGE(Instances!B249:B249),"median", MEDIAN(Instances!B249:B249),"min", MIN(Instances!B249:B249),"max", MAX(Instances!B249:B249),"diff", MAX(Instances!B249:B249)-MIN(Instances!B249:B249))</f>
        <v>4417</v>
      </c>
      <c r="C249" s="1" t="n">
        <f aca="false" t="array" ref="C249:C249">_xlfn.SWITCH($A$2,"average", AVERAGE(Instances!C249:C249),"median", MEDIAN(Instances!C249:C249),"min", MIN(Instances!C249:C249),"max", MAX(Instances!C249:C249),"diff", MAX(Instances!C249:C249)-MIN(Instances!C249:C249))</f>
        <v>1</v>
      </c>
      <c r="D249" s="1" t="n">
        <f aca="false" t="array" ref="D249:D249">_xlfn.SWITCH($A$2,"average", AVERAGE(Instances!D249:D249),"median", MEDIAN(Instances!D249:D249),"min", MIN(Instances!D249:D249),"max", MAX(Instances!D249:D249),"diff", MAX(Instances!D249:D249)-MIN(Instances!D249:D249))</f>
        <v>813794</v>
      </c>
      <c r="E249" s="1" t="n">
        <f aca="false" t="array" ref="E249:E249">_xlfn.SWITCH($A$2,"average", AVERAGE(Instances!E249:E249),"median", MEDIAN(Instances!E249:E249),"min", MIN(Instances!E249:E249),"max", MAX(Instances!E249:E249),"diff", MAX(Instances!E249:E249)-MIN(Instances!E249:E249))</f>
        <v>0</v>
      </c>
      <c r="F249" s="1" t="n">
        <f aca="false" t="array" ref="F249:F249">_xlfn.SWITCH($A$2,"average", AVERAGE(Instances!F249:F249),"median", MEDIAN(Instances!F249:F249),"min", MIN(Instances!F249:F249),"max", MAX(Instances!F249:F249),"diff", MAX(Instances!F249:F249)-MIN(Instances!F249:F249))</f>
        <v>852</v>
      </c>
      <c r="G249" s="1" t="n">
        <f aca="false" t="array" ref="G249:G249">_xlfn.SWITCH($A$2,"average", AVERAGE(Instances!G249:G249),"median", MEDIAN(Instances!G249:G249),"min", MIN(Instances!G249:G249),"max", MAX(Instances!G249:G249),"diff", MAX(Instances!G249:G249)-MIN(Instances!G249:G249))</f>
        <v>0</v>
      </c>
      <c r="H249" s="1" t="n">
        <f aca="false" t="array" ref="H249:H249">_xlfn.SWITCH($A$2,"average", AVERAGE(Instances!H249:H249),"median", MEDIAN(Instances!H249:H249),"min", MIN(Instances!H249:H249),"max", MAX(Instances!H249:H249),"diff", MAX(Instances!H249:H249)-MIN(Instances!H249:H249))</f>
        <v>1</v>
      </c>
      <c r="I249" s="1" t="n">
        <f aca="false" t="array" ref="I249:I249">_xlfn.SWITCH($A$2,"average", AVERAGE(Instances!I249:I249),"median", MEDIAN(Instances!I249:I249),"min", MIN(Instances!I249:I249),"max", MAX(Instances!I249:I249),"diff", MAX(Instances!I249:I249)-MIN(Instances!I249:I249))</f>
        <v>13.054</v>
      </c>
      <c r="J249" s="1" t="n">
        <f aca="false" t="array" ref="J249:J249">_xlfn.SWITCH($A$2,"average", AVERAGE(Instances!J249:J249),"median", MEDIAN(Instances!J249:J249),"min", MIN(Instances!J249:J249),"max", MAX(Instances!J249:J249),"diff", MAX(Instances!J249:J249)-MIN(Instances!J249:J249))</f>
        <v>13.36</v>
      </c>
      <c r="K249" s="1" t="n">
        <f aca="false" t="array" ref="K249:K249">_xlfn.SWITCH($A$2,"average", AVERAGE(Instances!K249:K249),"median", MEDIAN(Instances!K249:K249),"min", MIN(Instances!K249:K249),"max", MAX(Instances!K249:K249),"diff", MAX(Instances!K249:K249)-MIN(Instances!K249:K249))</f>
        <v>0</v>
      </c>
      <c r="L249" s="1"/>
      <c r="M249" s="1" t="n">
        <f aca="false" t="array" ref="M249:M249">_xlfn.SWITCH($A$2,"average", AVERAGE(Instances!M249:M249),"median", MEDIAN(Instances!M249:M249),"min", MIN(Instances!M249:M249),"max", MAX(Instances!M249:M249),"diff", MAX(Instances!M249:M249)-MIN(Instances!M249:M249))</f>
        <v>3075352</v>
      </c>
      <c r="N249" s="1" t="n">
        <f aca="false" t="array" ref="N249:N249">_xlfn.SWITCH($A$2,"average", AVERAGE(Instances!N249:N249),"median", MEDIAN(Instances!N249:N249),"min", MIN(Instances!N249:N249),"max", MAX(Instances!N249:N249),"diff", MAX(Instances!N249:N249)-MIN(Instances!N249:N249))</f>
        <v>0.08</v>
      </c>
      <c r="O249" s="1"/>
      <c r="P249" s="1" t="n">
        <f aca="false" t="array" ref="P249:P249">_xlfn.SWITCH($A$2,"average", AVERAGE(Instances!P249:P249),"median", MEDIAN(Instances!P249:P249),"min", MIN(Instances!P249:P249),"max", MAX(Instances!P249:P249),"diff", MAX(Instances!P249:P249)-MIN(Instances!P249:P249))</f>
        <v>13.36</v>
      </c>
      <c r="Q249" s="1" t="n">
        <f aca="false" t="array" ref="Q249:Q249">_xlfn.SWITCH($A$2,"average", AVERAGE(Instances!Q249:Q249),"median", MEDIAN(Instances!Q249:Q249),"min", MIN(Instances!Q249:Q249),"max", MAX(Instances!Q249:Q249),"diff", MAX(Instances!Q249:Q249)-MIN(Instances!Q249:Q249))</f>
        <v>0</v>
      </c>
      <c r="R249" s="1" t="n">
        <f aca="false" t="array" ref="R249:R249">_xlfn.SWITCH($A$2,"average", AVERAGE(Instances!R249:R249),"median", MEDIAN(Instances!R249:R249),"min", MIN(Instances!R249:R249),"max", MAX(Instances!R249:R249),"diff", MAX(Instances!R249:R249)-MIN(Instances!R249:R249))</f>
        <v>839903</v>
      </c>
      <c r="S249" s="1" t="n">
        <f aca="false">MIN($B249)</f>
        <v>4417</v>
      </c>
      <c r="T249" s="1" t="n">
        <f aca="false">MIN($C249)</f>
        <v>1</v>
      </c>
      <c r="U249" s="1" t="n">
        <f aca="false">MIN($D249)</f>
        <v>813794</v>
      </c>
      <c r="V249" s="1" t="n">
        <f aca="false">MIN($E249)</f>
        <v>0</v>
      </c>
      <c r="W249" s="1" t="n">
        <f aca="false">MIN($F249)</f>
        <v>852</v>
      </c>
      <c r="X249" s="1" t="n">
        <f aca="false">MIN($G249)</f>
        <v>0</v>
      </c>
      <c r="Y249" s="1" t="n">
        <f aca="false">MIN($H249)</f>
        <v>1</v>
      </c>
      <c r="Z249" s="1" t="n">
        <f aca="false">MIN($I249)</f>
        <v>13.054</v>
      </c>
      <c r="AA249" s="1" t="n">
        <f aca="false">MIN($J249)</f>
        <v>13.36</v>
      </c>
      <c r="AB249" s="1" t="n">
        <f aca="false">MIN($K249)</f>
        <v>0</v>
      </c>
      <c r="AC249" s="1" t="n">
        <f aca="false">MIN($M249)</f>
        <v>3075352</v>
      </c>
      <c r="AD249" s="1" t="n">
        <f aca="false">MIN($N249)</f>
        <v>0.08</v>
      </c>
      <c r="AE249" s="1" t="n">
        <f aca="false">MIN($P249)</f>
        <v>13.36</v>
      </c>
      <c r="AF249" s="1" t="n">
        <f aca="false">MIN($Q249)</f>
        <v>0</v>
      </c>
      <c r="AG249" s="1" t="n">
        <f aca="false">MIN($R249)</f>
        <v>839903</v>
      </c>
      <c r="AH249" s="1" t="n">
        <f aca="false">MEDIAN($B249)</f>
        <v>4417</v>
      </c>
      <c r="AI249" s="1" t="n">
        <f aca="false">MEDIAN($C249)</f>
        <v>1</v>
      </c>
      <c r="AJ249" s="1" t="n">
        <f aca="false">MEDIAN($D249)</f>
        <v>813794</v>
      </c>
      <c r="AK249" s="1" t="n">
        <f aca="false">MEDIAN($E249)</f>
        <v>0</v>
      </c>
      <c r="AL249" s="1" t="n">
        <f aca="false">MEDIAN($F249)</f>
        <v>852</v>
      </c>
      <c r="AM249" s="1" t="n">
        <f aca="false">MEDIAN($G249)</f>
        <v>0</v>
      </c>
      <c r="AN249" s="1" t="n">
        <f aca="false">MEDIAN($H249)</f>
        <v>1</v>
      </c>
      <c r="AO249" s="1" t="n">
        <f aca="false">MEDIAN($I249)</f>
        <v>13.054</v>
      </c>
      <c r="AP249" s="1" t="n">
        <f aca="false">MEDIAN($J249)</f>
        <v>13.36</v>
      </c>
      <c r="AQ249" s="1" t="n">
        <f aca="false">MEDIAN($K249)</f>
        <v>0</v>
      </c>
      <c r="AR249" s="1" t="n">
        <f aca="false">MEDIAN($M249)</f>
        <v>3075352</v>
      </c>
      <c r="AS249" s="1" t="n">
        <f aca="false">MEDIAN($N249)</f>
        <v>0.08</v>
      </c>
      <c r="AT249" s="1" t="n">
        <f aca="false">MEDIAN($P249)</f>
        <v>13.36</v>
      </c>
      <c r="AU249" s="1" t="n">
        <f aca="false">MEDIAN($Q249)</f>
        <v>0</v>
      </c>
      <c r="AV249" s="1" t="n">
        <f aca="false">MEDIAN($R249)</f>
        <v>839903</v>
      </c>
      <c r="AW249" s="1" t="n">
        <f aca="false">MAX($B249)</f>
        <v>4417</v>
      </c>
      <c r="AX249" s="1" t="n">
        <f aca="false">MAX($C249)</f>
        <v>1</v>
      </c>
      <c r="AY249" s="1" t="n">
        <f aca="false">MAX($D249)</f>
        <v>813794</v>
      </c>
      <c r="AZ249" s="1" t="n">
        <f aca="false">MAX($E249)</f>
        <v>0</v>
      </c>
      <c r="BA249" s="1" t="n">
        <f aca="false">MAX($F249)</f>
        <v>852</v>
      </c>
      <c r="BB249" s="1" t="n">
        <f aca="false">MAX($G249)</f>
        <v>0</v>
      </c>
      <c r="BC249" s="1" t="n">
        <f aca="false">MAX($H249)</f>
        <v>1</v>
      </c>
      <c r="BD249" s="1" t="n">
        <f aca="false">MAX($I249)</f>
        <v>13.054</v>
      </c>
      <c r="BE249" s="1" t="n">
        <f aca="false">MAX($J249)</f>
        <v>13.36</v>
      </c>
      <c r="BF249" s="1" t="n">
        <f aca="false">MAX($K249)</f>
        <v>0</v>
      </c>
      <c r="BG249" s="1" t="n">
        <f aca="false">MAX($M249)</f>
        <v>3075352</v>
      </c>
      <c r="BH249" s="1" t="n">
        <f aca="false">MAX($N249)</f>
        <v>0.08</v>
      </c>
      <c r="BI249" s="1" t="n">
        <f aca="false">MAX($P249)</f>
        <v>13.36</v>
      </c>
      <c r="BJ249" s="1" t="n">
        <f aca="false">MAX($Q249)</f>
        <v>0</v>
      </c>
      <c r="BK249" s="1" t="n">
        <f aca="false">MAX($R249)</f>
        <v>839903</v>
      </c>
    </row>
    <row r="250" customFormat="false" ht="15" hidden="false" customHeight="false" outlineLevel="0" collapsed="false">
      <c r="A250" s="1" t="s">
        <v>267</v>
      </c>
      <c r="B250" s="1" t="n">
        <f aca="false" t="array" ref="B250:B250">_xlfn.SWITCH($A$2,"average", AVERAGE(Instances!B250:B250),"median", MEDIAN(Instances!B250:B250),"min", MIN(Instances!B250:B250),"max", MAX(Instances!B250:B250),"diff", MAX(Instances!B250:B250)-MIN(Instances!B250:B250))</f>
        <v>2699</v>
      </c>
      <c r="C250" s="1" t="n">
        <f aca="false" t="array" ref="C250:C250">_xlfn.SWITCH($A$2,"average", AVERAGE(Instances!C250:C250),"median", MEDIAN(Instances!C250:C250),"min", MIN(Instances!C250:C250),"max", MAX(Instances!C250:C250),"diff", MAX(Instances!C250:C250)-MIN(Instances!C250:C250))</f>
        <v>2</v>
      </c>
      <c r="D250" s="1" t="n">
        <f aca="false" t="array" ref="D250:D250">_xlfn.SWITCH($A$2,"average", AVERAGE(Instances!D250:D250),"median", MEDIAN(Instances!D250:D250),"min", MIN(Instances!D250:D250),"max", MAX(Instances!D250:D250),"diff", MAX(Instances!D250:D250)-MIN(Instances!D250:D250))</f>
        <v>682027</v>
      </c>
      <c r="E250" s="1" t="n">
        <f aca="false" t="array" ref="E250:E250">_xlfn.SWITCH($A$2,"average", AVERAGE(Instances!E250:E250),"median", MEDIAN(Instances!E250:E250),"min", MIN(Instances!E250:E250),"max", MAX(Instances!E250:E250),"diff", MAX(Instances!E250:E250)-MIN(Instances!E250:E250))</f>
        <v>0</v>
      </c>
      <c r="F250" s="1" t="n">
        <f aca="false" t="array" ref="F250:F250">_xlfn.SWITCH($A$2,"average", AVERAGE(Instances!F250:F250),"median", MEDIAN(Instances!F250:F250),"min", MIN(Instances!F250:F250),"max", MAX(Instances!F250:F250),"diff", MAX(Instances!F250:F250)-MIN(Instances!F250:F250))</f>
        <v>803</v>
      </c>
      <c r="G250" s="1" t="n">
        <f aca="false" t="array" ref="G250:G250">_xlfn.SWITCH($A$2,"average", AVERAGE(Instances!G250:G250),"median", MEDIAN(Instances!G250:G250),"min", MIN(Instances!G250:G250),"max", MAX(Instances!G250:G250),"diff", MAX(Instances!G250:G250)-MIN(Instances!G250:G250))</f>
        <v>0</v>
      </c>
      <c r="H250" s="1" t="n">
        <f aca="false" t="array" ref="H250:H250">_xlfn.SWITCH($A$2,"average", AVERAGE(Instances!H250:H250),"median", MEDIAN(Instances!H250:H250),"min", MIN(Instances!H250:H250),"max", MAX(Instances!H250:H250),"diff", MAX(Instances!H250:H250)-MIN(Instances!H250:H250))</f>
        <v>1</v>
      </c>
      <c r="I250" s="1" t="n">
        <f aca="false" t="array" ref="I250:I250">_xlfn.SWITCH($A$2,"average", AVERAGE(Instances!I250:I250),"median", MEDIAN(Instances!I250:I250),"min", MIN(Instances!I250:I250),"max", MAX(Instances!I250:I250),"diff", MAX(Instances!I250:I250)-MIN(Instances!I250:I250))</f>
        <v>11.512</v>
      </c>
      <c r="J250" s="1" t="n">
        <f aca="false" t="array" ref="J250:J250">_xlfn.SWITCH($A$2,"average", AVERAGE(Instances!J250:J250),"median", MEDIAN(Instances!J250:J250),"min", MIN(Instances!J250:J250),"max", MAX(Instances!J250:J250),"diff", MAX(Instances!J250:J250)-MIN(Instances!J250:J250))</f>
        <v>11.79</v>
      </c>
      <c r="K250" s="1" t="n">
        <f aca="false" t="array" ref="K250:K250">_xlfn.SWITCH($A$2,"average", AVERAGE(Instances!K250:K250),"median", MEDIAN(Instances!K250:K250),"min", MIN(Instances!K250:K250),"max", MAX(Instances!K250:K250),"diff", MAX(Instances!K250:K250)-MIN(Instances!K250:K250))</f>
        <v>0</v>
      </c>
      <c r="L250" s="1"/>
      <c r="M250" s="1" t="n">
        <f aca="false" t="array" ref="M250:M250">_xlfn.SWITCH($A$2,"average", AVERAGE(Instances!M250:M250),"median", MEDIAN(Instances!M250:M250),"min", MIN(Instances!M250:M250),"max", MAX(Instances!M250:M250),"diff", MAX(Instances!M250:M250)-MIN(Instances!M250:M250))</f>
        <v>2803380</v>
      </c>
      <c r="N250" s="1" t="n">
        <f aca="false" t="array" ref="N250:N250">_xlfn.SWITCH($A$2,"average", AVERAGE(Instances!N250:N250),"median", MEDIAN(Instances!N250:N250),"min", MIN(Instances!N250:N250),"max", MAX(Instances!N250:N250),"diff", MAX(Instances!N250:N250)-MIN(Instances!N250:N250))</f>
        <v>0.07</v>
      </c>
      <c r="O250" s="1"/>
      <c r="P250" s="1" t="n">
        <f aca="false" t="array" ref="P250:P250">_xlfn.SWITCH($A$2,"average", AVERAGE(Instances!P250:P250),"median", MEDIAN(Instances!P250:P250),"min", MIN(Instances!P250:P250),"max", MAX(Instances!P250:P250),"diff", MAX(Instances!P250:P250)-MIN(Instances!P250:P250))</f>
        <v>11.79</v>
      </c>
      <c r="Q250" s="1" t="n">
        <f aca="false" t="array" ref="Q250:Q250">_xlfn.SWITCH($A$2,"average", AVERAGE(Instances!Q250:Q250),"median", MEDIAN(Instances!Q250:Q250),"min", MIN(Instances!Q250:Q250),"max", MAX(Instances!Q250:Q250),"diff", MAX(Instances!Q250:Q250)-MIN(Instances!Q250:Q250))</f>
        <v>0</v>
      </c>
      <c r="R250" s="1" t="n">
        <f aca="false" t="array" ref="R250:R250">_xlfn.SWITCH($A$2,"average", AVERAGE(Instances!R250:R250),"median", MEDIAN(Instances!R250:R250),"min", MIN(Instances!R250:R250),"max", MAX(Instances!R250:R250),"diff", MAX(Instances!R250:R250)-MIN(Instances!R250:R250))</f>
        <v>782269</v>
      </c>
      <c r="S250" s="1" t="n">
        <f aca="false">MIN($B250)</f>
        <v>2699</v>
      </c>
      <c r="T250" s="1" t="n">
        <f aca="false">MIN($C250)</f>
        <v>2</v>
      </c>
      <c r="U250" s="1" t="n">
        <f aca="false">MIN($D250)</f>
        <v>682027</v>
      </c>
      <c r="V250" s="1" t="n">
        <f aca="false">MIN($E250)</f>
        <v>0</v>
      </c>
      <c r="W250" s="1" t="n">
        <f aca="false">MIN($F250)</f>
        <v>803</v>
      </c>
      <c r="X250" s="1" t="n">
        <f aca="false">MIN($G250)</f>
        <v>0</v>
      </c>
      <c r="Y250" s="1" t="n">
        <f aca="false">MIN($H250)</f>
        <v>1</v>
      </c>
      <c r="Z250" s="1" t="n">
        <f aca="false">MIN($I250)</f>
        <v>11.512</v>
      </c>
      <c r="AA250" s="1" t="n">
        <f aca="false">MIN($J250)</f>
        <v>11.79</v>
      </c>
      <c r="AB250" s="1" t="n">
        <f aca="false">MIN($K250)</f>
        <v>0</v>
      </c>
      <c r="AC250" s="1" t="n">
        <f aca="false">MIN($M250)</f>
        <v>2803380</v>
      </c>
      <c r="AD250" s="1" t="n">
        <f aca="false">MIN($N250)</f>
        <v>0.07</v>
      </c>
      <c r="AE250" s="1" t="n">
        <f aca="false">MIN($P250)</f>
        <v>11.79</v>
      </c>
      <c r="AF250" s="1" t="n">
        <f aca="false">MIN($Q250)</f>
        <v>0</v>
      </c>
      <c r="AG250" s="1" t="n">
        <f aca="false">MIN($R250)</f>
        <v>782269</v>
      </c>
      <c r="AH250" s="1" t="n">
        <f aca="false">MEDIAN($B250)</f>
        <v>2699</v>
      </c>
      <c r="AI250" s="1" t="n">
        <f aca="false">MEDIAN($C250)</f>
        <v>2</v>
      </c>
      <c r="AJ250" s="1" t="n">
        <f aca="false">MEDIAN($D250)</f>
        <v>682027</v>
      </c>
      <c r="AK250" s="1" t="n">
        <f aca="false">MEDIAN($E250)</f>
        <v>0</v>
      </c>
      <c r="AL250" s="1" t="n">
        <f aca="false">MEDIAN($F250)</f>
        <v>803</v>
      </c>
      <c r="AM250" s="1" t="n">
        <f aca="false">MEDIAN($G250)</f>
        <v>0</v>
      </c>
      <c r="AN250" s="1" t="n">
        <f aca="false">MEDIAN($H250)</f>
        <v>1</v>
      </c>
      <c r="AO250" s="1" t="n">
        <f aca="false">MEDIAN($I250)</f>
        <v>11.512</v>
      </c>
      <c r="AP250" s="1" t="n">
        <f aca="false">MEDIAN($J250)</f>
        <v>11.79</v>
      </c>
      <c r="AQ250" s="1" t="n">
        <f aca="false">MEDIAN($K250)</f>
        <v>0</v>
      </c>
      <c r="AR250" s="1" t="n">
        <f aca="false">MEDIAN($M250)</f>
        <v>2803380</v>
      </c>
      <c r="AS250" s="1" t="n">
        <f aca="false">MEDIAN($N250)</f>
        <v>0.07</v>
      </c>
      <c r="AT250" s="1" t="n">
        <f aca="false">MEDIAN($P250)</f>
        <v>11.79</v>
      </c>
      <c r="AU250" s="1" t="n">
        <f aca="false">MEDIAN($Q250)</f>
        <v>0</v>
      </c>
      <c r="AV250" s="1" t="n">
        <f aca="false">MEDIAN($R250)</f>
        <v>782269</v>
      </c>
      <c r="AW250" s="1" t="n">
        <f aca="false">MAX($B250)</f>
        <v>2699</v>
      </c>
      <c r="AX250" s="1" t="n">
        <f aca="false">MAX($C250)</f>
        <v>2</v>
      </c>
      <c r="AY250" s="1" t="n">
        <f aca="false">MAX($D250)</f>
        <v>682027</v>
      </c>
      <c r="AZ250" s="1" t="n">
        <f aca="false">MAX($E250)</f>
        <v>0</v>
      </c>
      <c r="BA250" s="1" t="n">
        <f aca="false">MAX($F250)</f>
        <v>803</v>
      </c>
      <c r="BB250" s="1" t="n">
        <f aca="false">MAX($G250)</f>
        <v>0</v>
      </c>
      <c r="BC250" s="1" t="n">
        <f aca="false">MAX($H250)</f>
        <v>1</v>
      </c>
      <c r="BD250" s="1" t="n">
        <f aca="false">MAX($I250)</f>
        <v>11.512</v>
      </c>
      <c r="BE250" s="1" t="n">
        <f aca="false">MAX($J250)</f>
        <v>11.79</v>
      </c>
      <c r="BF250" s="1" t="n">
        <f aca="false">MAX($K250)</f>
        <v>0</v>
      </c>
      <c r="BG250" s="1" t="n">
        <f aca="false">MAX($M250)</f>
        <v>2803380</v>
      </c>
      <c r="BH250" s="1" t="n">
        <f aca="false">MAX($N250)</f>
        <v>0.07</v>
      </c>
      <c r="BI250" s="1" t="n">
        <f aca="false">MAX($P250)</f>
        <v>11.79</v>
      </c>
      <c r="BJ250" s="1" t="n">
        <f aca="false">MAX($Q250)</f>
        <v>0</v>
      </c>
      <c r="BK250" s="1" t="n">
        <f aca="false">MAX($R250)</f>
        <v>782269</v>
      </c>
    </row>
    <row r="251" customFormat="false" ht="15" hidden="false" customHeight="false" outlineLevel="0" collapsed="false">
      <c r="A251" s="1" t="s">
        <v>268</v>
      </c>
      <c r="B251" s="1" t="n">
        <f aca="false" t="array" ref="B251:B251">_xlfn.SWITCH($A$2,"average", AVERAGE(Instances!B251:B251),"median", MEDIAN(Instances!B251:B251),"min", MIN(Instances!B251:B251),"max", MAX(Instances!B251:B251),"diff", MAX(Instances!B251:B251)-MIN(Instances!B251:B251))</f>
        <v>3426</v>
      </c>
      <c r="C251" s="1" t="n">
        <f aca="false" t="array" ref="C251:C251">_xlfn.SWITCH($A$2,"average", AVERAGE(Instances!C251:C251),"median", MEDIAN(Instances!C251:C251),"min", MIN(Instances!C251:C251),"max", MAX(Instances!C251:C251),"diff", MAX(Instances!C251:C251)-MIN(Instances!C251:C251))</f>
        <v>3</v>
      </c>
      <c r="D251" s="1" t="n">
        <f aca="false" t="array" ref="D251:D251">_xlfn.SWITCH($A$2,"average", AVERAGE(Instances!D251:D251),"median", MEDIAN(Instances!D251:D251),"min", MIN(Instances!D251:D251),"max", MAX(Instances!D251:D251),"diff", MAX(Instances!D251:D251)-MIN(Instances!D251:D251))</f>
        <v>809686</v>
      </c>
      <c r="E251" s="1" t="n">
        <f aca="false" t="array" ref="E251:E251">_xlfn.SWITCH($A$2,"average", AVERAGE(Instances!E251:E251),"median", MEDIAN(Instances!E251:E251),"min", MIN(Instances!E251:E251),"max", MAX(Instances!E251:E251),"diff", MAX(Instances!E251:E251)-MIN(Instances!E251:E251))</f>
        <v>0</v>
      </c>
      <c r="F251" s="1" t="n">
        <f aca="false" t="array" ref="F251:F251">_xlfn.SWITCH($A$2,"average", AVERAGE(Instances!F251:F251),"median", MEDIAN(Instances!F251:F251),"min", MIN(Instances!F251:F251),"max", MAX(Instances!F251:F251),"diff", MAX(Instances!F251:F251)-MIN(Instances!F251:F251))</f>
        <v>831</v>
      </c>
      <c r="G251" s="1" t="n">
        <f aca="false" t="array" ref="G251:G251">_xlfn.SWITCH($A$2,"average", AVERAGE(Instances!G251:G251),"median", MEDIAN(Instances!G251:G251),"min", MIN(Instances!G251:G251),"max", MAX(Instances!G251:G251),"diff", MAX(Instances!G251:G251)-MIN(Instances!G251:G251))</f>
        <v>0</v>
      </c>
      <c r="H251" s="1" t="n">
        <f aca="false" t="array" ref="H251:H251">_xlfn.SWITCH($A$2,"average", AVERAGE(Instances!H251:H251),"median", MEDIAN(Instances!H251:H251),"min", MIN(Instances!H251:H251),"max", MAX(Instances!H251:H251),"diff", MAX(Instances!H251:H251)-MIN(Instances!H251:H251))</f>
        <v>1</v>
      </c>
      <c r="I251" s="1" t="n">
        <f aca="false" t="array" ref="I251:I251">_xlfn.SWITCH($A$2,"average", AVERAGE(Instances!I251:I251),"median", MEDIAN(Instances!I251:I251),"min", MIN(Instances!I251:I251),"max", MAX(Instances!I251:I251),"diff", MAX(Instances!I251:I251)-MIN(Instances!I251:I251))</f>
        <v>12.534</v>
      </c>
      <c r="J251" s="1" t="n">
        <f aca="false" t="array" ref="J251:J251">_xlfn.SWITCH($A$2,"average", AVERAGE(Instances!J251:J251),"median", MEDIAN(Instances!J251:J251),"min", MIN(Instances!J251:J251),"max", MAX(Instances!J251:J251),"diff", MAX(Instances!J251:J251)-MIN(Instances!J251:J251))</f>
        <v>12.83</v>
      </c>
      <c r="K251" s="1" t="n">
        <f aca="false" t="array" ref="K251:K251">_xlfn.SWITCH($A$2,"average", AVERAGE(Instances!K251:K251),"median", MEDIAN(Instances!K251:K251),"min", MIN(Instances!K251:K251),"max", MAX(Instances!K251:K251),"diff", MAX(Instances!K251:K251)-MIN(Instances!K251:K251))</f>
        <v>0</v>
      </c>
      <c r="L251" s="1"/>
      <c r="M251" s="1" t="n">
        <f aca="false" t="array" ref="M251:M251">_xlfn.SWITCH($A$2,"average", AVERAGE(Instances!M251:M251),"median", MEDIAN(Instances!M251:M251),"min", MIN(Instances!M251:M251),"max", MAX(Instances!M251:M251),"diff", MAX(Instances!M251:M251)-MIN(Instances!M251:M251))</f>
        <v>2909680</v>
      </c>
      <c r="N251" s="1" t="n">
        <f aca="false" t="array" ref="N251:N251">_xlfn.SWITCH($A$2,"average", AVERAGE(Instances!N251:N251),"median", MEDIAN(Instances!N251:N251),"min", MIN(Instances!N251:N251),"max", MAX(Instances!N251:N251),"diff", MAX(Instances!N251:N251)-MIN(Instances!N251:N251))</f>
        <v>0.09</v>
      </c>
      <c r="O251" s="1"/>
      <c r="P251" s="1" t="n">
        <f aca="false" t="array" ref="P251:P251">_xlfn.SWITCH($A$2,"average", AVERAGE(Instances!P251:P251),"median", MEDIAN(Instances!P251:P251),"min", MIN(Instances!P251:P251),"max", MAX(Instances!P251:P251),"diff", MAX(Instances!P251:P251)-MIN(Instances!P251:P251))</f>
        <v>12.83</v>
      </c>
      <c r="Q251" s="1" t="n">
        <f aca="false" t="array" ref="Q251:Q251">_xlfn.SWITCH($A$2,"average", AVERAGE(Instances!Q251:Q251),"median", MEDIAN(Instances!Q251:Q251),"min", MIN(Instances!Q251:Q251),"max", MAX(Instances!Q251:Q251),"diff", MAX(Instances!Q251:Q251)-MIN(Instances!Q251:Q251))</f>
        <v>0</v>
      </c>
      <c r="R251" s="1" t="n">
        <f aca="false" t="array" ref="R251:R251">_xlfn.SWITCH($A$2,"average", AVERAGE(Instances!R251:R251),"median", MEDIAN(Instances!R251:R251),"min", MIN(Instances!R251:R251),"max", MAX(Instances!R251:R251),"diff", MAX(Instances!R251:R251)-MIN(Instances!R251:R251))</f>
        <v>809148</v>
      </c>
      <c r="S251" s="1" t="n">
        <f aca="false">MIN($B251)</f>
        <v>3426</v>
      </c>
      <c r="T251" s="1" t="n">
        <f aca="false">MIN($C251)</f>
        <v>3</v>
      </c>
      <c r="U251" s="1" t="n">
        <f aca="false">MIN($D251)</f>
        <v>809686</v>
      </c>
      <c r="V251" s="1" t="n">
        <f aca="false">MIN($E251)</f>
        <v>0</v>
      </c>
      <c r="W251" s="1" t="n">
        <f aca="false">MIN($F251)</f>
        <v>831</v>
      </c>
      <c r="X251" s="1" t="n">
        <f aca="false">MIN($G251)</f>
        <v>0</v>
      </c>
      <c r="Y251" s="1" t="n">
        <f aca="false">MIN($H251)</f>
        <v>1</v>
      </c>
      <c r="Z251" s="1" t="n">
        <f aca="false">MIN($I251)</f>
        <v>12.534</v>
      </c>
      <c r="AA251" s="1" t="n">
        <f aca="false">MIN($J251)</f>
        <v>12.83</v>
      </c>
      <c r="AB251" s="1" t="n">
        <f aca="false">MIN($K251)</f>
        <v>0</v>
      </c>
      <c r="AC251" s="1" t="n">
        <f aca="false">MIN($M251)</f>
        <v>2909680</v>
      </c>
      <c r="AD251" s="1" t="n">
        <f aca="false">MIN($N251)</f>
        <v>0.09</v>
      </c>
      <c r="AE251" s="1" t="n">
        <f aca="false">MIN($P251)</f>
        <v>12.83</v>
      </c>
      <c r="AF251" s="1" t="n">
        <f aca="false">MIN($Q251)</f>
        <v>0</v>
      </c>
      <c r="AG251" s="1" t="n">
        <f aca="false">MIN($R251)</f>
        <v>809148</v>
      </c>
      <c r="AH251" s="1" t="n">
        <f aca="false">MEDIAN($B251)</f>
        <v>3426</v>
      </c>
      <c r="AI251" s="1" t="n">
        <f aca="false">MEDIAN($C251)</f>
        <v>3</v>
      </c>
      <c r="AJ251" s="1" t="n">
        <f aca="false">MEDIAN($D251)</f>
        <v>809686</v>
      </c>
      <c r="AK251" s="1" t="n">
        <f aca="false">MEDIAN($E251)</f>
        <v>0</v>
      </c>
      <c r="AL251" s="1" t="n">
        <f aca="false">MEDIAN($F251)</f>
        <v>831</v>
      </c>
      <c r="AM251" s="1" t="n">
        <f aca="false">MEDIAN($G251)</f>
        <v>0</v>
      </c>
      <c r="AN251" s="1" t="n">
        <f aca="false">MEDIAN($H251)</f>
        <v>1</v>
      </c>
      <c r="AO251" s="1" t="n">
        <f aca="false">MEDIAN($I251)</f>
        <v>12.534</v>
      </c>
      <c r="AP251" s="1" t="n">
        <f aca="false">MEDIAN($J251)</f>
        <v>12.83</v>
      </c>
      <c r="AQ251" s="1" t="n">
        <f aca="false">MEDIAN($K251)</f>
        <v>0</v>
      </c>
      <c r="AR251" s="1" t="n">
        <f aca="false">MEDIAN($M251)</f>
        <v>2909680</v>
      </c>
      <c r="AS251" s="1" t="n">
        <f aca="false">MEDIAN($N251)</f>
        <v>0.09</v>
      </c>
      <c r="AT251" s="1" t="n">
        <f aca="false">MEDIAN($P251)</f>
        <v>12.83</v>
      </c>
      <c r="AU251" s="1" t="n">
        <f aca="false">MEDIAN($Q251)</f>
        <v>0</v>
      </c>
      <c r="AV251" s="1" t="n">
        <f aca="false">MEDIAN($R251)</f>
        <v>809148</v>
      </c>
      <c r="AW251" s="1" t="n">
        <f aca="false">MAX($B251)</f>
        <v>3426</v>
      </c>
      <c r="AX251" s="1" t="n">
        <f aca="false">MAX($C251)</f>
        <v>3</v>
      </c>
      <c r="AY251" s="1" t="n">
        <f aca="false">MAX($D251)</f>
        <v>809686</v>
      </c>
      <c r="AZ251" s="1" t="n">
        <f aca="false">MAX($E251)</f>
        <v>0</v>
      </c>
      <c r="BA251" s="1" t="n">
        <f aca="false">MAX($F251)</f>
        <v>831</v>
      </c>
      <c r="BB251" s="1" t="n">
        <f aca="false">MAX($G251)</f>
        <v>0</v>
      </c>
      <c r="BC251" s="1" t="n">
        <f aca="false">MAX($H251)</f>
        <v>1</v>
      </c>
      <c r="BD251" s="1" t="n">
        <f aca="false">MAX($I251)</f>
        <v>12.534</v>
      </c>
      <c r="BE251" s="1" t="n">
        <f aca="false">MAX($J251)</f>
        <v>12.83</v>
      </c>
      <c r="BF251" s="1" t="n">
        <f aca="false">MAX($K251)</f>
        <v>0</v>
      </c>
      <c r="BG251" s="1" t="n">
        <f aca="false">MAX($M251)</f>
        <v>2909680</v>
      </c>
      <c r="BH251" s="1" t="n">
        <f aca="false">MAX($N251)</f>
        <v>0.09</v>
      </c>
      <c r="BI251" s="1" t="n">
        <f aca="false">MAX($P251)</f>
        <v>12.83</v>
      </c>
      <c r="BJ251" s="1" t="n">
        <f aca="false">MAX($Q251)</f>
        <v>0</v>
      </c>
      <c r="BK251" s="1" t="n">
        <f aca="false">MAX($R251)</f>
        <v>809148</v>
      </c>
    </row>
    <row r="252" customFormat="false" ht="15" hidden="false" customHeight="false" outlineLevel="0" collapsed="false">
      <c r="A252" s="1" t="s">
        <v>269</v>
      </c>
      <c r="B252" s="1" t="n">
        <f aca="false" t="array" ref="B252:B252">_xlfn.SWITCH($A$2,"average", AVERAGE(Instances!B252:B252),"median", MEDIAN(Instances!B252:B252),"min", MIN(Instances!B252:B252),"max", MAX(Instances!B252:B252),"diff", MAX(Instances!B252:B252)-MIN(Instances!B252:B252))</f>
        <v>4776</v>
      </c>
      <c r="C252" s="1" t="n">
        <f aca="false" t="array" ref="C252:C252">_xlfn.SWITCH($A$2,"average", AVERAGE(Instances!C252:C252),"median", MEDIAN(Instances!C252:C252),"min", MIN(Instances!C252:C252),"max", MAX(Instances!C252:C252),"diff", MAX(Instances!C252:C252)-MIN(Instances!C252:C252))</f>
        <v>27</v>
      </c>
      <c r="D252" s="1" t="n">
        <f aca="false" t="array" ref="D252:D252">_xlfn.SWITCH($A$2,"average", AVERAGE(Instances!D252:D252),"median", MEDIAN(Instances!D252:D252),"min", MIN(Instances!D252:D252),"max", MAX(Instances!D252:D252),"diff", MAX(Instances!D252:D252)-MIN(Instances!D252:D252))</f>
        <v>674922</v>
      </c>
      <c r="E252" s="1" t="n">
        <f aca="false" t="array" ref="E252:E252">_xlfn.SWITCH($A$2,"average", AVERAGE(Instances!E252:E252),"median", MEDIAN(Instances!E252:E252),"min", MIN(Instances!E252:E252),"max", MAX(Instances!E252:E252),"diff", MAX(Instances!E252:E252)-MIN(Instances!E252:E252))</f>
        <v>0</v>
      </c>
      <c r="F252" s="1" t="n">
        <f aca="false" t="array" ref="F252:F252">_xlfn.SWITCH($A$2,"average", AVERAGE(Instances!F252:F252),"median", MEDIAN(Instances!F252:F252),"min", MIN(Instances!F252:F252),"max", MAX(Instances!F252:F252),"diff", MAX(Instances!F252:F252)-MIN(Instances!F252:F252))</f>
        <v>733</v>
      </c>
      <c r="G252" s="1" t="n">
        <f aca="false" t="array" ref="G252:G252">_xlfn.SWITCH($A$2,"average", AVERAGE(Instances!G252:G252),"median", MEDIAN(Instances!G252:G252),"min", MIN(Instances!G252:G252),"max", MAX(Instances!G252:G252),"diff", MAX(Instances!G252:G252)-MIN(Instances!G252:G252))</f>
        <v>0</v>
      </c>
      <c r="H252" s="1" t="n">
        <f aca="false" t="array" ref="H252:H252">_xlfn.SWITCH($A$2,"average", AVERAGE(Instances!H252:H252),"median", MEDIAN(Instances!H252:H252),"min", MIN(Instances!H252:H252),"max", MAX(Instances!H252:H252),"diff", MAX(Instances!H252:H252)-MIN(Instances!H252:H252))</f>
        <v>1</v>
      </c>
      <c r="I252" s="1" t="n">
        <f aca="false" t="array" ref="I252:I252">_xlfn.SWITCH($A$2,"average", AVERAGE(Instances!I252:I252),"median", MEDIAN(Instances!I252:I252),"min", MIN(Instances!I252:I252),"max", MAX(Instances!I252:I252),"diff", MAX(Instances!I252:I252)-MIN(Instances!I252:I252))</f>
        <v>10.893</v>
      </c>
      <c r="J252" s="1" t="n">
        <f aca="false" t="array" ref="J252:J252">_xlfn.SWITCH($A$2,"average", AVERAGE(Instances!J252:J252),"median", MEDIAN(Instances!J252:J252),"min", MIN(Instances!J252:J252),"max", MAX(Instances!J252:J252),"diff", MAX(Instances!J252:J252)-MIN(Instances!J252:J252))</f>
        <v>11.15</v>
      </c>
      <c r="K252" s="1" t="n">
        <f aca="false" t="array" ref="K252:K252">_xlfn.SWITCH($A$2,"average", AVERAGE(Instances!K252:K252),"median", MEDIAN(Instances!K252:K252),"min", MIN(Instances!K252:K252),"max", MAX(Instances!K252:K252),"diff", MAX(Instances!K252:K252)-MIN(Instances!K252:K252))</f>
        <v>0</v>
      </c>
      <c r="L252" s="1"/>
      <c r="M252" s="1" t="n">
        <f aca="false" t="array" ref="M252:M252">_xlfn.SWITCH($A$2,"average", AVERAGE(Instances!M252:M252),"median", MEDIAN(Instances!M252:M252),"min", MIN(Instances!M252:M252),"max", MAX(Instances!M252:M252),"diff", MAX(Instances!M252:M252)-MIN(Instances!M252:M252))</f>
        <v>2549056</v>
      </c>
      <c r="N252" s="1" t="n">
        <f aca="false" t="array" ref="N252:N252">_xlfn.SWITCH($A$2,"average", AVERAGE(Instances!N252:N252),"median", MEDIAN(Instances!N252:N252),"min", MIN(Instances!N252:N252),"max", MAX(Instances!N252:N252),"diff", MAX(Instances!N252:N252)-MIN(Instances!N252:N252))</f>
        <v>0.09</v>
      </c>
      <c r="O252" s="1"/>
      <c r="P252" s="1" t="n">
        <f aca="false" t="array" ref="P252:P252">_xlfn.SWITCH($A$2,"average", AVERAGE(Instances!P252:P252),"median", MEDIAN(Instances!P252:P252),"min", MIN(Instances!P252:P252),"max", MAX(Instances!P252:P252),"diff", MAX(Instances!P252:P252)-MIN(Instances!P252:P252))</f>
        <v>11.15</v>
      </c>
      <c r="Q252" s="1" t="n">
        <f aca="false" t="array" ref="Q252:Q252">_xlfn.SWITCH($A$2,"average", AVERAGE(Instances!Q252:Q252),"median", MEDIAN(Instances!Q252:Q252),"min", MIN(Instances!Q252:Q252),"max", MAX(Instances!Q252:Q252),"diff", MAX(Instances!Q252:Q252)-MIN(Instances!Q252:Q252))</f>
        <v>0</v>
      </c>
      <c r="R252" s="1" t="n">
        <f aca="false" t="array" ref="R252:R252">_xlfn.SWITCH($A$2,"average", AVERAGE(Instances!R252:R252),"median", MEDIAN(Instances!R252:R252),"min", MIN(Instances!R252:R252),"max", MAX(Instances!R252:R252),"diff", MAX(Instances!R252:R252)-MIN(Instances!R252:R252))</f>
        <v>711288</v>
      </c>
      <c r="S252" s="1" t="n">
        <f aca="false">MIN($B252)</f>
        <v>4776</v>
      </c>
      <c r="T252" s="1" t="n">
        <f aca="false">MIN($C252)</f>
        <v>27</v>
      </c>
      <c r="U252" s="1" t="n">
        <f aca="false">MIN($D252)</f>
        <v>674922</v>
      </c>
      <c r="V252" s="1" t="n">
        <f aca="false">MIN($E252)</f>
        <v>0</v>
      </c>
      <c r="W252" s="1" t="n">
        <f aca="false">MIN($F252)</f>
        <v>733</v>
      </c>
      <c r="X252" s="1" t="n">
        <f aca="false">MIN($G252)</f>
        <v>0</v>
      </c>
      <c r="Y252" s="1" t="n">
        <f aca="false">MIN($H252)</f>
        <v>1</v>
      </c>
      <c r="Z252" s="1" t="n">
        <f aca="false">MIN($I252)</f>
        <v>10.893</v>
      </c>
      <c r="AA252" s="1" t="n">
        <f aca="false">MIN($J252)</f>
        <v>11.15</v>
      </c>
      <c r="AB252" s="1" t="n">
        <f aca="false">MIN($K252)</f>
        <v>0</v>
      </c>
      <c r="AC252" s="1" t="n">
        <f aca="false">MIN($M252)</f>
        <v>2549056</v>
      </c>
      <c r="AD252" s="1" t="n">
        <f aca="false">MIN($N252)</f>
        <v>0.09</v>
      </c>
      <c r="AE252" s="1" t="n">
        <f aca="false">MIN($P252)</f>
        <v>11.15</v>
      </c>
      <c r="AF252" s="1" t="n">
        <f aca="false">MIN($Q252)</f>
        <v>0</v>
      </c>
      <c r="AG252" s="1" t="n">
        <f aca="false">MIN($R252)</f>
        <v>711288</v>
      </c>
      <c r="AH252" s="1" t="n">
        <f aca="false">MEDIAN($B252)</f>
        <v>4776</v>
      </c>
      <c r="AI252" s="1" t="n">
        <f aca="false">MEDIAN($C252)</f>
        <v>27</v>
      </c>
      <c r="AJ252" s="1" t="n">
        <f aca="false">MEDIAN($D252)</f>
        <v>674922</v>
      </c>
      <c r="AK252" s="1" t="n">
        <f aca="false">MEDIAN($E252)</f>
        <v>0</v>
      </c>
      <c r="AL252" s="1" t="n">
        <f aca="false">MEDIAN($F252)</f>
        <v>733</v>
      </c>
      <c r="AM252" s="1" t="n">
        <f aca="false">MEDIAN($G252)</f>
        <v>0</v>
      </c>
      <c r="AN252" s="1" t="n">
        <f aca="false">MEDIAN($H252)</f>
        <v>1</v>
      </c>
      <c r="AO252" s="1" t="n">
        <f aca="false">MEDIAN($I252)</f>
        <v>10.893</v>
      </c>
      <c r="AP252" s="1" t="n">
        <f aca="false">MEDIAN($J252)</f>
        <v>11.15</v>
      </c>
      <c r="AQ252" s="1" t="n">
        <f aca="false">MEDIAN($K252)</f>
        <v>0</v>
      </c>
      <c r="AR252" s="1" t="n">
        <f aca="false">MEDIAN($M252)</f>
        <v>2549056</v>
      </c>
      <c r="AS252" s="1" t="n">
        <f aca="false">MEDIAN($N252)</f>
        <v>0.09</v>
      </c>
      <c r="AT252" s="1" t="n">
        <f aca="false">MEDIAN($P252)</f>
        <v>11.15</v>
      </c>
      <c r="AU252" s="1" t="n">
        <f aca="false">MEDIAN($Q252)</f>
        <v>0</v>
      </c>
      <c r="AV252" s="1" t="n">
        <f aca="false">MEDIAN($R252)</f>
        <v>711288</v>
      </c>
      <c r="AW252" s="1" t="n">
        <f aca="false">MAX($B252)</f>
        <v>4776</v>
      </c>
      <c r="AX252" s="1" t="n">
        <f aca="false">MAX($C252)</f>
        <v>27</v>
      </c>
      <c r="AY252" s="1" t="n">
        <f aca="false">MAX($D252)</f>
        <v>674922</v>
      </c>
      <c r="AZ252" s="1" t="n">
        <f aca="false">MAX($E252)</f>
        <v>0</v>
      </c>
      <c r="BA252" s="1" t="n">
        <f aca="false">MAX($F252)</f>
        <v>733</v>
      </c>
      <c r="BB252" s="1" t="n">
        <f aca="false">MAX($G252)</f>
        <v>0</v>
      </c>
      <c r="BC252" s="1" t="n">
        <f aca="false">MAX($H252)</f>
        <v>1</v>
      </c>
      <c r="BD252" s="1" t="n">
        <f aca="false">MAX($I252)</f>
        <v>10.893</v>
      </c>
      <c r="BE252" s="1" t="n">
        <f aca="false">MAX($J252)</f>
        <v>11.15</v>
      </c>
      <c r="BF252" s="1" t="n">
        <f aca="false">MAX($K252)</f>
        <v>0</v>
      </c>
      <c r="BG252" s="1" t="n">
        <f aca="false">MAX($M252)</f>
        <v>2549056</v>
      </c>
      <c r="BH252" s="1" t="n">
        <f aca="false">MAX($N252)</f>
        <v>0.09</v>
      </c>
      <c r="BI252" s="1" t="n">
        <f aca="false">MAX($P252)</f>
        <v>11.15</v>
      </c>
      <c r="BJ252" s="1" t="n">
        <f aca="false">MAX($Q252)</f>
        <v>0</v>
      </c>
      <c r="BK252" s="1" t="n">
        <f aca="false">MAX($R252)</f>
        <v>711288</v>
      </c>
    </row>
    <row r="253" customFormat="false" ht="15" hidden="false" customHeight="false" outlineLevel="0" collapsed="false">
      <c r="A253" s="1" t="s">
        <v>270</v>
      </c>
      <c r="B253" s="1" t="n">
        <f aca="false" t="array" ref="B253:B253">_xlfn.SWITCH($A$2,"average", AVERAGE(Instances!B253:B253),"median", MEDIAN(Instances!B253:B253),"min", MIN(Instances!B253:B253),"max", MAX(Instances!B253:B253),"diff", MAX(Instances!B253:B253)-MIN(Instances!B253:B253))</f>
        <v>2870</v>
      </c>
      <c r="C253" s="1" t="n">
        <f aca="false" t="array" ref="C253:C253">_xlfn.SWITCH($A$2,"average", AVERAGE(Instances!C253:C253),"median", MEDIAN(Instances!C253:C253),"min", MIN(Instances!C253:C253),"max", MAX(Instances!C253:C253),"diff", MAX(Instances!C253:C253)-MIN(Instances!C253:C253))</f>
        <v>2</v>
      </c>
      <c r="D253" s="1" t="n">
        <f aca="false" t="array" ref="D253:D253">_xlfn.SWITCH($A$2,"average", AVERAGE(Instances!D253:D253),"median", MEDIAN(Instances!D253:D253),"min", MIN(Instances!D253:D253),"max", MAX(Instances!D253:D253),"diff", MAX(Instances!D253:D253)-MIN(Instances!D253:D253))</f>
        <v>521588</v>
      </c>
      <c r="E253" s="1" t="n">
        <f aca="false" t="array" ref="E253:E253">_xlfn.SWITCH($A$2,"average", AVERAGE(Instances!E253:E253),"median", MEDIAN(Instances!E253:E253),"min", MIN(Instances!E253:E253),"max", MAX(Instances!E253:E253),"diff", MAX(Instances!E253:E253)-MIN(Instances!E253:E253))</f>
        <v>0</v>
      </c>
      <c r="F253" s="1" t="n">
        <f aca="false" t="array" ref="F253:F253">_xlfn.SWITCH($A$2,"average", AVERAGE(Instances!F253:F253),"median", MEDIAN(Instances!F253:F253),"min", MIN(Instances!F253:F253),"max", MAX(Instances!F253:F253),"diff", MAX(Instances!F253:F253)-MIN(Instances!F253:F253))</f>
        <v>751</v>
      </c>
      <c r="G253" s="1" t="n">
        <f aca="false" t="array" ref="G253:G253">_xlfn.SWITCH($A$2,"average", AVERAGE(Instances!G253:G253),"median", MEDIAN(Instances!G253:G253),"min", MIN(Instances!G253:G253),"max", MAX(Instances!G253:G253),"diff", MAX(Instances!G253:G253)-MIN(Instances!G253:G253))</f>
        <v>0</v>
      </c>
      <c r="H253" s="1" t="n">
        <f aca="false" t="array" ref="H253:H253">_xlfn.SWITCH($A$2,"average", AVERAGE(Instances!H253:H253),"median", MEDIAN(Instances!H253:H253),"min", MIN(Instances!H253:H253),"max", MAX(Instances!H253:H253),"diff", MAX(Instances!H253:H253)-MIN(Instances!H253:H253))</f>
        <v>1</v>
      </c>
      <c r="I253" s="1" t="n">
        <f aca="false" t="array" ref="I253:I253">_xlfn.SWITCH($A$2,"average", AVERAGE(Instances!I253:I253),"median", MEDIAN(Instances!I253:I253),"min", MIN(Instances!I253:I253),"max", MAX(Instances!I253:I253),"diff", MAX(Instances!I253:I253)-MIN(Instances!I253:I253))</f>
        <v>11.134</v>
      </c>
      <c r="J253" s="1" t="n">
        <f aca="false" t="array" ref="J253:J253">_xlfn.SWITCH($A$2,"average", AVERAGE(Instances!J253:J253),"median", MEDIAN(Instances!J253:J253),"min", MIN(Instances!J253:J253),"max", MAX(Instances!J253:J253),"diff", MAX(Instances!J253:J253)-MIN(Instances!J253:J253))</f>
        <v>11.4</v>
      </c>
      <c r="K253" s="1" t="n">
        <f aca="false" t="array" ref="K253:K253">_xlfn.SWITCH($A$2,"average", AVERAGE(Instances!K253:K253),"median", MEDIAN(Instances!K253:K253),"min", MIN(Instances!K253:K253),"max", MAX(Instances!K253:K253),"diff", MAX(Instances!K253:K253)-MIN(Instances!K253:K253))</f>
        <v>0</v>
      </c>
      <c r="L253" s="1"/>
      <c r="M253" s="1" t="n">
        <f aca="false" t="array" ref="M253:M253">_xlfn.SWITCH($A$2,"average", AVERAGE(Instances!M253:M253),"median", MEDIAN(Instances!M253:M253),"min", MIN(Instances!M253:M253),"max", MAX(Instances!M253:M253),"diff", MAX(Instances!M253:M253)-MIN(Instances!M253:M253))</f>
        <v>2601328</v>
      </c>
      <c r="N253" s="1" t="n">
        <f aca="false" t="array" ref="N253:N253">_xlfn.SWITCH($A$2,"average", AVERAGE(Instances!N253:N253),"median", MEDIAN(Instances!N253:N253),"min", MIN(Instances!N253:N253),"max", MAX(Instances!N253:N253),"diff", MAX(Instances!N253:N253)-MIN(Instances!N253:N253))</f>
        <v>0.06</v>
      </c>
      <c r="O253" s="1"/>
      <c r="P253" s="1" t="n">
        <f aca="false" t="array" ref="P253:P253">_xlfn.SWITCH($A$2,"average", AVERAGE(Instances!P253:P253),"median", MEDIAN(Instances!P253:P253),"min", MIN(Instances!P253:P253),"max", MAX(Instances!P253:P253),"diff", MAX(Instances!P253:P253)-MIN(Instances!P253:P253))</f>
        <v>11.4</v>
      </c>
      <c r="Q253" s="1" t="n">
        <f aca="false" t="array" ref="Q253:Q253">_xlfn.SWITCH($A$2,"average", AVERAGE(Instances!Q253:Q253),"median", MEDIAN(Instances!Q253:Q253),"min", MIN(Instances!Q253:Q253),"max", MAX(Instances!Q253:Q253),"diff", MAX(Instances!Q253:Q253)-MIN(Instances!Q253:Q253))</f>
        <v>0</v>
      </c>
      <c r="R253" s="1" t="n">
        <f aca="false" t="array" ref="R253:R253">_xlfn.SWITCH($A$2,"average", AVERAGE(Instances!R253:R253),"median", MEDIAN(Instances!R253:R253),"min", MIN(Instances!R253:R253),"max", MAX(Instances!R253:R253),"diff", MAX(Instances!R253:R253)-MIN(Instances!R253:R253))</f>
        <v>728064</v>
      </c>
      <c r="S253" s="1" t="n">
        <f aca="false">MIN($B253)</f>
        <v>2870</v>
      </c>
      <c r="T253" s="1" t="n">
        <f aca="false">MIN($C253)</f>
        <v>2</v>
      </c>
      <c r="U253" s="1" t="n">
        <f aca="false">MIN($D253)</f>
        <v>521588</v>
      </c>
      <c r="V253" s="1" t="n">
        <f aca="false">MIN($E253)</f>
        <v>0</v>
      </c>
      <c r="W253" s="1" t="n">
        <f aca="false">MIN($F253)</f>
        <v>751</v>
      </c>
      <c r="X253" s="1" t="n">
        <f aca="false">MIN($G253)</f>
        <v>0</v>
      </c>
      <c r="Y253" s="1" t="n">
        <f aca="false">MIN($H253)</f>
        <v>1</v>
      </c>
      <c r="Z253" s="1" t="n">
        <f aca="false">MIN($I253)</f>
        <v>11.134</v>
      </c>
      <c r="AA253" s="1" t="n">
        <f aca="false">MIN($J253)</f>
        <v>11.4</v>
      </c>
      <c r="AB253" s="1" t="n">
        <f aca="false">MIN($K253)</f>
        <v>0</v>
      </c>
      <c r="AC253" s="1" t="n">
        <f aca="false">MIN($M253)</f>
        <v>2601328</v>
      </c>
      <c r="AD253" s="1" t="n">
        <f aca="false">MIN($N253)</f>
        <v>0.06</v>
      </c>
      <c r="AE253" s="1" t="n">
        <f aca="false">MIN($P253)</f>
        <v>11.4</v>
      </c>
      <c r="AF253" s="1" t="n">
        <f aca="false">MIN($Q253)</f>
        <v>0</v>
      </c>
      <c r="AG253" s="1" t="n">
        <f aca="false">MIN($R253)</f>
        <v>728064</v>
      </c>
      <c r="AH253" s="1" t="n">
        <f aca="false">MEDIAN($B253)</f>
        <v>2870</v>
      </c>
      <c r="AI253" s="1" t="n">
        <f aca="false">MEDIAN($C253)</f>
        <v>2</v>
      </c>
      <c r="AJ253" s="1" t="n">
        <f aca="false">MEDIAN($D253)</f>
        <v>521588</v>
      </c>
      <c r="AK253" s="1" t="n">
        <f aca="false">MEDIAN($E253)</f>
        <v>0</v>
      </c>
      <c r="AL253" s="1" t="n">
        <f aca="false">MEDIAN($F253)</f>
        <v>751</v>
      </c>
      <c r="AM253" s="1" t="n">
        <f aca="false">MEDIAN($G253)</f>
        <v>0</v>
      </c>
      <c r="AN253" s="1" t="n">
        <f aca="false">MEDIAN($H253)</f>
        <v>1</v>
      </c>
      <c r="AO253" s="1" t="n">
        <f aca="false">MEDIAN($I253)</f>
        <v>11.134</v>
      </c>
      <c r="AP253" s="1" t="n">
        <f aca="false">MEDIAN($J253)</f>
        <v>11.4</v>
      </c>
      <c r="AQ253" s="1" t="n">
        <f aca="false">MEDIAN($K253)</f>
        <v>0</v>
      </c>
      <c r="AR253" s="1" t="n">
        <f aca="false">MEDIAN($M253)</f>
        <v>2601328</v>
      </c>
      <c r="AS253" s="1" t="n">
        <f aca="false">MEDIAN($N253)</f>
        <v>0.06</v>
      </c>
      <c r="AT253" s="1" t="n">
        <f aca="false">MEDIAN($P253)</f>
        <v>11.4</v>
      </c>
      <c r="AU253" s="1" t="n">
        <f aca="false">MEDIAN($Q253)</f>
        <v>0</v>
      </c>
      <c r="AV253" s="1" t="n">
        <f aca="false">MEDIAN($R253)</f>
        <v>728064</v>
      </c>
      <c r="AW253" s="1" t="n">
        <f aca="false">MAX($B253)</f>
        <v>2870</v>
      </c>
      <c r="AX253" s="1" t="n">
        <f aca="false">MAX($C253)</f>
        <v>2</v>
      </c>
      <c r="AY253" s="1" t="n">
        <f aca="false">MAX($D253)</f>
        <v>521588</v>
      </c>
      <c r="AZ253" s="1" t="n">
        <f aca="false">MAX($E253)</f>
        <v>0</v>
      </c>
      <c r="BA253" s="1" t="n">
        <f aca="false">MAX($F253)</f>
        <v>751</v>
      </c>
      <c r="BB253" s="1" t="n">
        <f aca="false">MAX($G253)</f>
        <v>0</v>
      </c>
      <c r="BC253" s="1" t="n">
        <f aca="false">MAX($H253)</f>
        <v>1</v>
      </c>
      <c r="BD253" s="1" t="n">
        <f aca="false">MAX($I253)</f>
        <v>11.134</v>
      </c>
      <c r="BE253" s="1" t="n">
        <f aca="false">MAX($J253)</f>
        <v>11.4</v>
      </c>
      <c r="BF253" s="1" t="n">
        <f aca="false">MAX($K253)</f>
        <v>0</v>
      </c>
      <c r="BG253" s="1" t="n">
        <f aca="false">MAX($M253)</f>
        <v>2601328</v>
      </c>
      <c r="BH253" s="1" t="n">
        <f aca="false">MAX($N253)</f>
        <v>0.06</v>
      </c>
      <c r="BI253" s="1" t="n">
        <f aca="false">MAX($P253)</f>
        <v>11.4</v>
      </c>
      <c r="BJ253" s="1" t="n">
        <f aca="false">MAX($Q253)</f>
        <v>0</v>
      </c>
      <c r="BK253" s="1" t="n">
        <f aca="false">MAX($R253)</f>
        <v>728064</v>
      </c>
    </row>
    <row r="254" customFormat="false" ht="15" hidden="false" customHeight="false" outlineLevel="0" collapsed="false">
      <c r="A254" s="1" t="s">
        <v>271</v>
      </c>
      <c r="B254" s="1" t="n">
        <f aca="false" t="array" ref="B254:B254">_xlfn.SWITCH($A$2,"average", AVERAGE(Instances!B254:B254),"median", MEDIAN(Instances!B254:B254),"min", MIN(Instances!B254:B254),"max", MAX(Instances!B254:B254),"diff", MAX(Instances!B254:B254)-MIN(Instances!B254:B254))</f>
        <v>4343</v>
      </c>
      <c r="C254" s="1" t="n">
        <f aca="false" t="array" ref="C254:C254">_xlfn.SWITCH($A$2,"average", AVERAGE(Instances!C254:C254),"median", MEDIAN(Instances!C254:C254),"min", MIN(Instances!C254:C254),"max", MAX(Instances!C254:C254),"diff", MAX(Instances!C254:C254)-MIN(Instances!C254:C254))</f>
        <v>6</v>
      </c>
      <c r="D254" s="1" t="n">
        <f aca="false" t="array" ref="D254:D254">_xlfn.SWITCH($A$2,"average", AVERAGE(Instances!D254:D254),"median", MEDIAN(Instances!D254:D254),"min", MIN(Instances!D254:D254),"max", MAX(Instances!D254:D254),"diff", MAX(Instances!D254:D254)-MIN(Instances!D254:D254))</f>
        <v>822790</v>
      </c>
      <c r="E254" s="1" t="n">
        <f aca="false" t="array" ref="E254:E254">_xlfn.SWITCH($A$2,"average", AVERAGE(Instances!E254:E254),"median", MEDIAN(Instances!E254:E254),"min", MIN(Instances!E254:E254),"max", MAX(Instances!E254:E254),"diff", MAX(Instances!E254:E254)-MIN(Instances!E254:E254))</f>
        <v>0</v>
      </c>
      <c r="F254" s="1" t="n">
        <f aca="false" t="array" ref="F254:F254">_xlfn.SWITCH($A$2,"average", AVERAGE(Instances!F254:F254),"median", MEDIAN(Instances!F254:F254),"min", MIN(Instances!F254:F254),"max", MAX(Instances!F254:F254),"diff", MAX(Instances!F254:F254)-MIN(Instances!F254:F254))</f>
        <v>908</v>
      </c>
      <c r="G254" s="1" t="n">
        <f aca="false" t="array" ref="G254:G254">_xlfn.SWITCH($A$2,"average", AVERAGE(Instances!G254:G254),"median", MEDIAN(Instances!G254:G254),"min", MIN(Instances!G254:G254),"max", MAX(Instances!G254:G254),"diff", MAX(Instances!G254:G254)-MIN(Instances!G254:G254))</f>
        <v>0</v>
      </c>
      <c r="H254" s="1" t="n">
        <f aca="false" t="array" ref="H254:H254">_xlfn.SWITCH($A$2,"average", AVERAGE(Instances!H254:H254),"median", MEDIAN(Instances!H254:H254),"min", MIN(Instances!H254:H254),"max", MAX(Instances!H254:H254),"diff", MAX(Instances!H254:H254)-MIN(Instances!H254:H254))</f>
        <v>1</v>
      </c>
      <c r="I254" s="1" t="n">
        <f aca="false" t="array" ref="I254:I254">_xlfn.SWITCH($A$2,"average", AVERAGE(Instances!I254:I254),"median", MEDIAN(Instances!I254:I254),"min", MIN(Instances!I254:I254),"max", MAX(Instances!I254:I254),"diff", MAX(Instances!I254:I254)-MIN(Instances!I254:I254))</f>
        <v>14.108</v>
      </c>
      <c r="J254" s="1" t="n">
        <f aca="false" t="array" ref="J254:J254">_xlfn.SWITCH($A$2,"average", AVERAGE(Instances!J254:J254),"median", MEDIAN(Instances!J254:J254),"min", MIN(Instances!J254:J254),"max", MAX(Instances!J254:J254),"diff", MAX(Instances!J254:J254)-MIN(Instances!J254:J254))</f>
        <v>14.45</v>
      </c>
      <c r="K254" s="1" t="n">
        <f aca="false" t="array" ref="K254:K254">_xlfn.SWITCH($A$2,"average", AVERAGE(Instances!K254:K254),"median", MEDIAN(Instances!K254:K254),"min", MIN(Instances!K254:K254),"max", MAX(Instances!K254:K254),"diff", MAX(Instances!K254:K254)-MIN(Instances!K254:K254))</f>
        <v>0</v>
      </c>
      <c r="L254" s="1"/>
      <c r="M254" s="1" t="n">
        <f aca="false" t="array" ref="M254:M254">_xlfn.SWITCH($A$2,"average", AVERAGE(Instances!M254:M254),"median", MEDIAN(Instances!M254:M254),"min", MIN(Instances!M254:M254),"max", MAX(Instances!M254:M254),"diff", MAX(Instances!M254:M254)-MIN(Instances!M254:M254))</f>
        <v>3309351</v>
      </c>
      <c r="N254" s="1" t="n">
        <f aca="false" t="array" ref="N254:N254">_xlfn.SWITCH($A$2,"average", AVERAGE(Instances!N254:N254),"median", MEDIAN(Instances!N254:N254),"min", MIN(Instances!N254:N254),"max", MAX(Instances!N254:N254),"diff", MAX(Instances!N254:N254)-MIN(Instances!N254:N254))</f>
        <v>0.08</v>
      </c>
      <c r="O254" s="1"/>
      <c r="P254" s="1" t="n">
        <f aca="false" t="array" ref="P254:P254">_xlfn.SWITCH($A$2,"average", AVERAGE(Instances!P254:P254),"median", MEDIAN(Instances!P254:P254),"min", MIN(Instances!P254:P254),"max", MAX(Instances!P254:P254),"diff", MAX(Instances!P254:P254)-MIN(Instances!P254:P254))</f>
        <v>14.45</v>
      </c>
      <c r="Q254" s="1" t="n">
        <f aca="false" t="array" ref="Q254:Q254">_xlfn.SWITCH($A$2,"average", AVERAGE(Instances!Q254:Q254),"median", MEDIAN(Instances!Q254:Q254),"min", MIN(Instances!Q254:Q254),"max", MAX(Instances!Q254:Q254),"diff", MAX(Instances!Q254:Q254)-MIN(Instances!Q254:Q254))</f>
        <v>0</v>
      </c>
      <c r="R254" s="1" t="n">
        <f aca="false" t="array" ref="R254:R254">_xlfn.SWITCH($A$2,"average", AVERAGE(Instances!R254:R254),"median", MEDIAN(Instances!R254:R254),"min", MIN(Instances!R254:R254),"max", MAX(Instances!R254:R254),"diff", MAX(Instances!R254:R254)-MIN(Instances!R254:R254))</f>
        <v>900549</v>
      </c>
      <c r="S254" s="1" t="n">
        <f aca="false">MIN($B254)</f>
        <v>4343</v>
      </c>
      <c r="T254" s="1" t="n">
        <f aca="false">MIN($C254)</f>
        <v>6</v>
      </c>
      <c r="U254" s="1" t="n">
        <f aca="false">MIN($D254)</f>
        <v>822790</v>
      </c>
      <c r="V254" s="1" t="n">
        <f aca="false">MIN($E254)</f>
        <v>0</v>
      </c>
      <c r="W254" s="1" t="n">
        <f aca="false">MIN($F254)</f>
        <v>908</v>
      </c>
      <c r="X254" s="1" t="n">
        <f aca="false">MIN($G254)</f>
        <v>0</v>
      </c>
      <c r="Y254" s="1" t="n">
        <f aca="false">MIN($H254)</f>
        <v>1</v>
      </c>
      <c r="Z254" s="1" t="n">
        <f aca="false">MIN($I254)</f>
        <v>14.108</v>
      </c>
      <c r="AA254" s="1" t="n">
        <f aca="false">MIN($J254)</f>
        <v>14.45</v>
      </c>
      <c r="AB254" s="1" t="n">
        <f aca="false">MIN($K254)</f>
        <v>0</v>
      </c>
      <c r="AC254" s="1" t="n">
        <f aca="false">MIN($M254)</f>
        <v>3309351</v>
      </c>
      <c r="AD254" s="1" t="n">
        <f aca="false">MIN($N254)</f>
        <v>0.08</v>
      </c>
      <c r="AE254" s="1" t="n">
        <f aca="false">MIN($P254)</f>
        <v>14.45</v>
      </c>
      <c r="AF254" s="1" t="n">
        <f aca="false">MIN($Q254)</f>
        <v>0</v>
      </c>
      <c r="AG254" s="1" t="n">
        <f aca="false">MIN($R254)</f>
        <v>900549</v>
      </c>
      <c r="AH254" s="1" t="n">
        <f aca="false">MEDIAN($B254)</f>
        <v>4343</v>
      </c>
      <c r="AI254" s="1" t="n">
        <f aca="false">MEDIAN($C254)</f>
        <v>6</v>
      </c>
      <c r="AJ254" s="1" t="n">
        <f aca="false">MEDIAN($D254)</f>
        <v>822790</v>
      </c>
      <c r="AK254" s="1" t="n">
        <f aca="false">MEDIAN($E254)</f>
        <v>0</v>
      </c>
      <c r="AL254" s="1" t="n">
        <f aca="false">MEDIAN($F254)</f>
        <v>908</v>
      </c>
      <c r="AM254" s="1" t="n">
        <f aca="false">MEDIAN($G254)</f>
        <v>0</v>
      </c>
      <c r="AN254" s="1" t="n">
        <f aca="false">MEDIAN($H254)</f>
        <v>1</v>
      </c>
      <c r="AO254" s="1" t="n">
        <f aca="false">MEDIAN($I254)</f>
        <v>14.108</v>
      </c>
      <c r="AP254" s="1" t="n">
        <f aca="false">MEDIAN($J254)</f>
        <v>14.45</v>
      </c>
      <c r="AQ254" s="1" t="n">
        <f aca="false">MEDIAN($K254)</f>
        <v>0</v>
      </c>
      <c r="AR254" s="1" t="n">
        <f aca="false">MEDIAN($M254)</f>
        <v>3309351</v>
      </c>
      <c r="AS254" s="1" t="n">
        <f aca="false">MEDIAN($N254)</f>
        <v>0.08</v>
      </c>
      <c r="AT254" s="1" t="n">
        <f aca="false">MEDIAN($P254)</f>
        <v>14.45</v>
      </c>
      <c r="AU254" s="1" t="n">
        <f aca="false">MEDIAN($Q254)</f>
        <v>0</v>
      </c>
      <c r="AV254" s="1" t="n">
        <f aca="false">MEDIAN($R254)</f>
        <v>900549</v>
      </c>
      <c r="AW254" s="1" t="n">
        <f aca="false">MAX($B254)</f>
        <v>4343</v>
      </c>
      <c r="AX254" s="1" t="n">
        <f aca="false">MAX($C254)</f>
        <v>6</v>
      </c>
      <c r="AY254" s="1" t="n">
        <f aca="false">MAX($D254)</f>
        <v>822790</v>
      </c>
      <c r="AZ254" s="1" t="n">
        <f aca="false">MAX($E254)</f>
        <v>0</v>
      </c>
      <c r="BA254" s="1" t="n">
        <f aca="false">MAX($F254)</f>
        <v>908</v>
      </c>
      <c r="BB254" s="1" t="n">
        <f aca="false">MAX($G254)</f>
        <v>0</v>
      </c>
      <c r="BC254" s="1" t="n">
        <f aca="false">MAX($H254)</f>
        <v>1</v>
      </c>
      <c r="BD254" s="1" t="n">
        <f aca="false">MAX($I254)</f>
        <v>14.108</v>
      </c>
      <c r="BE254" s="1" t="n">
        <f aca="false">MAX($J254)</f>
        <v>14.45</v>
      </c>
      <c r="BF254" s="1" t="n">
        <f aca="false">MAX($K254)</f>
        <v>0</v>
      </c>
      <c r="BG254" s="1" t="n">
        <f aca="false">MAX($M254)</f>
        <v>3309351</v>
      </c>
      <c r="BH254" s="1" t="n">
        <f aca="false">MAX($N254)</f>
        <v>0.08</v>
      </c>
      <c r="BI254" s="1" t="n">
        <f aca="false">MAX($P254)</f>
        <v>14.45</v>
      </c>
      <c r="BJ254" s="1" t="n">
        <f aca="false">MAX($Q254)</f>
        <v>0</v>
      </c>
      <c r="BK254" s="1" t="n">
        <f aca="false">MAX($R254)</f>
        <v>900549</v>
      </c>
    </row>
    <row r="255" customFormat="false" ht="15" hidden="false" customHeight="false" outlineLevel="0" collapsed="false">
      <c r="A255" s="1" t="s">
        <v>272</v>
      </c>
      <c r="B255" s="1" t="n">
        <f aca="false" t="array" ref="B255:B255">_xlfn.SWITCH($A$2,"average", AVERAGE(Instances!B255:B255),"median", MEDIAN(Instances!B255:B255),"min", MIN(Instances!B255:B255),"max", MAX(Instances!B255:B255),"diff", MAX(Instances!B255:B255)-MIN(Instances!B255:B255))</f>
        <v>544</v>
      </c>
      <c r="C255" s="1" t="n">
        <f aca="false" t="array" ref="C255:C255">_xlfn.SWITCH($A$2,"average", AVERAGE(Instances!C255:C255),"median", MEDIAN(Instances!C255:C255),"min", MIN(Instances!C255:C255),"max", MAX(Instances!C255:C255),"diff", MAX(Instances!C255:C255)-MIN(Instances!C255:C255))</f>
        <v>40</v>
      </c>
      <c r="D255" s="1" t="n">
        <f aca="false" t="array" ref="D255:D255">_xlfn.SWITCH($A$2,"average", AVERAGE(Instances!D255:D255),"median", MEDIAN(Instances!D255:D255),"min", MIN(Instances!D255:D255),"max", MAX(Instances!D255:D255),"diff", MAX(Instances!D255:D255)-MIN(Instances!D255:D255))</f>
        <v>114048</v>
      </c>
      <c r="E255" s="1" t="n">
        <f aca="false" t="array" ref="E255:E255">_xlfn.SWITCH($A$2,"average", AVERAGE(Instances!E255:E255),"median", MEDIAN(Instances!E255:E255),"min", MIN(Instances!E255:E255),"max", MAX(Instances!E255:E255),"diff", MAX(Instances!E255:E255)-MIN(Instances!E255:E255))</f>
        <v>0</v>
      </c>
      <c r="F255" s="1" t="n">
        <f aca="false" t="array" ref="F255:F255">_xlfn.SWITCH($A$2,"average", AVERAGE(Instances!F255:F255),"median", MEDIAN(Instances!F255:F255),"min", MIN(Instances!F255:F255),"max", MAX(Instances!F255:F255),"diff", MAX(Instances!F255:F255)-MIN(Instances!F255:F255))</f>
        <v>142</v>
      </c>
      <c r="G255" s="1" t="n">
        <f aca="false" t="array" ref="G255:G255">_xlfn.SWITCH($A$2,"average", AVERAGE(Instances!G255:G255),"median", MEDIAN(Instances!G255:G255),"min", MIN(Instances!G255:G255),"max", MAX(Instances!G255:G255),"diff", MAX(Instances!G255:G255)-MIN(Instances!G255:G255))</f>
        <v>0</v>
      </c>
      <c r="H255" s="1" t="n">
        <f aca="false" t="array" ref="H255:H255">_xlfn.SWITCH($A$2,"average", AVERAGE(Instances!H255:H255),"median", MEDIAN(Instances!H255:H255),"min", MIN(Instances!H255:H255),"max", MAX(Instances!H255:H255),"diff", MAX(Instances!H255:H255)-MIN(Instances!H255:H255))</f>
        <v>1</v>
      </c>
      <c r="I255" s="1" t="n">
        <f aca="false" t="array" ref="I255:I255">_xlfn.SWITCH($A$2,"average", AVERAGE(Instances!I255:I255),"median", MEDIAN(Instances!I255:I255),"min", MIN(Instances!I255:I255),"max", MAX(Instances!I255:I255),"diff", MAX(Instances!I255:I255)-MIN(Instances!I255:I255))</f>
        <v>1.927</v>
      </c>
      <c r="J255" s="1" t="n">
        <f aca="false" t="array" ref="J255:J255">_xlfn.SWITCH($A$2,"average", AVERAGE(Instances!J255:J255),"median", MEDIAN(Instances!J255:J255),"min", MIN(Instances!J255:J255),"max", MAX(Instances!J255:J255),"diff", MAX(Instances!J255:J255)-MIN(Instances!J255:J255))</f>
        <v>1.98</v>
      </c>
      <c r="K255" s="1" t="n">
        <f aca="false" t="array" ref="K255:K255">_xlfn.SWITCH($A$2,"average", AVERAGE(Instances!K255:K255),"median", MEDIAN(Instances!K255:K255),"min", MIN(Instances!K255:K255),"max", MAX(Instances!K255:K255),"diff", MAX(Instances!K255:K255)-MIN(Instances!K255:K255))</f>
        <v>0</v>
      </c>
      <c r="L255" s="1"/>
      <c r="M255" s="1" t="n">
        <f aca="false" t="array" ref="M255:M255">_xlfn.SWITCH($A$2,"average", AVERAGE(Instances!M255:M255),"median", MEDIAN(Instances!M255:M255),"min", MIN(Instances!M255:M255),"max", MAX(Instances!M255:M255),"diff", MAX(Instances!M255:M255)-MIN(Instances!M255:M255))</f>
        <v>401420</v>
      </c>
      <c r="N255" s="1" t="n">
        <f aca="false" t="array" ref="N255:N255">_xlfn.SWITCH($A$2,"average", AVERAGE(Instances!N255:N255),"median", MEDIAN(Instances!N255:N255),"min", MIN(Instances!N255:N255),"max", MAX(Instances!N255:N255),"diff", MAX(Instances!N255:N255)-MIN(Instances!N255:N255))</f>
        <v>0.02</v>
      </c>
      <c r="O255" s="1"/>
      <c r="P255" s="1" t="n">
        <f aca="false" t="array" ref="P255:P255">_xlfn.SWITCH($A$2,"average", AVERAGE(Instances!P255:P255),"median", MEDIAN(Instances!P255:P255),"min", MIN(Instances!P255:P255),"max", MAX(Instances!P255:P255),"diff", MAX(Instances!P255:P255)-MIN(Instances!P255:P255))</f>
        <v>1.98</v>
      </c>
      <c r="Q255" s="1" t="n">
        <f aca="false" t="array" ref="Q255:Q255">_xlfn.SWITCH($A$2,"average", AVERAGE(Instances!Q255:Q255),"median", MEDIAN(Instances!Q255:Q255),"min", MIN(Instances!Q255:Q255),"max", MAX(Instances!Q255:Q255),"diff", MAX(Instances!Q255:Q255)-MIN(Instances!Q255:Q255))</f>
        <v>0</v>
      </c>
      <c r="R255" s="1" t="n">
        <f aca="false" t="array" ref="R255:R255">_xlfn.SWITCH($A$2,"average", AVERAGE(Instances!R255:R255),"median", MEDIAN(Instances!R255:R255),"min", MIN(Instances!R255:R255),"max", MAX(Instances!R255:R255),"diff", MAX(Instances!R255:R255)-MIN(Instances!R255:R255))</f>
        <v>144068</v>
      </c>
      <c r="S255" s="1" t="n">
        <f aca="false">MIN($B255)</f>
        <v>544</v>
      </c>
      <c r="T255" s="1" t="n">
        <f aca="false">MIN($C255)</f>
        <v>40</v>
      </c>
      <c r="U255" s="1" t="n">
        <f aca="false">MIN($D255)</f>
        <v>114048</v>
      </c>
      <c r="V255" s="1" t="n">
        <f aca="false">MIN($E255)</f>
        <v>0</v>
      </c>
      <c r="W255" s="1" t="n">
        <f aca="false">MIN($F255)</f>
        <v>142</v>
      </c>
      <c r="X255" s="1" t="n">
        <f aca="false">MIN($G255)</f>
        <v>0</v>
      </c>
      <c r="Y255" s="1" t="n">
        <f aca="false">MIN($H255)</f>
        <v>1</v>
      </c>
      <c r="Z255" s="1" t="n">
        <f aca="false">MIN($I255)</f>
        <v>1.927</v>
      </c>
      <c r="AA255" s="1" t="n">
        <f aca="false">MIN($J255)</f>
        <v>1.98</v>
      </c>
      <c r="AB255" s="1" t="n">
        <f aca="false">MIN($K255)</f>
        <v>0</v>
      </c>
      <c r="AC255" s="1" t="n">
        <f aca="false">MIN($M255)</f>
        <v>401420</v>
      </c>
      <c r="AD255" s="1" t="n">
        <f aca="false">MIN($N255)</f>
        <v>0.02</v>
      </c>
      <c r="AE255" s="1" t="n">
        <f aca="false">MIN($P255)</f>
        <v>1.98</v>
      </c>
      <c r="AF255" s="1" t="n">
        <f aca="false">MIN($Q255)</f>
        <v>0</v>
      </c>
      <c r="AG255" s="1" t="n">
        <f aca="false">MIN($R255)</f>
        <v>144068</v>
      </c>
      <c r="AH255" s="1" t="n">
        <f aca="false">MEDIAN($B255)</f>
        <v>544</v>
      </c>
      <c r="AI255" s="1" t="n">
        <f aca="false">MEDIAN($C255)</f>
        <v>40</v>
      </c>
      <c r="AJ255" s="1" t="n">
        <f aca="false">MEDIAN($D255)</f>
        <v>114048</v>
      </c>
      <c r="AK255" s="1" t="n">
        <f aca="false">MEDIAN($E255)</f>
        <v>0</v>
      </c>
      <c r="AL255" s="1" t="n">
        <f aca="false">MEDIAN($F255)</f>
        <v>142</v>
      </c>
      <c r="AM255" s="1" t="n">
        <f aca="false">MEDIAN($G255)</f>
        <v>0</v>
      </c>
      <c r="AN255" s="1" t="n">
        <f aca="false">MEDIAN($H255)</f>
        <v>1</v>
      </c>
      <c r="AO255" s="1" t="n">
        <f aca="false">MEDIAN($I255)</f>
        <v>1.927</v>
      </c>
      <c r="AP255" s="1" t="n">
        <f aca="false">MEDIAN($J255)</f>
        <v>1.98</v>
      </c>
      <c r="AQ255" s="1" t="n">
        <f aca="false">MEDIAN($K255)</f>
        <v>0</v>
      </c>
      <c r="AR255" s="1" t="n">
        <f aca="false">MEDIAN($M255)</f>
        <v>401420</v>
      </c>
      <c r="AS255" s="1" t="n">
        <f aca="false">MEDIAN($N255)</f>
        <v>0.02</v>
      </c>
      <c r="AT255" s="1" t="n">
        <f aca="false">MEDIAN($P255)</f>
        <v>1.98</v>
      </c>
      <c r="AU255" s="1" t="n">
        <f aca="false">MEDIAN($Q255)</f>
        <v>0</v>
      </c>
      <c r="AV255" s="1" t="n">
        <f aca="false">MEDIAN($R255)</f>
        <v>144068</v>
      </c>
      <c r="AW255" s="1" t="n">
        <f aca="false">MAX($B255)</f>
        <v>544</v>
      </c>
      <c r="AX255" s="1" t="n">
        <f aca="false">MAX($C255)</f>
        <v>40</v>
      </c>
      <c r="AY255" s="1" t="n">
        <f aca="false">MAX($D255)</f>
        <v>114048</v>
      </c>
      <c r="AZ255" s="1" t="n">
        <f aca="false">MAX($E255)</f>
        <v>0</v>
      </c>
      <c r="BA255" s="1" t="n">
        <f aca="false">MAX($F255)</f>
        <v>142</v>
      </c>
      <c r="BB255" s="1" t="n">
        <f aca="false">MAX($G255)</f>
        <v>0</v>
      </c>
      <c r="BC255" s="1" t="n">
        <f aca="false">MAX($H255)</f>
        <v>1</v>
      </c>
      <c r="BD255" s="1" t="n">
        <f aca="false">MAX($I255)</f>
        <v>1.927</v>
      </c>
      <c r="BE255" s="1" t="n">
        <f aca="false">MAX($J255)</f>
        <v>1.98</v>
      </c>
      <c r="BF255" s="1" t="n">
        <f aca="false">MAX($K255)</f>
        <v>0</v>
      </c>
      <c r="BG255" s="1" t="n">
        <f aca="false">MAX($M255)</f>
        <v>401420</v>
      </c>
      <c r="BH255" s="1" t="n">
        <f aca="false">MAX($N255)</f>
        <v>0.02</v>
      </c>
      <c r="BI255" s="1" t="n">
        <f aca="false">MAX($P255)</f>
        <v>1.98</v>
      </c>
      <c r="BJ255" s="1" t="n">
        <f aca="false">MAX($Q255)</f>
        <v>0</v>
      </c>
      <c r="BK255" s="1" t="n">
        <f aca="false">MAX($R255)</f>
        <v>144068</v>
      </c>
    </row>
    <row r="256" customFormat="false" ht="15" hidden="false" customHeight="false" outlineLevel="0" collapsed="false">
      <c r="A256" s="1" t="s">
        <v>273</v>
      </c>
      <c r="B256" s="1" t="n">
        <f aca="false" t="array" ref="B256:B256">_xlfn.SWITCH($A$2,"average", AVERAGE(Instances!B256:B256),"median", MEDIAN(Instances!B256:B256),"min", MIN(Instances!B256:B256),"max", MAX(Instances!B256:B256),"diff", MAX(Instances!B256:B256)-MIN(Instances!B256:B256))</f>
        <v>719</v>
      </c>
      <c r="C256" s="1" t="n">
        <f aca="false" t="array" ref="C256:C256">_xlfn.SWITCH($A$2,"average", AVERAGE(Instances!C256:C256),"median", MEDIAN(Instances!C256:C256),"min", MIN(Instances!C256:C256),"max", MAX(Instances!C256:C256),"diff", MAX(Instances!C256:C256)-MIN(Instances!C256:C256))</f>
        <v>0</v>
      </c>
      <c r="D256" s="1" t="n">
        <f aca="false" t="array" ref="D256:D256">_xlfn.SWITCH($A$2,"average", AVERAGE(Instances!D256:D256),"median", MEDIAN(Instances!D256:D256),"min", MIN(Instances!D256:D256),"max", MAX(Instances!D256:D256),"diff", MAX(Instances!D256:D256)-MIN(Instances!D256:D256))</f>
        <v>168281</v>
      </c>
      <c r="E256" s="1" t="n">
        <f aca="false" t="array" ref="E256:E256">_xlfn.SWITCH($A$2,"average", AVERAGE(Instances!E256:E256),"median", MEDIAN(Instances!E256:E256),"min", MIN(Instances!E256:E256),"max", MAX(Instances!E256:E256),"diff", MAX(Instances!E256:E256)-MIN(Instances!E256:E256))</f>
        <v>0</v>
      </c>
      <c r="F256" s="1" t="n">
        <f aca="false" t="array" ref="F256:F256">_xlfn.SWITCH($A$2,"average", AVERAGE(Instances!F256:F256),"median", MEDIAN(Instances!F256:F256),"min", MIN(Instances!F256:F256),"max", MAX(Instances!F256:F256),"diff", MAX(Instances!F256:F256)-MIN(Instances!F256:F256))</f>
        <v>166</v>
      </c>
      <c r="G256" s="1" t="n">
        <f aca="false" t="array" ref="G256:G256">_xlfn.SWITCH($A$2,"average", AVERAGE(Instances!G256:G256),"median", MEDIAN(Instances!G256:G256),"min", MIN(Instances!G256:G256),"max", MAX(Instances!G256:G256),"diff", MAX(Instances!G256:G256)-MIN(Instances!G256:G256))</f>
        <v>0</v>
      </c>
      <c r="H256" s="1" t="n">
        <f aca="false" t="array" ref="H256:H256">_xlfn.SWITCH($A$2,"average", AVERAGE(Instances!H256:H256),"median", MEDIAN(Instances!H256:H256),"min", MIN(Instances!H256:H256),"max", MAX(Instances!H256:H256),"diff", MAX(Instances!H256:H256)-MIN(Instances!H256:H256))</f>
        <v>1</v>
      </c>
      <c r="I256" s="1" t="n">
        <f aca="false" t="array" ref="I256:I256">_xlfn.SWITCH($A$2,"average", AVERAGE(Instances!I256:I256),"median", MEDIAN(Instances!I256:I256),"min", MIN(Instances!I256:I256),"max", MAX(Instances!I256:I256),"diff", MAX(Instances!I256:I256)-MIN(Instances!I256:I256))</f>
        <v>2.115</v>
      </c>
      <c r="J256" s="1" t="n">
        <f aca="false" t="array" ref="J256:J256">_xlfn.SWITCH($A$2,"average", AVERAGE(Instances!J256:J256),"median", MEDIAN(Instances!J256:J256),"min", MIN(Instances!J256:J256),"max", MAX(Instances!J256:J256),"diff", MAX(Instances!J256:J256)-MIN(Instances!J256:J256))</f>
        <v>2.17</v>
      </c>
      <c r="K256" s="1" t="n">
        <f aca="false" t="array" ref="K256:K256">_xlfn.SWITCH($A$2,"average", AVERAGE(Instances!K256:K256),"median", MEDIAN(Instances!K256:K256),"min", MIN(Instances!K256:K256),"max", MAX(Instances!K256:K256),"diff", MAX(Instances!K256:K256)-MIN(Instances!K256:K256))</f>
        <v>0</v>
      </c>
      <c r="L256" s="1"/>
      <c r="M256" s="1" t="n">
        <f aca="false" t="array" ref="M256:M256">_xlfn.SWITCH($A$2,"average", AVERAGE(Instances!M256:M256),"median", MEDIAN(Instances!M256:M256),"min", MIN(Instances!M256:M256),"max", MAX(Instances!M256:M256),"diff", MAX(Instances!M256:M256)-MIN(Instances!M256:M256))</f>
        <v>465766</v>
      </c>
      <c r="N256" s="1" t="n">
        <f aca="false" t="array" ref="N256:N256">_xlfn.SWITCH($A$2,"average", AVERAGE(Instances!N256:N256),"median", MEDIAN(Instances!N256:N256),"min", MIN(Instances!N256:N256),"max", MAX(Instances!N256:N256),"diff", MAX(Instances!N256:N256)-MIN(Instances!N256:N256))</f>
        <v>0.01</v>
      </c>
      <c r="O256" s="1"/>
      <c r="P256" s="1" t="n">
        <f aca="false" t="array" ref="P256:P256">_xlfn.SWITCH($A$2,"average", AVERAGE(Instances!P256:P256),"median", MEDIAN(Instances!P256:P256),"min", MIN(Instances!P256:P256),"max", MAX(Instances!P256:P256),"diff", MAX(Instances!P256:P256)-MIN(Instances!P256:P256))</f>
        <v>2.17</v>
      </c>
      <c r="Q256" s="1" t="n">
        <f aca="false" t="array" ref="Q256:Q256">_xlfn.SWITCH($A$2,"average", AVERAGE(Instances!Q256:Q256),"median", MEDIAN(Instances!Q256:Q256),"min", MIN(Instances!Q256:Q256),"max", MAX(Instances!Q256:Q256),"diff", MAX(Instances!Q256:Q256)-MIN(Instances!Q256:Q256))</f>
        <v>0</v>
      </c>
      <c r="R256" s="1" t="n">
        <f aca="false" t="array" ref="R256:R256">_xlfn.SWITCH($A$2,"average", AVERAGE(Instances!R256:R256),"median", MEDIAN(Instances!R256:R256),"min", MIN(Instances!R256:R256),"max", MAX(Instances!R256:R256),"diff", MAX(Instances!R256:R256)-MIN(Instances!R256:R256))</f>
        <v>169132</v>
      </c>
      <c r="S256" s="1" t="n">
        <f aca="false">MIN($B256)</f>
        <v>719</v>
      </c>
      <c r="T256" s="1" t="n">
        <f aca="false">MIN($C256)</f>
        <v>0</v>
      </c>
      <c r="U256" s="1" t="n">
        <f aca="false">MIN($D256)</f>
        <v>168281</v>
      </c>
      <c r="V256" s="1" t="n">
        <f aca="false">MIN($E256)</f>
        <v>0</v>
      </c>
      <c r="W256" s="1" t="n">
        <f aca="false">MIN($F256)</f>
        <v>166</v>
      </c>
      <c r="X256" s="1" t="n">
        <f aca="false">MIN($G256)</f>
        <v>0</v>
      </c>
      <c r="Y256" s="1" t="n">
        <f aca="false">MIN($H256)</f>
        <v>1</v>
      </c>
      <c r="Z256" s="1" t="n">
        <f aca="false">MIN($I256)</f>
        <v>2.115</v>
      </c>
      <c r="AA256" s="1" t="n">
        <f aca="false">MIN($J256)</f>
        <v>2.17</v>
      </c>
      <c r="AB256" s="1" t="n">
        <f aca="false">MIN($K256)</f>
        <v>0</v>
      </c>
      <c r="AC256" s="1" t="n">
        <f aca="false">MIN($M256)</f>
        <v>465766</v>
      </c>
      <c r="AD256" s="1" t="n">
        <f aca="false">MIN($N256)</f>
        <v>0.01</v>
      </c>
      <c r="AE256" s="1" t="n">
        <f aca="false">MIN($P256)</f>
        <v>2.17</v>
      </c>
      <c r="AF256" s="1" t="n">
        <f aca="false">MIN($Q256)</f>
        <v>0</v>
      </c>
      <c r="AG256" s="1" t="n">
        <f aca="false">MIN($R256)</f>
        <v>169132</v>
      </c>
      <c r="AH256" s="1" t="n">
        <f aca="false">MEDIAN($B256)</f>
        <v>719</v>
      </c>
      <c r="AI256" s="1" t="n">
        <f aca="false">MEDIAN($C256)</f>
        <v>0</v>
      </c>
      <c r="AJ256" s="1" t="n">
        <f aca="false">MEDIAN($D256)</f>
        <v>168281</v>
      </c>
      <c r="AK256" s="1" t="n">
        <f aca="false">MEDIAN($E256)</f>
        <v>0</v>
      </c>
      <c r="AL256" s="1" t="n">
        <f aca="false">MEDIAN($F256)</f>
        <v>166</v>
      </c>
      <c r="AM256" s="1" t="n">
        <f aca="false">MEDIAN($G256)</f>
        <v>0</v>
      </c>
      <c r="AN256" s="1" t="n">
        <f aca="false">MEDIAN($H256)</f>
        <v>1</v>
      </c>
      <c r="AO256" s="1" t="n">
        <f aca="false">MEDIAN($I256)</f>
        <v>2.115</v>
      </c>
      <c r="AP256" s="1" t="n">
        <f aca="false">MEDIAN($J256)</f>
        <v>2.17</v>
      </c>
      <c r="AQ256" s="1" t="n">
        <f aca="false">MEDIAN($K256)</f>
        <v>0</v>
      </c>
      <c r="AR256" s="1" t="n">
        <f aca="false">MEDIAN($M256)</f>
        <v>465766</v>
      </c>
      <c r="AS256" s="1" t="n">
        <f aca="false">MEDIAN($N256)</f>
        <v>0.01</v>
      </c>
      <c r="AT256" s="1" t="n">
        <f aca="false">MEDIAN($P256)</f>
        <v>2.17</v>
      </c>
      <c r="AU256" s="1" t="n">
        <f aca="false">MEDIAN($Q256)</f>
        <v>0</v>
      </c>
      <c r="AV256" s="1" t="n">
        <f aca="false">MEDIAN($R256)</f>
        <v>169132</v>
      </c>
      <c r="AW256" s="1" t="n">
        <f aca="false">MAX($B256)</f>
        <v>719</v>
      </c>
      <c r="AX256" s="1" t="n">
        <f aca="false">MAX($C256)</f>
        <v>0</v>
      </c>
      <c r="AY256" s="1" t="n">
        <f aca="false">MAX($D256)</f>
        <v>168281</v>
      </c>
      <c r="AZ256" s="1" t="n">
        <f aca="false">MAX($E256)</f>
        <v>0</v>
      </c>
      <c r="BA256" s="1" t="n">
        <f aca="false">MAX($F256)</f>
        <v>166</v>
      </c>
      <c r="BB256" s="1" t="n">
        <f aca="false">MAX($G256)</f>
        <v>0</v>
      </c>
      <c r="BC256" s="1" t="n">
        <f aca="false">MAX($H256)</f>
        <v>1</v>
      </c>
      <c r="BD256" s="1" t="n">
        <f aca="false">MAX($I256)</f>
        <v>2.115</v>
      </c>
      <c r="BE256" s="1" t="n">
        <f aca="false">MAX($J256)</f>
        <v>2.17</v>
      </c>
      <c r="BF256" s="1" t="n">
        <f aca="false">MAX($K256)</f>
        <v>0</v>
      </c>
      <c r="BG256" s="1" t="n">
        <f aca="false">MAX($M256)</f>
        <v>465766</v>
      </c>
      <c r="BH256" s="1" t="n">
        <f aca="false">MAX($N256)</f>
        <v>0.01</v>
      </c>
      <c r="BI256" s="1" t="n">
        <f aca="false">MAX($P256)</f>
        <v>2.17</v>
      </c>
      <c r="BJ256" s="1" t="n">
        <f aca="false">MAX($Q256)</f>
        <v>0</v>
      </c>
      <c r="BK256" s="1" t="n">
        <f aca="false">MAX($R256)</f>
        <v>169132</v>
      </c>
    </row>
    <row r="257" customFormat="false" ht="15" hidden="false" customHeight="false" outlineLevel="0" collapsed="false">
      <c r="A257" s="1" t="s">
        <v>274</v>
      </c>
      <c r="B257" s="1" t="n">
        <f aca="false" t="array" ref="B257:B257">_xlfn.SWITCH($A$2,"average", AVERAGE(Instances!B257:B257),"median", MEDIAN(Instances!B257:B257),"min", MIN(Instances!B257:B257),"max", MAX(Instances!B257:B257),"diff", MAX(Instances!B257:B257)-MIN(Instances!B257:B257))</f>
        <v>622</v>
      </c>
      <c r="C257" s="1" t="n">
        <f aca="false" t="array" ref="C257:C257">_xlfn.SWITCH($A$2,"average", AVERAGE(Instances!C257:C257),"median", MEDIAN(Instances!C257:C257),"min", MIN(Instances!C257:C257),"max", MAX(Instances!C257:C257),"diff", MAX(Instances!C257:C257)-MIN(Instances!C257:C257))</f>
        <v>0</v>
      </c>
      <c r="D257" s="1" t="n">
        <f aca="false" t="array" ref="D257:D257">_xlfn.SWITCH($A$2,"average", AVERAGE(Instances!D257:D257),"median", MEDIAN(Instances!D257:D257),"min", MIN(Instances!D257:D257),"max", MAX(Instances!D257:D257),"diff", MAX(Instances!D257:D257)-MIN(Instances!D257:D257))</f>
        <v>160990</v>
      </c>
      <c r="E257" s="1" t="n">
        <f aca="false" t="array" ref="E257:E257">_xlfn.SWITCH($A$2,"average", AVERAGE(Instances!E257:E257),"median", MEDIAN(Instances!E257:E257),"min", MIN(Instances!E257:E257),"max", MAX(Instances!E257:E257),"diff", MAX(Instances!E257:E257)-MIN(Instances!E257:E257))</f>
        <v>0</v>
      </c>
      <c r="F257" s="1" t="n">
        <f aca="false" t="array" ref="F257:F257">_xlfn.SWITCH($A$2,"average", AVERAGE(Instances!F257:F257),"median", MEDIAN(Instances!F257:F257),"min", MIN(Instances!F257:F257),"max", MAX(Instances!F257:F257),"diff", MAX(Instances!F257:F257)-MIN(Instances!F257:F257))</f>
        <v>163</v>
      </c>
      <c r="G257" s="1" t="n">
        <f aca="false" t="array" ref="G257:G257">_xlfn.SWITCH($A$2,"average", AVERAGE(Instances!G257:G257),"median", MEDIAN(Instances!G257:G257),"min", MIN(Instances!G257:G257),"max", MAX(Instances!G257:G257),"diff", MAX(Instances!G257:G257)-MIN(Instances!G257:G257))</f>
        <v>0</v>
      </c>
      <c r="H257" s="1" t="n">
        <f aca="false" t="array" ref="H257:H257">_xlfn.SWITCH($A$2,"average", AVERAGE(Instances!H257:H257),"median", MEDIAN(Instances!H257:H257),"min", MIN(Instances!H257:H257),"max", MAX(Instances!H257:H257),"diff", MAX(Instances!H257:H257)-MIN(Instances!H257:H257))</f>
        <v>1</v>
      </c>
      <c r="I257" s="1" t="n">
        <f aca="false" t="array" ref="I257:I257">_xlfn.SWITCH($A$2,"average", AVERAGE(Instances!I257:I257),"median", MEDIAN(Instances!I257:I257),"min", MIN(Instances!I257:I257),"max", MAX(Instances!I257:I257),"diff", MAX(Instances!I257:I257)-MIN(Instances!I257:I257))</f>
        <v>2.126</v>
      </c>
      <c r="J257" s="1" t="n">
        <f aca="false" t="array" ref="J257:J257">_xlfn.SWITCH($A$2,"average", AVERAGE(Instances!J257:J257),"median", MEDIAN(Instances!J257:J257),"min", MIN(Instances!J257:J257),"max", MAX(Instances!J257:J257),"diff", MAX(Instances!J257:J257)-MIN(Instances!J257:J257))</f>
        <v>2.18</v>
      </c>
      <c r="K257" s="1" t="n">
        <f aca="false" t="array" ref="K257:K257">_xlfn.SWITCH($A$2,"average", AVERAGE(Instances!K257:K257),"median", MEDIAN(Instances!K257:K257),"min", MIN(Instances!K257:K257),"max", MAX(Instances!K257:K257),"diff", MAX(Instances!K257:K257)-MIN(Instances!K257:K257))</f>
        <v>0</v>
      </c>
      <c r="L257" s="1"/>
      <c r="M257" s="1" t="n">
        <f aca="false" t="array" ref="M257:M257">_xlfn.SWITCH($A$2,"average", AVERAGE(Instances!M257:M257),"median", MEDIAN(Instances!M257:M257),"min", MIN(Instances!M257:M257),"max", MAX(Instances!M257:M257),"diff", MAX(Instances!M257:M257)-MIN(Instances!M257:M257))</f>
        <v>454222</v>
      </c>
      <c r="N257" s="1" t="n">
        <f aca="false" t="array" ref="N257:N257">_xlfn.SWITCH($A$2,"average", AVERAGE(Instances!N257:N257),"median", MEDIAN(Instances!N257:N257),"min", MIN(Instances!N257:N257),"max", MAX(Instances!N257:N257),"diff", MAX(Instances!N257:N257)-MIN(Instances!N257:N257))</f>
        <v>0.01</v>
      </c>
      <c r="O257" s="1"/>
      <c r="P257" s="1" t="n">
        <f aca="false" t="array" ref="P257:P257">_xlfn.SWITCH($A$2,"average", AVERAGE(Instances!P257:P257),"median", MEDIAN(Instances!P257:P257),"min", MIN(Instances!P257:P257),"max", MAX(Instances!P257:P257),"diff", MAX(Instances!P257:P257)-MIN(Instances!P257:P257))</f>
        <v>2.18</v>
      </c>
      <c r="Q257" s="1" t="n">
        <f aca="false" t="array" ref="Q257:Q257">_xlfn.SWITCH($A$2,"average", AVERAGE(Instances!Q257:Q257),"median", MEDIAN(Instances!Q257:Q257),"min", MIN(Instances!Q257:Q257),"max", MAX(Instances!Q257:Q257),"diff", MAX(Instances!Q257:Q257)-MIN(Instances!Q257:Q257))</f>
        <v>0</v>
      </c>
      <c r="R257" s="1" t="n">
        <f aca="false" t="array" ref="R257:R257">_xlfn.SWITCH($A$2,"average", AVERAGE(Instances!R257:R257),"median", MEDIAN(Instances!R257:R257),"min", MIN(Instances!R257:R257),"max", MAX(Instances!R257:R257),"diff", MAX(Instances!R257:R257)-MIN(Instances!R257:R257))</f>
        <v>165002</v>
      </c>
      <c r="S257" s="1" t="n">
        <f aca="false">MIN($B257)</f>
        <v>622</v>
      </c>
      <c r="T257" s="1" t="n">
        <f aca="false">MIN($C257)</f>
        <v>0</v>
      </c>
      <c r="U257" s="1" t="n">
        <f aca="false">MIN($D257)</f>
        <v>160990</v>
      </c>
      <c r="V257" s="1" t="n">
        <f aca="false">MIN($E257)</f>
        <v>0</v>
      </c>
      <c r="W257" s="1" t="n">
        <f aca="false">MIN($F257)</f>
        <v>163</v>
      </c>
      <c r="X257" s="1" t="n">
        <f aca="false">MIN($G257)</f>
        <v>0</v>
      </c>
      <c r="Y257" s="1" t="n">
        <f aca="false">MIN($H257)</f>
        <v>1</v>
      </c>
      <c r="Z257" s="1" t="n">
        <f aca="false">MIN($I257)</f>
        <v>2.126</v>
      </c>
      <c r="AA257" s="1" t="n">
        <f aca="false">MIN($J257)</f>
        <v>2.18</v>
      </c>
      <c r="AB257" s="1" t="n">
        <f aca="false">MIN($K257)</f>
        <v>0</v>
      </c>
      <c r="AC257" s="1" t="n">
        <f aca="false">MIN($M257)</f>
        <v>454222</v>
      </c>
      <c r="AD257" s="1" t="n">
        <f aca="false">MIN($N257)</f>
        <v>0.01</v>
      </c>
      <c r="AE257" s="1" t="n">
        <f aca="false">MIN($P257)</f>
        <v>2.18</v>
      </c>
      <c r="AF257" s="1" t="n">
        <f aca="false">MIN($Q257)</f>
        <v>0</v>
      </c>
      <c r="AG257" s="1" t="n">
        <f aca="false">MIN($R257)</f>
        <v>165002</v>
      </c>
      <c r="AH257" s="1" t="n">
        <f aca="false">MEDIAN($B257)</f>
        <v>622</v>
      </c>
      <c r="AI257" s="1" t="n">
        <f aca="false">MEDIAN($C257)</f>
        <v>0</v>
      </c>
      <c r="AJ257" s="1" t="n">
        <f aca="false">MEDIAN($D257)</f>
        <v>160990</v>
      </c>
      <c r="AK257" s="1" t="n">
        <f aca="false">MEDIAN($E257)</f>
        <v>0</v>
      </c>
      <c r="AL257" s="1" t="n">
        <f aca="false">MEDIAN($F257)</f>
        <v>163</v>
      </c>
      <c r="AM257" s="1" t="n">
        <f aca="false">MEDIAN($G257)</f>
        <v>0</v>
      </c>
      <c r="AN257" s="1" t="n">
        <f aca="false">MEDIAN($H257)</f>
        <v>1</v>
      </c>
      <c r="AO257" s="1" t="n">
        <f aca="false">MEDIAN($I257)</f>
        <v>2.126</v>
      </c>
      <c r="AP257" s="1" t="n">
        <f aca="false">MEDIAN($J257)</f>
        <v>2.18</v>
      </c>
      <c r="AQ257" s="1" t="n">
        <f aca="false">MEDIAN($K257)</f>
        <v>0</v>
      </c>
      <c r="AR257" s="1" t="n">
        <f aca="false">MEDIAN($M257)</f>
        <v>454222</v>
      </c>
      <c r="AS257" s="1" t="n">
        <f aca="false">MEDIAN($N257)</f>
        <v>0.01</v>
      </c>
      <c r="AT257" s="1" t="n">
        <f aca="false">MEDIAN($P257)</f>
        <v>2.18</v>
      </c>
      <c r="AU257" s="1" t="n">
        <f aca="false">MEDIAN($Q257)</f>
        <v>0</v>
      </c>
      <c r="AV257" s="1" t="n">
        <f aca="false">MEDIAN($R257)</f>
        <v>165002</v>
      </c>
      <c r="AW257" s="1" t="n">
        <f aca="false">MAX($B257)</f>
        <v>622</v>
      </c>
      <c r="AX257" s="1" t="n">
        <f aca="false">MAX($C257)</f>
        <v>0</v>
      </c>
      <c r="AY257" s="1" t="n">
        <f aca="false">MAX($D257)</f>
        <v>160990</v>
      </c>
      <c r="AZ257" s="1" t="n">
        <f aca="false">MAX($E257)</f>
        <v>0</v>
      </c>
      <c r="BA257" s="1" t="n">
        <f aca="false">MAX($F257)</f>
        <v>163</v>
      </c>
      <c r="BB257" s="1" t="n">
        <f aca="false">MAX($G257)</f>
        <v>0</v>
      </c>
      <c r="BC257" s="1" t="n">
        <f aca="false">MAX($H257)</f>
        <v>1</v>
      </c>
      <c r="BD257" s="1" t="n">
        <f aca="false">MAX($I257)</f>
        <v>2.126</v>
      </c>
      <c r="BE257" s="1" t="n">
        <f aca="false">MAX($J257)</f>
        <v>2.18</v>
      </c>
      <c r="BF257" s="1" t="n">
        <f aca="false">MAX($K257)</f>
        <v>0</v>
      </c>
      <c r="BG257" s="1" t="n">
        <f aca="false">MAX($M257)</f>
        <v>454222</v>
      </c>
      <c r="BH257" s="1" t="n">
        <f aca="false">MAX($N257)</f>
        <v>0.01</v>
      </c>
      <c r="BI257" s="1" t="n">
        <f aca="false">MAX($P257)</f>
        <v>2.18</v>
      </c>
      <c r="BJ257" s="1" t="n">
        <f aca="false">MAX($Q257)</f>
        <v>0</v>
      </c>
      <c r="BK257" s="1" t="n">
        <f aca="false">MAX($R257)</f>
        <v>165002</v>
      </c>
    </row>
    <row r="258" customFormat="false" ht="15" hidden="false" customHeight="false" outlineLevel="0" collapsed="false">
      <c r="A258" s="1" t="s">
        <v>275</v>
      </c>
      <c r="B258" s="1" t="n">
        <f aca="false" t="array" ref="B258:B258">_xlfn.SWITCH($A$2,"average", AVERAGE(Instances!B258:B258),"median", MEDIAN(Instances!B258:B258),"min", MIN(Instances!B258:B258),"max", MAX(Instances!B258:B258),"diff", MAX(Instances!B258:B258)-MIN(Instances!B258:B258))</f>
        <v>666</v>
      </c>
      <c r="C258" s="1" t="n">
        <f aca="false" t="array" ref="C258:C258">_xlfn.SWITCH($A$2,"average", AVERAGE(Instances!C258:C258),"median", MEDIAN(Instances!C258:C258),"min", MIN(Instances!C258:C258),"max", MAX(Instances!C258:C258),"diff", MAX(Instances!C258:C258)-MIN(Instances!C258:C258))</f>
        <v>0</v>
      </c>
      <c r="D258" s="1" t="n">
        <f aca="false" t="array" ref="D258:D258">_xlfn.SWITCH($A$2,"average", AVERAGE(Instances!D258:D258),"median", MEDIAN(Instances!D258:D258),"min", MIN(Instances!D258:D258),"max", MAX(Instances!D258:D258),"diff", MAX(Instances!D258:D258)-MIN(Instances!D258:D258))</f>
        <v>182548</v>
      </c>
      <c r="E258" s="1" t="n">
        <f aca="false" t="array" ref="E258:E258">_xlfn.SWITCH($A$2,"average", AVERAGE(Instances!E258:E258),"median", MEDIAN(Instances!E258:E258),"min", MIN(Instances!E258:E258),"max", MAX(Instances!E258:E258),"diff", MAX(Instances!E258:E258)-MIN(Instances!E258:E258))</f>
        <v>0</v>
      </c>
      <c r="F258" s="1" t="n">
        <f aca="false" t="array" ref="F258:F258">_xlfn.SWITCH($A$2,"average", AVERAGE(Instances!F258:F258),"median", MEDIAN(Instances!F258:F258),"min", MIN(Instances!F258:F258),"max", MAX(Instances!F258:F258),"diff", MAX(Instances!F258:F258)-MIN(Instances!F258:F258))</f>
        <v>150</v>
      </c>
      <c r="G258" s="1" t="n">
        <f aca="false" t="array" ref="G258:G258">_xlfn.SWITCH($A$2,"average", AVERAGE(Instances!G258:G258),"median", MEDIAN(Instances!G258:G258),"min", MIN(Instances!G258:G258),"max", MAX(Instances!G258:G258),"diff", MAX(Instances!G258:G258)-MIN(Instances!G258:G258))</f>
        <v>0</v>
      </c>
      <c r="H258" s="1" t="n">
        <f aca="false" t="array" ref="H258:H258">_xlfn.SWITCH($A$2,"average", AVERAGE(Instances!H258:H258),"median", MEDIAN(Instances!H258:H258),"min", MIN(Instances!H258:H258),"max", MAX(Instances!H258:H258),"diff", MAX(Instances!H258:H258)-MIN(Instances!H258:H258))</f>
        <v>1</v>
      </c>
      <c r="I258" s="1" t="n">
        <f aca="false" t="array" ref="I258:I258">_xlfn.SWITCH($A$2,"average", AVERAGE(Instances!I258:I258),"median", MEDIAN(Instances!I258:I258),"min", MIN(Instances!I258:I258),"max", MAX(Instances!I258:I258),"diff", MAX(Instances!I258:I258)-MIN(Instances!I258:I258))</f>
        <v>2.029</v>
      </c>
      <c r="J258" s="1" t="n">
        <f aca="false" t="array" ref="J258:J258">_xlfn.SWITCH($A$2,"average", AVERAGE(Instances!J258:J258),"median", MEDIAN(Instances!J258:J258),"min", MIN(Instances!J258:J258),"max", MAX(Instances!J258:J258),"diff", MAX(Instances!J258:J258)-MIN(Instances!J258:J258))</f>
        <v>2.08</v>
      </c>
      <c r="K258" s="1" t="n">
        <f aca="false" t="array" ref="K258:K258">_xlfn.SWITCH($A$2,"average", AVERAGE(Instances!K258:K258),"median", MEDIAN(Instances!K258:K258),"min", MIN(Instances!K258:K258),"max", MAX(Instances!K258:K258),"diff", MAX(Instances!K258:K258)-MIN(Instances!K258:K258))</f>
        <v>0</v>
      </c>
      <c r="L258" s="1"/>
      <c r="M258" s="1" t="n">
        <f aca="false" t="array" ref="M258:M258">_xlfn.SWITCH($A$2,"average", AVERAGE(Instances!M258:M258),"median", MEDIAN(Instances!M258:M258),"min", MIN(Instances!M258:M258),"max", MAX(Instances!M258:M258),"diff", MAX(Instances!M258:M258)-MIN(Instances!M258:M258))</f>
        <v>420432</v>
      </c>
      <c r="N258" s="1" t="n">
        <f aca="false" t="array" ref="N258:N258">_xlfn.SWITCH($A$2,"average", AVERAGE(Instances!N258:N258),"median", MEDIAN(Instances!N258:N258),"min", MIN(Instances!N258:N258),"max", MAX(Instances!N258:N258),"diff", MAX(Instances!N258:N258)-MIN(Instances!N258:N258))</f>
        <v>0.01</v>
      </c>
      <c r="O258" s="1"/>
      <c r="P258" s="1" t="n">
        <f aca="false" t="array" ref="P258:P258">_xlfn.SWITCH($A$2,"average", AVERAGE(Instances!P258:P258),"median", MEDIAN(Instances!P258:P258),"min", MIN(Instances!P258:P258),"max", MAX(Instances!P258:P258),"diff", MAX(Instances!P258:P258)-MIN(Instances!P258:P258))</f>
        <v>2.08</v>
      </c>
      <c r="Q258" s="1" t="n">
        <f aca="false" t="array" ref="Q258:Q258">_xlfn.SWITCH($A$2,"average", AVERAGE(Instances!Q258:Q258),"median", MEDIAN(Instances!Q258:Q258),"min", MIN(Instances!Q258:Q258),"max", MAX(Instances!Q258:Q258),"diff", MAX(Instances!Q258:Q258)-MIN(Instances!Q258:Q258))</f>
        <v>0</v>
      </c>
      <c r="R258" s="1" t="n">
        <f aca="false" t="array" ref="R258:R258">_xlfn.SWITCH($A$2,"average", AVERAGE(Instances!R258:R258),"median", MEDIAN(Instances!R258:R258),"min", MIN(Instances!R258:R258),"max", MAX(Instances!R258:R258),"diff", MAX(Instances!R258:R258)-MIN(Instances!R258:R258))</f>
        <v>152501</v>
      </c>
      <c r="S258" s="1" t="n">
        <f aca="false">MIN($B258)</f>
        <v>666</v>
      </c>
      <c r="T258" s="1" t="n">
        <f aca="false">MIN($C258)</f>
        <v>0</v>
      </c>
      <c r="U258" s="1" t="n">
        <f aca="false">MIN($D258)</f>
        <v>182548</v>
      </c>
      <c r="V258" s="1" t="n">
        <f aca="false">MIN($E258)</f>
        <v>0</v>
      </c>
      <c r="W258" s="1" t="n">
        <f aca="false">MIN($F258)</f>
        <v>150</v>
      </c>
      <c r="X258" s="1" t="n">
        <f aca="false">MIN($G258)</f>
        <v>0</v>
      </c>
      <c r="Y258" s="1" t="n">
        <f aca="false">MIN($H258)</f>
        <v>1</v>
      </c>
      <c r="Z258" s="1" t="n">
        <f aca="false">MIN($I258)</f>
        <v>2.029</v>
      </c>
      <c r="AA258" s="1" t="n">
        <f aca="false">MIN($J258)</f>
        <v>2.08</v>
      </c>
      <c r="AB258" s="1" t="n">
        <f aca="false">MIN($K258)</f>
        <v>0</v>
      </c>
      <c r="AC258" s="1" t="n">
        <f aca="false">MIN($M258)</f>
        <v>420432</v>
      </c>
      <c r="AD258" s="1" t="n">
        <f aca="false">MIN($N258)</f>
        <v>0.01</v>
      </c>
      <c r="AE258" s="1" t="n">
        <f aca="false">MIN($P258)</f>
        <v>2.08</v>
      </c>
      <c r="AF258" s="1" t="n">
        <f aca="false">MIN($Q258)</f>
        <v>0</v>
      </c>
      <c r="AG258" s="1" t="n">
        <f aca="false">MIN($R258)</f>
        <v>152501</v>
      </c>
      <c r="AH258" s="1" t="n">
        <f aca="false">MEDIAN($B258)</f>
        <v>666</v>
      </c>
      <c r="AI258" s="1" t="n">
        <f aca="false">MEDIAN($C258)</f>
        <v>0</v>
      </c>
      <c r="AJ258" s="1" t="n">
        <f aca="false">MEDIAN($D258)</f>
        <v>182548</v>
      </c>
      <c r="AK258" s="1" t="n">
        <f aca="false">MEDIAN($E258)</f>
        <v>0</v>
      </c>
      <c r="AL258" s="1" t="n">
        <f aca="false">MEDIAN($F258)</f>
        <v>150</v>
      </c>
      <c r="AM258" s="1" t="n">
        <f aca="false">MEDIAN($G258)</f>
        <v>0</v>
      </c>
      <c r="AN258" s="1" t="n">
        <f aca="false">MEDIAN($H258)</f>
        <v>1</v>
      </c>
      <c r="AO258" s="1" t="n">
        <f aca="false">MEDIAN($I258)</f>
        <v>2.029</v>
      </c>
      <c r="AP258" s="1" t="n">
        <f aca="false">MEDIAN($J258)</f>
        <v>2.08</v>
      </c>
      <c r="AQ258" s="1" t="n">
        <f aca="false">MEDIAN($K258)</f>
        <v>0</v>
      </c>
      <c r="AR258" s="1" t="n">
        <f aca="false">MEDIAN($M258)</f>
        <v>420432</v>
      </c>
      <c r="AS258" s="1" t="n">
        <f aca="false">MEDIAN($N258)</f>
        <v>0.01</v>
      </c>
      <c r="AT258" s="1" t="n">
        <f aca="false">MEDIAN($P258)</f>
        <v>2.08</v>
      </c>
      <c r="AU258" s="1" t="n">
        <f aca="false">MEDIAN($Q258)</f>
        <v>0</v>
      </c>
      <c r="AV258" s="1" t="n">
        <f aca="false">MEDIAN($R258)</f>
        <v>152501</v>
      </c>
      <c r="AW258" s="1" t="n">
        <f aca="false">MAX($B258)</f>
        <v>666</v>
      </c>
      <c r="AX258" s="1" t="n">
        <f aca="false">MAX($C258)</f>
        <v>0</v>
      </c>
      <c r="AY258" s="1" t="n">
        <f aca="false">MAX($D258)</f>
        <v>182548</v>
      </c>
      <c r="AZ258" s="1" t="n">
        <f aca="false">MAX($E258)</f>
        <v>0</v>
      </c>
      <c r="BA258" s="1" t="n">
        <f aca="false">MAX($F258)</f>
        <v>150</v>
      </c>
      <c r="BB258" s="1" t="n">
        <f aca="false">MAX($G258)</f>
        <v>0</v>
      </c>
      <c r="BC258" s="1" t="n">
        <f aca="false">MAX($H258)</f>
        <v>1</v>
      </c>
      <c r="BD258" s="1" t="n">
        <f aca="false">MAX($I258)</f>
        <v>2.029</v>
      </c>
      <c r="BE258" s="1" t="n">
        <f aca="false">MAX($J258)</f>
        <v>2.08</v>
      </c>
      <c r="BF258" s="1" t="n">
        <f aca="false">MAX($K258)</f>
        <v>0</v>
      </c>
      <c r="BG258" s="1" t="n">
        <f aca="false">MAX($M258)</f>
        <v>420432</v>
      </c>
      <c r="BH258" s="1" t="n">
        <f aca="false">MAX($N258)</f>
        <v>0.01</v>
      </c>
      <c r="BI258" s="1" t="n">
        <f aca="false">MAX($P258)</f>
        <v>2.08</v>
      </c>
      <c r="BJ258" s="1" t="n">
        <f aca="false">MAX($Q258)</f>
        <v>0</v>
      </c>
      <c r="BK258" s="1" t="n">
        <f aca="false">MAX($R258)</f>
        <v>152501</v>
      </c>
    </row>
    <row r="259" customFormat="false" ht="15" hidden="false" customHeight="false" outlineLevel="0" collapsed="false">
      <c r="A259" s="1" t="s">
        <v>276</v>
      </c>
      <c r="B259" s="1" t="n">
        <f aca="false" t="array" ref="B259:B259">_xlfn.SWITCH($A$2,"average", AVERAGE(Instances!B259:B259),"median", MEDIAN(Instances!B259:B259),"min", MIN(Instances!B259:B259),"max", MAX(Instances!B259:B259),"diff", MAX(Instances!B259:B259)-MIN(Instances!B259:B259))</f>
        <v>463</v>
      </c>
      <c r="C259" s="1" t="n">
        <f aca="false" t="array" ref="C259:C259">_xlfn.SWITCH($A$2,"average", AVERAGE(Instances!C259:C259),"median", MEDIAN(Instances!C259:C259),"min", MIN(Instances!C259:C259),"max", MAX(Instances!C259:C259),"diff", MAX(Instances!C259:C259)-MIN(Instances!C259:C259))</f>
        <v>1</v>
      </c>
      <c r="D259" s="1" t="n">
        <f aca="false" t="array" ref="D259:D259">_xlfn.SWITCH($A$2,"average", AVERAGE(Instances!D259:D259),"median", MEDIAN(Instances!D259:D259),"min", MIN(Instances!D259:D259),"max", MAX(Instances!D259:D259),"diff", MAX(Instances!D259:D259)-MIN(Instances!D259:D259))</f>
        <v>108049</v>
      </c>
      <c r="E259" s="1" t="n">
        <f aca="false" t="array" ref="E259:E259">_xlfn.SWITCH($A$2,"average", AVERAGE(Instances!E259:E259),"median", MEDIAN(Instances!E259:E259),"min", MIN(Instances!E259:E259),"max", MAX(Instances!E259:E259),"diff", MAX(Instances!E259:E259)-MIN(Instances!E259:E259))</f>
        <v>0</v>
      </c>
      <c r="F259" s="1" t="n">
        <f aca="false" t="array" ref="F259:F259">_xlfn.SWITCH($A$2,"average", AVERAGE(Instances!F259:F259),"median", MEDIAN(Instances!F259:F259),"min", MIN(Instances!F259:F259),"max", MAX(Instances!F259:F259),"diff", MAX(Instances!F259:F259)-MIN(Instances!F259:F259))</f>
        <v>139</v>
      </c>
      <c r="G259" s="1" t="n">
        <f aca="false" t="array" ref="G259:G259">_xlfn.SWITCH($A$2,"average", AVERAGE(Instances!G259:G259),"median", MEDIAN(Instances!G259:G259),"min", MIN(Instances!G259:G259),"max", MAX(Instances!G259:G259),"diff", MAX(Instances!G259:G259)-MIN(Instances!G259:G259))</f>
        <v>0</v>
      </c>
      <c r="H259" s="1" t="n">
        <f aca="false" t="array" ref="H259:H259">_xlfn.SWITCH($A$2,"average", AVERAGE(Instances!H259:H259),"median", MEDIAN(Instances!H259:H259),"min", MIN(Instances!H259:H259),"max", MAX(Instances!H259:H259),"diff", MAX(Instances!H259:H259)-MIN(Instances!H259:H259))</f>
        <v>1</v>
      </c>
      <c r="I259" s="1" t="n">
        <f aca="false" t="array" ref="I259:I259">_xlfn.SWITCH($A$2,"average", AVERAGE(Instances!I259:I259),"median", MEDIAN(Instances!I259:I259),"min", MIN(Instances!I259:I259),"max", MAX(Instances!I259:I259),"diff", MAX(Instances!I259:I259)-MIN(Instances!I259:I259))</f>
        <v>1.873</v>
      </c>
      <c r="J259" s="1" t="n">
        <f aca="false" t="array" ref="J259:J259">_xlfn.SWITCH($A$2,"average", AVERAGE(Instances!J259:J259),"median", MEDIAN(Instances!J259:J259),"min", MIN(Instances!J259:J259),"max", MAX(Instances!J259:J259),"diff", MAX(Instances!J259:J259)-MIN(Instances!J259:J259))</f>
        <v>1.92</v>
      </c>
      <c r="K259" s="1" t="n">
        <f aca="false" t="array" ref="K259:K259">_xlfn.SWITCH($A$2,"average", AVERAGE(Instances!K259:K259),"median", MEDIAN(Instances!K259:K259),"min", MIN(Instances!K259:K259),"max", MAX(Instances!K259:K259),"diff", MAX(Instances!K259:K259)-MIN(Instances!K259:K259))</f>
        <v>0</v>
      </c>
      <c r="L259" s="1"/>
      <c r="M259" s="1" t="n">
        <f aca="false" t="array" ref="M259:M259">_xlfn.SWITCH($A$2,"average", AVERAGE(Instances!M259:M259),"median", MEDIAN(Instances!M259:M259),"min", MIN(Instances!M259:M259),"max", MAX(Instances!M259:M259),"diff", MAX(Instances!M259:M259)-MIN(Instances!M259:M259))</f>
        <v>399106</v>
      </c>
      <c r="N259" s="1" t="n">
        <f aca="false" t="array" ref="N259:N259">_xlfn.SWITCH($A$2,"average", AVERAGE(Instances!N259:N259),"median", MEDIAN(Instances!N259:N259),"min", MIN(Instances!N259:N259),"max", MAX(Instances!N259:N259),"diff", MAX(Instances!N259:N259)-MIN(Instances!N259:N259))</f>
        <v>0.01</v>
      </c>
      <c r="O259" s="1"/>
      <c r="P259" s="1" t="n">
        <f aca="false" t="array" ref="P259:P259">_xlfn.SWITCH($A$2,"average", AVERAGE(Instances!P259:P259),"median", MEDIAN(Instances!P259:P259),"min", MIN(Instances!P259:P259),"max", MAX(Instances!P259:P259),"diff", MAX(Instances!P259:P259)-MIN(Instances!P259:P259))</f>
        <v>1.92</v>
      </c>
      <c r="Q259" s="1" t="n">
        <f aca="false" t="array" ref="Q259:Q259">_xlfn.SWITCH($A$2,"average", AVERAGE(Instances!Q259:Q259),"median", MEDIAN(Instances!Q259:Q259),"min", MIN(Instances!Q259:Q259),"max", MAX(Instances!Q259:Q259),"diff", MAX(Instances!Q259:Q259)-MIN(Instances!Q259:Q259))</f>
        <v>0</v>
      </c>
      <c r="R259" s="1" t="n">
        <f aca="false" t="array" ref="R259:R259">_xlfn.SWITCH($A$2,"average", AVERAGE(Instances!R259:R259),"median", MEDIAN(Instances!R259:R259),"min", MIN(Instances!R259:R259),"max", MAX(Instances!R259:R259),"diff", MAX(Instances!R259:R259)-MIN(Instances!R259:R259))</f>
        <v>143340</v>
      </c>
      <c r="S259" s="1" t="n">
        <f aca="false">MIN($B259)</f>
        <v>463</v>
      </c>
      <c r="T259" s="1" t="n">
        <f aca="false">MIN($C259)</f>
        <v>1</v>
      </c>
      <c r="U259" s="1" t="n">
        <f aca="false">MIN($D259)</f>
        <v>108049</v>
      </c>
      <c r="V259" s="1" t="n">
        <f aca="false">MIN($E259)</f>
        <v>0</v>
      </c>
      <c r="W259" s="1" t="n">
        <f aca="false">MIN($F259)</f>
        <v>139</v>
      </c>
      <c r="X259" s="1" t="n">
        <f aca="false">MIN($G259)</f>
        <v>0</v>
      </c>
      <c r="Y259" s="1" t="n">
        <f aca="false">MIN($H259)</f>
        <v>1</v>
      </c>
      <c r="Z259" s="1" t="n">
        <f aca="false">MIN($I259)</f>
        <v>1.873</v>
      </c>
      <c r="AA259" s="1" t="n">
        <f aca="false">MIN($J259)</f>
        <v>1.92</v>
      </c>
      <c r="AB259" s="1" t="n">
        <f aca="false">MIN($K259)</f>
        <v>0</v>
      </c>
      <c r="AC259" s="1" t="n">
        <f aca="false">MIN($M259)</f>
        <v>399106</v>
      </c>
      <c r="AD259" s="1" t="n">
        <f aca="false">MIN($N259)</f>
        <v>0.01</v>
      </c>
      <c r="AE259" s="1" t="n">
        <f aca="false">MIN($P259)</f>
        <v>1.92</v>
      </c>
      <c r="AF259" s="1" t="n">
        <f aca="false">MIN($Q259)</f>
        <v>0</v>
      </c>
      <c r="AG259" s="1" t="n">
        <f aca="false">MIN($R259)</f>
        <v>143340</v>
      </c>
      <c r="AH259" s="1" t="n">
        <f aca="false">MEDIAN($B259)</f>
        <v>463</v>
      </c>
      <c r="AI259" s="1" t="n">
        <f aca="false">MEDIAN($C259)</f>
        <v>1</v>
      </c>
      <c r="AJ259" s="1" t="n">
        <f aca="false">MEDIAN($D259)</f>
        <v>108049</v>
      </c>
      <c r="AK259" s="1" t="n">
        <f aca="false">MEDIAN($E259)</f>
        <v>0</v>
      </c>
      <c r="AL259" s="1" t="n">
        <f aca="false">MEDIAN($F259)</f>
        <v>139</v>
      </c>
      <c r="AM259" s="1" t="n">
        <f aca="false">MEDIAN($G259)</f>
        <v>0</v>
      </c>
      <c r="AN259" s="1" t="n">
        <f aca="false">MEDIAN($H259)</f>
        <v>1</v>
      </c>
      <c r="AO259" s="1" t="n">
        <f aca="false">MEDIAN($I259)</f>
        <v>1.873</v>
      </c>
      <c r="AP259" s="1" t="n">
        <f aca="false">MEDIAN($J259)</f>
        <v>1.92</v>
      </c>
      <c r="AQ259" s="1" t="n">
        <f aca="false">MEDIAN($K259)</f>
        <v>0</v>
      </c>
      <c r="AR259" s="1" t="n">
        <f aca="false">MEDIAN($M259)</f>
        <v>399106</v>
      </c>
      <c r="AS259" s="1" t="n">
        <f aca="false">MEDIAN($N259)</f>
        <v>0.01</v>
      </c>
      <c r="AT259" s="1" t="n">
        <f aca="false">MEDIAN($P259)</f>
        <v>1.92</v>
      </c>
      <c r="AU259" s="1" t="n">
        <f aca="false">MEDIAN($Q259)</f>
        <v>0</v>
      </c>
      <c r="AV259" s="1" t="n">
        <f aca="false">MEDIAN($R259)</f>
        <v>143340</v>
      </c>
      <c r="AW259" s="1" t="n">
        <f aca="false">MAX($B259)</f>
        <v>463</v>
      </c>
      <c r="AX259" s="1" t="n">
        <f aca="false">MAX($C259)</f>
        <v>1</v>
      </c>
      <c r="AY259" s="1" t="n">
        <f aca="false">MAX($D259)</f>
        <v>108049</v>
      </c>
      <c r="AZ259" s="1" t="n">
        <f aca="false">MAX($E259)</f>
        <v>0</v>
      </c>
      <c r="BA259" s="1" t="n">
        <f aca="false">MAX($F259)</f>
        <v>139</v>
      </c>
      <c r="BB259" s="1" t="n">
        <f aca="false">MAX($G259)</f>
        <v>0</v>
      </c>
      <c r="BC259" s="1" t="n">
        <f aca="false">MAX($H259)</f>
        <v>1</v>
      </c>
      <c r="BD259" s="1" t="n">
        <f aca="false">MAX($I259)</f>
        <v>1.873</v>
      </c>
      <c r="BE259" s="1" t="n">
        <f aca="false">MAX($J259)</f>
        <v>1.92</v>
      </c>
      <c r="BF259" s="1" t="n">
        <f aca="false">MAX($K259)</f>
        <v>0</v>
      </c>
      <c r="BG259" s="1" t="n">
        <f aca="false">MAX($M259)</f>
        <v>399106</v>
      </c>
      <c r="BH259" s="1" t="n">
        <f aca="false">MAX($N259)</f>
        <v>0.01</v>
      </c>
      <c r="BI259" s="1" t="n">
        <f aca="false">MAX($P259)</f>
        <v>1.92</v>
      </c>
      <c r="BJ259" s="1" t="n">
        <f aca="false">MAX($Q259)</f>
        <v>0</v>
      </c>
      <c r="BK259" s="1" t="n">
        <f aca="false">MAX($R259)</f>
        <v>143340</v>
      </c>
    </row>
    <row r="260" customFormat="false" ht="15" hidden="false" customHeight="false" outlineLevel="0" collapsed="false">
      <c r="A260" s="1" t="s">
        <v>277</v>
      </c>
      <c r="B260" s="1" t="n">
        <f aca="false" t="array" ref="B260:B260">_xlfn.SWITCH($A$2,"average", AVERAGE(Instances!B260:B260),"median", MEDIAN(Instances!B260:B260),"min", MIN(Instances!B260:B260),"max", MAX(Instances!B260:B260),"diff", MAX(Instances!B260:B260)-MIN(Instances!B260:B260))</f>
        <v>601</v>
      </c>
      <c r="C260" s="1" t="n">
        <f aca="false" t="array" ref="C260:C260">_xlfn.SWITCH($A$2,"average", AVERAGE(Instances!C260:C260),"median", MEDIAN(Instances!C260:C260),"min", MIN(Instances!C260:C260),"max", MAX(Instances!C260:C260),"diff", MAX(Instances!C260:C260)-MIN(Instances!C260:C260))</f>
        <v>0</v>
      </c>
      <c r="D260" s="1" t="n">
        <f aca="false" t="array" ref="D260:D260">_xlfn.SWITCH($A$2,"average", AVERAGE(Instances!D260:D260),"median", MEDIAN(Instances!D260:D260),"min", MIN(Instances!D260:D260),"max", MAX(Instances!D260:D260),"diff", MAX(Instances!D260:D260)-MIN(Instances!D260:D260))</f>
        <v>205565</v>
      </c>
      <c r="E260" s="1" t="n">
        <f aca="false" t="array" ref="E260:E260">_xlfn.SWITCH($A$2,"average", AVERAGE(Instances!E260:E260),"median", MEDIAN(Instances!E260:E260),"min", MIN(Instances!E260:E260),"max", MAX(Instances!E260:E260),"diff", MAX(Instances!E260:E260)-MIN(Instances!E260:E260))</f>
        <v>0</v>
      </c>
      <c r="F260" s="1" t="n">
        <f aca="false" t="array" ref="F260:F260">_xlfn.SWITCH($A$2,"average", AVERAGE(Instances!F260:F260),"median", MEDIAN(Instances!F260:F260),"min", MIN(Instances!F260:F260),"max", MAX(Instances!F260:F260),"diff", MAX(Instances!F260:F260)-MIN(Instances!F260:F260))</f>
        <v>166</v>
      </c>
      <c r="G260" s="1" t="n">
        <f aca="false" t="array" ref="G260:G260">_xlfn.SWITCH($A$2,"average", AVERAGE(Instances!G260:G260),"median", MEDIAN(Instances!G260:G260),"min", MIN(Instances!G260:G260),"max", MAX(Instances!G260:G260),"diff", MAX(Instances!G260:G260)-MIN(Instances!G260:G260))</f>
        <v>0</v>
      </c>
      <c r="H260" s="1" t="n">
        <f aca="false" t="array" ref="H260:H260">_xlfn.SWITCH($A$2,"average", AVERAGE(Instances!H260:H260),"median", MEDIAN(Instances!H260:H260),"min", MIN(Instances!H260:H260),"max", MAX(Instances!H260:H260),"diff", MAX(Instances!H260:H260)-MIN(Instances!H260:H260))</f>
        <v>1</v>
      </c>
      <c r="I260" s="1" t="n">
        <f aca="false" t="array" ref="I260:I260">_xlfn.SWITCH($A$2,"average", AVERAGE(Instances!I260:I260),"median", MEDIAN(Instances!I260:I260),"min", MIN(Instances!I260:I260),"max", MAX(Instances!I260:I260),"diff", MAX(Instances!I260:I260)-MIN(Instances!I260:I260))</f>
        <v>2.138</v>
      </c>
      <c r="J260" s="1" t="n">
        <f aca="false" t="array" ref="J260:J260">_xlfn.SWITCH($A$2,"average", AVERAGE(Instances!J260:J260),"median", MEDIAN(Instances!J260:J260),"min", MIN(Instances!J260:J260),"max", MAX(Instances!J260:J260),"diff", MAX(Instances!J260:J260)-MIN(Instances!J260:J260))</f>
        <v>2.2</v>
      </c>
      <c r="K260" s="1" t="n">
        <f aca="false" t="array" ref="K260:K260">_xlfn.SWITCH($A$2,"average", AVERAGE(Instances!K260:K260),"median", MEDIAN(Instances!K260:K260),"min", MIN(Instances!K260:K260),"max", MAX(Instances!K260:K260),"diff", MAX(Instances!K260:K260)-MIN(Instances!K260:K260))</f>
        <v>0</v>
      </c>
      <c r="L260" s="1"/>
      <c r="M260" s="1" t="n">
        <f aca="false" t="array" ref="M260:M260">_xlfn.SWITCH($A$2,"average", AVERAGE(Instances!M260:M260),"median", MEDIAN(Instances!M260:M260),"min", MIN(Instances!M260:M260),"max", MAX(Instances!M260:M260),"diff", MAX(Instances!M260:M260)-MIN(Instances!M260:M260))</f>
        <v>458830</v>
      </c>
      <c r="N260" s="1" t="n">
        <f aca="false" t="array" ref="N260:N260">_xlfn.SWITCH($A$2,"average", AVERAGE(Instances!N260:N260),"median", MEDIAN(Instances!N260:N260),"min", MIN(Instances!N260:N260),"max", MAX(Instances!N260:N260),"diff", MAX(Instances!N260:N260)-MIN(Instances!N260:N260))</f>
        <v>0.02</v>
      </c>
      <c r="O260" s="1"/>
      <c r="P260" s="1" t="n">
        <f aca="false" t="array" ref="P260:P260">_xlfn.SWITCH($A$2,"average", AVERAGE(Instances!P260:P260),"median", MEDIAN(Instances!P260:P260),"min", MIN(Instances!P260:P260),"max", MAX(Instances!P260:P260),"diff", MAX(Instances!P260:P260)-MIN(Instances!P260:P260))</f>
        <v>2.2</v>
      </c>
      <c r="Q260" s="1" t="n">
        <f aca="false" t="array" ref="Q260:Q260">_xlfn.SWITCH($A$2,"average", AVERAGE(Instances!Q260:Q260),"median", MEDIAN(Instances!Q260:Q260),"min", MIN(Instances!Q260:Q260),"max", MAX(Instances!Q260:Q260),"diff", MAX(Instances!Q260:Q260)-MIN(Instances!Q260:Q260))</f>
        <v>0</v>
      </c>
      <c r="R260" s="1" t="n">
        <f aca="false" t="array" ref="R260:R260">_xlfn.SWITCH($A$2,"average", AVERAGE(Instances!R260:R260),"median", MEDIAN(Instances!R260:R260),"min", MIN(Instances!R260:R260),"max", MAX(Instances!R260:R260),"diff", MAX(Instances!R260:R260)-MIN(Instances!R260:R260))</f>
        <v>166473</v>
      </c>
      <c r="S260" s="1" t="n">
        <f aca="false">MIN($B260)</f>
        <v>601</v>
      </c>
      <c r="T260" s="1" t="n">
        <f aca="false">MIN($C260)</f>
        <v>0</v>
      </c>
      <c r="U260" s="1" t="n">
        <f aca="false">MIN($D260)</f>
        <v>205565</v>
      </c>
      <c r="V260" s="1" t="n">
        <f aca="false">MIN($E260)</f>
        <v>0</v>
      </c>
      <c r="W260" s="1" t="n">
        <f aca="false">MIN($F260)</f>
        <v>166</v>
      </c>
      <c r="X260" s="1" t="n">
        <f aca="false">MIN($G260)</f>
        <v>0</v>
      </c>
      <c r="Y260" s="1" t="n">
        <f aca="false">MIN($H260)</f>
        <v>1</v>
      </c>
      <c r="Z260" s="1" t="n">
        <f aca="false">MIN($I260)</f>
        <v>2.138</v>
      </c>
      <c r="AA260" s="1" t="n">
        <f aca="false">MIN($J260)</f>
        <v>2.2</v>
      </c>
      <c r="AB260" s="1" t="n">
        <f aca="false">MIN($K260)</f>
        <v>0</v>
      </c>
      <c r="AC260" s="1" t="n">
        <f aca="false">MIN($M260)</f>
        <v>458830</v>
      </c>
      <c r="AD260" s="1" t="n">
        <f aca="false">MIN($N260)</f>
        <v>0.02</v>
      </c>
      <c r="AE260" s="1" t="n">
        <f aca="false">MIN($P260)</f>
        <v>2.2</v>
      </c>
      <c r="AF260" s="1" t="n">
        <f aca="false">MIN($Q260)</f>
        <v>0</v>
      </c>
      <c r="AG260" s="1" t="n">
        <f aca="false">MIN($R260)</f>
        <v>166473</v>
      </c>
      <c r="AH260" s="1" t="n">
        <f aca="false">MEDIAN($B260)</f>
        <v>601</v>
      </c>
      <c r="AI260" s="1" t="n">
        <f aca="false">MEDIAN($C260)</f>
        <v>0</v>
      </c>
      <c r="AJ260" s="1" t="n">
        <f aca="false">MEDIAN($D260)</f>
        <v>205565</v>
      </c>
      <c r="AK260" s="1" t="n">
        <f aca="false">MEDIAN($E260)</f>
        <v>0</v>
      </c>
      <c r="AL260" s="1" t="n">
        <f aca="false">MEDIAN($F260)</f>
        <v>166</v>
      </c>
      <c r="AM260" s="1" t="n">
        <f aca="false">MEDIAN($G260)</f>
        <v>0</v>
      </c>
      <c r="AN260" s="1" t="n">
        <f aca="false">MEDIAN($H260)</f>
        <v>1</v>
      </c>
      <c r="AO260" s="1" t="n">
        <f aca="false">MEDIAN($I260)</f>
        <v>2.138</v>
      </c>
      <c r="AP260" s="1" t="n">
        <f aca="false">MEDIAN($J260)</f>
        <v>2.2</v>
      </c>
      <c r="AQ260" s="1" t="n">
        <f aca="false">MEDIAN($K260)</f>
        <v>0</v>
      </c>
      <c r="AR260" s="1" t="n">
        <f aca="false">MEDIAN($M260)</f>
        <v>458830</v>
      </c>
      <c r="AS260" s="1" t="n">
        <f aca="false">MEDIAN($N260)</f>
        <v>0.02</v>
      </c>
      <c r="AT260" s="1" t="n">
        <f aca="false">MEDIAN($P260)</f>
        <v>2.2</v>
      </c>
      <c r="AU260" s="1" t="n">
        <f aca="false">MEDIAN($Q260)</f>
        <v>0</v>
      </c>
      <c r="AV260" s="1" t="n">
        <f aca="false">MEDIAN($R260)</f>
        <v>166473</v>
      </c>
      <c r="AW260" s="1" t="n">
        <f aca="false">MAX($B260)</f>
        <v>601</v>
      </c>
      <c r="AX260" s="1" t="n">
        <f aca="false">MAX($C260)</f>
        <v>0</v>
      </c>
      <c r="AY260" s="1" t="n">
        <f aca="false">MAX($D260)</f>
        <v>205565</v>
      </c>
      <c r="AZ260" s="1" t="n">
        <f aca="false">MAX($E260)</f>
        <v>0</v>
      </c>
      <c r="BA260" s="1" t="n">
        <f aca="false">MAX($F260)</f>
        <v>166</v>
      </c>
      <c r="BB260" s="1" t="n">
        <f aca="false">MAX($G260)</f>
        <v>0</v>
      </c>
      <c r="BC260" s="1" t="n">
        <f aca="false">MAX($H260)</f>
        <v>1</v>
      </c>
      <c r="BD260" s="1" t="n">
        <f aca="false">MAX($I260)</f>
        <v>2.138</v>
      </c>
      <c r="BE260" s="1" t="n">
        <f aca="false">MAX($J260)</f>
        <v>2.2</v>
      </c>
      <c r="BF260" s="1" t="n">
        <f aca="false">MAX($K260)</f>
        <v>0</v>
      </c>
      <c r="BG260" s="1" t="n">
        <f aca="false">MAX($M260)</f>
        <v>458830</v>
      </c>
      <c r="BH260" s="1" t="n">
        <f aca="false">MAX($N260)</f>
        <v>0.02</v>
      </c>
      <c r="BI260" s="1" t="n">
        <f aca="false">MAX($P260)</f>
        <v>2.2</v>
      </c>
      <c r="BJ260" s="1" t="n">
        <f aca="false">MAX($Q260)</f>
        <v>0</v>
      </c>
      <c r="BK260" s="1" t="n">
        <f aca="false">MAX($R260)</f>
        <v>166473</v>
      </c>
    </row>
    <row r="261" customFormat="false" ht="15" hidden="false" customHeight="false" outlineLevel="0" collapsed="false">
      <c r="A261" s="1" t="s">
        <v>278</v>
      </c>
      <c r="B261" s="1" t="n">
        <f aca="false" t="array" ref="B261:B261">_xlfn.SWITCH($A$2,"average", AVERAGE(Instances!B261:B261),"median", MEDIAN(Instances!B261:B261),"min", MIN(Instances!B261:B261),"max", MAX(Instances!B261:B261),"diff", MAX(Instances!B261:B261)-MIN(Instances!B261:B261))</f>
        <v>334</v>
      </c>
      <c r="C261" s="1" t="n">
        <f aca="false" t="array" ref="C261:C261">_xlfn.SWITCH($A$2,"average", AVERAGE(Instances!C261:C261),"median", MEDIAN(Instances!C261:C261),"min", MIN(Instances!C261:C261),"max", MAX(Instances!C261:C261),"diff", MAX(Instances!C261:C261)-MIN(Instances!C261:C261))</f>
        <v>0</v>
      </c>
      <c r="D261" s="1" t="n">
        <f aca="false" t="array" ref="D261:D261">_xlfn.SWITCH($A$2,"average", AVERAGE(Instances!D261:D261),"median", MEDIAN(Instances!D261:D261),"min", MIN(Instances!D261:D261),"max", MAX(Instances!D261:D261),"diff", MAX(Instances!D261:D261)-MIN(Instances!D261:D261))</f>
        <v>81627</v>
      </c>
      <c r="E261" s="1" t="n">
        <f aca="false" t="array" ref="E261:E261">_xlfn.SWITCH($A$2,"average", AVERAGE(Instances!E261:E261),"median", MEDIAN(Instances!E261:E261),"min", MIN(Instances!E261:E261),"max", MAX(Instances!E261:E261),"diff", MAX(Instances!E261:E261)-MIN(Instances!E261:E261))</f>
        <v>0</v>
      </c>
      <c r="F261" s="1" t="n">
        <f aca="false" t="array" ref="F261:F261">_xlfn.SWITCH($A$2,"average", AVERAGE(Instances!F261:F261),"median", MEDIAN(Instances!F261:F261),"min", MIN(Instances!F261:F261),"max", MAX(Instances!F261:F261),"diff", MAX(Instances!F261:F261)-MIN(Instances!F261:F261))</f>
        <v>129</v>
      </c>
      <c r="G261" s="1" t="n">
        <f aca="false" t="array" ref="G261:G261">_xlfn.SWITCH($A$2,"average", AVERAGE(Instances!G261:G261),"median", MEDIAN(Instances!G261:G261),"min", MIN(Instances!G261:G261),"max", MAX(Instances!G261:G261),"diff", MAX(Instances!G261:G261)-MIN(Instances!G261:G261))</f>
        <v>0</v>
      </c>
      <c r="H261" s="1" t="n">
        <f aca="false" t="array" ref="H261:H261">_xlfn.SWITCH($A$2,"average", AVERAGE(Instances!H261:H261),"median", MEDIAN(Instances!H261:H261),"min", MIN(Instances!H261:H261),"max", MAX(Instances!H261:H261),"diff", MAX(Instances!H261:H261)-MIN(Instances!H261:H261))</f>
        <v>1</v>
      </c>
      <c r="I261" s="1" t="n">
        <f aca="false" t="array" ref="I261:I261">_xlfn.SWITCH($A$2,"average", AVERAGE(Instances!I261:I261),"median", MEDIAN(Instances!I261:I261),"min", MIN(Instances!I261:I261),"max", MAX(Instances!I261:I261),"diff", MAX(Instances!I261:I261)-MIN(Instances!I261:I261))</f>
        <v>1.733</v>
      </c>
      <c r="J261" s="1" t="n">
        <f aca="false" t="array" ref="J261:J261">_xlfn.SWITCH($A$2,"average", AVERAGE(Instances!J261:J261),"median", MEDIAN(Instances!J261:J261),"min", MIN(Instances!J261:J261),"max", MAX(Instances!J261:J261),"diff", MAX(Instances!J261:J261)-MIN(Instances!J261:J261))</f>
        <v>1.78</v>
      </c>
      <c r="K261" s="1" t="n">
        <f aca="false" t="array" ref="K261:K261">_xlfn.SWITCH($A$2,"average", AVERAGE(Instances!K261:K261),"median", MEDIAN(Instances!K261:K261),"min", MIN(Instances!K261:K261),"max", MAX(Instances!K261:K261),"diff", MAX(Instances!K261:K261)-MIN(Instances!K261:K261))</f>
        <v>0</v>
      </c>
      <c r="L261" s="1"/>
      <c r="M261" s="1" t="n">
        <f aca="false" t="array" ref="M261:M261">_xlfn.SWITCH($A$2,"average", AVERAGE(Instances!M261:M261),"median", MEDIAN(Instances!M261:M261),"min", MIN(Instances!M261:M261),"max", MAX(Instances!M261:M261),"diff", MAX(Instances!M261:M261)-MIN(Instances!M261:M261))</f>
        <v>355342</v>
      </c>
      <c r="N261" s="1" t="n">
        <f aca="false" t="array" ref="N261:N261">_xlfn.SWITCH($A$2,"average", AVERAGE(Instances!N261:N261),"median", MEDIAN(Instances!N261:N261),"min", MIN(Instances!N261:N261),"max", MAX(Instances!N261:N261),"diff", MAX(Instances!N261:N261)-MIN(Instances!N261:N261))</f>
        <v>0.01</v>
      </c>
      <c r="O261" s="1"/>
      <c r="P261" s="1" t="n">
        <f aca="false" t="array" ref="P261:P261">_xlfn.SWITCH($A$2,"average", AVERAGE(Instances!P261:P261),"median", MEDIAN(Instances!P261:P261),"min", MIN(Instances!P261:P261),"max", MAX(Instances!P261:P261),"diff", MAX(Instances!P261:P261)-MIN(Instances!P261:P261))</f>
        <v>1.78</v>
      </c>
      <c r="Q261" s="1" t="n">
        <f aca="false" t="array" ref="Q261:Q261">_xlfn.SWITCH($A$2,"average", AVERAGE(Instances!Q261:Q261),"median", MEDIAN(Instances!Q261:Q261),"min", MIN(Instances!Q261:Q261),"max", MAX(Instances!Q261:Q261),"diff", MAX(Instances!Q261:Q261)-MIN(Instances!Q261:Q261))</f>
        <v>0</v>
      </c>
      <c r="R261" s="1" t="n">
        <f aca="false" t="array" ref="R261:R261">_xlfn.SWITCH($A$2,"average", AVERAGE(Instances!R261:R261),"median", MEDIAN(Instances!R261:R261),"min", MIN(Instances!R261:R261),"max", MAX(Instances!R261:R261),"diff", MAX(Instances!R261:R261)-MIN(Instances!R261:R261))</f>
        <v>129333</v>
      </c>
      <c r="S261" s="1" t="n">
        <f aca="false">MIN($B261)</f>
        <v>334</v>
      </c>
      <c r="T261" s="1" t="n">
        <f aca="false">MIN($C261)</f>
        <v>0</v>
      </c>
      <c r="U261" s="1" t="n">
        <f aca="false">MIN($D261)</f>
        <v>81627</v>
      </c>
      <c r="V261" s="1" t="n">
        <f aca="false">MIN($E261)</f>
        <v>0</v>
      </c>
      <c r="W261" s="1" t="n">
        <f aca="false">MIN($F261)</f>
        <v>129</v>
      </c>
      <c r="X261" s="1" t="n">
        <f aca="false">MIN($G261)</f>
        <v>0</v>
      </c>
      <c r="Y261" s="1" t="n">
        <f aca="false">MIN($H261)</f>
        <v>1</v>
      </c>
      <c r="Z261" s="1" t="n">
        <f aca="false">MIN($I261)</f>
        <v>1.733</v>
      </c>
      <c r="AA261" s="1" t="n">
        <f aca="false">MIN($J261)</f>
        <v>1.78</v>
      </c>
      <c r="AB261" s="1" t="n">
        <f aca="false">MIN($K261)</f>
        <v>0</v>
      </c>
      <c r="AC261" s="1" t="n">
        <f aca="false">MIN($M261)</f>
        <v>355342</v>
      </c>
      <c r="AD261" s="1" t="n">
        <f aca="false">MIN($N261)</f>
        <v>0.01</v>
      </c>
      <c r="AE261" s="1" t="n">
        <f aca="false">MIN($P261)</f>
        <v>1.78</v>
      </c>
      <c r="AF261" s="1" t="n">
        <f aca="false">MIN($Q261)</f>
        <v>0</v>
      </c>
      <c r="AG261" s="1" t="n">
        <f aca="false">MIN($R261)</f>
        <v>129333</v>
      </c>
      <c r="AH261" s="1" t="n">
        <f aca="false">MEDIAN($B261)</f>
        <v>334</v>
      </c>
      <c r="AI261" s="1" t="n">
        <f aca="false">MEDIAN($C261)</f>
        <v>0</v>
      </c>
      <c r="AJ261" s="1" t="n">
        <f aca="false">MEDIAN($D261)</f>
        <v>81627</v>
      </c>
      <c r="AK261" s="1" t="n">
        <f aca="false">MEDIAN($E261)</f>
        <v>0</v>
      </c>
      <c r="AL261" s="1" t="n">
        <f aca="false">MEDIAN($F261)</f>
        <v>129</v>
      </c>
      <c r="AM261" s="1" t="n">
        <f aca="false">MEDIAN($G261)</f>
        <v>0</v>
      </c>
      <c r="AN261" s="1" t="n">
        <f aca="false">MEDIAN($H261)</f>
        <v>1</v>
      </c>
      <c r="AO261" s="1" t="n">
        <f aca="false">MEDIAN($I261)</f>
        <v>1.733</v>
      </c>
      <c r="AP261" s="1" t="n">
        <f aca="false">MEDIAN($J261)</f>
        <v>1.78</v>
      </c>
      <c r="AQ261" s="1" t="n">
        <f aca="false">MEDIAN($K261)</f>
        <v>0</v>
      </c>
      <c r="AR261" s="1" t="n">
        <f aca="false">MEDIAN($M261)</f>
        <v>355342</v>
      </c>
      <c r="AS261" s="1" t="n">
        <f aca="false">MEDIAN($N261)</f>
        <v>0.01</v>
      </c>
      <c r="AT261" s="1" t="n">
        <f aca="false">MEDIAN($P261)</f>
        <v>1.78</v>
      </c>
      <c r="AU261" s="1" t="n">
        <f aca="false">MEDIAN($Q261)</f>
        <v>0</v>
      </c>
      <c r="AV261" s="1" t="n">
        <f aca="false">MEDIAN($R261)</f>
        <v>129333</v>
      </c>
      <c r="AW261" s="1" t="n">
        <f aca="false">MAX($B261)</f>
        <v>334</v>
      </c>
      <c r="AX261" s="1" t="n">
        <f aca="false">MAX($C261)</f>
        <v>0</v>
      </c>
      <c r="AY261" s="1" t="n">
        <f aca="false">MAX($D261)</f>
        <v>81627</v>
      </c>
      <c r="AZ261" s="1" t="n">
        <f aca="false">MAX($E261)</f>
        <v>0</v>
      </c>
      <c r="BA261" s="1" t="n">
        <f aca="false">MAX($F261)</f>
        <v>129</v>
      </c>
      <c r="BB261" s="1" t="n">
        <f aca="false">MAX($G261)</f>
        <v>0</v>
      </c>
      <c r="BC261" s="1" t="n">
        <f aca="false">MAX($H261)</f>
        <v>1</v>
      </c>
      <c r="BD261" s="1" t="n">
        <f aca="false">MAX($I261)</f>
        <v>1.733</v>
      </c>
      <c r="BE261" s="1" t="n">
        <f aca="false">MAX($J261)</f>
        <v>1.78</v>
      </c>
      <c r="BF261" s="1" t="n">
        <f aca="false">MAX($K261)</f>
        <v>0</v>
      </c>
      <c r="BG261" s="1" t="n">
        <f aca="false">MAX($M261)</f>
        <v>355342</v>
      </c>
      <c r="BH261" s="1" t="n">
        <f aca="false">MAX($N261)</f>
        <v>0.01</v>
      </c>
      <c r="BI261" s="1" t="n">
        <f aca="false">MAX($P261)</f>
        <v>1.78</v>
      </c>
      <c r="BJ261" s="1" t="n">
        <f aca="false">MAX($Q261)</f>
        <v>0</v>
      </c>
      <c r="BK261" s="1" t="n">
        <f aca="false">MAX($R261)</f>
        <v>129333</v>
      </c>
    </row>
    <row r="262" customFormat="false" ht="15" hidden="false" customHeight="false" outlineLevel="0" collapsed="false">
      <c r="A262" s="1" t="s">
        <v>279</v>
      </c>
      <c r="B262" s="1" t="n">
        <f aca="false" t="array" ref="B262:B262">_xlfn.SWITCH($A$2,"average", AVERAGE(Instances!B262:B262),"median", MEDIAN(Instances!B262:B262),"min", MIN(Instances!B262:B262),"max", MAX(Instances!B262:B262),"diff", MAX(Instances!B262:B262)-MIN(Instances!B262:B262))</f>
        <v>541</v>
      </c>
      <c r="C262" s="1" t="n">
        <f aca="false" t="array" ref="C262:C262">_xlfn.SWITCH($A$2,"average", AVERAGE(Instances!C262:C262),"median", MEDIAN(Instances!C262:C262),"min", MIN(Instances!C262:C262),"max", MAX(Instances!C262:C262),"diff", MAX(Instances!C262:C262)-MIN(Instances!C262:C262))</f>
        <v>1</v>
      </c>
      <c r="D262" s="1" t="n">
        <f aca="false" t="array" ref="D262:D262">_xlfn.SWITCH($A$2,"average", AVERAGE(Instances!D262:D262),"median", MEDIAN(Instances!D262:D262),"min", MIN(Instances!D262:D262),"max", MAX(Instances!D262:D262),"diff", MAX(Instances!D262:D262)-MIN(Instances!D262:D262))</f>
        <v>194533</v>
      </c>
      <c r="E262" s="1" t="n">
        <f aca="false" t="array" ref="E262:E262">_xlfn.SWITCH($A$2,"average", AVERAGE(Instances!E262:E262),"median", MEDIAN(Instances!E262:E262),"min", MIN(Instances!E262:E262),"max", MAX(Instances!E262:E262),"diff", MAX(Instances!E262:E262)-MIN(Instances!E262:E262))</f>
        <v>0</v>
      </c>
      <c r="F262" s="1" t="n">
        <f aca="false" t="array" ref="F262:F262">_xlfn.SWITCH($A$2,"average", AVERAGE(Instances!F262:F262),"median", MEDIAN(Instances!F262:F262),"min", MIN(Instances!F262:F262),"max", MAX(Instances!F262:F262),"diff", MAX(Instances!F262:F262)-MIN(Instances!F262:F262))</f>
        <v>237</v>
      </c>
      <c r="G262" s="1" t="n">
        <f aca="false" t="array" ref="G262:G262">_xlfn.SWITCH($A$2,"average", AVERAGE(Instances!G262:G262),"median", MEDIAN(Instances!G262:G262),"min", MIN(Instances!G262:G262),"max", MAX(Instances!G262:G262),"diff", MAX(Instances!G262:G262)-MIN(Instances!G262:G262))</f>
        <v>0</v>
      </c>
      <c r="H262" s="1" t="n">
        <f aca="false" t="array" ref="H262:H262">_xlfn.SWITCH($A$2,"average", AVERAGE(Instances!H262:H262),"median", MEDIAN(Instances!H262:H262),"min", MIN(Instances!H262:H262),"max", MAX(Instances!H262:H262),"diff", MAX(Instances!H262:H262)-MIN(Instances!H262:H262))</f>
        <v>1</v>
      </c>
      <c r="I262" s="1" t="n">
        <f aca="false" t="array" ref="I262:I262">_xlfn.SWITCH($A$2,"average", AVERAGE(Instances!I262:I262),"median", MEDIAN(Instances!I262:I262),"min", MIN(Instances!I262:I262),"max", MAX(Instances!I262:I262),"diff", MAX(Instances!I262:I262)-MIN(Instances!I262:I262))</f>
        <v>3.201</v>
      </c>
      <c r="J262" s="1" t="n">
        <f aca="false" t="array" ref="J262:J262">_xlfn.SWITCH($A$2,"average", AVERAGE(Instances!J262:J262),"median", MEDIAN(Instances!J262:J262),"min", MIN(Instances!J262:J262),"max", MAX(Instances!J262:J262),"diff", MAX(Instances!J262:J262)-MIN(Instances!J262:J262))</f>
        <v>3.28</v>
      </c>
      <c r="K262" s="1" t="n">
        <f aca="false" t="array" ref="K262:K262">_xlfn.SWITCH($A$2,"average", AVERAGE(Instances!K262:K262),"median", MEDIAN(Instances!K262:K262),"min", MIN(Instances!K262:K262),"max", MAX(Instances!K262:K262),"diff", MAX(Instances!K262:K262)-MIN(Instances!K262:K262))</f>
        <v>0</v>
      </c>
      <c r="L262" s="1"/>
      <c r="M262" s="1" t="n">
        <f aca="false" t="array" ref="M262:M262">_xlfn.SWITCH($A$2,"average", AVERAGE(Instances!M262:M262),"median", MEDIAN(Instances!M262:M262),"min", MIN(Instances!M262:M262),"max", MAX(Instances!M262:M262),"diff", MAX(Instances!M262:M262)-MIN(Instances!M262:M262))</f>
        <v>715290</v>
      </c>
      <c r="N262" s="1" t="n">
        <f aca="false" t="array" ref="N262:N262">_xlfn.SWITCH($A$2,"average", AVERAGE(Instances!N262:N262),"median", MEDIAN(Instances!N262:N262),"min", MIN(Instances!N262:N262),"max", MAX(Instances!N262:N262),"diff", MAX(Instances!N262:N262)-MIN(Instances!N262:N262))</f>
        <v>0.02</v>
      </c>
      <c r="O262" s="1"/>
      <c r="P262" s="1" t="n">
        <f aca="false" t="array" ref="P262:P262">_xlfn.SWITCH($A$2,"average", AVERAGE(Instances!P262:P262),"median", MEDIAN(Instances!P262:P262),"min", MIN(Instances!P262:P262),"max", MAX(Instances!P262:P262),"diff", MAX(Instances!P262:P262)-MIN(Instances!P262:P262))</f>
        <v>3.28</v>
      </c>
      <c r="Q262" s="1" t="n">
        <f aca="false" t="array" ref="Q262:Q262">_xlfn.SWITCH($A$2,"average", AVERAGE(Instances!Q262:Q262),"median", MEDIAN(Instances!Q262:Q262),"min", MIN(Instances!Q262:Q262),"max", MAX(Instances!Q262:Q262),"diff", MAX(Instances!Q262:Q262)-MIN(Instances!Q262:Q262))</f>
        <v>0</v>
      </c>
      <c r="R262" s="1" t="n">
        <f aca="false" t="array" ref="R262:R262">_xlfn.SWITCH($A$2,"average", AVERAGE(Instances!R262:R262),"median", MEDIAN(Instances!R262:R262),"min", MIN(Instances!R262:R262),"max", MAX(Instances!R262:R262),"diff", MAX(Instances!R262:R262)-MIN(Instances!R262:R262))</f>
        <v>236663</v>
      </c>
      <c r="S262" s="1" t="n">
        <f aca="false">MIN($B262)</f>
        <v>541</v>
      </c>
      <c r="T262" s="1" t="n">
        <f aca="false">MIN($C262)</f>
        <v>1</v>
      </c>
      <c r="U262" s="1" t="n">
        <f aca="false">MIN($D262)</f>
        <v>194533</v>
      </c>
      <c r="V262" s="1" t="n">
        <f aca="false">MIN($E262)</f>
        <v>0</v>
      </c>
      <c r="W262" s="1" t="n">
        <f aca="false">MIN($F262)</f>
        <v>237</v>
      </c>
      <c r="X262" s="1" t="n">
        <f aca="false">MIN($G262)</f>
        <v>0</v>
      </c>
      <c r="Y262" s="1" t="n">
        <f aca="false">MIN($H262)</f>
        <v>1</v>
      </c>
      <c r="Z262" s="1" t="n">
        <f aca="false">MIN($I262)</f>
        <v>3.201</v>
      </c>
      <c r="AA262" s="1" t="n">
        <f aca="false">MIN($J262)</f>
        <v>3.28</v>
      </c>
      <c r="AB262" s="1" t="n">
        <f aca="false">MIN($K262)</f>
        <v>0</v>
      </c>
      <c r="AC262" s="1" t="n">
        <f aca="false">MIN($M262)</f>
        <v>715290</v>
      </c>
      <c r="AD262" s="1" t="n">
        <f aca="false">MIN($N262)</f>
        <v>0.02</v>
      </c>
      <c r="AE262" s="1" t="n">
        <f aca="false">MIN($P262)</f>
        <v>3.28</v>
      </c>
      <c r="AF262" s="1" t="n">
        <f aca="false">MIN($Q262)</f>
        <v>0</v>
      </c>
      <c r="AG262" s="1" t="n">
        <f aca="false">MIN($R262)</f>
        <v>236663</v>
      </c>
      <c r="AH262" s="1" t="n">
        <f aca="false">MEDIAN($B262)</f>
        <v>541</v>
      </c>
      <c r="AI262" s="1" t="n">
        <f aca="false">MEDIAN($C262)</f>
        <v>1</v>
      </c>
      <c r="AJ262" s="1" t="n">
        <f aca="false">MEDIAN($D262)</f>
        <v>194533</v>
      </c>
      <c r="AK262" s="1" t="n">
        <f aca="false">MEDIAN($E262)</f>
        <v>0</v>
      </c>
      <c r="AL262" s="1" t="n">
        <f aca="false">MEDIAN($F262)</f>
        <v>237</v>
      </c>
      <c r="AM262" s="1" t="n">
        <f aca="false">MEDIAN($G262)</f>
        <v>0</v>
      </c>
      <c r="AN262" s="1" t="n">
        <f aca="false">MEDIAN($H262)</f>
        <v>1</v>
      </c>
      <c r="AO262" s="1" t="n">
        <f aca="false">MEDIAN($I262)</f>
        <v>3.201</v>
      </c>
      <c r="AP262" s="1" t="n">
        <f aca="false">MEDIAN($J262)</f>
        <v>3.28</v>
      </c>
      <c r="AQ262" s="1" t="n">
        <f aca="false">MEDIAN($K262)</f>
        <v>0</v>
      </c>
      <c r="AR262" s="1" t="n">
        <f aca="false">MEDIAN($M262)</f>
        <v>715290</v>
      </c>
      <c r="AS262" s="1" t="n">
        <f aca="false">MEDIAN($N262)</f>
        <v>0.02</v>
      </c>
      <c r="AT262" s="1" t="n">
        <f aca="false">MEDIAN($P262)</f>
        <v>3.28</v>
      </c>
      <c r="AU262" s="1" t="n">
        <f aca="false">MEDIAN($Q262)</f>
        <v>0</v>
      </c>
      <c r="AV262" s="1" t="n">
        <f aca="false">MEDIAN($R262)</f>
        <v>236663</v>
      </c>
      <c r="AW262" s="1" t="n">
        <f aca="false">MAX($B262)</f>
        <v>541</v>
      </c>
      <c r="AX262" s="1" t="n">
        <f aca="false">MAX($C262)</f>
        <v>1</v>
      </c>
      <c r="AY262" s="1" t="n">
        <f aca="false">MAX($D262)</f>
        <v>194533</v>
      </c>
      <c r="AZ262" s="1" t="n">
        <f aca="false">MAX($E262)</f>
        <v>0</v>
      </c>
      <c r="BA262" s="1" t="n">
        <f aca="false">MAX($F262)</f>
        <v>237</v>
      </c>
      <c r="BB262" s="1" t="n">
        <f aca="false">MAX($G262)</f>
        <v>0</v>
      </c>
      <c r="BC262" s="1" t="n">
        <f aca="false">MAX($H262)</f>
        <v>1</v>
      </c>
      <c r="BD262" s="1" t="n">
        <f aca="false">MAX($I262)</f>
        <v>3.201</v>
      </c>
      <c r="BE262" s="1" t="n">
        <f aca="false">MAX($J262)</f>
        <v>3.28</v>
      </c>
      <c r="BF262" s="1" t="n">
        <f aca="false">MAX($K262)</f>
        <v>0</v>
      </c>
      <c r="BG262" s="1" t="n">
        <f aca="false">MAX($M262)</f>
        <v>715290</v>
      </c>
      <c r="BH262" s="1" t="n">
        <f aca="false">MAX($N262)</f>
        <v>0.02</v>
      </c>
      <c r="BI262" s="1" t="n">
        <f aca="false">MAX($P262)</f>
        <v>3.28</v>
      </c>
      <c r="BJ262" s="1" t="n">
        <f aca="false">MAX($Q262)</f>
        <v>0</v>
      </c>
      <c r="BK262" s="1" t="n">
        <f aca="false">MAX($R262)</f>
        <v>236663</v>
      </c>
    </row>
    <row r="263" customFormat="false" ht="15" hidden="false" customHeight="false" outlineLevel="0" collapsed="false">
      <c r="A263" s="1" t="s">
        <v>280</v>
      </c>
      <c r="B263" s="1" t="n">
        <f aca="false" t="array" ref="B263:B263">_xlfn.SWITCH($A$2,"average", AVERAGE(Instances!B263:B263),"median", MEDIAN(Instances!B263:B263),"min", MIN(Instances!B263:B263),"max", MAX(Instances!B263:B263),"diff", MAX(Instances!B263:B263)-MIN(Instances!B263:B263))</f>
        <v>452</v>
      </c>
      <c r="C263" s="1" t="n">
        <f aca="false" t="array" ref="C263:C263">_xlfn.SWITCH($A$2,"average", AVERAGE(Instances!C263:C263),"median", MEDIAN(Instances!C263:C263),"min", MIN(Instances!C263:C263),"max", MAX(Instances!C263:C263),"diff", MAX(Instances!C263:C263)-MIN(Instances!C263:C263))</f>
        <v>1</v>
      </c>
      <c r="D263" s="1" t="n">
        <f aca="false" t="array" ref="D263:D263">_xlfn.SWITCH($A$2,"average", AVERAGE(Instances!D263:D263),"median", MEDIAN(Instances!D263:D263),"min", MIN(Instances!D263:D263),"max", MAX(Instances!D263:D263),"diff", MAX(Instances!D263:D263)-MIN(Instances!D263:D263))</f>
        <v>146076</v>
      </c>
      <c r="E263" s="1" t="n">
        <f aca="false" t="array" ref="E263:E263">_xlfn.SWITCH($A$2,"average", AVERAGE(Instances!E263:E263),"median", MEDIAN(Instances!E263:E263),"min", MIN(Instances!E263:E263),"max", MAX(Instances!E263:E263),"diff", MAX(Instances!E263:E263)-MIN(Instances!E263:E263))</f>
        <v>0</v>
      </c>
      <c r="F263" s="1" t="n">
        <f aca="false" t="array" ref="F263:F263">_xlfn.SWITCH($A$2,"average", AVERAGE(Instances!F263:F263),"median", MEDIAN(Instances!F263:F263),"min", MIN(Instances!F263:F263),"max", MAX(Instances!F263:F263),"diff", MAX(Instances!F263:F263)-MIN(Instances!F263:F263))</f>
        <v>220</v>
      </c>
      <c r="G263" s="1" t="n">
        <f aca="false" t="array" ref="G263:G263">_xlfn.SWITCH($A$2,"average", AVERAGE(Instances!G263:G263),"median", MEDIAN(Instances!G263:G263),"min", MIN(Instances!G263:G263),"max", MAX(Instances!G263:G263),"diff", MAX(Instances!G263:G263)-MIN(Instances!G263:G263))</f>
        <v>0</v>
      </c>
      <c r="H263" s="1" t="n">
        <f aca="false" t="array" ref="H263:H263">_xlfn.SWITCH($A$2,"average", AVERAGE(Instances!H263:H263),"median", MEDIAN(Instances!H263:H263),"min", MIN(Instances!H263:H263),"max", MAX(Instances!H263:H263),"diff", MAX(Instances!H263:H263)-MIN(Instances!H263:H263))</f>
        <v>1</v>
      </c>
      <c r="I263" s="1" t="n">
        <f aca="false" t="array" ref="I263:I263">_xlfn.SWITCH($A$2,"average", AVERAGE(Instances!I263:I263),"median", MEDIAN(Instances!I263:I263),"min", MIN(Instances!I263:I263),"max", MAX(Instances!I263:I263),"diff", MAX(Instances!I263:I263)-MIN(Instances!I263:I263))</f>
        <v>2.936</v>
      </c>
      <c r="J263" s="1" t="n">
        <f aca="false" t="array" ref="J263:J263">_xlfn.SWITCH($A$2,"average", AVERAGE(Instances!J263:J263),"median", MEDIAN(Instances!J263:J263),"min", MIN(Instances!J263:J263),"max", MAX(Instances!J263:J263),"diff", MAX(Instances!J263:J263)-MIN(Instances!J263:J263))</f>
        <v>3.01</v>
      </c>
      <c r="K263" s="1" t="n">
        <f aca="false" t="array" ref="K263:K263">_xlfn.SWITCH($A$2,"average", AVERAGE(Instances!K263:K263),"median", MEDIAN(Instances!K263:K263),"min", MIN(Instances!K263:K263),"max", MAX(Instances!K263:K263),"diff", MAX(Instances!K263:K263)-MIN(Instances!K263:K263))</f>
        <v>0</v>
      </c>
      <c r="L263" s="1"/>
      <c r="M263" s="1" t="n">
        <f aca="false" t="array" ref="M263:M263">_xlfn.SWITCH($A$2,"average", AVERAGE(Instances!M263:M263),"median", MEDIAN(Instances!M263:M263),"min", MIN(Instances!M263:M263),"max", MAX(Instances!M263:M263),"diff", MAX(Instances!M263:M263)-MIN(Instances!M263:M263))</f>
        <v>666053</v>
      </c>
      <c r="N263" s="1" t="n">
        <f aca="false" t="array" ref="N263:N263">_xlfn.SWITCH($A$2,"average", AVERAGE(Instances!N263:N263),"median", MEDIAN(Instances!N263:N263),"min", MIN(Instances!N263:N263),"max", MAX(Instances!N263:N263),"diff", MAX(Instances!N263:N263)-MIN(Instances!N263:N263))</f>
        <v>0.02</v>
      </c>
      <c r="O263" s="1"/>
      <c r="P263" s="1" t="n">
        <f aca="false" t="array" ref="P263:P263">_xlfn.SWITCH($A$2,"average", AVERAGE(Instances!P263:P263),"median", MEDIAN(Instances!P263:P263),"min", MIN(Instances!P263:P263),"max", MAX(Instances!P263:P263),"diff", MAX(Instances!P263:P263)-MIN(Instances!P263:P263))</f>
        <v>3.01</v>
      </c>
      <c r="Q263" s="1" t="n">
        <f aca="false" t="array" ref="Q263:Q263">_xlfn.SWITCH($A$2,"average", AVERAGE(Instances!Q263:Q263),"median", MEDIAN(Instances!Q263:Q263),"min", MIN(Instances!Q263:Q263),"max", MAX(Instances!Q263:Q263),"diff", MAX(Instances!Q263:Q263)-MIN(Instances!Q263:Q263))</f>
        <v>0</v>
      </c>
      <c r="R263" s="1" t="n">
        <f aca="false" t="array" ref="R263:R263">_xlfn.SWITCH($A$2,"average", AVERAGE(Instances!R263:R263),"median", MEDIAN(Instances!R263:R263),"min", MIN(Instances!R263:R263),"max", MAX(Instances!R263:R263),"diff", MAX(Instances!R263:R263)-MIN(Instances!R263:R263))</f>
        <v>217400</v>
      </c>
      <c r="S263" s="1" t="n">
        <f aca="false">MIN($B263)</f>
        <v>452</v>
      </c>
      <c r="T263" s="1" t="n">
        <f aca="false">MIN($C263)</f>
        <v>1</v>
      </c>
      <c r="U263" s="1" t="n">
        <f aca="false">MIN($D263)</f>
        <v>146076</v>
      </c>
      <c r="V263" s="1" t="n">
        <f aca="false">MIN($E263)</f>
        <v>0</v>
      </c>
      <c r="W263" s="1" t="n">
        <f aca="false">MIN($F263)</f>
        <v>220</v>
      </c>
      <c r="X263" s="1" t="n">
        <f aca="false">MIN($G263)</f>
        <v>0</v>
      </c>
      <c r="Y263" s="1" t="n">
        <f aca="false">MIN($H263)</f>
        <v>1</v>
      </c>
      <c r="Z263" s="1" t="n">
        <f aca="false">MIN($I263)</f>
        <v>2.936</v>
      </c>
      <c r="AA263" s="1" t="n">
        <f aca="false">MIN($J263)</f>
        <v>3.01</v>
      </c>
      <c r="AB263" s="1" t="n">
        <f aca="false">MIN($K263)</f>
        <v>0</v>
      </c>
      <c r="AC263" s="1" t="n">
        <f aca="false">MIN($M263)</f>
        <v>666053</v>
      </c>
      <c r="AD263" s="1" t="n">
        <f aca="false">MIN($N263)</f>
        <v>0.02</v>
      </c>
      <c r="AE263" s="1" t="n">
        <f aca="false">MIN($P263)</f>
        <v>3.01</v>
      </c>
      <c r="AF263" s="1" t="n">
        <f aca="false">MIN($Q263)</f>
        <v>0</v>
      </c>
      <c r="AG263" s="1" t="n">
        <f aca="false">MIN($R263)</f>
        <v>217400</v>
      </c>
      <c r="AH263" s="1" t="n">
        <f aca="false">MEDIAN($B263)</f>
        <v>452</v>
      </c>
      <c r="AI263" s="1" t="n">
        <f aca="false">MEDIAN($C263)</f>
        <v>1</v>
      </c>
      <c r="AJ263" s="1" t="n">
        <f aca="false">MEDIAN($D263)</f>
        <v>146076</v>
      </c>
      <c r="AK263" s="1" t="n">
        <f aca="false">MEDIAN($E263)</f>
        <v>0</v>
      </c>
      <c r="AL263" s="1" t="n">
        <f aca="false">MEDIAN($F263)</f>
        <v>220</v>
      </c>
      <c r="AM263" s="1" t="n">
        <f aca="false">MEDIAN($G263)</f>
        <v>0</v>
      </c>
      <c r="AN263" s="1" t="n">
        <f aca="false">MEDIAN($H263)</f>
        <v>1</v>
      </c>
      <c r="AO263" s="1" t="n">
        <f aca="false">MEDIAN($I263)</f>
        <v>2.936</v>
      </c>
      <c r="AP263" s="1" t="n">
        <f aca="false">MEDIAN($J263)</f>
        <v>3.01</v>
      </c>
      <c r="AQ263" s="1" t="n">
        <f aca="false">MEDIAN($K263)</f>
        <v>0</v>
      </c>
      <c r="AR263" s="1" t="n">
        <f aca="false">MEDIAN($M263)</f>
        <v>666053</v>
      </c>
      <c r="AS263" s="1" t="n">
        <f aca="false">MEDIAN($N263)</f>
        <v>0.02</v>
      </c>
      <c r="AT263" s="1" t="n">
        <f aca="false">MEDIAN($P263)</f>
        <v>3.01</v>
      </c>
      <c r="AU263" s="1" t="n">
        <f aca="false">MEDIAN($Q263)</f>
        <v>0</v>
      </c>
      <c r="AV263" s="1" t="n">
        <f aca="false">MEDIAN($R263)</f>
        <v>217400</v>
      </c>
      <c r="AW263" s="1" t="n">
        <f aca="false">MAX($B263)</f>
        <v>452</v>
      </c>
      <c r="AX263" s="1" t="n">
        <f aca="false">MAX($C263)</f>
        <v>1</v>
      </c>
      <c r="AY263" s="1" t="n">
        <f aca="false">MAX($D263)</f>
        <v>146076</v>
      </c>
      <c r="AZ263" s="1" t="n">
        <f aca="false">MAX($E263)</f>
        <v>0</v>
      </c>
      <c r="BA263" s="1" t="n">
        <f aca="false">MAX($F263)</f>
        <v>220</v>
      </c>
      <c r="BB263" s="1" t="n">
        <f aca="false">MAX($G263)</f>
        <v>0</v>
      </c>
      <c r="BC263" s="1" t="n">
        <f aca="false">MAX($H263)</f>
        <v>1</v>
      </c>
      <c r="BD263" s="1" t="n">
        <f aca="false">MAX($I263)</f>
        <v>2.936</v>
      </c>
      <c r="BE263" s="1" t="n">
        <f aca="false">MAX($J263)</f>
        <v>3.01</v>
      </c>
      <c r="BF263" s="1" t="n">
        <f aca="false">MAX($K263)</f>
        <v>0</v>
      </c>
      <c r="BG263" s="1" t="n">
        <f aca="false">MAX($M263)</f>
        <v>666053</v>
      </c>
      <c r="BH263" s="1" t="n">
        <f aca="false">MAX($N263)</f>
        <v>0.02</v>
      </c>
      <c r="BI263" s="1" t="n">
        <f aca="false">MAX($P263)</f>
        <v>3.01</v>
      </c>
      <c r="BJ263" s="1" t="n">
        <f aca="false">MAX($Q263)</f>
        <v>0</v>
      </c>
      <c r="BK263" s="1" t="n">
        <f aca="false">MAX($R263)</f>
        <v>217400</v>
      </c>
    </row>
    <row r="264" customFormat="false" ht="15" hidden="false" customHeight="false" outlineLevel="0" collapsed="false">
      <c r="A264" s="1" t="s">
        <v>281</v>
      </c>
      <c r="B264" s="1" t="n">
        <f aca="false" t="array" ref="B264:B264">_xlfn.SWITCH($A$2,"average", AVERAGE(Instances!B264:B264),"median", MEDIAN(Instances!B264:B264),"min", MIN(Instances!B264:B264),"max", MAX(Instances!B264:B264),"diff", MAX(Instances!B264:B264)-MIN(Instances!B264:B264))</f>
        <v>509</v>
      </c>
      <c r="C264" s="1" t="n">
        <f aca="false" t="array" ref="C264:C264">_xlfn.SWITCH($A$2,"average", AVERAGE(Instances!C264:C264),"median", MEDIAN(Instances!C264:C264),"min", MIN(Instances!C264:C264),"max", MAX(Instances!C264:C264),"diff", MAX(Instances!C264:C264)-MIN(Instances!C264:C264))</f>
        <v>1</v>
      </c>
      <c r="D264" s="1" t="n">
        <f aca="false" t="array" ref="D264:D264">_xlfn.SWITCH($A$2,"average", AVERAGE(Instances!D264:D264),"median", MEDIAN(Instances!D264:D264),"min", MIN(Instances!D264:D264),"max", MAX(Instances!D264:D264),"diff", MAX(Instances!D264:D264)-MIN(Instances!D264:D264))</f>
        <v>163877</v>
      </c>
      <c r="E264" s="1" t="n">
        <f aca="false" t="array" ref="E264:E264">_xlfn.SWITCH($A$2,"average", AVERAGE(Instances!E264:E264),"median", MEDIAN(Instances!E264:E264),"min", MIN(Instances!E264:E264),"max", MAX(Instances!E264:E264),"diff", MAX(Instances!E264:E264)-MIN(Instances!E264:E264))</f>
        <v>0</v>
      </c>
      <c r="F264" s="1" t="n">
        <f aca="false" t="array" ref="F264:F264">_xlfn.SWITCH($A$2,"average", AVERAGE(Instances!F264:F264),"median", MEDIAN(Instances!F264:F264),"min", MIN(Instances!F264:F264),"max", MAX(Instances!F264:F264),"diff", MAX(Instances!F264:F264)-MIN(Instances!F264:F264))</f>
        <v>204</v>
      </c>
      <c r="G264" s="1" t="n">
        <f aca="false" t="array" ref="G264:G264">_xlfn.SWITCH($A$2,"average", AVERAGE(Instances!G264:G264),"median", MEDIAN(Instances!G264:G264),"min", MIN(Instances!G264:G264),"max", MAX(Instances!G264:G264),"diff", MAX(Instances!G264:G264)-MIN(Instances!G264:G264))</f>
        <v>0</v>
      </c>
      <c r="H264" s="1" t="n">
        <f aca="false" t="array" ref="H264:H264">_xlfn.SWITCH($A$2,"average", AVERAGE(Instances!H264:H264),"median", MEDIAN(Instances!H264:H264),"min", MIN(Instances!H264:H264),"max", MAX(Instances!H264:H264),"diff", MAX(Instances!H264:H264)-MIN(Instances!H264:H264))</f>
        <v>1</v>
      </c>
      <c r="I264" s="1" t="n">
        <f aca="false" t="array" ref="I264:I264">_xlfn.SWITCH($A$2,"average", AVERAGE(Instances!I264:I264),"median", MEDIAN(Instances!I264:I264),"min", MIN(Instances!I264:I264),"max", MAX(Instances!I264:I264),"diff", MAX(Instances!I264:I264)-MIN(Instances!I264:I264))</f>
        <v>2.819</v>
      </c>
      <c r="J264" s="1" t="n">
        <f aca="false" t="array" ref="J264:J264">_xlfn.SWITCH($A$2,"average", AVERAGE(Instances!J264:J264),"median", MEDIAN(Instances!J264:J264),"min", MIN(Instances!J264:J264),"max", MAX(Instances!J264:J264),"diff", MAX(Instances!J264:J264)-MIN(Instances!J264:J264))</f>
        <v>2.89</v>
      </c>
      <c r="K264" s="1" t="n">
        <f aca="false" t="array" ref="K264:K264">_xlfn.SWITCH($A$2,"average", AVERAGE(Instances!K264:K264),"median", MEDIAN(Instances!K264:K264),"min", MIN(Instances!K264:K264),"max", MAX(Instances!K264:K264),"diff", MAX(Instances!K264:K264)-MIN(Instances!K264:K264))</f>
        <v>0</v>
      </c>
      <c r="L264" s="1"/>
      <c r="M264" s="1" t="n">
        <f aca="false" t="array" ref="M264:M264">_xlfn.SWITCH($A$2,"average", AVERAGE(Instances!M264:M264),"median", MEDIAN(Instances!M264:M264),"min", MIN(Instances!M264:M264),"max", MAX(Instances!M264:M264),"diff", MAX(Instances!M264:M264)-MIN(Instances!M264:M264))</f>
        <v>626830</v>
      </c>
      <c r="N264" s="1" t="n">
        <f aca="false" t="array" ref="N264:N264">_xlfn.SWITCH($A$2,"average", AVERAGE(Instances!N264:N264),"median", MEDIAN(Instances!N264:N264),"min", MIN(Instances!N264:N264),"max", MAX(Instances!N264:N264),"diff", MAX(Instances!N264:N264)-MIN(Instances!N264:N264))</f>
        <v>0.02</v>
      </c>
      <c r="O264" s="1"/>
      <c r="P264" s="1" t="n">
        <f aca="false" t="array" ref="P264:P264">_xlfn.SWITCH($A$2,"average", AVERAGE(Instances!P264:P264),"median", MEDIAN(Instances!P264:P264),"min", MIN(Instances!P264:P264),"max", MAX(Instances!P264:P264),"diff", MAX(Instances!P264:P264)-MIN(Instances!P264:P264))</f>
        <v>2.89</v>
      </c>
      <c r="Q264" s="1" t="n">
        <f aca="false" t="array" ref="Q264:Q264">_xlfn.SWITCH($A$2,"average", AVERAGE(Instances!Q264:Q264),"median", MEDIAN(Instances!Q264:Q264),"min", MIN(Instances!Q264:Q264),"max", MAX(Instances!Q264:Q264),"diff", MAX(Instances!Q264:Q264)-MIN(Instances!Q264:Q264))</f>
        <v>0</v>
      </c>
      <c r="R264" s="1" t="n">
        <f aca="false" t="array" ref="R264:R264">_xlfn.SWITCH($A$2,"average", AVERAGE(Instances!R264:R264),"median", MEDIAN(Instances!R264:R264),"min", MIN(Instances!R264:R264),"max", MAX(Instances!R264:R264),"diff", MAX(Instances!R264:R264)-MIN(Instances!R264:R264))</f>
        <v>205362</v>
      </c>
      <c r="S264" s="1" t="n">
        <f aca="false">MIN($B264)</f>
        <v>509</v>
      </c>
      <c r="T264" s="1" t="n">
        <f aca="false">MIN($C264)</f>
        <v>1</v>
      </c>
      <c r="U264" s="1" t="n">
        <f aca="false">MIN($D264)</f>
        <v>163877</v>
      </c>
      <c r="V264" s="1" t="n">
        <f aca="false">MIN($E264)</f>
        <v>0</v>
      </c>
      <c r="W264" s="1" t="n">
        <f aca="false">MIN($F264)</f>
        <v>204</v>
      </c>
      <c r="X264" s="1" t="n">
        <f aca="false">MIN($G264)</f>
        <v>0</v>
      </c>
      <c r="Y264" s="1" t="n">
        <f aca="false">MIN($H264)</f>
        <v>1</v>
      </c>
      <c r="Z264" s="1" t="n">
        <f aca="false">MIN($I264)</f>
        <v>2.819</v>
      </c>
      <c r="AA264" s="1" t="n">
        <f aca="false">MIN($J264)</f>
        <v>2.89</v>
      </c>
      <c r="AB264" s="1" t="n">
        <f aca="false">MIN($K264)</f>
        <v>0</v>
      </c>
      <c r="AC264" s="1" t="n">
        <f aca="false">MIN($M264)</f>
        <v>626830</v>
      </c>
      <c r="AD264" s="1" t="n">
        <f aca="false">MIN($N264)</f>
        <v>0.02</v>
      </c>
      <c r="AE264" s="1" t="n">
        <f aca="false">MIN($P264)</f>
        <v>2.89</v>
      </c>
      <c r="AF264" s="1" t="n">
        <f aca="false">MIN($Q264)</f>
        <v>0</v>
      </c>
      <c r="AG264" s="1" t="n">
        <f aca="false">MIN($R264)</f>
        <v>205362</v>
      </c>
      <c r="AH264" s="1" t="n">
        <f aca="false">MEDIAN($B264)</f>
        <v>509</v>
      </c>
      <c r="AI264" s="1" t="n">
        <f aca="false">MEDIAN($C264)</f>
        <v>1</v>
      </c>
      <c r="AJ264" s="1" t="n">
        <f aca="false">MEDIAN($D264)</f>
        <v>163877</v>
      </c>
      <c r="AK264" s="1" t="n">
        <f aca="false">MEDIAN($E264)</f>
        <v>0</v>
      </c>
      <c r="AL264" s="1" t="n">
        <f aca="false">MEDIAN($F264)</f>
        <v>204</v>
      </c>
      <c r="AM264" s="1" t="n">
        <f aca="false">MEDIAN($G264)</f>
        <v>0</v>
      </c>
      <c r="AN264" s="1" t="n">
        <f aca="false">MEDIAN($H264)</f>
        <v>1</v>
      </c>
      <c r="AO264" s="1" t="n">
        <f aca="false">MEDIAN($I264)</f>
        <v>2.819</v>
      </c>
      <c r="AP264" s="1" t="n">
        <f aca="false">MEDIAN($J264)</f>
        <v>2.89</v>
      </c>
      <c r="AQ264" s="1" t="n">
        <f aca="false">MEDIAN($K264)</f>
        <v>0</v>
      </c>
      <c r="AR264" s="1" t="n">
        <f aca="false">MEDIAN($M264)</f>
        <v>626830</v>
      </c>
      <c r="AS264" s="1" t="n">
        <f aca="false">MEDIAN($N264)</f>
        <v>0.02</v>
      </c>
      <c r="AT264" s="1" t="n">
        <f aca="false">MEDIAN($P264)</f>
        <v>2.89</v>
      </c>
      <c r="AU264" s="1" t="n">
        <f aca="false">MEDIAN($Q264)</f>
        <v>0</v>
      </c>
      <c r="AV264" s="1" t="n">
        <f aca="false">MEDIAN($R264)</f>
        <v>205362</v>
      </c>
      <c r="AW264" s="1" t="n">
        <f aca="false">MAX($B264)</f>
        <v>509</v>
      </c>
      <c r="AX264" s="1" t="n">
        <f aca="false">MAX($C264)</f>
        <v>1</v>
      </c>
      <c r="AY264" s="1" t="n">
        <f aca="false">MAX($D264)</f>
        <v>163877</v>
      </c>
      <c r="AZ264" s="1" t="n">
        <f aca="false">MAX($E264)</f>
        <v>0</v>
      </c>
      <c r="BA264" s="1" t="n">
        <f aca="false">MAX($F264)</f>
        <v>204</v>
      </c>
      <c r="BB264" s="1" t="n">
        <f aca="false">MAX($G264)</f>
        <v>0</v>
      </c>
      <c r="BC264" s="1" t="n">
        <f aca="false">MAX($H264)</f>
        <v>1</v>
      </c>
      <c r="BD264" s="1" t="n">
        <f aca="false">MAX($I264)</f>
        <v>2.819</v>
      </c>
      <c r="BE264" s="1" t="n">
        <f aca="false">MAX($J264)</f>
        <v>2.89</v>
      </c>
      <c r="BF264" s="1" t="n">
        <f aca="false">MAX($K264)</f>
        <v>0</v>
      </c>
      <c r="BG264" s="1" t="n">
        <f aca="false">MAX($M264)</f>
        <v>626830</v>
      </c>
      <c r="BH264" s="1" t="n">
        <f aca="false">MAX($N264)</f>
        <v>0.02</v>
      </c>
      <c r="BI264" s="1" t="n">
        <f aca="false">MAX($P264)</f>
        <v>2.89</v>
      </c>
      <c r="BJ264" s="1" t="n">
        <f aca="false">MAX($Q264)</f>
        <v>0</v>
      </c>
      <c r="BK264" s="1" t="n">
        <f aca="false">MAX($R264)</f>
        <v>205362</v>
      </c>
    </row>
    <row r="265" customFormat="false" ht="15" hidden="false" customHeight="false" outlineLevel="0" collapsed="false">
      <c r="A265" s="1" t="s">
        <v>282</v>
      </c>
      <c r="B265" s="1" t="n">
        <f aca="false" t="array" ref="B265:B265">_xlfn.SWITCH($A$2,"average", AVERAGE(Instances!B265:B265),"median", MEDIAN(Instances!B265:B265),"min", MIN(Instances!B265:B265),"max", MAX(Instances!B265:B265),"diff", MAX(Instances!B265:B265)-MIN(Instances!B265:B265))</f>
        <v>659</v>
      </c>
      <c r="C265" s="1" t="n">
        <f aca="false" t="array" ref="C265:C265">_xlfn.SWITCH($A$2,"average", AVERAGE(Instances!C265:C265),"median", MEDIAN(Instances!C265:C265),"min", MIN(Instances!C265:C265),"max", MAX(Instances!C265:C265),"diff", MAX(Instances!C265:C265)-MIN(Instances!C265:C265))</f>
        <v>1</v>
      </c>
      <c r="D265" s="1" t="n">
        <f aca="false" t="array" ref="D265:D265">_xlfn.SWITCH($A$2,"average", AVERAGE(Instances!D265:D265),"median", MEDIAN(Instances!D265:D265),"min", MIN(Instances!D265:D265),"max", MAX(Instances!D265:D265),"diff", MAX(Instances!D265:D265)-MIN(Instances!D265:D265))</f>
        <v>242116</v>
      </c>
      <c r="E265" s="1" t="n">
        <f aca="false" t="array" ref="E265:E265">_xlfn.SWITCH($A$2,"average", AVERAGE(Instances!E265:E265),"median", MEDIAN(Instances!E265:E265),"min", MIN(Instances!E265:E265),"max", MAX(Instances!E265:E265),"diff", MAX(Instances!E265:E265)-MIN(Instances!E265:E265))</f>
        <v>0</v>
      </c>
      <c r="F265" s="1" t="n">
        <f aca="false" t="array" ref="F265:F265">_xlfn.SWITCH($A$2,"average", AVERAGE(Instances!F265:F265),"median", MEDIAN(Instances!F265:F265),"min", MIN(Instances!F265:F265),"max", MAX(Instances!F265:F265),"diff", MAX(Instances!F265:F265)-MIN(Instances!F265:F265))</f>
        <v>237</v>
      </c>
      <c r="G265" s="1" t="n">
        <f aca="false" t="array" ref="G265:G265">_xlfn.SWITCH($A$2,"average", AVERAGE(Instances!G265:G265),"median", MEDIAN(Instances!G265:G265),"min", MIN(Instances!G265:G265),"max", MAX(Instances!G265:G265),"diff", MAX(Instances!G265:G265)-MIN(Instances!G265:G265))</f>
        <v>0</v>
      </c>
      <c r="H265" s="1" t="n">
        <f aca="false" t="array" ref="H265:H265">_xlfn.SWITCH($A$2,"average", AVERAGE(Instances!H265:H265),"median", MEDIAN(Instances!H265:H265),"min", MIN(Instances!H265:H265),"max", MAX(Instances!H265:H265),"diff", MAX(Instances!H265:H265)-MIN(Instances!H265:H265))</f>
        <v>1</v>
      </c>
      <c r="I265" s="1" t="n">
        <f aca="false" t="array" ref="I265:I265">_xlfn.SWITCH($A$2,"average", AVERAGE(Instances!I265:I265),"median", MEDIAN(Instances!I265:I265),"min", MIN(Instances!I265:I265),"max", MAX(Instances!I265:I265),"diff", MAX(Instances!I265:I265)-MIN(Instances!I265:I265))</f>
        <v>3.191</v>
      </c>
      <c r="J265" s="1" t="n">
        <f aca="false" t="array" ref="J265:J265">_xlfn.SWITCH($A$2,"average", AVERAGE(Instances!J265:J265),"median", MEDIAN(Instances!J265:J265),"min", MIN(Instances!J265:J265),"max", MAX(Instances!J265:J265),"diff", MAX(Instances!J265:J265)-MIN(Instances!J265:J265))</f>
        <v>3.28</v>
      </c>
      <c r="K265" s="1" t="n">
        <f aca="false" t="array" ref="K265:K265">_xlfn.SWITCH($A$2,"average", AVERAGE(Instances!K265:K265),"median", MEDIAN(Instances!K265:K265),"min", MIN(Instances!K265:K265),"max", MAX(Instances!K265:K265),"diff", MAX(Instances!K265:K265)-MIN(Instances!K265:K265))</f>
        <v>0</v>
      </c>
      <c r="L265" s="1"/>
      <c r="M265" s="1" t="n">
        <f aca="false" t="array" ref="M265:M265">_xlfn.SWITCH($A$2,"average", AVERAGE(Instances!M265:M265),"median", MEDIAN(Instances!M265:M265),"min", MIN(Instances!M265:M265),"max", MAX(Instances!M265:M265),"diff", MAX(Instances!M265:M265)-MIN(Instances!M265:M265))</f>
        <v>720666</v>
      </c>
      <c r="N265" s="1" t="n">
        <f aca="false" t="array" ref="N265:N265">_xlfn.SWITCH($A$2,"average", AVERAGE(Instances!N265:N265),"median", MEDIAN(Instances!N265:N265),"min", MIN(Instances!N265:N265),"max", MAX(Instances!N265:N265),"diff", MAX(Instances!N265:N265)-MIN(Instances!N265:N265))</f>
        <v>0.02</v>
      </c>
      <c r="O265" s="1"/>
      <c r="P265" s="1" t="n">
        <f aca="false" t="array" ref="P265:P265">_xlfn.SWITCH($A$2,"average", AVERAGE(Instances!P265:P265),"median", MEDIAN(Instances!P265:P265),"min", MIN(Instances!P265:P265),"max", MAX(Instances!P265:P265),"diff", MAX(Instances!P265:P265)-MIN(Instances!P265:P265))</f>
        <v>3.28</v>
      </c>
      <c r="Q265" s="1" t="n">
        <f aca="false" t="array" ref="Q265:Q265">_xlfn.SWITCH($A$2,"average", AVERAGE(Instances!Q265:Q265),"median", MEDIAN(Instances!Q265:Q265),"min", MIN(Instances!Q265:Q265),"max", MAX(Instances!Q265:Q265),"diff", MAX(Instances!Q265:Q265)-MIN(Instances!Q265:Q265))</f>
        <v>0</v>
      </c>
      <c r="R265" s="1" t="n">
        <f aca="false" t="array" ref="R265:R265">_xlfn.SWITCH($A$2,"average", AVERAGE(Instances!R265:R265),"median", MEDIAN(Instances!R265:R265),"min", MIN(Instances!R265:R265),"max", MAX(Instances!R265:R265),"diff", MAX(Instances!R265:R265)-MIN(Instances!R265:R265))</f>
        <v>238148</v>
      </c>
      <c r="S265" s="1" t="n">
        <f aca="false">MIN($B265)</f>
        <v>659</v>
      </c>
      <c r="T265" s="1" t="n">
        <f aca="false">MIN($C265)</f>
        <v>1</v>
      </c>
      <c r="U265" s="1" t="n">
        <f aca="false">MIN($D265)</f>
        <v>242116</v>
      </c>
      <c r="V265" s="1" t="n">
        <f aca="false">MIN($E265)</f>
        <v>0</v>
      </c>
      <c r="W265" s="1" t="n">
        <f aca="false">MIN($F265)</f>
        <v>237</v>
      </c>
      <c r="X265" s="1" t="n">
        <f aca="false">MIN($G265)</f>
        <v>0</v>
      </c>
      <c r="Y265" s="1" t="n">
        <f aca="false">MIN($H265)</f>
        <v>1</v>
      </c>
      <c r="Z265" s="1" t="n">
        <f aca="false">MIN($I265)</f>
        <v>3.191</v>
      </c>
      <c r="AA265" s="1" t="n">
        <f aca="false">MIN($J265)</f>
        <v>3.28</v>
      </c>
      <c r="AB265" s="1" t="n">
        <f aca="false">MIN($K265)</f>
        <v>0</v>
      </c>
      <c r="AC265" s="1" t="n">
        <f aca="false">MIN($M265)</f>
        <v>720666</v>
      </c>
      <c r="AD265" s="1" t="n">
        <f aca="false">MIN($N265)</f>
        <v>0.02</v>
      </c>
      <c r="AE265" s="1" t="n">
        <f aca="false">MIN($P265)</f>
        <v>3.28</v>
      </c>
      <c r="AF265" s="1" t="n">
        <f aca="false">MIN($Q265)</f>
        <v>0</v>
      </c>
      <c r="AG265" s="1" t="n">
        <f aca="false">MIN($R265)</f>
        <v>238148</v>
      </c>
      <c r="AH265" s="1" t="n">
        <f aca="false">MEDIAN($B265)</f>
        <v>659</v>
      </c>
      <c r="AI265" s="1" t="n">
        <f aca="false">MEDIAN($C265)</f>
        <v>1</v>
      </c>
      <c r="AJ265" s="1" t="n">
        <f aca="false">MEDIAN($D265)</f>
        <v>242116</v>
      </c>
      <c r="AK265" s="1" t="n">
        <f aca="false">MEDIAN($E265)</f>
        <v>0</v>
      </c>
      <c r="AL265" s="1" t="n">
        <f aca="false">MEDIAN($F265)</f>
        <v>237</v>
      </c>
      <c r="AM265" s="1" t="n">
        <f aca="false">MEDIAN($G265)</f>
        <v>0</v>
      </c>
      <c r="AN265" s="1" t="n">
        <f aca="false">MEDIAN($H265)</f>
        <v>1</v>
      </c>
      <c r="AO265" s="1" t="n">
        <f aca="false">MEDIAN($I265)</f>
        <v>3.191</v>
      </c>
      <c r="AP265" s="1" t="n">
        <f aca="false">MEDIAN($J265)</f>
        <v>3.28</v>
      </c>
      <c r="AQ265" s="1" t="n">
        <f aca="false">MEDIAN($K265)</f>
        <v>0</v>
      </c>
      <c r="AR265" s="1" t="n">
        <f aca="false">MEDIAN($M265)</f>
        <v>720666</v>
      </c>
      <c r="AS265" s="1" t="n">
        <f aca="false">MEDIAN($N265)</f>
        <v>0.02</v>
      </c>
      <c r="AT265" s="1" t="n">
        <f aca="false">MEDIAN($P265)</f>
        <v>3.28</v>
      </c>
      <c r="AU265" s="1" t="n">
        <f aca="false">MEDIAN($Q265)</f>
        <v>0</v>
      </c>
      <c r="AV265" s="1" t="n">
        <f aca="false">MEDIAN($R265)</f>
        <v>238148</v>
      </c>
      <c r="AW265" s="1" t="n">
        <f aca="false">MAX($B265)</f>
        <v>659</v>
      </c>
      <c r="AX265" s="1" t="n">
        <f aca="false">MAX($C265)</f>
        <v>1</v>
      </c>
      <c r="AY265" s="1" t="n">
        <f aca="false">MAX($D265)</f>
        <v>242116</v>
      </c>
      <c r="AZ265" s="1" t="n">
        <f aca="false">MAX($E265)</f>
        <v>0</v>
      </c>
      <c r="BA265" s="1" t="n">
        <f aca="false">MAX($F265)</f>
        <v>237</v>
      </c>
      <c r="BB265" s="1" t="n">
        <f aca="false">MAX($G265)</f>
        <v>0</v>
      </c>
      <c r="BC265" s="1" t="n">
        <f aca="false">MAX($H265)</f>
        <v>1</v>
      </c>
      <c r="BD265" s="1" t="n">
        <f aca="false">MAX($I265)</f>
        <v>3.191</v>
      </c>
      <c r="BE265" s="1" t="n">
        <f aca="false">MAX($J265)</f>
        <v>3.28</v>
      </c>
      <c r="BF265" s="1" t="n">
        <f aca="false">MAX($K265)</f>
        <v>0</v>
      </c>
      <c r="BG265" s="1" t="n">
        <f aca="false">MAX($M265)</f>
        <v>720666</v>
      </c>
      <c r="BH265" s="1" t="n">
        <f aca="false">MAX($N265)</f>
        <v>0.02</v>
      </c>
      <c r="BI265" s="1" t="n">
        <f aca="false">MAX($P265)</f>
        <v>3.28</v>
      </c>
      <c r="BJ265" s="1" t="n">
        <f aca="false">MAX($Q265)</f>
        <v>0</v>
      </c>
      <c r="BK265" s="1" t="n">
        <f aca="false">MAX($R265)</f>
        <v>238148</v>
      </c>
    </row>
    <row r="266" customFormat="false" ht="15" hidden="false" customHeight="false" outlineLevel="0" collapsed="false">
      <c r="A266" s="1" t="s">
        <v>283</v>
      </c>
      <c r="B266" s="1" t="n">
        <f aca="false" t="array" ref="B266:B266">_xlfn.SWITCH($A$2,"average", AVERAGE(Instances!B266:B266),"median", MEDIAN(Instances!B266:B266),"min", MIN(Instances!B266:B266),"max", MAX(Instances!B266:B266),"diff", MAX(Instances!B266:B266)-MIN(Instances!B266:B266))</f>
        <v>560</v>
      </c>
      <c r="C266" s="1" t="n">
        <f aca="false" t="array" ref="C266:C266">_xlfn.SWITCH($A$2,"average", AVERAGE(Instances!C266:C266),"median", MEDIAN(Instances!C266:C266),"min", MIN(Instances!C266:C266),"max", MAX(Instances!C266:C266),"diff", MAX(Instances!C266:C266)-MIN(Instances!C266:C266))</f>
        <v>2</v>
      </c>
      <c r="D266" s="1" t="n">
        <f aca="false" t="array" ref="D266:D266">_xlfn.SWITCH($A$2,"average", AVERAGE(Instances!D266:D266),"median", MEDIAN(Instances!D266:D266),"min", MIN(Instances!D266:D266),"max", MAX(Instances!D266:D266),"diff", MAX(Instances!D266:D266)-MIN(Instances!D266:D266))</f>
        <v>214249</v>
      </c>
      <c r="E266" s="1" t="n">
        <f aca="false" t="array" ref="E266:E266">_xlfn.SWITCH($A$2,"average", AVERAGE(Instances!E266:E266),"median", MEDIAN(Instances!E266:E266),"min", MIN(Instances!E266:E266),"max", MAX(Instances!E266:E266),"diff", MAX(Instances!E266:E266)-MIN(Instances!E266:E266))</f>
        <v>0</v>
      </c>
      <c r="F266" s="1" t="n">
        <f aca="false" t="array" ref="F266:F266">_xlfn.SWITCH($A$2,"average", AVERAGE(Instances!F266:F266),"median", MEDIAN(Instances!F266:F266),"min", MIN(Instances!F266:F266),"max", MAX(Instances!F266:F266),"diff", MAX(Instances!F266:F266)-MIN(Instances!F266:F266))</f>
        <v>226</v>
      </c>
      <c r="G266" s="1" t="n">
        <f aca="false" t="array" ref="G266:G266">_xlfn.SWITCH($A$2,"average", AVERAGE(Instances!G266:G266),"median", MEDIAN(Instances!G266:G266),"min", MIN(Instances!G266:G266),"max", MAX(Instances!G266:G266),"diff", MAX(Instances!G266:G266)-MIN(Instances!G266:G266))</f>
        <v>0</v>
      </c>
      <c r="H266" s="1" t="n">
        <f aca="false" t="array" ref="H266:H266">_xlfn.SWITCH($A$2,"average", AVERAGE(Instances!H266:H266),"median", MEDIAN(Instances!H266:H266),"min", MIN(Instances!H266:H266),"max", MAX(Instances!H266:H266),"diff", MAX(Instances!H266:H266)-MIN(Instances!H266:H266))</f>
        <v>1</v>
      </c>
      <c r="I266" s="1" t="n">
        <f aca="false" t="array" ref="I266:I266">_xlfn.SWITCH($A$2,"average", AVERAGE(Instances!I266:I266),"median", MEDIAN(Instances!I266:I266),"min", MIN(Instances!I266:I266),"max", MAX(Instances!I266:I266),"diff", MAX(Instances!I266:I266)-MIN(Instances!I266:I266))</f>
        <v>3.001</v>
      </c>
      <c r="J266" s="1" t="n">
        <f aca="false" t="array" ref="J266:J266">_xlfn.SWITCH($A$2,"average", AVERAGE(Instances!J266:J266),"median", MEDIAN(Instances!J266:J266),"min", MIN(Instances!J266:J266),"max", MAX(Instances!J266:J266),"diff", MAX(Instances!J266:J266)-MIN(Instances!J266:J266))</f>
        <v>3.08</v>
      </c>
      <c r="K266" s="1" t="n">
        <f aca="false" t="array" ref="K266:K266">_xlfn.SWITCH($A$2,"average", AVERAGE(Instances!K266:K266),"median", MEDIAN(Instances!K266:K266),"min", MIN(Instances!K266:K266),"max", MAX(Instances!K266:K266),"diff", MAX(Instances!K266:K266)-MIN(Instances!K266:K266))</f>
        <v>0</v>
      </c>
      <c r="L266" s="1"/>
      <c r="M266" s="1" t="n">
        <f aca="false" t="array" ref="M266:M266">_xlfn.SWITCH($A$2,"average", AVERAGE(Instances!M266:M266),"median", MEDIAN(Instances!M266:M266),"min", MIN(Instances!M266:M266),"max", MAX(Instances!M266:M266),"diff", MAX(Instances!M266:M266)-MIN(Instances!M266:M266))</f>
        <v>677935</v>
      </c>
      <c r="N266" s="1" t="n">
        <f aca="false" t="array" ref="N266:N266">_xlfn.SWITCH($A$2,"average", AVERAGE(Instances!N266:N266),"median", MEDIAN(Instances!N266:N266),"min", MIN(Instances!N266:N266),"max", MAX(Instances!N266:N266),"diff", MAX(Instances!N266:N266)-MIN(Instances!N266:N266))</f>
        <v>0.02</v>
      </c>
      <c r="O266" s="1"/>
      <c r="P266" s="1" t="n">
        <f aca="false" t="array" ref="P266:P266">_xlfn.SWITCH($A$2,"average", AVERAGE(Instances!P266:P266),"median", MEDIAN(Instances!P266:P266),"min", MIN(Instances!P266:P266),"max", MAX(Instances!P266:P266),"diff", MAX(Instances!P266:P266)-MIN(Instances!P266:P266))</f>
        <v>3.08</v>
      </c>
      <c r="Q266" s="1" t="n">
        <f aca="false" t="array" ref="Q266:Q266">_xlfn.SWITCH($A$2,"average", AVERAGE(Instances!Q266:Q266),"median", MEDIAN(Instances!Q266:Q266),"min", MIN(Instances!Q266:Q266),"max", MAX(Instances!Q266:Q266),"diff", MAX(Instances!Q266:Q266)-MIN(Instances!Q266:Q266))</f>
        <v>0</v>
      </c>
      <c r="R266" s="1" t="n">
        <f aca="false" t="array" ref="R266:R266">_xlfn.SWITCH($A$2,"average", AVERAGE(Instances!R266:R266),"median", MEDIAN(Instances!R266:R266),"min", MIN(Instances!R266:R266),"max", MAX(Instances!R266:R266),"diff", MAX(Instances!R266:R266)-MIN(Instances!R266:R266))</f>
        <v>223937</v>
      </c>
      <c r="S266" s="1" t="n">
        <f aca="false">MIN($B266)</f>
        <v>560</v>
      </c>
      <c r="T266" s="1" t="n">
        <f aca="false">MIN($C266)</f>
        <v>2</v>
      </c>
      <c r="U266" s="1" t="n">
        <f aca="false">MIN($D266)</f>
        <v>214249</v>
      </c>
      <c r="V266" s="1" t="n">
        <f aca="false">MIN($E266)</f>
        <v>0</v>
      </c>
      <c r="W266" s="1" t="n">
        <f aca="false">MIN($F266)</f>
        <v>226</v>
      </c>
      <c r="X266" s="1" t="n">
        <f aca="false">MIN($G266)</f>
        <v>0</v>
      </c>
      <c r="Y266" s="1" t="n">
        <f aca="false">MIN($H266)</f>
        <v>1</v>
      </c>
      <c r="Z266" s="1" t="n">
        <f aca="false">MIN($I266)</f>
        <v>3.001</v>
      </c>
      <c r="AA266" s="1" t="n">
        <f aca="false">MIN($J266)</f>
        <v>3.08</v>
      </c>
      <c r="AB266" s="1" t="n">
        <f aca="false">MIN($K266)</f>
        <v>0</v>
      </c>
      <c r="AC266" s="1" t="n">
        <f aca="false">MIN($M266)</f>
        <v>677935</v>
      </c>
      <c r="AD266" s="1" t="n">
        <f aca="false">MIN($N266)</f>
        <v>0.02</v>
      </c>
      <c r="AE266" s="1" t="n">
        <f aca="false">MIN($P266)</f>
        <v>3.08</v>
      </c>
      <c r="AF266" s="1" t="n">
        <f aca="false">MIN($Q266)</f>
        <v>0</v>
      </c>
      <c r="AG266" s="1" t="n">
        <f aca="false">MIN($R266)</f>
        <v>223937</v>
      </c>
      <c r="AH266" s="1" t="n">
        <f aca="false">MEDIAN($B266)</f>
        <v>560</v>
      </c>
      <c r="AI266" s="1" t="n">
        <f aca="false">MEDIAN($C266)</f>
        <v>2</v>
      </c>
      <c r="AJ266" s="1" t="n">
        <f aca="false">MEDIAN($D266)</f>
        <v>214249</v>
      </c>
      <c r="AK266" s="1" t="n">
        <f aca="false">MEDIAN($E266)</f>
        <v>0</v>
      </c>
      <c r="AL266" s="1" t="n">
        <f aca="false">MEDIAN($F266)</f>
        <v>226</v>
      </c>
      <c r="AM266" s="1" t="n">
        <f aca="false">MEDIAN($G266)</f>
        <v>0</v>
      </c>
      <c r="AN266" s="1" t="n">
        <f aca="false">MEDIAN($H266)</f>
        <v>1</v>
      </c>
      <c r="AO266" s="1" t="n">
        <f aca="false">MEDIAN($I266)</f>
        <v>3.001</v>
      </c>
      <c r="AP266" s="1" t="n">
        <f aca="false">MEDIAN($J266)</f>
        <v>3.08</v>
      </c>
      <c r="AQ266" s="1" t="n">
        <f aca="false">MEDIAN($K266)</f>
        <v>0</v>
      </c>
      <c r="AR266" s="1" t="n">
        <f aca="false">MEDIAN($M266)</f>
        <v>677935</v>
      </c>
      <c r="AS266" s="1" t="n">
        <f aca="false">MEDIAN($N266)</f>
        <v>0.02</v>
      </c>
      <c r="AT266" s="1" t="n">
        <f aca="false">MEDIAN($P266)</f>
        <v>3.08</v>
      </c>
      <c r="AU266" s="1" t="n">
        <f aca="false">MEDIAN($Q266)</f>
        <v>0</v>
      </c>
      <c r="AV266" s="1" t="n">
        <f aca="false">MEDIAN($R266)</f>
        <v>223937</v>
      </c>
      <c r="AW266" s="1" t="n">
        <f aca="false">MAX($B266)</f>
        <v>560</v>
      </c>
      <c r="AX266" s="1" t="n">
        <f aca="false">MAX($C266)</f>
        <v>2</v>
      </c>
      <c r="AY266" s="1" t="n">
        <f aca="false">MAX($D266)</f>
        <v>214249</v>
      </c>
      <c r="AZ266" s="1" t="n">
        <f aca="false">MAX($E266)</f>
        <v>0</v>
      </c>
      <c r="BA266" s="1" t="n">
        <f aca="false">MAX($F266)</f>
        <v>226</v>
      </c>
      <c r="BB266" s="1" t="n">
        <f aca="false">MAX($G266)</f>
        <v>0</v>
      </c>
      <c r="BC266" s="1" t="n">
        <f aca="false">MAX($H266)</f>
        <v>1</v>
      </c>
      <c r="BD266" s="1" t="n">
        <f aca="false">MAX($I266)</f>
        <v>3.001</v>
      </c>
      <c r="BE266" s="1" t="n">
        <f aca="false">MAX($J266)</f>
        <v>3.08</v>
      </c>
      <c r="BF266" s="1" t="n">
        <f aca="false">MAX($K266)</f>
        <v>0</v>
      </c>
      <c r="BG266" s="1" t="n">
        <f aca="false">MAX($M266)</f>
        <v>677935</v>
      </c>
      <c r="BH266" s="1" t="n">
        <f aca="false">MAX($N266)</f>
        <v>0.02</v>
      </c>
      <c r="BI266" s="1" t="n">
        <f aca="false">MAX($P266)</f>
        <v>3.08</v>
      </c>
      <c r="BJ266" s="1" t="n">
        <f aca="false">MAX($Q266)</f>
        <v>0</v>
      </c>
      <c r="BK266" s="1" t="n">
        <f aca="false">MAX($R266)</f>
        <v>223937</v>
      </c>
    </row>
    <row r="267" customFormat="false" ht="15" hidden="false" customHeight="false" outlineLevel="0" collapsed="false">
      <c r="A267" s="1" t="s">
        <v>284</v>
      </c>
      <c r="B267" s="1" t="n">
        <f aca="false" t="array" ref="B267:B267">_xlfn.SWITCH($A$2,"average", AVERAGE(Instances!B267:B267),"median", MEDIAN(Instances!B267:B267),"min", MIN(Instances!B267:B267),"max", MAX(Instances!B267:B267),"diff", MAX(Instances!B267:B267)-MIN(Instances!B267:B267))</f>
        <v>1192</v>
      </c>
      <c r="C267" s="1" t="n">
        <f aca="false" t="array" ref="C267:C267">_xlfn.SWITCH($A$2,"average", AVERAGE(Instances!C267:C267),"median", MEDIAN(Instances!C267:C267),"min", MIN(Instances!C267:C267),"max", MAX(Instances!C267:C267),"diff", MAX(Instances!C267:C267)-MIN(Instances!C267:C267))</f>
        <v>91</v>
      </c>
      <c r="D267" s="1" t="n">
        <f aca="false" t="array" ref="D267:D267">_xlfn.SWITCH($A$2,"average", AVERAGE(Instances!D267:D267),"median", MEDIAN(Instances!D267:D267),"min", MIN(Instances!D267:D267),"max", MAX(Instances!D267:D267),"diff", MAX(Instances!D267:D267)-MIN(Instances!D267:D267))</f>
        <v>139145</v>
      </c>
      <c r="E267" s="1" t="n">
        <f aca="false" t="array" ref="E267:E267">_xlfn.SWITCH($A$2,"average", AVERAGE(Instances!E267:E267),"median", MEDIAN(Instances!E267:E267),"min", MIN(Instances!E267:E267),"max", MAX(Instances!E267:E267),"diff", MAX(Instances!E267:E267)-MIN(Instances!E267:E267))</f>
        <v>0</v>
      </c>
      <c r="F267" s="1" t="n">
        <f aca="false" t="array" ref="F267:F267">_xlfn.SWITCH($A$2,"average", AVERAGE(Instances!F267:F267),"median", MEDIAN(Instances!F267:F267),"min", MIN(Instances!F267:F267),"max", MAX(Instances!F267:F267),"diff", MAX(Instances!F267:F267)-MIN(Instances!F267:F267))</f>
        <v>194</v>
      </c>
      <c r="G267" s="1" t="n">
        <f aca="false" t="array" ref="G267:G267">_xlfn.SWITCH($A$2,"average", AVERAGE(Instances!G267:G267),"median", MEDIAN(Instances!G267:G267),"min", MIN(Instances!G267:G267),"max", MAX(Instances!G267:G267),"diff", MAX(Instances!G267:G267)-MIN(Instances!G267:G267))</f>
        <v>0</v>
      </c>
      <c r="H267" s="1" t="n">
        <f aca="false" t="array" ref="H267:H267">_xlfn.SWITCH($A$2,"average", AVERAGE(Instances!H267:H267),"median", MEDIAN(Instances!H267:H267),"min", MIN(Instances!H267:H267),"max", MAX(Instances!H267:H267),"diff", MAX(Instances!H267:H267)-MIN(Instances!H267:H267))</f>
        <v>1</v>
      </c>
      <c r="I267" s="1" t="n">
        <f aca="false" t="array" ref="I267:I267">_xlfn.SWITCH($A$2,"average", AVERAGE(Instances!I267:I267),"median", MEDIAN(Instances!I267:I267),"min", MIN(Instances!I267:I267),"max", MAX(Instances!I267:I267),"diff", MAX(Instances!I267:I267)-MIN(Instances!I267:I267))</f>
        <v>2.594</v>
      </c>
      <c r="J267" s="1" t="n">
        <f aca="false" t="array" ref="J267:J267">_xlfn.SWITCH($A$2,"average", AVERAGE(Instances!J267:J267),"median", MEDIAN(Instances!J267:J267),"min", MIN(Instances!J267:J267),"max", MAX(Instances!J267:J267),"diff", MAX(Instances!J267:J267)-MIN(Instances!J267:J267))</f>
        <v>2.66</v>
      </c>
      <c r="K267" s="1" t="n">
        <f aca="false" t="array" ref="K267:K267">_xlfn.SWITCH($A$2,"average", AVERAGE(Instances!K267:K267),"median", MEDIAN(Instances!K267:K267),"min", MIN(Instances!K267:K267),"max", MAX(Instances!K267:K267),"diff", MAX(Instances!K267:K267)-MIN(Instances!K267:K267))</f>
        <v>1</v>
      </c>
      <c r="L267" s="1"/>
      <c r="M267" s="1" t="n">
        <f aca="false" t="array" ref="M267:M267">_xlfn.SWITCH($A$2,"average", AVERAGE(Instances!M267:M267),"median", MEDIAN(Instances!M267:M267),"min", MIN(Instances!M267:M267),"max", MAX(Instances!M267:M267),"diff", MAX(Instances!M267:M267)-MIN(Instances!M267:M267))</f>
        <v>586556</v>
      </c>
      <c r="N267" s="1" t="n">
        <f aca="false" t="array" ref="N267:N267">_xlfn.SWITCH($A$2,"average", AVERAGE(Instances!N267:N267),"median", MEDIAN(Instances!N267:N267),"min", MIN(Instances!N267:N267),"max", MAX(Instances!N267:N267),"diff", MAX(Instances!N267:N267)-MIN(Instances!N267:N267))</f>
        <v>0.03</v>
      </c>
      <c r="O267" s="1"/>
      <c r="P267" s="1" t="n">
        <f aca="false" t="array" ref="P267:P267">_xlfn.SWITCH($A$2,"average", AVERAGE(Instances!P267:P267),"median", MEDIAN(Instances!P267:P267),"min", MIN(Instances!P267:P267),"max", MAX(Instances!P267:P267),"diff", MAX(Instances!P267:P267)-MIN(Instances!P267:P267))</f>
        <v>2.66</v>
      </c>
      <c r="Q267" s="1" t="n">
        <f aca="false" t="array" ref="Q267:Q267">_xlfn.SWITCH($A$2,"average", AVERAGE(Instances!Q267:Q267),"median", MEDIAN(Instances!Q267:Q267),"min", MIN(Instances!Q267:Q267),"max", MAX(Instances!Q267:Q267),"diff", MAX(Instances!Q267:Q267)-MIN(Instances!Q267:Q267))</f>
        <v>0</v>
      </c>
      <c r="R267" s="1" t="n">
        <f aca="false" t="array" ref="R267:R267">_xlfn.SWITCH($A$2,"average", AVERAGE(Instances!R267:R267),"median", MEDIAN(Instances!R267:R267),"min", MIN(Instances!R267:R267),"max", MAX(Instances!R267:R267),"diff", MAX(Instances!R267:R267)-MIN(Instances!R267:R267))</f>
        <v>194324</v>
      </c>
      <c r="S267" s="1" t="n">
        <f aca="false">MIN($B267)</f>
        <v>1192</v>
      </c>
      <c r="T267" s="1" t="n">
        <f aca="false">MIN($C267)</f>
        <v>91</v>
      </c>
      <c r="U267" s="1" t="n">
        <f aca="false">MIN($D267)</f>
        <v>139145</v>
      </c>
      <c r="V267" s="1" t="n">
        <f aca="false">MIN($E267)</f>
        <v>0</v>
      </c>
      <c r="W267" s="1" t="n">
        <f aca="false">MIN($F267)</f>
        <v>194</v>
      </c>
      <c r="X267" s="1" t="n">
        <f aca="false">MIN($G267)</f>
        <v>0</v>
      </c>
      <c r="Y267" s="1" t="n">
        <f aca="false">MIN($H267)</f>
        <v>1</v>
      </c>
      <c r="Z267" s="1" t="n">
        <f aca="false">MIN($I267)</f>
        <v>2.594</v>
      </c>
      <c r="AA267" s="1" t="n">
        <f aca="false">MIN($J267)</f>
        <v>2.66</v>
      </c>
      <c r="AB267" s="1" t="n">
        <f aca="false">MIN($K267)</f>
        <v>1</v>
      </c>
      <c r="AC267" s="1" t="n">
        <f aca="false">MIN($M267)</f>
        <v>586556</v>
      </c>
      <c r="AD267" s="1" t="n">
        <f aca="false">MIN($N267)</f>
        <v>0.03</v>
      </c>
      <c r="AE267" s="1" t="n">
        <f aca="false">MIN($P267)</f>
        <v>2.66</v>
      </c>
      <c r="AF267" s="1" t="n">
        <f aca="false">MIN($Q267)</f>
        <v>0</v>
      </c>
      <c r="AG267" s="1" t="n">
        <f aca="false">MIN($R267)</f>
        <v>194324</v>
      </c>
      <c r="AH267" s="1" t="n">
        <f aca="false">MEDIAN($B267)</f>
        <v>1192</v>
      </c>
      <c r="AI267" s="1" t="n">
        <f aca="false">MEDIAN($C267)</f>
        <v>91</v>
      </c>
      <c r="AJ267" s="1" t="n">
        <f aca="false">MEDIAN($D267)</f>
        <v>139145</v>
      </c>
      <c r="AK267" s="1" t="n">
        <f aca="false">MEDIAN($E267)</f>
        <v>0</v>
      </c>
      <c r="AL267" s="1" t="n">
        <f aca="false">MEDIAN($F267)</f>
        <v>194</v>
      </c>
      <c r="AM267" s="1" t="n">
        <f aca="false">MEDIAN($G267)</f>
        <v>0</v>
      </c>
      <c r="AN267" s="1" t="n">
        <f aca="false">MEDIAN($H267)</f>
        <v>1</v>
      </c>
      <c r="AO267" s="1" t="n">
        <f aca="false">MEDIAN($I267)</f>
        <v>2.594</v>
      </c>
      <c r="AP267" s="1" t="n">
        <f aca="false">MEDIAN($J267)</f>
        <v>2.66</v>
      </c>
      <c r="AQ267" s="1" t="n">
        <f aca="false">MEDIAN($K267)</f>
        <v>1</v>
      </c>
      <c r="AR267" s="1" t="n">
        <f aca="false">MEDIAN($M267)</f>
        <v>586556</v>
      </c>
      <c r="AS267" s="1" t="n">
        <f aca="false">MEDIAN($N267)</f>
        <v>0.03</v>
      </c>
      <c r="AT267" s="1" t="n">
        <f aca="false">MEDIAN($P267)</f>
        <v>2.66</v>
      </c>
      <c r="AU267" s="1" t="n">
        <f aca="false">MEDIAN($Q267)</f>
        <v>0</v>
      </c>
      <c r="AV267" s="1" t="n">
        <f aca="false">MEDIAN($R267)</f>
        <v>194324</v>
      </c>
      <c r="AW267" s="1" t="n">
        <f aca="false">MAX($B267)</f>
        <v>1192</v>
      </c>
      <c r="AX267" s="1" t="n">
        <f aca="false">MAX($C267)</f>
        <v>91</v>
      </c>
      <c r="AY267" s="1" t="n">
        <f aca="false">MAX($D267)</f>
        <v>139145</v>
      </c>
      <c r="AZ267" s="1" t="n">
        <f aca="false">MAX($E267)</f>
        <v>0</v>
      </c>
      <c r="BA267" s="1" t="n">
        <f aca="false">MAX($F267)</f>
        <v>194</v>
      </c>
      <c r="BB267" s="1" t="n">
        <f aca="false">MAX($G267)</f>
        <v>0</v>
      </c>
      <c r="BC267" s="1" t="n">
        <f aca="false">MAX($H267)</f>
        <v>1</v>
      </c>
      <c r="BD267" s="1" t="n">
        <f aca="false">MAX($I267)</f>
        <v>2.594</v>
      </c>
      <c r="BE267" s="1" t="n">
        <f aca="false">MAX($J267)</f>
        <v>2.66</v>
      </c>
      <c r="BF267" s="1" t="n">
        <f aca="false">MAX($K267)</f>
        <v>1</v>
      </c>
      <c r="BG267" s="1" t="n">
        <f aca="false">MAX($M267)</f>
        <v>586556</v>
      </c>
      <c r="BH267" s="1" t="n">
        <f aca="false">MAX($N267)</f>
        <v>0.03</v>
      </c>
      <c r="BI267" s="1" t="n">
        <f aca="false">MAX($P267)</f>
        <v>2.66</v>
      </c>
      <c r="BJ267" s="1" t="n">
        <f aca="false">MAX($Q267)</f>
        <v>0</v>
      </c>
      <c r="BK267" s="1" t="n">
        <f aca="false">MAX($R267)</f>
        <v>194324</v>
      </c>
    </row>
    <row r="268" customFormat="false" ht="15" hidden="false" customHeight="false" outlineLevel="0" collapsed="false">
      <c r="A268" s="1" t="s">
        <v>285</v>
      </c>
      <c r="B268" s="1" t="n">
        <f aca="false" t="array" ref="B268:B268">_xlfn.SWITCH($A$2,"average", AVERAGE(Instances!B268:B268),"median", MEDIAN(Instances!B268:B268),"min", MIN(Instances!B268:B268),"max", MAX(Instances!B268:B268),"diff", MAX(Instances!B268:B268)-MIN(Instances!B268:B268))</f>
        <v>1600</v>
      </c>
      <c r="C268" s="1" t="n">
        <f aca="false" t="array" ref="C268:C268">_xlfn.SWITCH($A$2,"average", AVERAGE(Instances!C268:C268),"median", MEDIAN(Instances!C268:C268),"min", MIN(Instances!C268:C268),"max", MAX(Instances!C268:C268),"diff", MAX(Instances!C268:C268)-MIN(Instances!C268:C268))</f>
        <v>136</v>
      </c>
      <c r="D268" s="1" t="n">
        <f aca="false" t="array" ref="D268:D268">_xlfn.SWITCH($A$2,"average", AVERAGE(Instances!D268:D268),"median", MEDIAN(Instances!D268:D268),"min", MIN(Instances!D268:D268),"max", MAX(Instances!D268:D268),"diff", MAX(Instances!D268:D268)-MIN(Instances!D268:D268))</f>
        <v>247458</v>
      </c>
      <c r="E268" s="1" t="n">
        <f aca="false" t="array" ref="E268:E268">_xlfn.SWITCH($A$2,"average", AVERAGE(Instances!E268:E268),"median", MEDIAN(Instances!E268:E268),"min", MIN(Instances!E268:E268),"max", MAX(Instances!E268:E268),"diff", MAX(Instances!E268:E268)-MIN(Instances!E268:E268))</f>
        <v>0</v>
      </c>
      <c r="F268" s="1" t="n">
        <f aca="false" t="array" ref="F268:F268">_xlfn.SWITCH($A$2,"average", AVERAGE(Instances!F268:F268),"median", MEDIAN(Instances!F268:F268),"min", MIN(Instances!F268:F268),"max", MAX(Instances!F268:F268),"diff", MAX(Instances!F268:F268)-MIN(Instances!F268:F268))</f>
        <v>224</v>
      </c>
      <c r="G268" s="1" t="n">
        <f aca="false" t="array" ref="G268:G268">_xlfn.SWITCH($A$2,"average", AVERAGE(Instances!G268:G268),"median", MEDIAN(Instances!G268:G268),"min", MIN(Instances!G268:G268),"max", MAX(Instances!G268:G268),"diff", MAX(Instances!G268:G268)-MIN(Instances!G268:G268))</f>
        <v>0</v>
      </c>
      <c r="H268" s="1" t="n">
        <f aca="false" t="array" ref="H268:H268">_xlfn.SWITCH($A$2,"average", AVERAGE(Instances!H268:H268),"median", MEDIAN(Instances!H268:H268),"min", MIN(Instances!H268:H268),"max", MAX(Instances!H268:H268),"diff", MAX(Instances!H268:H268)-MIN(Instances!H268:H268))</f>
        <v>1</v>
      </c>
      <c r="I268" s="1" t="n">
        <f aca="false" t="array" ref="I268:I268">_xlfn.SWITCH($A$2,"average", AVERAGE(Instances!I268:I268),"median", MEDIAN(Instances!I268:I268),"min", MIN(Instances!I268:I268),"max", MAX(Instances!I268:I268),"diff", MAX(Instances!I268:I268)-MIN(Instances!I268:I268))</f>
        <v>3.05</v>
      </c>
      <c r="J268" s="1" t="n">
        <f aca="false" t="array" ref="J268:J268">_xlfn.SWITCH($A$2,"average", AVERAGE(Instances!J268:J268),"median", MEDIAN(Instances!J268:J268),"min", MIN(Instances!J268:J268),"max", MAX(Instances!J268:J268),"diff", MAX(Instances!J268:J268)-MIN(Instances!J268:J268))</f>
        <v>3.13</v>
      </c>
      <c r="K268" s="1" t="n">
        <f aca="false" t="array" ref="K268:K268">_xlfn.SWITCH($A$2,"average", AVERAGE(Instances!K268:K268),"median", MEDIAN(Instances!K268:K268),"min", MIN(Instances!K268:K268),"max", MAX(Instances!K268:K268),"diff", MAX(Instances!K268:K268)-MIN(Instances!K268:K268))</f>
        <v>1</v>
      </c>
      <c r="L268" s="1"/>
      <c r="M268" s="1" t="n">
        <f aca="false" t="array" ref="M268:M268">_xlfn.SWITCH($A$2,"average", AVERAGE(Instances!M268:M268),"median", MEDIAN(Instances!M268:M268),"min", MIN(Instances!M268:M268),"max", MAX(Instances!M268:M268),"diff", MAX(Instances!M268:M268)-MIN(Instances!M268:M268))</f>
        <v>662523</v>
      </c>
      <c r="N268" s="1" t="n">
        <f aca="false" t="array" ref="N268:N268">_xlfn.SWITCH($A$2,"average", AVERAGE(Instances!N268:N268),"median", MEDIAN(Instances!N268:N268),"min", MIN(Instances!N268:N268),"max", MAX(Instances!N268:N268),"diff", MAX(Instances!N268:N268)-MIN(Instances!N268:N268))</f>
        <v>0.07</v>
      </c>
      <c r="O268" s="1"/>
      <c r="P268" s="1" t="n">
        <f aca="false" t="array" ref="P268:P268">_xlfn.SWITCH($A$2,"average", AVERAGE(Instances!P268:P268),"median", MEDIAN(Instances!P268:P268),"min", MIN(Instances!P268:P268),"max", MAX(Instances!P268:P268),"diff", MAX(Instances!P268:P268)-MIN(Instances!P268:P268))</f>
        <v>3.13</v>
      </c>
      <c r="Q268" s="1" t="n">
        <f aca="false" t="array" ref="Q268:Q268">_xlfn.SWITCH($A$2,"average", AVERAGE(Instances!Q268:Q268),"median", MEDIAN(Instances!Q268:Q268),"min", MIN(Instances!Q268:Q268),"max", MAX(Instances!Q268:Q268),"diff", MAX(Instances!Q268:Q268)-MIN(Instances!Q268:Q268))</f>
        <v>0</v>
      </c>
      <c r="R268" s="1" t="n">
        <f aca="false" t="array" ref="R268:R268">_xlfn.SWITCH($A$2,"average", AVERAGE(Instances!R268:R268),"median", MEDIAN(Instances!R268:R268),"min", MIN(Instances!R268:R268),"max", MAX(Instances!R268:R268),"diff", MAX(Instances!R268:R268)-MIN(Instances!R268:R268))</f>
        <v>221852</v>
      </c>
      <c r="S268" s="1" t="n">
        <f aca="false">MIN($B268)</f>
        <v>1600</v>
      </c>
      <c r="T268" s="1" t="n">
        <f aca="false">MIN($C268)</f>
        <v>136</v>
      </c>
      <c r="U268" s="1" t="n">
        <f aca="false">MIN($D268)</f>
        <v>247458</v>
      </c>
      <c r="V268" s="1" t="n">
        <f aca="false">MIN($E268)</f>
        <v>0</v>
      </c>
      <c r="W268" s="1" t="n">
        <f aca="false">MIN($F268)</f>
        <v>224</v>
      </c>
      <c r="X268" s="1" t="n">
        <f aca="false">MIN($G268)</f>
        <v>0</v>
      </c>
      <c r="Y268" s="1" t="n">
        <f aca="false">MIN($H268)</f>
        <v>1</v>
      </c>
      <c r="Z268" s="1" t="n">
        <f aca="false">MIN($I268)</f>
        <v>3.05</v>
      </c>
      <c r="AA268" s="1" t="n">
        <f aca="false">MIN($J268)</f>
        <v>3.13</v>
      </c>
      <c r="AB268" s="1" t="n">
        <f aca="false">MIN($K268)</f>
        <v>1</v>
      </c>
      <c r="AC268" s="1" t="n">
        <f aca="false">MIN($M268)</f>
        <v>662523</v>
      </c>
      <c r="AD268" s="1" t="n">
        <f aca="false">MIN($N268)</f>
        <v>0.07</v>
      </c>
      <c r="AE268" s="1" t="n">
        <f aca="false">MIN($P268)</f>
        <v>3.13</v>
      </c>
      <c r="AF268" s="1" t="n">
        <f aca="false">MIN($Q268)</f>
        <v>0</v>
      </c>
      <c r="AG268" s="1" t="n">
        <f aca="false">MIN($R268)</f>
        <v>221852</v>
      </c>
      <c r="AH268" s="1" t="n">
        <f aca="false">MEDIAN($B268)</f>
        <v>1600</v>
      </c>
      <c r="AI268" s="1" t="n">
        <f aca="false">MEDIAN($C268)</f>
        <v>136</v>
      </c>
      <c r="AJ268" s="1" t="n">
        <f aca="false">MEDIAN($D268)</f>
        <v>247458</v>
      </c>
      <c r="AK268" s="1" t="n">
        <f aca="false">MEDIAN($E268)</f>
        <v>0</v>
      </c>
      <c r="AL268" s="1" t="n">
        <f aca="false">MEDIAN($F268)</f>
        <v>224</v>
      </c>
      <c r="AM268" s="1" t="n">
        <f aca="false">MEDIAN($G268)</f>
        <v>0</v>
      </c>
      <c r="AN268" s="1" t="n">
        <f aca="false">MEDIAN($H268)</f>
        <v>1</v>
      </c>
      <c r="AO268" s="1" t="n">
        <f aca="false">MEDIAN($I268)</f>
        <v>3.05</v>
      </c>
      <c r="AP268" s="1" t="n">
        <f aca="false">MEDIAN($J268)</f>
        <v>3.13</v>
      </c>
      <c r="AQ268" s="1" t="n">
        <f aca="false">MEDIAN($K268)</f>
        <v>1</v>
      </c>
      <c r="AR268" s="1" t="n">
        <f aca="false">MEDIAN($M268)</f>
        <v>662523</v>
      </c>
      <c r="AS268" s="1" t="n">
        <f aca="false">MEDIAN($N268)</f>
        <v>0.07</v>
      </c>
      <c r="AT268" s="1" t="n">
        <f aca="false">MEDIAN($P268)</f>
        <v>3.13</v>
      </c>
      <c r="AU268" s="1" t="n">
        <f aca="false">MEDIAN($Q268)</f>
        <v>0</v>
      </c>
      <c r="AV268" s="1" t="n">
        <f aca="false">MEDIAN($R268)</f>
        <v>221852</v>
      </c>
      <c r="AW268" s="1" t="n">
        <f aca="false">MAX($B268)</f>
        <v>1600</v>
      </c>
      <c r="AX268" s="1" t="n">
        <f aca="false">MAX($C268)</f>
        <v>136</v>
      </c>
      <c r="AY268" s="1" t="n">
        <f aca="false">MAX($D268)</f>
        <v>247458</v>
      </c>
      <c r="AZ268" s="1" t="n">
        <f aca="false">MAX($E268)</f>
        <v>0</v>
      </c>
      <c r="BA268" s="1" t="n">
        <f aca="false">MAX($F268)</f>
        <v>224</v>
      </c>
      <c r="BB268" s="1" t="n">
        <f aca="false">MAX($G268)</f>
        <v>0</v>
      </c>
      <c r="BC268" s="1" t="n">
        <f aca="false">MAX($H268)</f>
        <v>1</v>
      </c>
      <c r="BD268" s="1" t="n">
        <f aca="false">MAX($I268)</f>
        <v>3.05</v>
      </c>
      <c r="BE268" s="1" t="n">
        <f aca="false">MAX($J268)</f>
        <v>3.13</v>
      </c>
      <c r="BF268" s="1" t="n">
        <f aca="false">MAX($K268)</f>
        <v>1</v>
      </c>
      <c r="BG268" s="1" t="n">
        <f aca="false">MAX($M268)</f>
        <v>662523</v>
      </c>
      <c r="BH268" s="1" t="n">
        <f aca="false">MAX($N268)</f>
        <v>0.07</v>
      </c>
      <c r="BI268" s="1" t="n">
        <f aca="false">MAX($P268)</f>
        <v>3.13</v>
      </c>
      <c r="BJ268" s="1" t="n">
        <f aca="false">MAX($Q268)</f>
        <v>0</v>
      </c>
      <c r="BK268" s="1" t="n">
        <f aca="false">MAX($R268)</f>
        <v>221852</v>
      </c>
    </row>
    <row r="269" customFormat="false" ht="15" hidden="false" customHeight="false" outlineLevel="0" collapsed="false">
      <c r="A269" s="1" t="s">
        <v>286</v>
      </c>
      <c r="B269" s="1" t="n">
        <f aca="false" t="array" ref="B269:B269">_xlfn.SWITCH($A$2,"average", AVERAGE(Instances!B269:B269),"median", MEDIAN(Instances!B269:B269),"min", MIN(Instances!B269:B269),"max", MAX(Instances!B269:B269),"diff", MAX(Instances!B269:B269)-MIN(Instances!B269:B269))</f>
        <v>558</v>
      </c>
      <c r="C269" s="1" t="n">
        <f aca="false" t="array" ref="C269:C269">_xlfn.SWITCH($A$2,"average", AVERAGE(Instances!C269:C269),"median", MEDIAN(Instances!C269:C269),"min", MIN(Instances!C269:C269),"max", MAX(Instances!C269:C269),"diff", MAX(Instances!C269:C269)-MIN(Instances!C269:C269))</f>
        <v>2</v>
      </c>
      <c r="D269" s="1" t="n">
        <f aca="false" t="array" ref="D269:D269">_xlfn.SWITCH($A$2,"average", AVERAGE(Instances!D269:D269),"median", MEDIAN(Instances!D269:D269),"min", MIN(Instances!D269:D269),"max", MAX(Instances!D269:D269),"diff", MAX(Instances!D269:D269)-MIN(Instances!D269:D269))</f>
        <v>259948</v>
      </c>
      <c r="E269" s="1" t="n">
        <f aca="false" t="array" ref="E269:E269">_xlfn.SWITCH($A$2,"average", AVERAGE(Instances!E269:E269),"median", MEDIAN(Instances!E269:E269),"min", MIN(Instances!E269:E269),"max", MAX(Instances!E269:E269),"diff", MAX(Instances!E269:E269)-MIN(Instances!E269:E269))</f>
        <v>0</v>
      </c>
      <c r="F269" s="1" t="n">
        <f aca="false" t="array" ref="F269:F269">_xlfn.SWITCH($A$2,"average", AVERAGE(Instances!F269:F269),"median", MEDIAN(Instances!F269:F269),"min", MIN(Instances!F269:F269),"max", MAX(Instances!F269:F269),"diff", MAX(Instances!F269:F269)-MIN(Instances!F269:F269))</f>
        <v>289</v>
      </c>
      <c r="G269" s="1" t="n">
        <f aca="false" t="array" ref="G269:G269">_xlfn.SWITCH($A$2,"average", AVERAGE(Instances!G269:G269),"median", MEDIAN(Instances!G269:G269),"min", MIN(Instances!G269:G269),"max", MAX(Instances!G269:G269),"diff", MAX(Instances!G269:G269)-MIN(Instances!G269:G269))</f>
        <v>0</v>
      </c>
      <c r="H269" s="1" t="n">
        <f aca="false" t="array" ref="H269:H269">_xlfn.SWITCH($A$2,"average", AVERAGE(Instances!H269:H269),"median", MEDIAN(Instances!H269:H269),"min", MIN(Instances!H269:H269),"max", MAX(Instances!H269:H269),"diff", MAX(Instances!H269:H269)-MIN(Instances!H269:H269))</f>
        <v>1</v>
      </c>
      <c r="I269" s="1" t="n">
        <f aca="false" t="array" ref="I269:I269">_xlfn.SWITCH($A$2,"average", AVERAGE(Instances!I269:I269),"median", MEDIAN(Instances!I269:I269),"min", MIN(Instances!I269:I269),"max", MAX(Instances!I269:I269),"diff", MAX(Instances!I269:I269)-MIN(Instances!I269:I269))</f>
        <v>3.958</v>
      </c>
      <c r="J269" s="1" t="n">
        <f aca="false" t="array" ref="J269:J269">_xlfn.SWITCH($A$2,"average", AVERAGE(Instances!J269:J269),"median", MEDIAN(Instances!J269:J269),"min", MIN(Instances!J269:J269),"max", MAX(Instances!J269:J269),"diff", MAX(Instances!J269:J269)-MIN(Instances!J269:J269))</f>
        <v>4.07</v>
      </c>
      <c r="K269" s="1" t="n">
        <f aca="false" t="array" ref="K269:K269">_xlfn.SWITCH($A$2,"average", AVERAGE(Instances!K269:K269),"median", MEDIAN(Instances!K269:K269),"min", MIN(Instances!K269:K269),"max", MAX(Instances!K269:K269),"diff", MAX(Instances!K269:K269)-MIN(Instances!K269:K269))</f>
        <v>0</v>
      </c>
      <c r="L269" s="1"/>
      <c r="M269" s="1" t="n">
        <f aca="false" t="array" ref="M269:M269">_xlfn.SWITCH($A$2,"average", AVERAGE(Instances!M269:M269),"median", MEDIAN(Instances!M269:M269),"min", MIN(Instances!M269:M269),"max", MAX(Instances!M269:M269),"diff", MAX(Instances!M269:M269)-MIN(Instances!M269:M269))</f>
        <v>982636</v>
      </c>
      <c r="N269" s="1" t="n">
        <f aca="false" t="array" ref="N269:N269">_xlfn.SWITCH($A$2,"average", AVERAGE(Instances!N269:N269),"median", MEDIAN(Instances!N269:N269),"min", MIN(Instances!N269:N269),"max", MAX(Instances!N269:N269),"diff", MAX(Instances!N269:N269)-MIN(Instances!N269:N269))</f>
        <v>0.02</v>
      </c>
      <c r="O269" s="1"/>
      <c r="P269" s="1" t="n">
        <f aca="false" t="array" ref="P269:P269">_xlfn.SWITCH($A$2,"average", AVERAGE(Instances!P269:P269),"median", MEDIAN(Instances!P269:P269),"min", MIN(Instances!P269:P269),"max", MAX(Instances!P269:P269),"diff", MAX(Instances!P269:P269)-MIN(Instances!P269:P269))</f>
        <v>4.07</v>
      </c>
      <c r="Q269" s="1" t="n">
        <f aca="false" t="array" ref="Q269:Q269">_xlfn.SWITCH($A$2,"average", AVERAGE(Instances!Q269:Q269),"median", MEDIAN(Instances!Q269:Q269),"min", MIN(Instances!Q269:Q269),"max", MAX(Instances!Q269:Q269),"diff", MAX(Instances!Q269:Q269)-MIN(Instances!Q269:Q269))</f>
        <v>0</v>
      </c>
      <c r="R269" s="1" t="n">
        <f aca="false" t="array" ref="R269:R269">_xlfn.SWITCH($A$2,"average", AVERAGE(Instances!R269:R269),"median", MEDIAN(Instances!R269:R269),"min", MIN(Instances!R269:R269),"max", MAX(Instances!R269:R269),"diff", MAX(Instances!R269:R269)-MIN(Instances!R269:R269))</f>
        <v>297172</v>
      </c>
      <c r="S269" s="1" t="n">
        <f aca="false">MIN($B269)</f>
        <v>558</v>
      </c>
      <c r="T269" s="1" t="n">
        <f aca="false">MIN($C269)</f>
        <v>2</v>
      </c>
      <c r="U269" s="1" t="n">
        <f aca="false">MIN($D269)</f>
        <v>259948</v>
      </c>
      <c r="V269" s="1" t="n">
        <f aca="false">MIN($E269)</f>
        <v>0</v>
      </c>
      <c r="W269" s="1" t="n">
        <f aca="false">MIN($F269)</f>
        <v>289</v>
      </c>
      <c r="X269" s="1" t="n">
        <f aca="false">MIN($G269)</f>
        <v>0</v>
      </c>
      <c r="Y269" s="1" t="n">
        <f aca="false">MIN($H269)</f>
        <v>1</v>
      </c>
      <c r="Z269" s="1" t="n">
        <f aca="false">MIN($I269)</f>
        <v>3.958</v>
      </c>
      <c r="AA269" s="1" t="n">
        <f aca="false">MIN($J269)</f>
        <v>4.07</v>
      </c>
      <c r="AB269" s="1" t="n">
        <f aca="false">MIN($K269)</f>
        <v>0</v>
      </c>
      <c r="AC269" s="1" t="n">
        <f aca="false">MIN($M269)</f>
        <v>982636</v>
      </c>
      <c r="AD269" s="1" t="n">
        <f aca="false">MIN($N269)</f>
        <v>0.02</v>
      </c>
      <c r="AE269" s="1" t="n">
        <f aca="false">MIN($P269)</f>
        <v>4.07</v>
      </c>
      <c r="AF269" s="1" t="n">
        <f aca="false">MIN($Q269)</f>
        <v>0</v>
      </c>
      <c r="AG269" s="1" t="n">
        <f aca="false">MIN($R269)</f>
        <v>297172</v>
      </c>
      <c r="AH269" s="1" t="n">
        <f aca="false">MEDIAN($B269)</f>
        <v>558</v>
      </c>
      <c r="AI269" s="1" t="n">
        <f aca="false">MEDIAN($C269)</f>
        <v>2</v>
      </c>
      <c r="AJ269" s="1" t="n">
        <f aca="false">MEDIAN($D269)</f>
        <v>259948</v>
      </c>
      <c r="AK269" s="1" t="n">
        <f aca="false">MEDIAN($E269)</f>
        <v>0</v>
      </c>
      <c r="AL269" s="1" t="n">
        <f aca="false">MEDIAN($F269)</f>
        <v>289</v>
      </c>
      <c r="AM269" s="1" t="n">
        <f aca="false">MEDIAN($G269)</f>
        <v>0</v>
      </c>
      <c r="AN269" s="1" t="n">
        <f aca="false">MEDIAN($H269)</f>
        <v>1</v>
      </c>
      <c r="AO269" s="1" t="n">
        <f aca="false">MEDIAN($I269)</f>
        <v>3.958</v>
      </c>
      <c r="AP269" s="1" t="n">
        <f aca="false">MEDIAN($J269)</f>
        <v>4.07</v>
      </c>
      <c r="AQ269" s="1" t="n">
        <f aca="false">MEDIAN($K269)</f>
        <v>0</v>
      </c>
      <c r="AR269" s="1" t="n">
        <f aca="false">MEDIAN($M269)</f>
        <v>982636</v>
      </c>
      <c r="AS269" s="1" t="n">
        <f aca="false">MEDIAN($N269)</f>
        <v>0.02</v>
      </c>
      <c r="AT269" s="1" t="n">
        <f aca="false">MEDIAN($P269)</f>
        <v>4.07</v>
      </c>
      <c r="AU269" s="1" t="n">
        <f aca="false">MEDIAN($Q269)</f>
        <v>0</v>
      </c>
      <c r="AV269" s="1" t="n">
        <f aca="false">MEDIAN($R269)</f>
        <v>297172</v>
      </c>
      <c r="AW269" s="1" t="n">
        <f aca="false">MAX($B269)</f>
        <v>558</v>
      </c>
      <c r="AX269" s="1" t="n">
        <f aca="false">MAX($C269)</f>
        <v>2</v>
      </c>
      <c r="AY269" s="1" t="n">
        <f aca="false">MAX($D269)</f>
        <v>259948</v>
      </c>
      <c r="AZ269" s="1" t="n">
        <f aca="false">MAX($E269)</f>
        <v>0</v>
      </c>
      <c r="BA269" s="1" t="n">
        <f aca="false">MAX($F269)</f>
        <v>289</v>
      </c>
      <c r="BB269" s="1" t="n">
        <f aca="false">MAX($G269)</f>
        <v>0</v>
      </c>
      <c r="BC269" s="1" t="n">
        <f aca="false">MAX($H269)</f>
        <v>1</v>
      </c>
      <c r="BD269" s="1" t="n">
        <f aca="false">MAX($I269)</f>
        <v>3.958</v>
      </c>
      <c r="BE269" s="1" t="n">
        <f aca="false">MAX($J269)</f>
        <v>4.07</v>
      </c>
      <c r="BF269" s="1" t="n">
        <f aca="false">MAX($K269)</f>
        <v>0</v>
      </c>
      <c r="BG269" s="1" t="n">
        <f aca="false">MAX($M269)</f>
        <v>982636</v>
      </c>
      <c r="BH269" s="1" t="n">
        <f aca="false">MAX($N269)</f>
        <v>0.02</v>
      </c>
      <c r="BI269" s="1" t="n">
        <f aca="false">MAX($P269)</f>
        <v>4.07</v>
      </c>
      <c r="BJ269" s="1" t="n">
        <f aca="false">MAX($Q269)</f>
        <v>0</v>
      </c>
      <c r="BK269" s="1" t="n">
        <f aca="false">MAX($R269)</f>
        <v>297172</v>
      </c>
    </row>
    <row r="270" customFormat="false" ht="15" hidden="false" customHeight="false" outlineLevel="0" collapsed="false">
      <c r="A270" s="1" t="s">
        <v>287</v>
      </c>
      <c r="B270" s="1" t="n">
        <f aca="false" t="array" ref="B270:B270">_xlfn.SWITCH($A$2,"average", AVERAGE(Instances!B270:B270),"median", MEDIAN(Instances!B270:B270),"min", MIN(Instances!B270:B270),"max", MAX(Instances!B270:B270),"diff", MAX(Instances!B270:B270)-MIN(Instances!B270:B270))</f>
        <v>433</v>
      </c>
      <c r="C270" s="1" t="n">
        <f aca="false" t="array" ref="C270:C270">_xlfn.SWITCH($A$2,"average", AVERAGE(Instances!C270:C270),"median", MEDIAN(Instances!C270:C270),"min", MIN(Instances!C270:C270),"max", MAX(Instances!C270:C270),"diff", MAX(Instances!C270:C270)-MIN(Instances!C270:C270))</f>
        <v>1</v>
      </c>
      <c r="D270" s="1" t="n">
        <f aca="false" t="array" ref="D270:D270">_xlfn.SWITCH($A$2,"average", AVERAGE(Instances!D270:D270),"median", MEDIAN(Instances!D270:D270),"min", MIN(Instances!D270:D270),"max", MAX(Instances!D270:D270),"diff", MAX(Instances!D270:D270)-MIN(Instances!D270:D270))</f>
        <v>215647</v>
      </c>
      <c r="E270" s="1" t="n">
        <f aca="false" t="array" ref="E270:E270">_xlfn.SWITCH($A$2,"average", AVERAGE(Instances!E270:E270),"median", MEDIAN(Instances!E270:E270),"min", MIN(Instances!E270:E270),"max", MAX(Instances!E270:E270),"diff", MAX(Instances!E270:E270)-MIN(Instances!E270:E270))</f>
        <v>0</v>
      </c>
      <c r="F270" s="1" t="n">
        <f aca="false" t="array" ref="F270:F270">_xlfn.SWITCH($A$2,"average", AVERAGE(Instances!F270:F270),"median", MEDIAN(Instances!F270:F270),"min", MIN(Instances!F270:F270),"max", MAX(Instances!F270:F270),"diff", MAX(Instances!F270:F270)-MIN(Instances!F270:F270))</f>
        <v>276</v>
      </c>
      <c r="G270" s="1" t="n">
        <f aca="false" t="array" ref="G270:G270">_xlfn.SWITCH($A$2,"average", AVERAGE(Instances!G270:G270),"median", MEDIAN(Instances!G270:G270),"min", MIN(Instances!G270:G270),"max", MAX(Instances!G270:G270),"diff", MAX(Instances!G270:G270)-MIN(Instances!G270:G270))</f>
        <v>0</v>
      </c>
      <c r="H270" s="1" t="n">
        <f aca="false" t="array" ref="H270:H270">_xlfn.SWITCH($A$2,"average", AVERAGE(Instances!H270:H270),"median", MEDIAN(Instances!H270:H270),"min", MIN(Instances!H270:H270),"max", MAX(Instances!H270:H270),"diff", MAX(Instances!H270:H270)-MIN(Instances!H270:H270))</f>
        <v>1</v>
      </c>
      <c r="I270" s="1" t="n">
        <f aca="false" t="array" ref="I270:I270">_xlfn.SWITCH($A$2,"average", AVERAGE(Instances!I270:I270),"median", MEDIAN(Instances!I270:I270),"min", MIN(Instances!I270:I270),"max", MAX(Instances!I270:I270),"diff", MAX(Instances!I270:I270)-MIN(Instances!I270:I270))</f>
        <v>4.023</v>
      </c>
      <c r="J270" s="1" t="n">
        <f aca="false" t="array" ref="J270:J270">_xlfn.SWITCH($A$2,"average", AVERAGE(Instances!J270:J270),"median", MEDIAN(Instances!J270:J270),"min", MIN(Instances!J270:J270),"max", MAX(Instances!J270:J270),"diff", MAX(Instances!J270:J270)-MIN(Instances!J270:J270))</f>
        <v>4.13</v>
      </c>
      <c r="K270" s="1" t="n">
        <f aca="false" t="array" ref="K270:K270">_xlfn.SWITCH($A$2,"average", AVERAGE(Instances!K270:K270),"median", MEDIAN(Instances!K270:K270),"min", MIN(Instances!K270:K270),"max", MAX(Instances!K270:K270),"diff", MAX(Instances!K270:K270)-MIN(Instances!K270:K270))</f>
        <v>0</v>
      </c>
      <c r="L270" s="1"/>
      <c r="M270" s="1" t="n">
        <f aca="false" t="array" ref="M270:M270">_xlfn.SWITCH($A$2,"average", AVERAGE(Instances!M270:M270),"median", MEDIAN(Instances!M270:M270),"min", MIN(Instances!M270:M270),"max", MAX(Instances!M270:M270),"diff", MAX(Instances!M270:M270)-MIN(Instances!M270:M270))</f>
        <v>948874</v>
      </c>
      <c r="N270" s="1" t="n">
        <f aca="false" t="array" ref="N270:N270">_xlfn.SWITCH($A$2,"average", AVERAGE(Instances!N270:N270),"median", MEDIAN(Instances!N270:N270),"min", MIN(Instances!N270:N270),"max", MAX(Instances!N270:N270),"diff", MAX(Instances!N270:N270)-MIN(Instances!N270:N270))</f>
        <v>0.02</v>
      </c>
      <c r="O270" s="1"/>
      <c r="P270" s="1" t="n">
        <f aca="false" t="array" ref="P270:P270">_xlfn.SWITCH($A$2,"average", AVERAGE(Instances!P270:P270),"median", MEDIAN(Instances!P270:P270),"min", MIN(Instances!P270:P270),"max", MAX(Instances!P270:P270),"diff", MAX(Instances!P270:P270)-MIN(Instances!P270:P270))</f>
        <v>4.13</v>
      </c>
      <c r="Q270" s="1" t="n">
        <f aca="false" t="array" ref="Q270:Q270">_xlfn.SWITCH($A$2,"average", AVERAGE(Instances!Q270:Q270),"median", MEDIAN(Instances!Q270:Q270),"min", MIN(Instances!Q270:Q270),"max", MAX(Instances!Q270:Q270),"diff", MAX(Instances!Q270:Q270)-MIN(Instances!Q270:Q270))</f>
        <v>0</v>
      </c>
      <c r="R270" s="1" t="n">
        <f aca="false" t="array" ref="R270:R270">_xlfn.SWITCH($A$2,"average", AVERAGE(Instances!R270:R270),"median", MEDIAN(Instances!R270:R270),"min", MIN(Instances!R270:R270),"max", MAX(Instances!R270:R270),"diff", MAX(Instances!R270:R270)-MIN(Instances!R270:R270))</f>
        <v>283728</v>
      </c>
      <c r="S270" s="1" t="n">
        <f aca="false">MIN($B270)</f>
        <v>433</v>
      </c>
      <c r="T270" s="1" t="n">
        <f aca="false">MIN($C270)</f>
        <v>1</v>
      </c>
      <c r="U270" s="1" t="n">
        <f aca="false">MIN($D270)</f>
        <v>215647</v>
      </c>
      <c r="V270" s="1" t="n">
        <f aca="false">MIN($E270)</f>
        <v>0</v>
      </c>
      <c r="W270" s="1" t="n">
        <f aca="false">MIN($F270)</f>
        <v>276</v>
      </c>
      <c r="X270" s="1" t="n">
        <f aca="false">MIN($G270)</f>
        <v>0</v>
      </c>
      <c r="Y270" s="1" t="n">
        <f aca="false">MIN($H270)</f>
        <v>1</v>
      </c>
      <c r="Z270" s="1" t="n">
        <f aca="false">MIN($I270)</f>
        <v>4.023</v>
      </c>
      <c r="AA270" s="1" t="n">
        <f aca="false">MIN($J270)</f>
        <v>4.13</v>
      </c>
      <c r="AB270" s="1" t="n">
        <f aca="false">MIN($K270)</f>
        <v>0</v>
      </c>
      <c r="AC270" s="1" t="n">
        <f aca="false">MIN($M270)</f>
        <v>948874</v>
      </c>
      <c r="AD270" s="1" t="n">
        <f aca="false">MIN($N270)</f>
        <v>0.02</v>
      </c>
      <c r="AE270" s="1" t="n">
        <f aca="false">MIN($P270)</f>
        <v>4.13</v>
      </c>
      <c r="AF270" s="1" t="n">
        <f aca="false">MIN($Q270)</f>
        <v>0</v>
      </c>
      <c r="AG270" s="1" t="n">
        <f aca="false">MIN($R270)</f>
        <v>283728</v>
      </c>
      <c r="AH270" s="1" t="n">
        <f aca="false">MEDIAN($B270)</f>
        <v>433</v>
      </c>
      <c r="AI270" s="1" t="n">
        <f aca="false">MEDIAN($C270)</f>
        <v>1</v>
      </c>
      <c r="AJ270" s="1" t="n">
        <f aca="false">MEDIAN($D270)</f>
        <v>215647</v>
      </c>
      <c r="AK270" s="1" t="n">
        <f aca="false">MEDIAN($E270)</f>
        <v>0</v>
      </c>
      <c r="AL270" s="1" t="n">
        <f aca="false">MEDIAN($F270)</f>
        <v>276</v>
      </c>
      <c r="AM270" s="1" t="n">
        <f aca="false">MEDIAN($G270)</f>
        <v>0</v>
      </c>
      <c r="AN270" s="1" t="n">
        <f aca="false">MEDIAN($H270)</f>
        <v>1</v>
      </c>
      <c r="AO270" s="1" t="n">
        <f aca="false">MEDIAN($I270)</f>
        <v>4.023</v>
      </c>
      <c r="AP270" s="1" t="n">
        <f aca="false">MEDIAN($J270)</f>
        <v>4.13</v>
      </c>
      <c r="AQ270" s="1" t="n">
        <f aca="false">MEDIAN($K270)</f>
        <v>0</v>
      </c>
      <c r="AR270" s="1" t="n">
        <f aca="false">MEDIAN($M270)</f>
        <v>948874</v>
      </c>
      <c r="AS270" s="1" t="n">
        <f aca="false">MEDIAN($N270)</f>
        <v>0.02</v>
      </c>
      <c r="AT270" s="1" t="n">
        <f aca="false">MEDIAN($P270)</f>
        <v>4.13</v>
      </c>
      <c r="AU270" s="1" t="n">
        <f aca="false">MEDIAN($Q270)</f>
        <v>0</v>
      </c>
      <c r="AV270" s="1" t="n">
        <f aca="false">MEDIAN($R270)</f>
        <v>283728</v>
      </c>
      <c r="AW270" s="1" t="n">
        <f aca="false">MAX($B270)</f>
        <v>433</v>
      </c>
      <c r="AX270" s="1" t="n">
        <f aca="false">MAX($C270)</f>
        <v>1</v>
      </c>
      <c r="AY270" s="1" t="n">
        <f aca="false">MAX($D270)</f>
        <v>215647</v>
      </c>
      <c r="AZ270" s="1" t="n">
        <f aca="false">MAX($E270)</f>
        <v>0</v>
      </c>
      <c r="BA270" s="1" t="n">
        <f aca="false">MAX($F270)</f>
        <v>276</v>
      </c>
      <c r="BB270" s="1" t="n">
        <f aca="false">MAX($G270)</f>
        <v>0</v>
      </c>
      <c r="BC270" s="1" t="n">
        <f aca="false">MAX($H270)</f>
        <v>1</v>
      </c>
      <c r="BD270" s="1" t="n">
        <f aca="false">MAX($I270)</f>
        <v>4.023</v>
      </c>
      <c r="BE270" s="1" t="n">
        <f aca="false">MAX($J270)</f>
        <v>4.13</v>
      </c>
      <c r="BF270" s="1" t="n">
        <f aca="false">MAX($K270)</f>
        <v>0</v>
      </c>
      <c r="BG270" s="1" t="n">
        <f aca="false">MAX($M270)</f>
        <v>948874</v>
      </c>
      <c r="BH270" s="1" t="n">
        <f aca="false">MAX($N270)</f>
        <v>0.02</v>
      </c>
      <c r="BI270" s="1" t="n">
        <f aca="false">MAX($P270)</f>
        <v>4.13</v>
      </c>
      <c r="BJ270" s="1" t="n">
        <f aca="false">MAX($Q270)</f>
        <v>0</v>
      </c>
      <c r="BK270" s="1" t="n">
        <f aca="false">MAX($R270)</f>
        <v>283728</v>
      </c>
    </row>
    <row r="271" customFormat="false" ht="15" hidden="false" customHeight="false" outlineLevel="0" collapsed="false">
      <c r="A271" s="1" t="s">
        <v>288</v>
      </c>
      <c r="B271" s="1" t="n">
        <f aca="false" t="array" ref="B271:B271">_xlfn.SWITCH($A$2,"average", AVERAGE(Instances!B271:B271),"median", MEDIAN(Instances!B271:B271),"min", MIN(Instances!B271:B271),"max", MAX(Instances!B271:B271),"diff", MAX(Instances!B271:B271)-MIN(Instances!B271:B271))</f>
        <v>620</v>
      </c>
      <c r="C271" s="1" t="n">
        <f aca="false" t="array" ref="C271:C271">_xlfn.SWITCH($A$2,"average", AVERAGE(Instances!C271:C271),"median", MEDIAN(Instances!C271:C271),"min", MIN(Instances!C271:C271),"max", MAX(Instances!C271:C271),"diff", MAX(Instances!C271:C271)-MIN(Instances!C271:C271))</f>
        <v>2</v>
      </c>
      <c r="D271" s="1" t="n">
        <f aca="false" t="array" ref="D271:D271">_xlfn.SWITCH($A$2,"average", AVERAGE(Instances!D271:D271),"median", MEDIAN(Instances!D271:D271),"min", MIN(Instances!D271:D271),"max", MAX(Instances!D271:D271),"diff", MAX(Instances!D271:D271)-MIN(Instances!D271:D271))</f>
        <v>310894</v>
      </c>
      <c r="E271" s="1" t="n">
        <f aca="false" t="array" ref="E271:E271">_xlfn.SWITCH($A$2,"average", AVERAGE(Instances!E271:E271),"median", MEDIAN(Instances!E271:E271),"min", MIN(Instances!E271:E271),"max", MAX(Instances!E271:E271),"diff", MAX(Instances!E271:E271)-MIN(Instances!E271:E271))</f>
        <v>0</v>
      </c>
      <c r="F271" s="1" t="n">
        <f aca="false" t="array" ref="F271:F271">_xlfn.SWITCH($A$2,"average", AVERAGE(Instances!F271:F271),"median", MEDIAN(Instances!F271:F271),"min", MIN(Instances!F271:F271),"max", MAX(Instances!F271:F271),"diff", MAX(Instances!F271:F271)-MIN(Instances!F271:F271))</f>
        <v>290</v>
      </c>
      <c r="G271" s="1" t="n">
        <f aca="false" t="array" ref="G271:G271">_xlfn.SWITCH($A$2,"average", AVERAGE(Instances!G271:G271),"median", MEDIAN(Instances!G271:G271),"min", MIN(Instances!G271:G271),"max", MAX(Instances!G271:G271),"diff", MAX(Instances!G271:G271)-MIN(Instances!G271:G271))</f>
        <v>0</v>
      </c>
      <c r="H271" s="1" t="n">
        <f aca="false" t="array" ref="H271:H271">_xlfn.SWITCH($A$2,"average", AVERAGE(Instances!H271:H271),"median", MEDIAN(Instances!H271:H271),"min", MIN(Instances!H271:H271),"max", MAX(Instances!H271:H271),"diff", MAX(Instances!H271:H271)-MIN(Instances!H271:H271))</f>
        <v>1</v>
      </c>
      <c r="I271" s="1" t="n">
        <f aca="false" t="array" ref="I271:I271">_xlfn.SWITCH($A$2,"average", AVERAGE(Instances!I271:I271),"median", MEDIAN(Instances!I271:I271),"min", MIN(Instances!I271:I271),"max", MAX(Instances!I271:I271),"diff", MAX(Instances!I271:I271)-MIN(Instances!I271:I271))</f>
        <v>4.255</v>
      </c>
      <c r="J271" s="1" t="n">
        <f aca="false" t="array" ref="J271:J271">_xlfn.SWITCH($A$2,"average", AVERAGE(Instances!J271:J271),"median", MEDIAN(Instances!J271:J271),"min", MIN(Instances!J271:J271),"max", MAX(Instances!J271:J271),"diff", MAX(Instances!J271:J271)-MIN(Instances!J271:J271))</f>
        <v>4.37</v>
      </c>
      <c r="K271" s="1" t="n">
        <f aca="false" t="array" ref="K271:K271">_xlfn.SWITCH($A$2,"average", AVERAGE(Instances!K271:K271),"median", MEDIAN(Instances!K271:K271),"min", MIN(Instances!K271:K271),"max", MAX(Instances!K271:K271),"diff", MAX(Instances!K271:K271)-MIN(Instances!K271:K271))</f>
        <v>0</v>
      </c>
      <c r="L271" s="1"/>
      <c r="M271" s="1" t="n">
        <f aca="false" t="array" ref="M271:M271">_xlfn.SWITCH($A$2,"average", AVERAGE(Instances!M271:M271),"median", MEDIAN(Instances!M271:M271),"min", MIN(Instances!M271:M271),"max", MAX(Instances!M271:M271),"diff", MAX(Instances!M271:M271)-MIN(Instances!M271:M271))</f>
        <v>994499</v>
      </c>
      <c r="N271" s="1" t="n">
        <f aca="false" t="array" ref="N271:N271">_xlfn.SWITCH($A$2,"average", AVERAGE(Instances!N271:N271),"median", MEDIAN(Instances!N271:N271),"min", MIN(Instances!N271:N271),"max", MAX(Instances!N271:N271),"diff", MAX(Instances!N271:N271)-MIN(Instances!N271:N271))</f>
        <v>0.03</v>
      </c>
      <c r="O271" s="1"/>
      <c r="P271" s="1" t="n">
        <f aca="false" t="array" ref="P271:P271">_xlfn.SWITCH($A$2,"average", AVERAGE(Instances!P271:P271),"median", MEDIAN(Instances!P271:P271),"min", MIN(Instances!P271:P271),"max", MAX(Instances!P271:P271),"diff", MAX(Instances!P271:P271)-MIN(Instances!P271:P271))</f>
        <v>4.37</v>
      </c>
      <c r="Q271" s="1" t="n">
        <f aca="false" t="array" ref="Q271:Q271">_xlfn.SWITCH($A$2,"average", AVERAGE(Instances!Q271:Q271),"median", MEDIAN(Instances!Q271:Q271),"min", MIN(Instances!Q271:Q271),"max", MAX(Instances!Q271:Q271),"diff", MAX(Instances!Q271:Q271)-MIN(Instances!Q271:Q271))</f>
        <v>0</v>
      </c>
      <c r="R271" s="1" t="n">
        <f aca="false" t="array" ref="R271:R271">_xlfn.SWITCH($A$2,"average", AVERAGE(Instances!R271:R271),"median", MEDIAN(Instances!R271:R271),"min", MIN(Instances!R271:R271),"max", MAX(Instances!R271:R271),"diff", MAX(Instances!R271:R271)-MIN(Instances!R271:R271))</f>
        <v>300811</v>
      </c>
      <c r="S271" s="1" t="n">
        <f aca="false">MIN($B271)</f>
        <v>620</v>
      </c>
      <c r="T271" s="1" t="n">
        <f aca="false">MIN($C271)</f>
        <v>2</v>
      </c>
      <c r="U271" s="1" t="n">
        <f aca="false">MIN($D271)</f>
        <v>310894</v>
      </c>
      <c r="V271" s="1" t="n">
        <f aca="false">MIN($E271)</f>
        <v>0</v>
      </c>
      <c r="W271" s="1" t="n">
        <f aca="false">MIN($F271)</f>
        <v>290</v>
      </c>
      <c r="X271" s="1" t="n">
        <f aca="false">MIN($G271)</f>
        <v>0</v>
      </c>
      <c r="Y271" s="1" t="n">
        <f aca="false">MIN($H271)</f>
        <v>1</v>
      </c>
      <c r="Z271" s="1" t="n">
        <f aca="false">MIN($I271)</f>
        <v>4.255</v>
      </c>
      <c r="AA271" s="1" t="n">
        <f aca="false">MIN($J271)</f>
        <v>4.37</v>
      </c>
      <c r="AB271" s="1" t="n">
        <f aca="false">MIN($K271)</f>
        <v>0</v>
      </c>
      <c r="AC271" s="1" t="n">
        <f aca="false">MIN($M271)</f>
        <v>994499</v>
      </c>
      <c r="AD271" s="1" t="n">
        <f aca="false">MIN($N271)</f>
        <v>0.03</v>
      </c>
      <c r="AE271" s="1" t="n">
        <f aca="false">MIN($P271)</f>
        <v>4.37</v>
      </c>
      <c r="AF271" s="1" t="n">
        <f aca="false">MIN($Q271)</f>
        <v>0</v>
      </c>
      <c r="AG271" s="1" t="n">
        <f aca="false">MIN($R271)</f>
        <v>300811</v>
      </c>
      <c r="AH271" s="1" t="n">
        <f aca="false">MEDIAN($B271)</f>
        <v>620</v>
      </c>
      <c r="AI271" s="1" t="n">
        <f aca="false">MEDIAN($C271)</f>
        <v>2</v>
      </c>
      <c r="AJ271" s="1" t="n">
        <f aca="false">MEDIAN($D271)</f>
        <v>310894</v>
      </c>
      <c r="AK271" s="1" t="n">
        <f aca="false">MEDIAN($E271)</f>
        <v>0</v>
      </c>
      <c r="AL271" s="1" t="n">
        <f aca="false">MEDIAN($F271)</f>
        <v>290</v>
      </c>
      <c r="AM271" s="1" t="n">
        <f aca="false">MEDIAN($G271)</f>
        <v>0</v>
      </c>
      <c r="AN271" s="1" t="n">
        <f aca="false">MEDIAN($H271)</f>
        <v>1</v>
      </c>
      <c r="AO271" s="1" t="n">
        <f aca="false">MEDIAN($I271)</f>
        <v>4.255</v>
      </c>
      <c r="AP271" s="1" t="n">
        <f aca="false">MEDIAN($J271)</f>
        <v>4.37</v>
      </c>
      <c r="AQ271" s="1" t="n">
        <f aca="false">MEDIAN($K271)</f>
        <v>0</v>
      </c>
      <c r="AR271" s="1" t="n">
        <f aca="false">MEDIAN($M271)</f>
        <v>994499</v>
      </c>
      <c r="AS271" s="1" t="n">
        <f aca="false">MEDIAN($N271)</f>
        <v>0.03</v>
      </c>
      <c r="AT271" s="1" t="n">
        <f aca="false">MEDIAN($P271)</f>
        <v>4.37</v>
      </c>
      <c r="AU271" s="1" t="n">
        <f aca="false">MEDIAN($Q271)</f>
        <v>0</v>
      </c>
      <c r="AV271" s="1" t="n">
        <f aca="false">MEDIAN($R271)</f>
        <v>300811</v>
      </c>
      <c r="AW271" s="1" t="n">
        <f aca="false">MAX($B271)</f>
        <v>620</v>
      </c>
      <c r="AX271" s="1" t="n">
        <f aca="false">MAX($C271)</f>
        <v>2</v>
      </c>
      <c r="AY271" s="1" t="n">
        <f aca="false">MAX($D271)</f>
        <v>310894</v>
      </c>
      <c r="AZ271" s="1" t="n">
        <f aca="false">MAX($E271)</f>
        <v>0</v>
      </c>
      <c r="BA271" s="1" t="n">
        <f aca="false">MAX($F271)</f>
        <v>290</v>
      </c>
      <c r="BB271" s="1" t="n">
        <f aca="false">MAX($G271)</f>
        <v>0</v>
      </c>
      <c r="BC271" s="1" t="n">
        <f aca="false">MAX($H271)</f>
        <v>1</v>
      </c>
      <c r="BD271" s="1" t="n">
        <f aca="false">MAX($I271)</f>
        <v>4.255</v>
      </c>
      <c r="BE271" s="1" t="n">
        <f aca="false">MAX($J271)</f>
        <v>4.37</v>
      </c>
      <c r="BF271" s="1" t="n">
        <f aca="false">MAX($K271)</f>
        <v>0</v>
      </c>
      <c r="BG271" s="1" t="n">
        <f aca="false">MAX($M271)</f>
        <v>994499</v>
      </c>
      <c r="BH271" s="1" t="n">
        <f aca="false">MAX($N271)</f>
        <v>0.03</v>
      </c>
      <c r="BI271" s="1" t="n">
        <f aca="false">MAX($P271)</f>
        <v>4.37</v>
      </c>
      <c r="BJ271" s="1" t="n">
        <f aca="false">MAX($Q271)</f>
        <v>0</v>
      </c>
      <c r="BK271" s="1" t="n">
        <f aca="false">MAX($R271)</f>
        <v>300811</v>
      </c>
    </row>
    <row r="272" customFormat="false" ht="15" hidden="false" customHeight="false" outlineLevel="0" collapsed="false">
      <c r="A272" s="1" t="s">
        <v>289</v>
      </c>
      <c r="B272" s="1" t="n">
        <f aca="false" t="array" ref="B272:B272">_xlfn.SWITCH($A$2,"average", AVERAGE(Instances!B272:B272),"median", MEDIAN(Instances!B272:B272),"min", MIN(Instances!B272:B272),"max", MAX(Instances!B272:B272),"diff", MAX(Instances!B272:B272)-MIN(Instances!B272:B272))</f>
        <v>680</v>
      </c>
      <c r="C272" s="1" t="n">
        <f aca="false" t="array" ref="C272:C272">_xlfn.SWITCH($A$2,"average", AVERAGE(Instances!C272:C272),"median", MEDIAN(Instances!C272:C272),"min", MIN(Instances!C272:C272),"max", MAX(Instances!C272:C272),"diff", MAX(Instances!C272:C272)-MIN(Instances!C272:C272))</f>
        <v>1</v>
      </c>
      <c r="D272" s="1" t="n">
        <f aca="false" t="array" ref="D272:D272">_xlfn.SWITCH($A$2,"average", AVERAGE(Instances!D272:D272),"median", MEDIAN(Instances!D272:D272),"min", MIN(Instances!D272:D272),"max", MAX(Instances!D272:D272),"diff", MAX(Instances!D272:D272)-MIN(Instances!D272:D272))</f>
        <v>261862</v>
      </c>
      <c r="E272" s="1" t="n">
        <f aca="false" t="array" ref="E272:E272">_xlfn.SWITCH($A$2,"average", AVERAGE(Instances!E272:E272),"median", MEDIAN(Instances!E272:E272),"min", MIN(Instances!E272:E272),"max", MAX(Instances!E272:E272),"diff", MAX(Instances!E272:E272)-MIN(Instances!E272:E272))</f>
        <v>0</v>
      </c>
      <c r="F272" s="1" t="n">
        <f aca="false" t="array" ref="F272:F272">_xlfn.SWITCH($A$2,"average", AVERAGE(Instances!F272:F272),"median", MEDIAN(Instances!F272:F272),"min", MIN(Instances!F272:F272),"max", MAX(Instances!F272:F272),"diff", MAX(Instances!F272:F272)-MIN(Instances!F272:F272))</f>
        <v>290</v>
      </c>
      <c r="G272" s="1" t="n">
        <f aca="false" t="array" ref="G272:G272">_xlfn.SWITCH($A$2,"average", AVERAGE(Instances!G272:G272),"median", MEDIAN(Instances!G272:G272),"min", MIN(Instances!G272:G272),"max", MAX(Instances!G272:G272),"diff", MAX(Instances!G272:G272)-MIN(Instances!G272:G272))</f>
        <v>0</v>
      </c>
      <c r="H272" s="1" t="n">
        <f aca="false" t="array" ref="H272:H272">_xlfn.SWITCH($A$2,"average", AVERAGE(Instances!H272:H272),"median", MEDIAN(Instances!H272:H272),"min", MIN(Instances!H272:H272),"max", MAX(Instances!H272:H272),"diff", MAX(Instances!H272:H272)-MIN(Instances!H272:H272))</f>
        <v>1</v>
      </c>
      <c r="I272" s="1" t="n">
        <f aca="false" t="array" ref="I272:I272">_xlfn.SWITCH($A$2,"average", AVERAGE(Instances!I272:I272),"median", MEDIAN(Instances!I272:I272),"min", MIN(Instances!I272:I272),"max", MAX(Instances!I272:I272),"diff", MAX(Instances!I272:I272)-MIN(Instances!I272:I272))</f>
        <v>4.371</v>
      </c>
      <c r="J272" s="1" t="n">
        <f aca="false" t="array" ref="J272:J272">_xlfn.SWITCH($A$2,"average", AVERAGE(Instances!J272:J272),"median", MEDIAN(Instances!J272:J272),"min", MIN(Instances!J272:J272),"max", MAX(Instances!J272:J272),"diff", MAX(Instances!J272:J272)-MIN(Instances!J272:J272))</f>
        <v>4.49</v>
      </c>
      <c r="K272" s="1" t="n">
        <f aca="false" t="array" ref="K272:K272">_xlfn.SWITCH($A$2,"average", AVERAGE(Instances!K272:K272),"median", MEDIAN(Instances!K272:K272),"min", MIN(Instances!K272:K272),"max", MAX(Instances!K272:K272),"diff", MAX(Instances!K272:K272)-MIN(Instances!K272:K272))</f>
        <v>0</v>
      </c>
      <c r="L272" s="1"/>
      <c r="M272" s="1" t="n">
        <f aca="false" t="array" ref="M272:M272">_xlfn.SWITCH($A$2,"average", AVERAGE(Instances!M272:M272),"median", MEDIAN(Instances!M272:M272),"min", MIN(Instances!M272:M272),"max", MAX(Instances!M272:M272),"diff", MAX(Instances!M272:M272)-MIN(Instances!M272:M272))</f>
        <v>994330</v>
      </c>
      <c r="N272" s="1" t="n">
        <f aca="false" t="array" ref="N272:N272">_xlfn.SWITCH($A$2,"average", AVERAGE(Instances!N272:N272),"median", MEDIAN(Instances!N272:N272),"min", MIN(Instances!N272:N272),"max", MAX(Instances!N272:N272),"diff", MAX(Instances!N272:N272)-MIN(Instances!N272:N272))</f>
        <v>0.03</v>
      </c>
      <c r="O272" s="1"/>
      <c r="P272" s="1" t="n">
        <f aca="false" t="array" ref="P272:P272">_xlfn.SWITCH($A$2,"average", AVERAGE(Instances!P272:P272),"median", MEDIAN(Instances!P272:P272),"min", MIN(Instances!P272:P272),"max", MAX(Instances!P272:P272),"diff", MAX(Instances!P272:P272)-MIN(Instances!P272:P272))</f>
        <v>4.49</v>
      </c>
      <c r="Q272" s="1" t="n">
        <f aca="false" t="array" ref="Q272:Q272">_xlfn.SWITCH($A$2,"average", AVERAGE(Instances!Q272:Q272),"median", MEDIAN(Instances!Q272:Q272),"min", MIN(Instances!Q272:Q272),"max", MAX(Instances!Q272:Q272),"diff", MAX(Instances!Q272:Q272)-MIN(Instances!Q272:Q272))</f>
        <v>0</v>
      </c>
      <c r="R272" s="1" t="n">
        <f aca="false" t="array" ref="R272:R272">_xlfn.SWITCH($A$2,"average", AVERAGE(Instances!R272:R272),"median", MEDIAN(Instances!R272:R272),"min", MIN(Instances!R272:R272),"max", MAX(Instances!R272:R272),"diff", MAX(Instances!R272:R272)-MIN(Instances!R272:R272))</f>
        <v>300162</v>
      </c>
      <c r="S272" s="1" t="n">
        <f aca="false">MIN($B272)</f>
        <v>680</v>
      </c>
      <c r="T272" s="1" t="n">
        <f aca="false">MIN($C272)</f>
        <v>1</v>
      </c>
      <c r="U272" s="1" t="n">
        <f aca="false">MIN($D272)</f>
        <v>261862</v>
      </c>
      <c r="V272" s="1" t="n">
        <f aca="false">MIN($E272)</f>
        <v>0</v>
      </c>
      <c r="W272" s="1" t="n">
        <f aca="false">MIN($F272)</f>
        <v>290</v>
      </c>
      <c r="X272" s="1" t="n">
        <f aca="false">MIN($G272)</f>
        <v>0</v>
      </c>
      <c r="Y272" s="1" t="n">
        <f aca="false">MIN($H272)</f>
        <v>1</v>
      </c>
      <c r="Z272" s="1" t="n">
        <f aca="false">MIN($I272)</f>
        <v>4.371</v>
      </c>
      <c r="AA272" s="1" t="n">
        <f aca="false">MIN($J272)</f>
        <v>4.49</v>
      </c>
      <c r="AB272" s="1" t="n">
        <f aca="false">MIN($K272)</f>
        <v>0</v>
      </c>
      <c r="AC272" s="1" t="n">
        <f aca="false">MIN($M272)</f>
        <v>994330</v>
      </c>
      <c r="AD272" s="1" t="n">
        <f aca="false">MIN($N272)</f>
        <v>0.03</v>
      </c>
      <c r="AE272" s="1" t="n">
        <f aca="false">MIN($P272)</f>
        <v>4.49</v>
      </c>
      <c r="AF272" s="1" t="n">
        <f aca="false">MIN($Q272)</f>
        <v>0</v>
      </c>
      <c r="AG272" s="1" t="n">
        <f aca="false">MIN($R272)</f>
        <v>300162</v>
      </c>
      <c r="AH272" s="1" t="n">
        <f aca="false">MEDIAN($B272)</f>
        <v>680</v>
      </c>
      <c r="AI272" s="1" t="n">
        <f aca="false">MEDIAN($C272)</f>
        <v>1</v>
      </c>
      <c r="AJ272" s="1" t="n">
        <f aca="false">MEDIAN($D272)</f>
        <v>261862</v>
      </c>
      <c r="AK272" s="1" t="n">
        <f aca="false">MEDIAN($E272)</f>
        <v>0</v>
      </c>
      <c r="AL272" s="1" t="n">
        <f aca="false">MEDIAN($F272)</f>
        <v>290</v>
      </c>
      <c r="AM272" s="1" t="n">
        <f aca="false">MEDIAN($G272)</f>
        <v>0</v>
      </c>
      <c r="AN272" s="1" t="n">
        <f aca="false">MEDIAN($H272)</f>
        <v>1</v>
      </c>
      <c r="AO272" s="1" t="n">
        <f aca="false">MEDIAN($I272)</f>
        <v>4.371</v>
      </c>
      <c r="AP272" s="1" t="n">
        <f aca="false">MEDIAN($J272)</f>
        <v>4.49</v>
      </c>
      <c r="AQ272" s="1" t="n">
        <f aca="false">MEDIAN($K272)</f>
        <v>0</v>
      </c>
      <c r="AR272" s="1" t="n">
        <f aca="false">MEDIAN($M272)</f>
        <v>994330</v>
      </c>
      <c r="AS272" s="1" t="n">
        <f aca="false">MEDIAN($N272)</f>
        <v>0.03</v>
      </c>
      <c r="AT272" s="1" t="n">
        <f aca="false">MEDIAN($P272)</f>
        <v>4.49</v>
      </c>
      <c r="AU272" s="1" t="n">
        <f aca="false">MEDIAN($Q272)</f>
        <v>0</v>
      </c>
      <c r="AV272" s="1" t="n">
        <f aca="false">MEDIAN($R272)</f>
        <v>300162</v>
      </c>
      <c r="AW272" s="1" t="n">
        <f aca="false">MAX($B272)</f>
        <v>680</v>
      </c>
      <c r="AX272" s="1" t="n">
        <f aca="false">MAX($C272)</f>
        <v>1</v>
      </c>
      <c r="AY272" s="1" t="n">
        <f aca="false">MAX($D272)</f>
        <v>261862</v>
      </c>
      <c r="AZ272" s="1" t="n">
        <f aca="false">MAX($E272)</f>
        <v>0</v>
      </c>
      <c r="BA272" s="1" t="n">
        <f aca="false">MAX($F272)</f>
        <v>290</v>
      </c>
      <c r="BB272" s="1" t="n">
        <f aca="false">MAX($G272)</f>
        <v>0</v>
      </c>
      <c r="BC272" s="1" t="n">
        <f aca="false">MAX($H272)</f>
        <v>1</v>
      </c>
      <c r="BD272" s="1" t="n">
        <f aca="false">MAX($I272)</f>
        <v>4.371</v>
      </c>
      <c r="BE272" s="1" t="n">
        <f aca="false">MAX($J272)</f>
        <v>4.49</v>
      </c>
      <c r="BF272" s="1" t="n">
        <f aca="false">MAX($K272)</f>
        <v>0</v>
      </c>
      <c r="BG272" s="1" t="n">
        <f aca="false">MAX($M272)</f>
        <v>994330</v>
      </c>
      <c r="BH272" s="1" t="n">
        <f aca="false">MAX($N272)</f>
        <v>0.03</v>
      </c>
      <c r="BI272" s="1" t="n">
        <f aca="false">MAX($P272)</f>
        <v>4.49</v>
      </c>
      <c r="BJ272" s="1" t="n">
        <f aca="false">MAX($Q272)</f>
        <v>0</v>
      </c>
      <c r="BK272" s="1" t="n">
        <f aca="false">MAX($R272)</f>
        <v>300162</v>
      </c>
    </row>
    <row r="273" customFormat="false" ht="15" hidden="false" customHeight="false" outlineLevel="0" collapsed="false">
      <c r="A273" s="1" t="s">
        <v>290</v>
      </c>
      <c r="B273" s="1" t="n">
        <f aca="false" t="array" ref="B273:B273">_xlfn.SWITCH($A$2,"average", AVERAGE(Instances!B273:B273),"median", MEDIAN(Instances!B273:B273),"min", MIN(Instances!B273:B273),"max", MAX(Instances!B273:B273),"diff", MAX(Instances!B273:B273)-MIN(Instances!B273:B273))</f>
        <v>1242</v>
      </c>
      <c r="C273" s="1" t="n">
        <f aca="false" t="array" ref="C273:C273">_xlfn.SWITCH($A$2,"average", AVERAGE(Instances!C273:C273),"median", MEDIAN(Instances!C273:C273),"min", MIN(Instances!C273:C273),"max", MAX(Instances!C273:C273),"diff", MAX(Instances!C273:C273)-MIN(Instances!C273:C273))</f>
        <v>1</v>
      </c>
      <c r="D273" s="1" t="n">
        <f aca="false" t="array" ref="D273:D273">_xlfn.SWITCH($A$2,"average", AVERAGE(Instances!D273:D273),"median", MEDIAN(Instances!D273:D273),"min", MIN(Instances!D273:D273),"max", MAX(Instances!D273:D273),"diff", MAX(Instances!D273:D273)-MIN(Instances!D273:D273))</f>
        <v>226416</v>
      </c>
      <c r="E273" s="1" t="n">
        <f aca="false" t="array" ref="E273:E273">_xlfn.SWITCH($A$2,"average", AVERAGE(Instances!E273:E273),"median", MEDIAN(Instances!E273:E273),"min", MIN(Instances!E273:E273),"max", MAX(Instances!E273:E273),"diff", MAX(Instances!E273:E273)-MIN(Instances!E273:E273))</f>
        <v>0</v>
      </c>
      <c r="F273" s="1" t="n">
        <f aca="false" t="array" ref="F273:F273">_xlfn.SWITCH($A$2,"average", AVERAGE(Instances!F273:F273),"median", MEDIAN(Instances!F273:F273),"min", MIN(Instances!F273:F273),"max", MAX(Instances!F273:F273),"diff", MAX(Instances!F273:F273)-MIN(Instances!F273:F273))</f>
        <v>277</v>
      </c>
      <c r="G273" s="1" t="n">
        <f aca="false" t="array" ref="G273:G273">_xlfn.SWITCH($A$2,"average", AVERAGE(Instances!G273:G273),"median", MEDIAN(Instances!G273:G273),"min", MIN(Instances!G273:G273),"max", MAX(Instances!G273:G273),"diff", MAX(Instances!G273:G273)-MIN(Instances!G273:G273))</f>
        <v>0</v>
      </c>
      <c r="H273" s="1" t="n">
        <f aca="false" t="array" ref="H273:H273">_xlfn.SWITCH($A$2,"average", AVERAGE(Instances!H273:H273),"median", MEDIAN(Instances!H273:H273),"min", MIN(Instances!H273:H273),"max", MAX(Instances!H273:H273),"diff", MAX(Instances!H273:H273)-MIN(Instances!H273:H273))</f>
        <v>1</v>
      </c>
      <c r="I273" s="1" t="n">
        <f aca="false" t="array" ref="I273:I273">_xlfn.SWITCH($A$2,"average", AVERAGE(Instances!I273:I273),"median", MEDIAN(Instances!I273:I273),"min", MIN(Instances!I273:I273),"max", MAX(Instances!I273:I273),"diff", MAX(Instances!I273:I273)-MIN(Instances!I273:I273))</f>
        <v>3.939</v>
      </c>
      <c r="J273" s="1" t="n">
        <f aca="false" t="array" ref="J273:J273">_xlfn.SWITCH($A$2,"average", AVERAGE(Instances!J273:J273),"median", MEDIAN(Instances!J273:J273),"min", MIN(Instances!J273:J273),"max", MAX(Instances!J273:J273),"diff", MAX(Instances!J273:J273)-MIN(Instances!J273:J273))</f>
        <v>4.05</v>
      </c>
      <c r="K273" s="1" t="n">
        <f aca="false" t="array" ref="K273:K273">_xlfn.SWITCH($A$2,"average", AVERAGE(Instances!K273:K273),"median", MEDIAN(Instances!K273:K273),"min", MIN(Instances!K273:K273),"max", MAX(Instances!K273:K273),"diff", MAX(Instances!K273:K273)-MIN(Instances!K273:K273))</f>
        <v>0</v>
      </c>
      <c r="L273" s="1"/>
      <c r="M273" s="1" t="n">
        <f aca="false" t="array" ref="M273:M273">_xlfn.SWITCH($A$2,"average", AVERAGE(Instances!M273:M273),"median", MEDIAN(Instances!M273:M273),"min", MIN(Instances!M273:M273),"max", MAX(Instances!M273:M273),"diff", MAX(Instances!M273:M273)-MIN(Instances!M273:M273))</f>
        <v>935184</v>
      </c>
      <c r="N273" s="1" t="n">
        <f aca="false" t="array" ref="N273:N273">_xlfn.SWITCH($A$2,"average", AVERAGE(Instances!N273:N273),"median", MEDIAN(Instances!N273:N273),"min", MIN(Instances!N273:N273),"max", MAX(Instances!N273:N273),"diff", MAX(Instances!N273:N273)-MIN(Instances!N273:N273))</f>
        <v>0.03</v>
      </c>
      <c r="O273" s="1"/>
      <c r="P273" s="1" t="n">
        <f aca="false" t="array" ref="P273:P273">_xlfn.SWITCH($A$2,"average", AVERAGE(Instances!P273:P273),"median", MEDIAN(Instances!P273:P273),"min", MIN(Instances!P273:P273),"max", MAX(Instances!P273:P273),"diff", MAX(Instances!P273:P273)-MIN(Instances!P273:P273))</f>
        <v>4.05</v>
      </c>
      <c r="Q273" s="1" t="n">
        <f aca="false" t="array" ref="Q273:Q273">_xlfn.SWITCH($A$2,"average", AVERAGE(Instances!Q273:Q273),"median", MEDIAN(Instances!Q273:Q273),"min", MIN(Instances!Q273:Q273),"max", MAX(Instances!Q273:Q273),"diff", MAX(Instances!Q273:Q273)-MIN(Instances!Q273:Q273))</f>
        <v>0</v>
      </c>
      <c r="R273" s="1" t="n">
        <f aca="false" t="array" ref="R273:R273">_xlfn.SWITCH($A$2,"average", AVERAGE(Instances!R273:R273),"median", MEDIAN(Instances!R273:R273),"min", MIN(Instances!R273:R273),"max", MAX(Instances!R273:R273),"diff", MAX(Instances!R273:R273)-MIN(Instances!R273:R273))</f>
        <v>285973</v>
      </c>
      <c r="S273" s="1" t="n">
        <f aca="false">MIN($B273)</f>
        <v>1242</v>
      </c>
      <c r="T273" s="1" t="n">
        <f aca="false">MIN($C273)</f>
        <v>1</v>
      </c>
      <c r="U273" s="1" t="n">
        <f aca="false">MIN($D273)</f>
        <v>226416</v>
      </c>
      <c r="V273" s="1" t="n">
        <f aca="false">MIN($E273)</f>
        <v>0</v>
      </c>
      <c r="W273" s="1" t="n">
        <f aca="false">MIN($F273)</f>
        <v>277</v>
      </c>
      <c r="X273" s="1" t="n">
        <f aca="false">MIN($G273)</f>
        <v>0</v>
      </c>
      <c r="Y273" s="1" t="n">
        <f aca="false">MIN($H273)</f>
        <v>1</v>
      </c>
      <c r="Z273" s="1" t="n">
        <f aca="false">MIN($I273)</f>
        <v>3.939</v>
      </c>
      <c r="AA273" s="1" t="n">
        <f aca="false">MIN($J273)</f>
        <v>4.05</v>
      </c>
      <c r="AB273" s="1" t="n">
        <f aca="false">MIN($K273)</f>
        <v>0</v>
      </c>
      <c r="AC273" s="1" t="n">
        <f aca="false">MIN($M273)</f>
        <v>935184</v>
      </c>
      <c r="AD273" s="1" t="n">
        <f aca="false">MIN($N273)</f>
        <v>0.03</v>
      </c>
      <c r="AE273" s="1" t="n">
        <f aca="false">MIN($P273)</f>
        <v>4.05</v>
      </c>
      <c r="AF273" s="1" t="n">
        <f aca="false">MIN($Q273)</f>
        <v>0</v>
      </c>
      <c r="AG273" s="1" t="n">
        <f aca="false">MIN($R273)</f>
        <v>285973</v>
      </c>
      <c r="AH273" s="1" t="n">
        <f aca="false">MEDIAN($B273)</f>
        <v>1242</v>
      </c>
      <c r="AI273" s="1" t="n">
        <f aca="false">MEDIAN($C273)</f>
        <v>1</v>
      </c>
      <c r="AJ273" s="1" t="n">
        <f aca="false">MEDIAN($D273)</f>
        <v>226416</v>
      </c>
      <c r="AK273" s="1" t="n">
        <f aca="false">MEDIAN($E273)</f>
        <v>0</v>
      </c>
      <c r="AL273" s="1" t="n">
        <f aca="false">MEDIAN($F273)</f>
        <v>277</v>
      </c>
      <c r="AM273" s="1" t="n">
        <f aca="false">MEDIAN($G273)</f>
        <v>0</v>
      </c>
      <c r="AN273" s="1" t="n">
        <f aca="false">MEDIAN($H273)</f>
        <v>1</v>
      </c>
      <c r="AO273" s="1" t="n">
        <f aca="false">MEDIAN($I273)</f>
        <v>3.939</v>
      </c>
      <c r="AP273" s="1" t="n">
        <f aca="false">MEDIAN($J273)</f>
        <v>4.05</v>
      </c>
      <c r="AQ273" s="1" t="n">
        <f aca="false">MEDIAN($K273)</f>
        <v>0</v>
      </c>
      <c r="AR273" s="1" t="n">
        <f aca="false">MEDIAN($M273)</f>
        <v>935184</v>
      </c>
      <c r="AS273" s="1" t="n">
        <f aca="false">MEDIAN($N273)</f>
        <v>0.03</v>
      </c>
      <c r="AT273" s="1" t="n">
        <f aca="false">MEDIAN($P273)</f>
        <v>4.05</v>
      </c>
      <c r="AU273" s="1" t="n">
        <f aca="false">MEDIAN($Q273)</f>
        <v>0</v>
      </c>
      <c r="AV273" s="1" t="n">
        <f aca="false">MEDIAN($R273)</f>
        <v>285973</v>
      </c>
      <c r="AW273" s="1" t="n">
        <f aca="false">MAX($B273)</f>
        <v>1242</v>
      </c>
      <c r="AX273" s="1" t="n">
        <f aca="false">MAX($C273)</f>
        <v>1</v>
      </c>
      <c r="AY273" s="1" t="n">
        <f aca="false">MAX($D273)</f>
        <v>226416</v>
      </c>
      <c r="AZ273" s="1" t="n">
        <f aca="false">MAX($E273)</f>
        <v>0</v>
      </c>
      <c r="BA273" s="1" t="n">
        <f aca="false">MAX($F273)</f>
        <v>277</v>
      </c>
      <c r="BB273" s="1" t="n">
        <f aca="false">MAX($G273)</f>
        <v>0</v>
      </c>
      <c r="BC273" s="1" t="n">
        <f aca="false">MAX($H273)</f>
        <v>1</v>
      </c>
      <c r="BD273" s="1" t="n">
        <f aca="false">MAX($I273)</f>
        <v>3.939</v>
      </c>
      <c r="BE273" s="1" t="n">
        <f aca="false">MAX($J273)</f>
        <v>4.05</v>
      </c>
      <c r="BF273" s="1" t="n">
        <f aca="false">MAX($K273)</f>
        <v>0</v>
      </c>
      <c r="BG273" s="1" t="n">
        <f aca="false">MAX($M273)</f>
        <v>935184</v>
      </c>
      <c r="BH273" s="1" t="n">
        <f aca="false">MAX($N273)</f>
        <v>0.03</v>
      </c>
      <c r="BI273" s="1" t="n">
        <f aca="false">MAX($P273)</f>
        <v>4.05</v>
      </c>
      <c r="BJ273" s="1" t="n">
        <f aca="false">MAX($Q273)</f>
        <v>0</v>
      </c>
      <c r="BK273" s="1" t="n">
        <f aca="false">MAX($R273)</f>
        <v>285973</v>
      </c>
    </row>
    <row r="274" customFormat="false" ht="15" hidden="false" customHeight="false" outlineLevel="0" collapsed="false">
      <c r="A274" s="1" t="s">
        <v>291</v>
      </c>
      <c r="B274" s="1" t="n">
        <f aca="false" t="array" ref="B274:B274">_xlfn.SWITCH($A$2,"average", AVERAGE(Instances!B274:B274),"median", MEDIAN(Instances!B274:B274),"min", MIN(Instances!B274:B274),"max", MAX(Instances!B274:B274),"diff", MAX(Instances!B274:B274)-MIN(Instances!B274:B274))</f>
        <v>1316</v>
      </c>
      <c r="C274" s="1" t="n">
        <f aca="false" t="array" ref="C274:C274">_xlfn.SWITCH($A$2,"average", AVERAGE(Instances!C274:C274),"median", MEDIAN(Instances!C274:C274),"min", MIN(Instances!C274:C274),"max", MAX(Instances!C274:C274),"diff", MAX(Instances!C274:C274)-MIN(Instances!C274:C274))</f>
        <v>2</v>
      </c>
      <c r="D274" s="1" t="n">
        <f aca="false" t="array" ref="D274:D274">_xlfn.SWITCH($A$2,"average", AVERAGE(Instances!D274:D274),"median", MEDIAN(Instances!D274:D274),"min", MIN(Instances!D274:D274),"max", MAX(Instances!D274:D274),"diff", MAX(Instances!D274:D274)-MIN(Instances!D274:D274))</f>
        <v>327501</v>
      </c>
      <c r="E274" s="1" t="n">
        <f aca="false" t="array" ref="E274:E274">_xlfn.SWITCH($A$2,"average", AVERAGE(Instances!E274:E274),"median", MEDIAN(Instances!E274:E274),"min", MIN(Instances!E274:E274),"max", MAX(Instances!E274:E274),"diff", MAX(Instances!E274:E274)-MIN(Instances!E274:E274))</f>
        <v>0</v>
      </c>
      <c r="F274" s="1" t="n">
        <f aca="false" t="array" ref="F274:F274">_xlfn.SWITCH($A$2,"average", AVERAGE(Instances!F274:F274),"median", MEDIAN(Instances!F274:F274),"min", MIN(Instances!F274:F274),"max", MAX(Instances!F274:F274),"diff", MAX(Instances!F274:F274)-MIN(Instances!F274:F274))</f>
        <v>295</v>
      </c>
      <c r="G274" s="1" t="n">
        <f aca="false" t="array" ref="G274:G274">_xlfn.SWITCH($A$2,"average", AVERAGE(Instances!G274:G274),"median", MEDIAN(Instances!G274:G274),"min", MIN(Instances!G274:G274),"max", MAX(Instances!G274:G274),"diff", MAX(Instances!G274:G274)-MIN(Instances!G274:G274))</f>
        <v>0</v>
      </c>
      <c r="H274" s="1" t="n">
        <f aca="false" t="array" ref="H274:H274">_xlfn.SWITCH($A$2,"average", AVERAGE(Instances!H274:H274),"median", MEDIAN(Instances!H274:H274),"min", MIN(Instances!H274:H274),"max", MAX(Instances!H274:H274),"diff", MAX(Instances!H274:H274)-MIN(Instances!H274:H274))</f>
        <v>1</v>
      </c>
      <c r="I274" s="1" t="n">
        <f aca="false" t="array" ref="I274:I274">_xlfn.SWITCH($A$2,"average", AVERAGE(Instances!I274:I274),"median", MEDIAN(Instances!I274:I274),"min", MIN(Instances!I274:I274),"max", MAX(Instances!I274:I274),"diff", MAX(Instances!I274:I274)-MIN(Instances!I274:I274))</f>
        <v>4.214</v>
      </c>
      <c r="J274" s="1" t="n">
        <f aca="false" t="array" ref="J274:J274">_xlfn.SWITCH($A$2,"average", AVERAGE(Instances!J274:J274),"median", MEDIAN(Instances!J274:J274),"min", MIN(Instances!J274:J274),"max", MAX(Instances!J274:J274),"diff", MAX(Instances!J274:J274)-MIN(Instances!J274:J274))</f>
        <v>4.33</v>
      </c>
      <c r="K274" s="1" t="n">
        <f aca="false" t="array" ref="K274:K274">_xlfn.SWITCH($A$2,"average", AVERAGE(Instances!K274:K274),"median", MEDIAN(Instances!K274:K274),"min", MIN(Instances!K274:K274),"max", MAX(Instances!K274:K274),"diff", MAX(Instances!K274:K274)-MIN(Instances!K274:K274))</f>
        <v>0</v>
      </c>
      <c r="L274" s="1"/>
      <c r="M274" s="1" t="n">
        <f aca="false" t="array" ref="M274:M274">_xlfn.SWITCH($A$2,"average", AVERAGE(Instances!M274:M274),"median", MEDIAN(Instances!M274:M274),"min", MIN(Instances!M274:M274),"max", MAX(Instances!M274:M274),"diff", MAX(Instances!M274:M274)-MIN(Instances!M274:M274))</f>
        <v>1002415</v>
      </c>
      <c r="N274" s="1" t="n">
        <f aca="false" t="array" ref="N274:N274">_xlfn.SWITCH($A$2,"average", AVERAGE(Instances!N274:N274),"median", MEDIAN(Instances!N274:N274),"min", MIN(Instances!N274:N274),"max", MAX(Instances!N274:N274),"diff", MAX(Instances!N274:N274)-MIN(Instances!N274:N274))</f>
        <v>0.03</v>
      </c>
      <c r="O274" s="1"/>
      <c r="P274" s="1" t="n">
        <f aca="false" t="array" ref="P274:P274">_xlfn.SWITCH($A$2,"average", AVERAGE(Instances!P274:P274),"median", MEDIAN(Instances!P274:P274),"min", MIN(Instances!P274:P274),"max", MAX(Instances!P274:P274),"diff", MAX(Instances!P274:P274)-MIN(Instances!P274:P274))</f>
        <v>4.33</v>
      </c>
      <c r="Q274" s="1" t="n">
        <f aca="false" t="array" ref="Q274:Q274">_xlfn.SWITCH($A$2,"average", AVERAGE(Instances!Q274:Q274),"median", MEDIAN(Instances!Q274:Q274),"min", MIN(Instances!Q274:Q274),"max", MAX(Instances!Q274:Q274),"diff", MAX(Instances!Q274:Q274)-MIN(Instances!Q274:Q274))</f>
        <v>0</v>
      </c>
      <c r="R274" s="1" t="n">
        <f aca="false" t="array" ref="R274:R274">_xlfn.SWITCH($A$2,"average", AVERAGE(Instances!R274:R274),"median", MEDIAN(Instances!R274:R274),"min", MIN(Instances!R274:R274),"max", MAX(Instances!R274:R274),"diff", MAX(Instances!R274:R274)-MIN(Instances!R274:R274))</f>
        <v>307636</v>
      </c>
      <c r="S274" s="1" t="n">
        <f aca="false">MIN($B274)</f>
        <v>1316</v>
      </c>
      <c r="T274" s="1" t="n">
        <f aca="false">MIN($C274)</f>
        <v>2</v>
      </c>
      <c r="U274" s="1" t="n">
        <f aca="false">MIN($D274)</f>
        <v>327501</v>
      </c>
      <c r="V274" s="1" t="n">
        <f aca="false">MIN($E274)</f>
        <v>0</v>
      </c>
      <c r="W274" s="1" t="n">
        <f aca="false">MIN($F274)</f>
        <v>295</v>
      </c>
      <c r="X274" s="1" t="n">
        <f aca="false">MIN($G274)</f>
        <v>0</v>
      </c>
      <c r="Y274" s="1" t="n">
        <f aca="false">MIN($H274)</f>
        <v>1</v>
      </c>
      <c r="Z274" s="1" t="n">
        <f aca="false">MIN($I274)</f>
        <v>4.214</v>
      </c>
      <c r="AA274" s="1" t="n">
        <f aca="false">MIN($J274)</f>
        <v>4.33</v>
      </c>
      <c r="AB274" s="1" t="n">
        <f aca="false">MIN($K274)</f>
        <v>0</v>
      </c>
      <c r="AC274" s="1" t="n">
        <f aca="false">MIN($M274)</f>
        <v>1002415</v>
      </c>
      <c r="AD274" s="1" t="n">
        <f aca="false">MIN($N274)</f>
        <v>0.03</v>
      </c>
      <c r="AE274" s="1" t="n">
        <f aca="false">MIN($P274)</f>
        <v>4.33</v>
      </c>
      <c r="AF274" s="1" t="n">
        <f aca="false">MIN($Q274)</f>
        <v>0</v>
      </c>
      <c r="AG274" s="1" t="n">
        <f aca="false">MIN($R274)</f>
        <v>307636</v>
      </c>
      <c r="AH274" s="1" t="n">
        <f aca="false">MEDIAN($B274)</f>
        <v>1316</v>
      </c>
      <c r="AI274" s="1" t="n">
        <f aca="false">MEDIAN($C274)</f>
        <v>2</v>
      </c>
      <c r="AJ274" s="1" t="n">
        <f aca="false">MEDIAN($D274)</f>
        <v>327501</v>
      </c>
      <c r="AK274" s="1" t="n">
        <f aca="false">MEDIAN($E274)</f>
        <v>0</v>
      </c>
      <c r="AL274" s="1" t="n">
        <f aca="false">MEDIAN($F274)</f>
        <v>295</v>
      </c>
      <c r="AM274" s="1" t="n">
        <f aca="false">MEDIAN($G274)</f>
        <v>0</v>
      </c>
      <c r="AN274" s="1" t="n">
        <f aca="false">MEDIAN($H274)</f>
        <v>1</v>
      </c>
      <c r="AO274" s="1" t="n">
        <f aca="false">MEDIAN($I274)</f>
        <v>4.214</v>
      </c>
      <c r="AP274" s="1" t="n">
        <f aca="false">MEDIAN($J274)</f>
        <v>4.33</v>
      </c>
      <c r="AQ274" s="1" t="n">
        <f aca="false">MEDIAN($K274)</f>
        <v>0</v>
      </c>
      <c r="AR274" s="1" t="n">
        <f aca="false">MEDIAN($M274)</f>
        <v>1002415</v>
      </c>
      <c r="AS274" s="1" t="n">
        <f aca="false">MEDIAN($N274)</f>
        <v>0.03</v>
      </c>
      <c r="AT274" s="1" t="n">
        <f aca="false">MEDIAN($P274)</f>
        <v>4.33</v>
      </c>
      <c r="AU274" s="1" t="n">
        <f aca="false">MEDIAN($Q274)</f>
        <v>0</v>
      </c>
      <c r="AV274" s="1" t="n">
        <f aca="false">MEDIAN($R274)</f>
        <v>307636</v>
      </c>
      <c r="AW274" s="1" t="n">
        <f aca="false">MAX($B274)</f>
        <v>1316</v>
      </c>
      <c r="AX274" s="1" t="n">
        <f aca="false">MAX($C274)</f>
        <v>2</v>
      </c>
      <c r="AY274" s="1" t="n">
        <f aca="false">MAX($D274)</f>
        <v>327501</v>
      </c>
      <c r="AZ274" s="1" t="n">
        <f aca="false">MAX($E274)</f>
        <v>0</v>
      </c>
      <c r="BA274" s="1" t="n">
        <f aca="false">MAX($F274)</f>
        <v>295</v>
      </c>
      <c r="BB274" s="1" t="n">
        <f aca="false">MAX($G274)</f>
        <v>0</v>
      </c>
      <c r="BC274" s="1" t="n">
        <f aca="false">MAX($H274)</f>
        <v>1</v>
      </c>
      <c r="BD274" s="1" t="n">
        <f aca="false">MAX($I274)</f>
        <v>4.214</v>
      </c>
      <c r="BE274" s="1" t="n">
        <f aca="false">MAX($J274)</f>
        <v>4.33</v>
      </c>
      <c r="BF274" s="1" t="n">
        <f aca="false">MAX($K274)</f>
        <v>0</v>
      </c>
      <c r="BG274" s="1" t="n">
        <f aca="false">MAX($M274)</f>
        <v>1002415</v>
      </c>
      <c r="BH274" s="1" t="n">
        <f aca="false">MAX($N274)</f>
        <v>0.03</v>
      </c>
      <c r="BI274" s="1" t="n">
        <f aca="false">MAX($P274)</f>
        <v>4.33</v>
      </c>
      <c r="BJ274" s="1" t="n">
        <f aca="false">MAX($Q274)</f>
        <v>0</v>
      </c>
      <c r="BK274" s="1" t="n">
        <f aca="false">MAX($R274)</f>
        <v>307636</v>
      </c>
    </row>
    <row r="275" customFormat="false" ht="15" hidden="false" customHeight="false" outlineLevel="0" collapsed="false">
      <c r="A275" s="1" t="s">
        <v>292</v>
      </c>
      <c r="B275" s="1" t="n">
        <f aca="false" t="array" ref="B275:B275">_xlfn.SWITCH($A$2,"average", AVERAGE(Instances!B275:B275),"median", MEDIAN(Instances!B275:B275),"min", MIN(Instances!B275:B275),"max", MAX(Instances!B275:B275),"diff", MAX(Instances!B275:B275)-MIN(Instances!B275:B275))</f>
        <v>680</v>
      </c>
      <c r="C275" s="1" t="n">
        <f aca="false" t="array" ref="C275:C275">_xlfn.SWITCH($A$2,"average", AVERAGE(Instances!C275:C275),"median", MEDIAN(Instances!C275:C275),"min", MIN(Instances!C275:C275),"max", MAX(Instances!C275:C275),"diff", MAX(Instances!C275:C275)-MIN(Instances!C275:C275))</f>
        <v>1</v>
      </c>
      <c r="D275" s="1" t="n">
        <f aca="false" t="array" ref="D275:D275">_xlfn.SWITCH($A$2,"average", AVERAGE(Instances!D275:D275),"median", MEDIAN(Instances!D275:D275),"min", MIN(Instances!D275:D275),"max", MAX(Instances!D275:D275),"diff", MAX(Instances!D275:D275)-MIN(Instances!D275:D275))</f>
        <v>222252</v>
      </c>
      <c r="E275" s="1" t="n">
        <f aca="false" t="array" ref="E275:E275">_xlfn.SWITCH($A$2,"average", AVERAGE(Instances!E275:E275),"median", MEDIAN(Instances!E275:E275),"min", MIN(Instances!E275:E275),"max", MAX(Instances!E275:E275),"diff", MAX(Instances!E275:E275)-MIN(Instances!E275:E275))</f>
        <v>0</v>
      </c>
      <c r="F275" s="1" t="n">
        <f aca="false" t="array" ref="F275:F275">_xlfn.SWITCH($A$2,"average", AVERAGE(Instances!F275:F275),"median", MEDIAN(Instances!F275:F275),"min", MIN(Instances!F275:F275),"max", MAX(Instances!F275:F275),"diff", MAX(Instances!F275:F275)-MIN(Instances!F275:F275))</f>
        <v>264</v>
      </c>
      <c r="G275" s="1" t="n">
        <f aca="false" t="array" ref="G275:G275">_xlfn.SWITCH($A$2,"average", AVERAGE(Instances!G275:G275),"median", MEDIAN(Instances!G275:G275),"min", MIN(Instances!G275:G275),"max", MAX(Instances!G275:G275),"diff", MAX(Instances!G275:G275)-MIN(Instances!G275:G275))</f>
        <v>0</v>
      </c>
      <c r="H275" s="1" t="n">
        <f aca="false" t="array" ref="H275:H275">_xlfn.SWITCH($A$2,"average", AVERAGE(Instances!H275:H275),"median", MEDIAN(Instances!H275:H275),"min", MIN(Instances!H275:H275),"max", MAX(Instances!H275:H275),"diff", MAX(Instances!H275:H275)-MIN(Instances!H275:H275))</f>
        <v>1</v>
      </c>
      <c r="I275" s="1" t="n">
        <f aca="false" t="array" ref="I275:I275">_xlfn.SWITCH($A$2,"average", AVERAGE(Instances!I275:I275),"median", MEDIAN(Instances!I275:I275),"min", MIN(Instances!I275:I275),"max", MAX(Instances!I275:I275),"diff", MAX(Instances!I275:I275)-MIN(Instances!I275:I275))</f>
        <v>3.848</v>
      </c>
      <c r="J275" s="1" t="n">
        <f aca="false" t="array" ref="J275:J275">_xlfn.SWITCH($A$2,"average", AVERAGE(Instances!J275:J275),"median", MEDIAN(Instances!J275:J275),"min", MIN(Instances!J275:J275),"max", MAX(Instances!J275:J275),"diff", MAX(Instances!J275:J275)-MIN(Instances!J275:J275))</f>
        <v>3.95</v>
      </c>
      <c r="K275" s="1" t="n">
        <f aca="false" t="array" ref="K275:K275">_xlfn.SWITCH($A$2,"average", AVERAGE(Instances!K275:K275),"median", MEDIAN(Instances!K275:K275),"min", MIN(Instances!K275:K275),"max", MAX(Instances!K275:K275),"diff", MAX(Instances!K275:K275)-MIN(Instances!K275:K275))</f>
        <v>0</v>
      </c>
      <c r="L275" s="1"/>
      <c r="M275" s="1" t="n">
        <f aca="false" t="array" ref="M275:M275">_xlfn.SWITCH($A$2,"average", AVERAGE(Instances!M275:M275),"median", MEDIAN(Instances!M275:M275),"min", MIN(Instances!M275:M275),"max", MAX(Instances!M275:M275),"diff", MAX(Instances!M275:M275)-MIN(Instances!M275:M275))</f>
        <v>885980</v>
      </c>
      <c r="N275" s="1" t="n">
        <f aca="false" t="array" ref="N275:N275">_xlfn.SWITCH($A$2,"average", AVERAGE(Instances!N275:N275),"median", MEDIAN(Instances!N275:N275),"min", MIN(Instances!N275:N275),"max", MAX(Instances!N275:N275),"diff", MAX(Instances!N275:N275)-MIN(Instances!N275:N275))</f>
        <v>0.02</v>
      </c>
      <c r="O275" s="1"/>
      <c r="P275" s="1" t="n">
        <f aca="false" t="array" ref="P275:P275">_xlfn.SWITCH($A$2,"average", AVERAGE(Instances!P275:P275),"median", MEDIAN(Instances!P275:P275),"min", MIN(Instances!P275:P275),"max", MAX(Instances!P275:P275),"diff", MAX(Instances!P275:P275)-MIN(Instances!P275:P275))</f>
        <v>3.95</v>
      </c>
      <c r="Q275" s="1" t="n">
        <f aca="false" t="array" ref="Q275:Q275">_xlfn.SWITCH($A$2,"average", AVERAGE(Instances!Q275:Q275),"median", MEDIAN(Instances!Q275:Q275),"min", MIN(Instances!Q275:Q275),"max", MAX(Instances!Q275:Q275),"diff", MAX(Instances!Q275:Q275)-MIN(Instances!Q275:Q275))</f>
        <v>0</v>
      </c>
      <c r="R275" s="1" t="n">
        <f aca="false" t="array" ref="R275:R275">_xlfn.SWITCH($A$2,"average", AVERAGE(Instances!R275:R275),"median", MEDIAN(Instances!R275:R275),"min", MIN(Instances!R275:R275),"max", MAX(Instances!R275:R275),"diff", MAX(Instances!R275:R275)-MIN(Instances!R275:R275))</f>
        <v>266554</v>
      </c>
      <c r="S275" s="1" t="n">
        <f aca="false">MIN($B275)</f>
        <v>680</v>
      </c>
      <c r="T275" s="1" t="n">
        <f aca="false">MIN($C275)</f>
        <v>1</v>
      </c>
      <c r="U275" s="1" t="n">
        <f aca="false">MIN($D275)</f>
        <v>222252</v>
      </c>
      <c r="V275" s="1" t="n">
        <f aca="false">MIN($E275)</f>
        <v>0</v>
      </c>
      <c r="W275" s="1" t="n">
        <f aca="false">MIN($F275)</f>
        <v>264</v>
      </c>
      <c r="X275" s="1" t="n">
        <f aca="false">MIN($G275)</f>
        <v>0</v>
      </c>
      <c r="Y275" s="1" t="n">
        <f aca="false">MIN($H275)</f>
        <v>1</v>
      </c>
      <c r="Z275" s="1" t="n">
        <f aca="false">MIN($I275)</f>
        <v>3.848</v>
      </c>
      <c r="AA275" s="1" t="n">
        <f aca="false">MIN($J275)</f>
        <v>3.95</v>
      </c>
      <c r="AB275" s="1" t="n">
        <f aca="false">MIN($K275)</f>
        <v>0</v>
      </c>
      <c r="AC275" s="1" t="n">
        <f aca="false">MIN($M275)</f>
        <v>885980</v>
      </c>
      <c r="AD275" s="1" t="n">
        <f aca="false">MIN($N275)</f>
        <v>0.02</v>
      </c>
      <c r="AE275" s="1" t="n">
        <f aca="false">MIN($P275)</f>
        <v>3.95</v>
      </c>
      <c r="AF275" s="1" t="n">
        <f aca="false">MIN($Q275)</f>
        <v>0</v>
      </c>
      <c r="AG275" s="1" t="n">
        <f aca="false">MIN($R275)</f>
        <v>266554</v>
      </c>
      <c r="AH275" s="1" t="n">
        <f aca="false">MEDIAN($B275)</f>
        <v>680</v>
      </c>
      <c r="AI275" s="1" t="n">
        <f aca="false">MEDIAN($C275)</f>
        <v>1</v>
      </c>
      <c r="AJ275" s="1" t="n">
        <f aca="false">MEDIAN($D275)</f>
        <v>222252</v>
      </c>
      <c r="AK275" s="1" t="n">
        <f aca="false">MEDIAN($E275)</f>
        <v>0</v>
      </c>
      <c r="AL275" s="1" t="n">
        <f aca="false">MEDIAN($F275)</f>
        <v>264</v>
      </c>
      <c r="AM275" s="1" t="n">
        <f aca="false">MEDIAN($G275)</f>
        <v>0</v>
      </c>
      <c r="AN275" s="1" t="n">
        <f aca="false">MEDIAN($H275)</f>
        <v>1</v>
      </c>
      <c r="AO275" s="1" t="n">
        <f aca="false">MEDIAN($I275)</f>
        <v>3.848</v>
      </c>
      <c r="AP275" s="1" t="n">
        <f aca="false">MEDIAN($J275)</f>
        <v>3.95</v>
      </c>
      <c r="AQ275" s="1" t="n">
        <f aca="false">MEDIAN($K275)</f>
        <v>0</v>
      </c>
      <c r="AR275" s="1" t="n">
        <f aca="false">MEDIAN($M275)</f>
        <v>885980</v>
      </c>
      <c r="AS275" s="1" t="n">
        <f aca="false">MEDIAN($N275)</f>
        <v>0.02</v>
      </c>
      <c r="AT275" s="1" t="n">
        <f aca="false">MEDIAN($P275)</f>
        <v>3.95</v>
      </c>
      <c r="AU275" s="1" t="n">
        <f aca="false">MEDIAN($Q275)</f>
        <v>0</v>
      </c>
      <c r="AV275" s="1" t="n">
        <f aca="false">MEDIAN($R275)</f>
        <v>266554</v>
      </c>
      <c r="AW275" s="1" t="n">
        <f aca="false">MAX($B275)</f>
        <v>680</v>
      </c>
      <c r="AX275" s="1" t="n">
        <f aca="false">MAX($C275)</f>
        <v>1</v>
      </c>
      <c r="AY275" s="1" t="n">
        <f aca="false">MAX($D275)</f>
        <v>222252</v>
      </c>
      <c r="AZ275" s="1" t="n">
        <f aca="false">MAX($E275)</f>
        <v>0</v>
      </c>
      <c r="BA275" s="1" t="n">
        <f aca="false">MAX($F275)</f>
        <v>264</v>
      </c>
      <c r="BB275" s="1" t="n">
        <f aca="false">MAX($G275)</f>
        <v>0</v>
      </c>
      <c r="BC275" s="1" t="n">
        <f aca="false">MAX($H275)</f>
        <v>1</v>
      </c>
      <c r="BD275" s="1" t="n">
        <f aca="false">MAX($I275)</f>
        <v>3.848</v>
      </c>
      <c r="BE275" s="1" t="n">
        <f aca="false">MAX($J275)</f>
        <v>3.95</v>
      </c>
      <c r="BF275" s="1" t="n">
        <f aca="false">MAX($K275)</f>
        <v>0</v>
      </c>
      <c r="BG275" s="1" t="n">
        <f aca="false">MAX($M275)</f>
        <v>885980</v>
      </c>
      <c r="BH275" s="1" t="n">
        <f aca="false">MAX($N275)</f>
        <v>0.02</v>
      </c>
      <c r="BI275" s="1" t="n">
        <f aca="false">MAX($P275)</f>
        <v>3.95</v>
      </c>
      <c r="BJ275" s="1" t="n">
        <f aca="false">MAX($Q275)</f>
        <v>0</v>
      </c>
      <c r="BK275" s="1" t="n">
        <f aca="false">MAX($R275)</f>
        <v>266554</v>
      </c>
    </row>
    <row r="276" customFormat="false" ht="15" hidden="false" customHeight="false" outlineLevel="0" collapsed="false">
      <c r="A276" s="1" t="s">
        <v>293</v>
      </c>
      <c r="B276" s="1" t="n">
        <f aca="false" t="array" ref="B276:B276">_xlfn.SWITCH($A$2,"average", AVERAGE(Instances!B276:B276),"median", MEDIAN(Instances!B276:B276),"min", MIN(Instances!B276:B276),"max", MAX(Instances!B276:B276),"diff", MAX(Instances!B276:B276)-MIN(Instances!B276:B276))</f>
        <v>1283</v>
      </c>
      <c r="C276" s="1" t="n">
        <f aca="false" t="array" ref="C276:C276">_xlfn.SWITCH($A$2,"average", AVERAGE(Instances!C276:C276),"median", MEDIAN(Instances!C276:C276),"min", MIN(Instances!C276:C276),"max", MAX(Instances!C276:C276),"diff", MAX(Instances!C276:C276)-MIN(Instances!C276:C276))</f>
        <v>1</v>
      </c>
      <c r="D276" s="1" t="n">
        <f aca="false" t="array" ref="D276:D276">_xlfn.SWITCH($A$2,"average", AVERAGE(Instances!D276:D276),"median", MEDIAN(Instances!D276:D276),"min", MIN(Instances!D276:D276),"max", MAX(Instances!D276:D276),"diff", MAX(Instances!D276:D276)-MIN(Instances!D276:D276))</f>
        <v>444949</v>
      </c>
      <c r="E276" s="1" t="n">
        <f aca="false" t="array" ref="E276:E276">_xlfn.SWITCH($A$2,"average", AVERAGE(Instances!E276:E276),"median", MEDIAN(Instances!E276:E276),"min", MIN(Instances!E276:E276),"max", MAX(Instances!E276:E276),"diff", MAX(Instances!E276:E276)-MIN(Instances!E276:E276))</f>
        <v>0</v>
      </c>
      <c r="F276" s="1" t="n">
        <f aca="false" t="array" ref="F276:F276">_xlfn.SWITCH($A$2,"average", AVERAGE(Instances!F276:F276),"median", MEDIAN(Instances!F276:F276),"min", MIN(Instances!F276:F276),"max", MAX(Instances!F276:F276),"diff", MAX(Instances!F276:F276)-MIN(Instances!F276:F276))</f>
        <v>393</v>
      </c>
      <c r="G276" s="1" t="n">
        <f aca="false" t="array" ref="G276:G276">_xlfn.SWITCH($A$2,"average", AVERAGE(Instances!G276:G276),"median", MEDIAN(Instances!G276:G276),"min", MIN(Instances!G276:G276),"max", MAX(Instances!G276:G276),"diff", MAX(Instances!G276:G276)-MIN(Instances!G276:G276))</f>
        <v>0</v>
      </c>
      <c r="H276" s="1" t="n">
        <f aca="false" t="array" ref="H276:H276">_xlfn.SWITCH($A$2,"average", AVERAGE(Instances!H276:H276),"median", MEDIAN(Instances!H276:H276),"min", MIN(Instances!H276:H276),"max", MAX(Instances!H276:H276),"diff", MAX(Instances!H276:H276)-MIN(Instances!H276:H276))</f>
        <v>1</v>
      </c>
      <c r="I276" s="1" t="n">
        <f aca="false" t="array" ref="I276:I276">_xlfn.SWITCH($A$2,"average", AVERAGE(Instances!I276:I276),"median", MEDIAN(Instances!I276:I276),"min", MIN(Instances!I276:I276),"max", MAX(Instances!I276:I276),"diff", MAX(Instances!I276:I276)-MIN(Instances!I276:I276))</f>
        <v>5.564</v>
      </c>
      <c r="J276" s="1" t="n">
        <f aca="false" t="array" ref="J276:J276">_xlfn.SWITCH($A$2,"average", AVERAGE(Instances!J276:J276),"median", MEDIAN(Instances!J276:J276),"min", MIN(Instances!J276:J276),"max", MAX(Instances!J276:J276),"diff", MAX(Instances!J276:J276)-MIN(Instances!J276:J276))</f>
        <v>5.78</v>
      </c>
      <c r="K276" s="1" t="n">
        <f aca="false" t="array" ref="K276:K276">_xlfn.SWITCH($A$2,"average", AVERAGE(Instances!K276:K276),"median", MEDIAN(Instances!K276:K276),"min", MIN(Instances!K276:K276),"max", MAX(Instances!K276:K276),"diff", MAX(Instances!K276:K276)-MIN(Instances!K276:K276))</f>
        <v>0</v>
      </c>
      <c r="L276" s="1"/>
      <c r="M276" s="1" t="n">
        <f aca="false" t="array" ref="M276:M276">_xlfn.SWITCH($A$2,"average", AVERAGE(Instances!M276:M276),"median", MEDIAN(Instances!M276:M276),"min", MIN(Instances!M276:M276),"max", MAX(Instances!M276:M276),"diff", MAX(Instances!M276:M276)-MIN(Instances!M276:M276))</f>
        <v>1378125</v>
      </c>
      <c r="N276" s="1" t="n">
        <f aca="false" t="array" ref="N276:N276">_xlfn.SWITCH($A$2,"average", AVERAGE(Instances!N276:N276),"median", MEDIAN(Instances!N276:N276),"min", MIN(Instances!N276:N276),"max", MAX(Instances!N276:N276),"diff", MAX(Instances!N276:N276)-MIN(Instances!N276:N276))</f>
        <v>0.03</v>
      </c>
      <c r="O276" s="1"/>
      <c r="P276" s="1" t="n">
        <f aca="false" t="array" ref="P276:P276">_xlfn.SWITCH($A$2,"average", AVERAGE(Instances!P276:P276),"median", MEDIAN(Instances!P276:P276),"min", MIN(Instances!P276:P276),"max", MAX(Instances!P276:P276),"diff", MAX(Instances!P276:P276)-MIN(Instances!P276:P276))</f>
        <v>5.78</v>
      </c>
      <c r="Q276" s="1" t="n">
        <f aca="false" t="array" ref="Q276:Q276">_xlfn.SWITCH($A$2,"average", AVERAGE(Instances!Q276:Q276),"median", MEDIAN(Instances!Q276:Q276),"min", MIN(Instances!Q276:Q276),"max", MAX(Instances!Q276:Q276),"diff", MAX(Instances!Q276:Q276)-MIN(Instances!Q276:Q276))</f>
        <v>0</v>
      </c>
      <c r="R276" s="1" t="n">
        <f aca="false" t="array" ref="R276:R276">_xlfn.SWITCH($A$2,"average", AVERAGE(Instances!R276:R276),"median", MEDIAN(Instances!R276:R276),"min", MIN(Instances!R276:R276),"max", MAX(Instances!R276:R276),"diff", MAX(Instances!R276:R276)-MIN(Instances!R276:R276))</f>
        <v>385176</v>
      </c>
      <c r="S276" s="1" t="n">
        <f aca="false">MIN($B276)</f>
        <v>1283</v>
      </c>
      <c r="T276" s="1" t="n">
        <f aca="false">MIN($C276)</f>
        <v>1</v>
      </c>
      <c r="U276" s="1" t="n">
        <f aca="false">MIN($D276)</f>
        <v>444949</v>
      </c>
      <c r="V276" s="1" t="n">
        <f aca="false">MIN($E276)</f>
        <v>0</v>
      </c>
      <c r="W276" s="1" t="n">
        <f aca="false">MIN($F276)</f>
        <v>393</v>
      </c>
      <c r="X276" s="1" t="n">
        <f aca="false">MIN($G276)</f>
        <v>0</v>
      </c>
      <c r="Y276" s="1" t="n">
        <f aca="false">MIN($H276)</f>
        <v>1</v>
      </c>
      <c r="Z276" s="1" t="n">
        <f aca="false">MIN($I276)</f>
        <v>5.564</v>
      </c>
      <c r="AA276" s="1" t="n">
        <f aca="false">MIN($J276)</f>
        <v>5.78</v>
      </c>
      <c r="AB276" s="1" t="n">
        <f aca="false">MIN($K276)</f>
        <v>0</v>
      </c>
      <c r="AC276" s="1" t="n">
        <f aca="false">MIN($M276)</f>
        <v>1378125</v>
      </c>
      <c r="AD276" s="1" t="n">
        <f aca="false">MIN($N276)</f>
        <v>0.03</v>
      </c>
      <c r="AE276" s="1" t="n">
        <f aca="false">MIN($P276)</f>
        <v>5.78</v>
      </c>
      <c r="AF276" s="1" t="n">
        <f aca="false">MIN($Q276)</f>
        <v>0</v>
      </c>
      <c r="AG276" s="1" t="n">
        <f aca="false">MIN($R276)</f>
        <v>385176</v>
      </c>
      <c r="AH276" s="1" t="n">
        <f aca="false">MEDIAN($B276)</f>
        <v>1283</v>
      </c>
      <c r="AI276" s="1" t="n">
        <f aca="false">MEDIAN($C276)</f>
        <v>1</v>
      </c>
      <c r="AJ276" s="1" t="n">
        <f aca="false">MEDIAN($D276)</f>
        <v>444949</v>
      </c>
      <c r="AK276" s="1" t="n">
        <f aca="false">MEDIAN($E276)</f>
        <v>0</v>
      </c>
      <c r="AL276" s="1" t="n">
        <f aca="false">MEDIAN($F276)</f>
        <v>393</v>
      </c>
      <c r="AM276" s="1" t="n">
        <f aca="false">MEDIAN($G276)</f>
        <v>0</v>
      </c>
      <c r="AN276" s="1" t="n">
        <f aca="false">MEDIAN($H276)</f>
        <v>1</v>
      </c>
      <c r="AO276" s="1" t="n">
        <f aca="false">MEDIAN($I276)</f>
        <v>5.564</v>
      </c>
      <c r="AP276" s="1" t="n">
        <f aca="false">MEDIAN($J276)</f>
        <v>5.78</v>
      </c>
      <c r="AQ276" s="1" t="n">
        <f aca="false">MEDIAN($K276)</f>
        <v>0</v>
      </c>
      <c r="AR276" s="1" t="n">
        <f aca="false">MEDIAN($M276)</f>
        <v>1378125</v>
      </c>
      <c r="AS276" s="1" t="n">
        <f aca="false">MEDIAN($N276)</f>
        <v>0.03</v>
      </c>
      <c r="AT276" s="1" t="n">
        <f aca="false">MEDIAN($P276)</f>
        <v>5.78</v>
      </c>
      <c r="AU276" s="1" t="n">
        <f aca="false">MEDIAN($Q276)</f>
        <v>0</v>
      </c>
      <c r="AV276" s="1" t="n">
        <f aca="false">MEDIAN($R276)</f>
        <v>385176</v>
      </c>
      <c r="AW276" s="1" t="n">
        <f aca="false">MAX($B276)</f>
        <v>1283</v>
      </c>
      <c r="AX276" s="1" t="n">
        <f aca="false">MAX($C276)</f>
        <v>1</v>
      </c>
      <c r="AY276" s="1" t="n">
        <f aca="false">MAX($D276)</f>
        <v>444949</v>
      </c>
      <c r="AZ276" s="1" t="n">
        <f aca="false">MAX($E276)</f>
        <v>0</v>
      </c>
      <c r="BA276" s="1" t="n">
        <f aca="false">MAX($F276)</f>
        <v>393</v>
      </c>
      <c r="BB276" s="1" t="n">
        <f aca="false">MAX($G276)</f>
        <v>0</v>
      </c>
      <c r="BC276" s="1" t="n">
        <f aca="false">MAX($H276)</f>
        <v>1</v>
      </c>
      <c r="BD276" s="1" t="n">
        <f aca="false">MAX($I276)</f>
        <v>5.564</v>
      </c>
      <c r="BE276" s="1" t="n">
        <f aca="false">MAX($J276)</f>
        <v>5.78</v>
      </c>
      <c r="BF276" s="1" t="n">
        <f aca="false">MAX($K276)</f>
        <v>0</v>
      </c>
      <c r="BG276" s="1" t="n">
        <f aca="false">MAX($M276)</f>
        <v>1378125</v>
      </c>
      <c r="BH276" s="1" t="n">
        <f aca="false">MAX($N276)</f>
        <v>0.03</v>
      </c>
      <c r="BI276" s="1" t="n">
        <f aca="false">MAX($P276)</f>
        <v>5.78</v>
      </c>
      <c r="BJ276" s="1" t="n">
        <f aca="false">MAX($Q276)</f>
        <v>0</v>
      </c>
      <c r="BK276" s="1" t="n">
        <f aca="false">MAX($R276)</f>
        <v>385176</v>
      </c>
    </row>
    <row r="277" customFormat="false" ht="15" hidden="false" customHeight="false" outlineLevel="0" collapsed="false">
      <c r="A277" s="1" t="s">
        <v>294</v>
      </c>
      <c r="B277" s="1" t="n">
        <f aca="false" t="array" ref="B277:B277">_xlfn.SWITCH($A$2,"average", AVERAGE(Instances!B277:B277),"median", MEDIAN(Instances!B277:B277),"min", MIN(Instances!B277:B277),"max", MAX(Instances!B277:B277),"diff", MAX(Instances!B277:B277)-MIN(Instances!B277:B277))</f>
        <v>28108</v>
      </c>
      <c r="C277" s="1" t="n">
        <f aca="false" t="array" ref="C277:C277">_xlfn.SWITCH($A$2,"average", AVERAGE(Instances!C277:C277),"median", MEDIAN(Instances!C277:C277),"min", MIN(Instances!C277:C277),"max", MAX(Instances!C277:C277),"diff", MAX(Instances!C277:C277)-MIN(Instances!C277:C277))</f>
        <v>3000</v>
      </c>
      <c r="D277" s="1" t="n">
        <f aca="false" t="array" ref="D277:D277">_xlfn.SWITCH($A$2,"average", AVERAGE(Instances!D277:D277),"median", MEDIAN(Instances!D277:D277),"min", MIN(Instances!D277:D277),"max", MAX(Instances!D277:D277),"diff", MAX(Instances!D277:D277)-MIN(Instances!D277:D277))</f>
        <v>301815</v>
      </c>
      <c r="E277" s="1" t="n">
        <f aca="false" t="array" ref="E277:E277">_xlfn.SWITCH($A$2,"average", AVERAGE(Instances!E277:E277),"median", MEDIAN(Instances!E277:E277),"min", MIN(Instances!E277:E277),"max", MAX(Instances!E277:E277),"diff", MAX(Instances!E277:E277)-MIN(Instances!E277:E277))</f>
        <v>0</v>
      </c>
      <c r="F277" s="1" t="n">
        <f aca="false" t="array" ref="F277:F277">_xlfn.SWITCH($A$2,"average", AVERAGE(Instances!F277:F277),"median", MEDIAN(Instances!F277:F277),"min", MIN(Instances!F277:F277),"max", MAX(Instances!F277:F277),"diff", MAX(Instances!F277:F277)-MIN(Instances!F277:F277))</f>
        <v>359</v>
      </c>
      <c r="G277" s="1" t="n">
        <f aca="false" t="array" ref="G277:G277">_xlfn.SWITCH($A$2,"average", AVERAGE(Instances!G277:G277),"median", MEDIAN(Instances!G277:G277),"min", MIN(Instances!G277:G277),"max", MAX(Instances!G277:G277),"diff", MAX(Instances!G277:G277)-MIN(Instances!G277:G277))</f>
        <v>0</v>
      </c>
      <c r="H277" s="1" t="n">
        <f aca="false" t="array" ref="H277:H277">_xlfn.SWITCH($A$2,"average", AVERAGE(Instances!H277:H277),"median", MEDIAN(Instances!H277:H277),"min", MIN(Instances!H277:H277),"max", MAX(Instances!H277:H277),"diff", MAX(Instances!H277:H277)-MIN(Instances!H277:H277))</f>
        <v>1</v>
      </c>
      <c r="I277" s="1" t="n">
        <f aca="false" t="array" ref="I277:I277">_xlfn.SWITCH($A$2,"average", AVERAGE(Instances!I277:I277),"median", MEDIAN(Instances!I277:I277),"min", MIN(Instances!I277:I277),"max", MAX(Instances!I277:I277),"diff", MAX(Instances!I277:I277)-MIN(Instances!I277:I277))</f>
        <v>6.013</v>
      </c>
      <c r="J277" s="1" t="n">
        <f aca="false" t="array" ref="J277:J277">_xlfn.SWITCH($A$2,"average", AVERAGE(Instances!J277:J277),"median", MEDIAN(Instances!J277:J277),"min", MIN(Instances!J277:J277),"max", MAX(Instances!J277:J277),"diff", MAX(Instances!J277:J277)-MIN(Instances!J277:J277))</f>
        <v>6.14</v>
      </c>
      <c r="K277" s="1" t="n">
        <f aca="false" t="array" ref="K277:K277">_xlfn.SWITCH($A$2,"average", AVERAGE(Instances!K277:K277),"median", MEDIAN(Instances!K277:K277),"min", MIN(Instances!K277:K277),"max", MAX(Instances!K277:K277),"diff", MAX(Instances!K277:K277)-MIN(Instances!K277:K277))</f>
        <v>14</v>
      </c>
      <c r="L277" s="1"/>
      <c r="M277" s="1" t="n">
        <f aca="false" t="array" ref="M277:M277">_xlfn.SWITCH($A$2,"average", AVERAGE(Instances!M277:M277),"median", MEDIAN(Instances!M277:M277),"min", MIN(Instances!M277:M277),"max", MAX(Instances!M277:M277),"diff", MAX(Instances!M277:M277)-MIN(Instances!M277:M277))</f>
        <v>1254194</v>
      </c>
      <c r="N277" s="1" t="n">
        <f aca="false" t="array" ref="N277:N277">_xlfn.SWITCH($A$2,"average", AVERAGE(Instances!N277:N277),"median", MEDIAN(Instances!N277:N277),"min", MIN(Instances!N277:N277),"max", MAX(Instances!N277:N277),"diff", MAX(Instances!N277:N277)-MIN(Instances!N277:N277))</f>
        <v>0.85</v>
      </c>
      <c r="O277" s="1"/>
      <c r="P277" s="1" t="n">
        <f aca="false" t="array" ref="P277:P277">_xlfn.SWITCH($A$2,"average", AVERAGE(Instances!P277:P277),"median", MEDIAN(Instances!P277:P277),"min", MIN(Instances!P277:P277),"max", MAX(Instances!P277:P277),"diff", MAX(Instances!P277:P277)-MIN(Instances!P277:P277))</f>
        <v>6.14</v>
      </c>
      <c r="Q277" s="1" t="n">
        <f aca="false" t="array" ref="Q277:Q277">_xlfn.SWITCH($A$2,"average", AVERAGE(Instances!Q277:Q277),"median", MEDIAN(Instances!Q277:Q277),"min", MIN(Instances!Q277:Q277),"max", MAX(Instances!Q277:Q277),"diff", MAX(Instances!Q277:Q277)-MIN(Instances!Q277:Q277))</f>
        <v>0</v>
      </c>
      <c r="R277" s="1" t="n">
        <f aca="false" t="array" ref="R277:R277">_xlfn.SWITCH($A$2,"average", AVERAGE(Instances!R277:R277),"median", MEDIAN(Instances!R277:R277),"min", MIN(Instances!R277:R277),"max", MAX(Instances!R277:R277),"diff", MAX(Instances!R277:R277)-MIN(Instances!R277:R277))</f>
        <v>352798</v>
      </c>
      <c r="S277" s="1" t="n">
        <f aca="false">MIN($B277)</f>
        <v>28108</v>
      </c>
      <c r="T277" s="1" t="n">
        <f aca="false">MIN($C277)</f>
        <v>3000</v>
      </c>
      <c r="U277" s="1" t="n">
        <f aca="false">MIN($D277)</f>
        <v>301815</v>
      </c>
      <c r="V277" s="1" t="n">
        <f aca="false">MIN($E277)</f>
        <v>0</v>
      </c>
      <c r="W277" s="1" t="n">
        <f aca="false">MIN($F277)</f>
        <v>359</v>
      </c>
      <c r="X277" s="1" t="n">
        <f aca="false">MIN($G277)</f>
        <v>0</v>
      </c>
      <c r="Y277" s="1" t="n">
        <f aca="false">MIN($H277)</f>
        <v>1</v>
      </c>
      <c r="Z277" s="1" t="n">
        <f aca="false">MIN($I277)</f>
        <v>6.013</v>
      </c>
      <c r="AA277" s="1" t="n">
        <f aca="false">MIN($J277)</f>
        <v>6.14</v>
      </c>
      <c r="AB277" s="1" t="n">
        <f aca="false">MIN($K277)</f>
        <v>14</v>
      </c>
      <c r="AC277" s="1" t="n">
        <f aca="false">MIN($M277)</f>
        <v>1254194</v>
      </c>
      <c r="AD277" s="1" t="n">
        <f aca="false">MIN($N277)</f>
        <v>0.85</v>
      </c>
      <c r="AE277" s="1" t="n">
        <f aca="false">MIN($P277)</f>
        <v>6.14</v>
      </c>
      <c r="AF277" s="1" t="n">
        <f aca="false">MIN($Q277)</f>
        <v>0</v>
      </c>
      <c r="AG277" s="1" t="n">
        <f aca="false">MIN($R277)</f>
        <v>352798</v>
      </c>
      <c r="AH277" s="1" t="n">
        <f aca="false">MEDIAN($B277)</f>
        <v>28108</v>
      </c>
      <c r="AI277" s="1" t="n">
        <f aca="false">MEDIAN($C277)</f>
        <v>3000</v>
      </c>
      <c r="AJ277" s="1" t="n">
        <f aca="false">MEDIAN($D277)</f>
        <v>301815</v>
      </c>
      <c r="AK277" s="1" t="n">
        <f aca="false">MEDIAN($E277)</f>
        <v>0</v>
      </c>
      <c r="AL277" s="1" t="n">
        <f aca="false">MEDIAN($F277)</f>
        <v>359</v>
      </c>
      <c r="AM277" s="1" t="n">
        <f aca="false">MEDIAN($G277)</f>
        <v>0</v>
      </c>
      <c r="AN277" s="1" t="n">
        <f aca="false">MEDIAN($H277)</f>
        <v>1</v>
      </c>
      <c r="AO277" s="1" t="n">
        <f aca="false">MEDIAN($I277)</f>
        <v>6.013</v>
      </c>
      <c r="AP277" s="1" t="n">
        <f aca="false">MEDIAN($J277)</f>
        <v>6.14</v>
      </c>
      <c r="AQ277" s="1" t="n">
        <f aca="false">MEDIAN($K277)</f>
        <v>14</v>
      </c>
      <c r="AR277" s="1" t="n">
        <f aca="false">MEDIAN($M277)</f>
        <v>1254194</v>
      </c>
      <c r="AS277" s="1" t="n">
        <f aca="false">MEDIAN($N277)</f>
        <v>0.85</v>
      </c>
      <c r="AT277" s="1" t="n">
        <f aca="false">MEDIAN($P277)</f>
        <v>6.14</v>
      </c>
      <c r="AU277" s="1" t="n">
        <f aca="false">MEDIAN($Q277)</f>
        <v>0</v>
      </c>
      <c r="AV277" s="1" t="n">
        <f aca="false">MEDIAN($R277)</f>
        <v>352798</v>
      </c>
      <c r="AW277" s="1" t="n">
        <f aca="false">MAX($B277)</f>
        <v>28108</v>
      </c>
      <c r="AX277" s="1" t="n">
        <f aca="false">MAX($C277)</f>
        <v>3000</v>
      </c>
      <c r="AY277" s="1" t="n">
        <f aca="false">MAX($D277)</f>
        <v>301815</v>
      </c>
      <c r="AZ277" s="1" t="n">
        <f aca="false">MAX($E277)</f>
        <v>0</v>
      </c>
      <c r="BA277" s="1" t="n">
        <f aca="false">MAX($F277)</f>
        <v>359</v>
      </c>
      <c r="BB277" s="1" t="n">
        <f aca="false">MAX($G277)</f>
        <v>0</v>
      </c>
      <c r="BC277" s="1" t="n">
        <f aca="false">MAX($H277)</f>
        <v>1</v>
      </c>
      <c r="BD277" s="1" t="n">
        <f aca="false">MAX($I277)</f>
        <v>6.013</v>
      </c>
      <c r="BE277" s="1" t="n">
        <f aca="false">MAX($J277)</f>
        <v>6.14</v>
      </c>
      <c r="BF277" s="1" t="n">
        <f aca="false">MAX($K277)</f>
        <v>14</v>
      </c>
      <c r="BG277" s="1" t="n">
        <f aca="false">MAX($M277)</f>
        <v>1254194</v>
      </c>
      <c r="BH277" s="1" t="n">
        <f aca="false">MAX($N277)</f>
        <v>0.85</v>
      </c>
      <c r="BI277" s="1" t="n">
        <f aca="false">MAX($P277)</f>
        <v>6.14</v>
      </c>
      <c r="BJ277" s="1" t="n">
        <f aca="false">MAX($Q277)</f>
        <v>0</v>
      </c>
      <c r="BK277" s="1" t="n">
        <f aca="false">MAX($R277)</f>
        <v>352798</v>
      </c>
    </row>
    <row r="278" customFormat="false" ht="15" hidden="false" customHeight="false" outlineLevel="0" collapsed="false">
      <c r="A278" s="1" t="s">
        <v>295</v>
      </c>
      <c r="B278" s="1" t="n">
        <f aca="false" t="array" ref="B278:B278">_xlfn.SWITCH($A$2,"average", AVERAGE(Instances!B278:B278),"median", MEDIAN(Instances!B278:B278),"min", MIN(Instances!B278:B278),"max", MAX(Instances!B278:B278),"diff", MAX(Instances!B278:B278)-MIN(Instances!B278:B278))</f>
        <v>2100</v>
      </c>
      <c r="C278" s="1" t="n">
        <f aca="false" t="array" ref="C278:C278">_xlfn.SWITCH($A$2,"average", AVERAGE(Instances!C278:C278),"median", MEDIAN(Instances!C278:C278),"min", MIN(Instances!C278:C278),"max", MAX(Instances!C278:C278),"diff", MAX(Instances!C278:C278)-MIN(Instances!C278:C278))</f>
        <v>2</v>
      </c>
      <c r="D278" s="1" t="n">
        <f aca="false" t="array" ref="D278:D278">_xlfn.SWITCH($A$2,"average", AVERAGE(Instances!D278:D278),"median", MEDIAN(Instances!D278:D278),"min", MIN(Instances!D278:D278),"max", MAX(Instances!D278:D278),"diff", MAX(Instances!D278:D278)-MIN(Instances!D278:D278))</f>
        <v>405503</v>
      </c>
      <c r="E278" s="1" t="n">
        <f aca="false" t="array" ref="E278:E278">_xlfn.SWITCH($A$2,"average", AVERAGE(Instances!E278:E278),"median", MEDIAN(Instances!E278:E278),"min", MIN(Instances!E278:E278),"max", MAX(Instances!E278:E278),"diff", MAX(Instances!E278:E278)-MIN(Instances!E278:E278))</f>
        <v>0</v>
      </c>
      <c r="F278" s="1" t="n">
        <f aca="false" t="array" ref="F278:F278">_xlfn.SWITCH($A$2,"average", AVERAGE(Instances!F278:F278),"median", MEDIAN(Instances!F278:F278),"min", MIN(Instances!F278:F278),"max", MAX(Instances!F278:F278),"diff", MAX(Instances!F278:F278)-MIN(Instances!F278:F278))</f>
        <v>379</v>
      </c>
      <c r="G278" s="1" t="n">
        <f aca="false" t="array" ref="G278:G278">_xlfn.SWITCH($A$2,"average", AVERAGE(Instances!G278:G278),"median", MEDIAN(Instances!G278:G278),"min", MIN(Instances!G278:G278),"max", MAX(Instances!G278:G278),"diff", MAX(Instances!G278:G278)-MIN(Instances!G278:G278))</f>
        <v>0</v>
      </c>
      <c r="H278" s="1" t="n">
        <f aca="false" t="array" ref="H278:H278">_xlfn.SWITCH($A$2,"average", AVERAGE(Instances!H278:H278),"median", MEDIAN(Instances!H278:H278),"min", MIN(Instances!H278:H278),"max", MAX(Instances!H278:H278),"diff", MAX(Instances!H278:H278)-MIN(Instances!H278:H278))</f>
        <v>1</v>
      </c>
      <c r="I278" s="1" t="n">
        <f aca="false" t="array" ref="I278:I278">_xlfn.SWITCH($A$2,"average", AVERAGE(Instances!I278:I278),"median", MEDIAN(Instances!I278:I278),"min", MIN(Instances!I278:I278),"max", MAX(Instances!I278:I278),"diff", MAX(Instances!I278:I278)-MIN(Instances!I278:I278))</f>
        <v>5.546</v>
      </c>
      <c r="J278" s="1" t="n">
        <f aca="false" t="array" ref="J278:J278">_xlfn.SWITCH($A$2,"average", AVERAGE(Instances!J278:J278),"median", MEDIAN(Instances!J278:J278),"min", MIN(Instances!J278:J278),"max", MAX(Instances!J278:J278),"diff", MAX(Instances!J278:J278)-MIN(Instances!J278:J278))</f>
        <v>5.68</v>
      </c>
      <c r="K278" s="1" t="n">
        <f aca="false" t="array" ref="K278:K278">_xlfn.SWITCH($A$2,"average", AVERAGE(Instances!K278:K278),"median", MEDIAN(Instances!K278:K278),"min", MIN(Instances!K278:K278),"max", MAX(Instances!K278:K278),"diff", MAX(Instances!K278:K278)-MIN(Instances!K278:K278))</f>
        <v>0</v>
      </c>
      <c r="L278" s="1"/>
      <c r="M278" s="1" t="n">
        <f aca="false" t="array" ref="M278:M278">_xlfn.SWITCH($A$2,"average", AVERAGE(Instances!M278:M278),"median", MEDIAN(Instances!M278:M278),"min", MIN(Instances!M278:M278),"max", MAX(Instances!M278:M278),"diff", MAX(Instances!M278:M278)-MIN(Instances!M278:M278))</f>
        <v>1312151</v>
      </c>
      <c r="N278" s="1" t="n">
        <f aca="false" t="array" ref="N278:N278">_xlfn.SWITCH($A$2,"average", AVERAGE(Instances!N278:N278),"median", MEDIAN(Instances!N278:N278),"min", MIN(Instances!N278:N278),"max", MAX(Instances!N278:N278),"diff", MAX(Instances!N278:N278)-MIN(Instances!N278:N278))</f>
        <v>0.04</v>
      </c>
      <c r="O278" s="1"/>
      <c r="P278" s="1" t="n">
        <f aca="false" t="array" ref="P278:P278">_xlfn.SWITCH($A$2,"average", AVERAGE(Instances!P278:P278),"median", MEDIAN(Instances!P278:P278),"min", MIN(Instances!P278:P278),"max", MAX(Instances!P278:P278),"diff", MAX(Instances!P278:P278)-MIN(Instances!P278:P278))</f>
        <v>5.68</v>
      </c>
      <c r="Q278" s="1" t="n">
        <f aca="false" t="array" ref="Q278:Q278">_xlfn.SWITCH($A$2,"average", AVERAGE(Instances!Q278:Q278),"median", MEDIAN(Instances!Q278:Q278),"min", MIN(Instances!Q278:Q278),"max", MAX(Instances!Q278:Q278),"diff", MAX(Instances!Q278:Q278)-MIN(Instances!Q278:Q278))</f>
        <v>0</v>
      </c>
      <c r="R278" s="1" t="n">
        <f aca="false" t="array" ref="R278:R278">_xlfn.SWITCH($A$2,"average", AVERAGE(Instances!R278:R278),"median", MEDIAN(Instances!R278:R278),"min", MIN(Instances!R278:R278),"max", MAX(Instances!R278:R278),"diff", MAX(Instances!R278:R278)-MIN(Instances!R278:R278))</f>
        <v>370943</v>
      </c>
      <c r="S278" s="1" t="n">
        <f aca="false">MIN($B278)</f>
        <v>2100</v>
      </c>
      <c r="T278" s="1" t="n">
        <f aca="false">MIN($C278)</f>
        <v>2</v>
      </c>
      <c r="U278" s="1" t="n">
        <f aca="false">MIN($D278)</f>
        <v>405503</v>
      </c>
      <c r="V278" s="1" t="n">
        <f aca="false">MIN($E278)</f>
        <v>0</v>
      </c>
      <c r="W278" s="1" t="n">
        <f aca="false">MIN($F278)</f>
        <v>379</v>
      </c>
      <c r="X278" s="1" t="n">
        <f aca="false">MIN($G278)</f>
        <v>0</v>
      </c>
      <c r="Y278" s="1" t="n">
        <f aca="false">MIN($H278)</f>
        <v>1</v>
      </c>
      <c r="Z278" s="1" t="n">
        <f aca="false">MIN($I278)</f>
        <v>5.546</v>
      </c>
      <c r="AA278" s="1" t="n">
        <f aca="false">MIN($J278)</f>
        <v>5.68</v>
      </c>
      <c r="AB278" s="1" t="n">
        <f aca="false">MIN($K278)</f>
        <v>0</v>
      </c>
      <c r="AC278" s="1" t="n">
        <f aca="false">MIN($M278)</f>
        <v>1312151</v>
      </c>
      <c r="AD278" s="1" t="n">
        <f aca="false">MIN($N278)</f>
        <v>0.04</v>
      </c>
      <c r="AE278" s="1" t="n">
        <f aca="false">MIN($P278)</f>
        <v>5.68</v>
      </c>
      <c r="AF278" s="1" t="n">
        <f aca="false">MIN($Q278)</f>
        <v>0</v>
      </c>
      <c r="AG278" s="1" t="n">
        <f aca="false">MIN($R278)</f>
        <v>370943</v>
      </c>
      <c r="AH278" s="1" t="n">
        <f aca="false">MEDIAN($B278)</f>
        <v>2100</v>
      </c>
      <c r="AI278" s="1" t="n">
        <f aca="false">MEDIAN($C278)</f>
        <v>2</v>
      </c>
      <c r="AJ278" s="1" t="n">
        <f aca="false">MEDIAN($D278)</f>
        <v>405503</v>
      </c>
      <c r="AK278" s="1" t="n">
        <f aca="false">MEDIAN($E278)</f>
        <v>0</v>
      </c>
      <c r="AL278" s="1" t="n">
        <f aca="false">MEDIAN($F278)</f>
        <v>379</v>
      </c>
      <c r="AM278" s="1" t="n">
        <f aca="false">MEDIAN($G278)</f>
        <v>0</v>
      </c>
      <c r="AN278" s="1" t="n">
        <f aca="false">MEDIAN($H278)</f>
        <v>1</v>
      </c>
      <c r="AO278" s="1" t="n">
        <f aca="false">MEDIAN($I278)</f>
        <v>5.546</v>
      </c>
      <c r="AP278" s="1" t="n">
        <f aca="false">MEDIAN($J278)</f>
        <v>5.68</v>
      </c>
      <c r="AQ278" s="1" t="n">
        <f aca="false">MEDIAN($K278)</f>
        <v>0</v>
      </c>
      <c r="AR278" s="1" t="n">
        <f aca="false">MEDIAN($M278)</f>
        <v>1312151</v>
      </c>
      <c r="AS278" s="1" t="n">
        <f aca="false">MEDIAN($N278)</f>
        <v>0.04</v>
      </c>
      <c r="AT278" s="1" t="n">
        <f aca="false">MEDIAN($P278)</f>
        <v>5.68</v>
      </c>
      <c r="AU278" s="1" t="n">
        <f aca="false">MEDIAN($Q278)</f>
        <v>0</v>
      </c>
      <c r="AV278" s="1" t="n">
        <f aca="false">MEDIAN($R278)</f>
        <v>370943</v>
      </c>
      <c r="AW278" s="1" t="n">
        <f aca="false">MAX($B278)</f>
        <v>2100</v>
      </c>
      <c r="AX278" s="1" t="n">
        <f aca="false">MAX($C278)</f>
        <v>2</v>
      </c>
      <c r="AY278" s="1" t="n">
        <f aca="false">MAX($D278)</f>
        <v>405503</v>
      </c>
      <c r="AZ278" s="1" t="n">
        <f aca="false">MAX($E278)</f>
        <v>0</v>
      </c>
      <c r="BA278" s="1" t="n">
        <f aca="false">MAX($F278)</f>
        <v>379</v>
      </c>
      <c r="BB278" s="1" t="n">
        <f aca="false">MAX($G278)</f>
        <v>0</v>
      </c>
      <c r="BC278" s="1" t="n">
        <f aca="false">MAX($H278)</f>
        <v>1</v>
      </c>
      <c r="BD278" s="1" t="n">
        <f aca="false">MAX($I278)</f>
        <v>5.546</v>
      </c>
      <c r="BE278" s="1" t="n">
        <f aca="false">MAX($J278)</f>
        <v>5.68</v>
      </c>
      <c r="BF278" s="1" t="n">
        <f aca="false">MAX($K278)</f>
        <v>0</v>
      </c>
      <c r="BG278" s="1" t="n">
        <f aca="false">MAX($M278)</f>
        <v>1312151</v>
      </c>
      <c r="BH278" s="1" t="n">
        <f aca="false">MAX($N278)</f>
        <v>0.04</v>
      </c>
      <c r="BI278" s="1" t="n">
        <f aca="false">MAX($P278)</f>
        <v>5.68</v>
      </c>
      <c r="BJ278" s="1" t="n">
        <f aca="false">MAX($Q278)</f>
        <v>0</v>
      </c>
      <c r="BK278" s="1" t="n">
        <f aca="false">MAX($R278)</f>
        <v>370943</v>
      </c>
    </row>
    <row r="279" customFormat="false" ht="15" hidden="false" customHeight="false" outlineLevel="0" collapsed="false">
      <c r="A279" s="1" t="s">
        <v>296</v>
      </c>
      <c r="B279" s="1" t="n">
        <f aca="false" t="array" ref="B279:B279">_xlfn.SWITCH($A$2,"average", AVERAGE(Instances!B279:B279),"median", MEDIAN(Instances!B279:B279),"min", MIN(Instances!B279:B279),"max", MAX(Instances!B279:B279),"diff", MAX(Instances!B279:B279)-MIN(Instances!B279:B279))</f>
        <v>3767</v>
      </c>
      <c r="C279" s="1" t="n">
        <f aca="false" t="array" ref="C279:C279">_xlfn.SWITCH($A$2,"average", AVERAGE(Instances!C279:C279),"median", MEDIAN(Instances!C279:C279),"min", MIN(Instances!C279:C279),"max", MAX(Instances!C279:C279),"diff", MAX(Instances!C279:C279)-MIN(Instances!C279:C279))</f>
        <v>129</v>
      </c>
      <c r="D279" s="1" t="n">
        <f aca="false" t="array" ref="D279:D279">_xlfn.SWITCH($A$2,"average", AVERAGE(Instances!D279:D279),"median", MEDIAN(Instances!D279:D279),"min", MIN(Instances!D279:D279),"max", MAX(Instances!D279:D279),"diff", MAX(Instances!D279:D279)-MIN(Instances!D279:D279))</f>
        <v>257418</v>
      </c>
      <c r="E279" s="1" t="n">
        <f aca="false" t="array" ref="E279:E279">_xlfn.SWITCH($A$2,"average", AVERAGE(Instances!E279:E279),"median", MEDIAN(Instances!E279:E279),"min", MIN(Instances!E279:E279),"max", MAX(Instances!E279:E279),"diff", MAX(Instances!E279:E279)-MIN(Instances!E279:E279))</f>
        <v>0</v>
      </c>
      <c r="F279" s="1" t="n">
        <f aca="false" t="array" ref="F279:F279">_xlfn.SWITCH($A$2,"average", AVERAGE(Instances!F279:F279),"median", MEDIAN(Instances!F279:F279),"min", MIN(Instances!F279:F279),"max", MAX(Instances!F279:F279),"diff", MAX(Instances!F279:F279)-MIN(Instances!F279:F279))</f>
        <v>336</v>
      </c>
      <c r="G279" s="1" t="n">
        <f aca="false" t="array" ref="G279:G279">_xlfn.SWITCH($A$2,"average", AVERAGE(Instances!G279:G279),"median", MEDIAN(Instances!G279:G279),"min", MIN(Instances!G279:G279),"max", MAX(Instances!G279:G279),"diff", MAX(Instances!G279:G279)-MIN(Instances!G279:G279))</f>
        <v>0</v>
      </c>
      <c r="H279" s="1" t="n">
        <f aca="false" t="array" ref="H279:H279">_xlfn.SWITCH($A$2,"average", AVERAGE(Instances!H279:H279),"median", MEDIAN(Instances!H279:H279),"min", MIN(Instances!H279:H279),"max", MAX(Instances!H279:H279),"diff", MAX(Instances!H279:H279)-MIN(Instances!H279:H279))</f>
        <v>1</v>
      </c>
      <c r="I279" s="1" t="n">
        <f aca="false" t="array" ref="I279:I279">_xlfn.SWITCH($A$2,"average", AVERAGE(Instances!I279:I279),"median", MEDIAN(Instances!I279:I279),"min", MIN(Instances!I279:I279),"max", MAX(Instances!I279:I279),"diff", MAX(Instances!I279:I279)-MIN(Instances!I279:I279))</f>
        <v>5.173</v>
      </c>
      <c r="J279" s="1" t="n">
        <f aca="false" t="array" ref="J279:J279">_xlfn.SWITCH($A$2,"average", AVERAGE(Instances!J279:J279),"median", MEDIAN(Instances!J279:J279),"min", MIN(Instances!J279:J279),"max", MAX(Instances!J279:J279),"diff", MAX(Instances!J279:J279)-MIN(Instances!J279:J279))</f>
        <v>5.3</v>
      </c>
      <c r="K279" s="1" t="n">
        <f aca="false" t="array" ref="K279:K279">_xlfn.SWITCH($A$2,"average", AVERAGE(Instances!K279:K279),"median", MEDIAN(Instances!K279:K279),"min", MIN(Instances!K279:K279),"max", MAX(Instances!K279:K279),"diff", MAX(Instances!K279:K279)-MIN(Instances!K279:K279))</f>
        <v>2</v>
      </c>
      <c r="L279" s="1"/>
      <c r="M279" s="1" t="n">
        <f aca="false" t="array" ref="M279:M279">_xlfn.SWITCH($A$2,"average", AVERAGE(Instances!M279:M279),"median", MEDIAN(Instances!M279:M279),"min", MIN(Instances!M279:M279),"max", MAX(Instances!M279:M279),"diff", MAX(Instances!M279:M279)-MIN(Instances!M279:M279))</f>
        <v>1220252</v>
      </c>
      <c r="N279" s="1" t="n">
        <f aca="false" t="array" ref="N279:N279">_xlfn.SWITCH($A$2,"average", AVERAGE(Instances!N279:N279),"median", MEDIAN(Instances!N279:N279),"min", MIN(Instances!N279:N279),"max", MAX(Instances!N279:N279),"diff", MAX(Instances!N279:N279)-MIN(Instances!N279:N279))</f>
        <v>0.07</v>
      </c>
      <c r="O279" s="1"/>
      <c r="P279" s="1" t="n">
        <f aca="false" t="array" ref="P279:P279">_xlfn.SWITCH($A$2,"average", AVERAGE(Instances!P279:P279),"median", MEDIAN(Instances!P279:P279),"min", MIN(Instances!P279:P279),"max", MAX(Instances!P279:P279),"diff", MAX(Instances!P279:P279)-MIN(Instances!P279:P279))</f>
        <v>5.3</v>
      </c>
      <c r="Q279" s="1" t="n">
        <f aca="false" t="array" ref="Q279:Q279">_xlfn.SWITCH($A$2,"average", AVERAGE(Instances!Q279:Q279),"median", MEDIAN(Instances!Q279:Q279),"min", MIN(Instances!Q279:Q279),"max", MAX(Instances!Q279:Q279),"diff", MAX(Instances!Q279:Q279)-MIN(Instances!Q279:Q279))</f>
        <v>0</v>
      </c>
      <c r="R279" s="1" t="n">
        <f aca="false" t="array" ref="R279:R279">_xlfn.SWITCH($A$2,"average", AVERAGE(Instances!R279:R279),"median", MEDIAN(Instances!R279:R279),"min", MIN(Instances!R279:R279),"max", MAX(Instances!R279:R279),"diff", MAX(Instances!R279:R279)-MIN(Instances!R279:R279))</f>
        <v>339282</v>
      </c>
      <c r="S279" s="1" t="n">
        <f aca="false">MIN($B279)</f>
        <v>3767</v>
      </c>
      <c r="T279" s="1" t="n">
        <f aca="false">MIN($C279)</f>
        <v>129</v>
      </c>
      <c r="U279" s="1" t="n">
        <f aca="false">MIN($D279)</f>
        <v>257418</v>
      </c>
      <c r="V279" s="1" t="n">
        <f aca="false">MIN($E279)</f>
        <v>0</v>
      </c>
      <c r="W279" s="1" t="n">
        <f aca="false">MIN($F279)</f>
        <v>336</v>
      </c>
      <c r="X279" s="1" t="n">
        <f aca="false">MIN($G279)</f>
        <v>0</v>
      </c>
      <c r="Y279" s="1" t="n">
        <f aca="false">MIN($H279)</f>
        <v>1</v>
      </c>
      <c r="Z279" s="1" t="n">
        <f aca="false">MIN($I279)</f>
        <v>5.173</v>
      </c>
      <c r="AA279" s="1" t="n">
        <f aca="false">MIN($J279)</f>
        <v>5.3</v>
      </c>
      <c r="AB279" s="1" t="n">
        <f aca="false">MIN($K279)</f>
        <v>2</v>
      </c>
      <c r="AC279" s="1" t="n">
        <f aca="false">MIN($M279)</f>
        <v>1220252</v>
      </c>
      <c r="AD279" s="1" t="n">
        <f aca="false">MIN($N279)</f>
        <v>0.07</v>
      </c>
      <c r="AE279" s="1" t="n">
        <f aca="false">MIN($P279)</f>
        <v>5.3</v>
      </c>
      <c r="AF279" s="1" t="n">
        <f aca="false">MIN($Q279)</f>
        <v>0</v>
      </c>
      <c r="AG279" s="1" t="n">
        <f aca="false">MIN($R279)</f>
        <v>339282</v>
      </c>
      <c r="AH279" s="1" t="n">
        <f aca="false">MEDIAN($B279)</f>
        <v>3767</v>
      </c>
      <c r="AI279" s="1" t="n">
        <f aca="false">MEDIAN($C279)</f>
        <v>129</v>
      </c>
      <c r="AJ279" s="1" t="n">
        <f aca="false">MEDIAN($D279)</f>
        <v>257418</v>
      </c>
      <c r="AK279" s="1" t="n">
        <f aca="false">MEDIAN($E279)</f>
        <v>0</v>
      </c>
      <c r="AL279" s="1" t="n">
        <f aca="false">MEDIAN($F279)</f>
        <v>336</v>
      </c>
      <c r="AM279" s="1" t="n">
        <f aca="false">MEDIAN($G279)</f>
        <v>0</v>
      </c>
      <c r="AN279" s="1" t="n">
        <f aca="false">MEDIAN($H279)</f>
        <v>1</v>
      </c>
      <c r="AO279" s="1" t="n">
        <f aca="false">MEDIAN($I279)</f>
        <v>5.173</v>
      </c>
      <c r="AP279" s="1" t="n">
        <f aca="false">MEDIAN($J279)</f>
        <v>5.3</v>
      </c>
      <c r="AQ279" s="1" t="n">
        <f aca="false">MEDIAN($K279)</f>
        <v>2</v>
      </c>
      <c r="AR279" s="1" t="n">
        <f aca="false">MEDIAN($M279)</f>
        <v>1220252</v>
      </c>
      <c r="AS279" s="1" t="n">
        <f aca="false">MEDIAN($N279)</f>
        <v>0.07</v>
      </c>
      <c r="AT279" s="1" t="n">
        <f aca="false">MEDIAN($P279)</f>
        <v>5.3</v>
      </c>
      <c r="AU279" s="1" t="n">
        <f aca="false">MEDIAN($Q279)</f>
        <v>0</v>
      </c>
      <c r="AV279" s="1" t="n">
        <f aca="false">MEDIAN($R279)</f>
        <v>339282</v>
      </c>
      <c r="AW279" s="1" t="n">
        <f aca="false">MAX($B279)</f>
        <v>3767</v>
      </c>
      <c r="AX279" s="1" t="n">
        <f aca="false">MAX($C279)</f>
        <v>129</v>
      </c>
      <c r="AY279" s="1" t="n">
        <f aca="false">MAX($D279)</f>
        <v>257418</v>
      </c>
      <c r="AZ279" s="1" t="n">
        <f aca="false">MAX($E279)</f>
        <v>0</v>
      </c>
      <c r="BA279" s="1" t="n">
        <f aca="false">MAX($F279)</f>
        <v>336</v>
      </c>
      <c r="BB279" s="1" t="n">
        <f aca="false">MAX($G279)</f>
        <v>0</v>
      </c>
      <c r="BC279" s="1" t="n">
        <f aca="false">MAX($H279)</f>
        <v>1</v>
      </c>
      <c r="BD279" s="1" t="n">
        <f aca="false">MAX($I279)</f>
        <v>5.173</v>
      </c>
      <c r="BE279" s="1" t="n">
        <f aca="false">MAX($J279)</f>
        <v>5.3</v>
      </c>
      <c r="BF279" s="1" t="n">
        <f aca="false">MAX($K279)</f>
        <v>2</v>
      </c>
      <c r="BG279" s="1" t="n">
        <f aca="false">MAX($M279)</f>
        <v>1220252</v>
      </c>
      <c r="BH279" s="1" t="n">
        <f aca="false">MAX($N279)</f>
        <v>0.07</v>
      </c>
      <c r="BI279" s="1" t="n">
        <f aca="false">MAX($P279)</f>
        <v>5.3</v>
      </c>
      <c r="BJ279" s="1" t="n">
        <f aca="false">MAX($Q279)</f>
        <v>0</v>
      </c>
      <c r="BK279" s="1" t="n">
        <f aca="false">MAX($R279)</f>
        <v>339282</v>
      </c>
    </row>
    <row r="280" customFormat="false" ht="15" hidden="false" customHeight="false" outlineLevel="0" collapsed="false">
      <c r="A280" s="1" t="s">
        <v>297</v>
      </c>
      <c r="B280" s="1" t="n">
        <f aca="false" t="array" ref="B280:B280">_xlfn.SWITCH($A$2,"average", AVERAGE(Instances!B280:B280),"median", MEDIAN(Instances!B280:B280),"min", MIN(Instances!B280:B280),"max", MAX(Instances!B280:B280),"diff", MAX(Instances!B280:B280)-MIN(Instances!B280:B280))</f>
        <v>11642</v>
      </c>
      <c r="C280" s="1" t="n">
        <f aca="false" t="array" ref="C280:C280">_xlfn.SWITCH($A$2,"average", AVERAGE(Instances!C280:C280),"median", MEDIAN(Instances!C280:C280),"min", MIN(Instances!C280:C280),"max", MAX(Instances!C280:C280),"diff", MAX(Instances!C280:C280)-MIN(Instances!C280:C280))</f>
        <v>1635</v>
      </c>
      <c r="D280" s="1" t="n">
        <f aca="false" t="array" ref="D280:D280">_xlfn.SWITCH($A$2,"average", AVERAGE(Instances!D280:D280),"median", MEDIAN(Instances!D280:D280),"min", MIN(Instances!D280:D280),"max", MAX(Instances!D280:D280),"diff", MAX(Instances!D280:D280)-MIN(Instances!D280:D280))</f>
        <v>304069</v>
      </c>
      <c r="E280" s="1" t="n">
        <f aca="false" t="array" ref="E280:E280">_xlfn.SWITCH($A$2,"average", AVERAGE(Instances!E280:E280),"median", MEDIAN(Instances!E280:E280),"min", MIN(Instances!E280:E280),"max", MAX(Instances!E280:E280),"diff", MAX(Instances!E280:E280)-MIN(Instances!E280:E280))</f>
        <v>0</v>
      </c>
      <c r="F280" s="1" t="n">
        <f aca="false" t="array" ref="F280:F280">_xlfn.SWITCH($A$2,"average", AVERAGE(Instances!F280:F280),"median", MEDIAN(Instances!F280:F280),"min", MIN(Instances!F280:F280),"max", MAX(Instances!F280:F280),"diff", MAX(Instances!F280:F280)-MIN(Instances!F280:F280))</f>
        <v>361</v>
      </c>
      <c r="G280" s="1" t="n">
        <f aca="false" t="array" ref="G280:G280">_xlfn.SWITCH($A$2,"average", AVERAGE(Instances!G280:G280),"median", MEDIAN(Instances!G280:G280),"min", MIN(Instances!G280:G280),"max", MAX(Instances!G280:G280),"diff", MAX(Instances!G280:G280)-MIN(Instances!G280:G280))</f>
        <v>0</v>
      </c>
      <c r="H280" s="1" t="n">
        <f aca="false" t="array" ref="H280:H280">_xlfn.SWITCH($A$2,"average", AVERAGE(Instances!H280:H280),"median", MEDIAN(Instances!H280:H280),"min", MIN(Instances!H280:H280),"max", MAX(Instances!H280:H280),"diff", MAX(Instances!H280:H280)-MIN(Instances!H280:H280))</f>
        <v>1</v>
      </c>
      <c r="I280" s="1" t="n">
        <f aca="false" t="array" ref="I280:I280">_xlfn.SWITCH($A$2,"average", AVERAGE(Instances!I280:I280),"median", MEDIAN(Instances!I280:I280),"min", MIN(Instances!I280:I280),"max", MAX(Instances!I280:I280),"diff", MAX(Instances!I280:I280)-MIN(Instances!I280:I280))</f>
        <v>5.919</v>
      </c>
      <c r="J280" s="1" t="n">
        <f aca="false" t="array" ref="J280:J280">_xlfn.SWITCH($A$2,"average", AVERAGE(Instances!J280:J280),"median", MEDIAN(Instances!J280:J280),"min", MIN(Instances!J280:J280),"max", MAX(Instances!J280:J280),"diff", MAX(Instances!J280:J280)-MIN(Instances!J280:J280))</f>
        <v>6.05</v>
      </c>
      <c r="K280" s="1" t="n">
        <f aca="false" t="array" ref="K280:K280">_xlfn.SWITCH($A$2,"average", AVERAGE(Instances!K280:K280),"median", MEDIAN(Instances!K280:K280),"min", MIN(Instances!K280:K280),"max", MAX(Instances!K280:K280),"diff", MAX(Instances!K280:K280)-MIN(Instances!K280:K280))</f>
        <v>10</v>
      </c>
      <c r="L280" s="1"/>
      <c r="M280" s="1" t="n">
        <f aca="false" t="array" ref="M280:M280">_xlfn.SWITCH($A$2,"average", AVERAGE(Instances!M280:M280),"median", MEDIAN(Instances!M280:M280),"min", MIN(Instances!M280:M280),"max", MAX(Instances!M280:M280),"diff", MAX(Instances!M280:M280)-MIN(Instances!M280:M280))</f>
        <v>1265928</v>
      </c>
      <c r="N280" s="1" t="n">
        <f aca="false" t="array" ref="N280:N280">_xlfn.SWITCH($A$2,"average", AVERAGE(Instances!N280:N280),"median", MEDIAN(Instances!N280:N280),"min", MIN(Instances!N280:N280),"max", MAX(Instances!N280:N280),"diff", MAX(Instances!N280:N280)-MIN(Instances!N280:N280))</f>
        <v>0.44</v>
      </c>
      <c r="O280" s="1"/>
      <c r="P280" s="1" t="n">
        <f aca="false" t="array" ref="P280:P280">_xlfn.SWITCH($A$2,"average", AVERAGE(Instances!P280:P280),"median", MEDIAN(Instances!P280:P280),"min", MIN(Instances!P280:P280),"max", MAX(Instances!P280:P280),"diff", MAX(Instances!P280:P280)-MIN(Instances!P280:P280))</f>
        <v>6.05</v>
      </c>
      <c r="Q280" s="1" t="n">
        <f aca="false" t="array" ref="Q280:Q280">_xlfn.SWITCH($A$2,"average", AVERAGE(Instances!Q280:Q280),"median", MEDIAN(Instances!Q280:Q280),"min", MIN(Instances!Q280:Q280),"max", MAX(Instances!Q280:Q280),"diff", MAX(Instances!Q280:Q280)-MIN(Instances!Q280:Q280))</f>
        <v>0</v>
      </c>
      <c r="R280" s="1" t="n">
        <f aca="false" t="array" ref="R280:R280">_xlfn.SWITCH($A$2,"average", AVERAGE(Instances!R280:R280),"median", MEDIAN(Instances!R280:R280),"min", MIN(Instances!R280:R280),"max", MAX(Instances!R280:R280),"diff", MAX(Instances!R280:R280)-MIN(Instances!R280:R280))</f>
        <v>355804</v>
      </c>
      <c r="S280" s="1" t="n">
        <f aca="false">MIN($B280)</f>
        <v>11642</v>
      </c>
      <c r="T280" s="1" t="n">
        <f aca="false">MIN($C280)</f>
        <v>1635</v>
      </c>
      <c r="U280" s="1" t="n">
        <f aca="false">MIN($D280)</f>
        <v>304069</v>
      </c>
      <c r="V280" s="1" t="n">
        <f aca="false">MIN($E280)</f>
        <v>0</v>
      </c>
      <c r="W280" s="1" t="n">
        <f aca="false">MIN($F280)</f>
        <v>361</v>
      </c>
      <c r="X280" s="1" t="n">
        <f aca="false">MIN($G280)</f>
        <v>0</v>
      </c>
      <c r="Y280" s="1" t="n">
        <f aca="false">MIN($H280)</f>
        <v>1</v>
      </c>
      <c r="Z280" s="1" t="n">
        <f aca="false">MIN($I280)</f>
        <v>5.919</v>
      </c>
      <c r="AA280" s="1" t="n">
        <f aca="false">MIN($J280)</f>
        <v>6.05</v>
      </c>
      <c r="AB280" s="1" t="n">
        <f aca="false">MIN($K280)</f>
        <v>10</v>
      </c>
      <c r="AC280" s="1" t="n">
        <f aca="false">MIN($M280)</f>
        <v>1265928</v>
      </c>
      <c r="AD280" s="1" t="n">
        <f aca="false">MIN($N280)</f>
        <v>0.44</v>
      </c>
      <c r="AE280" s="1" t="n">
        <f aca="false">MIN($P280)</f>
        <v>6.05</v>
      </c>
      <c r="AF280" s="1" t="n">
        <f aca="false">MIN($Q280)</f>
        <v>0</v>
      </c>
      <c r="AG280" s="1" t="n">
        <f aca="false">MIN($R280)</f>
        <v>355804</v>
      </c>
      <c r="AH280" s="1" t="n">
        <f aca="false">MEDIAN($B280)</f>
        <v>11642</v>
      </c>
      <c r="AI280" s="1" t="n">
        <f aca="false">MEDIAN($C280)</f>
        <v>1635</v>
      </c>
      <c r="AJ280" s="1" t="n">
        <f aca="false">MEDIAN($D280)</f>
        <v>304069</v>
      </c>
      <c r="AK280" s="1" t="n">
        <f aca="false">MEDIAN($E280)</f>
        <v>0</v>
      </c>
      <c r="AL280" s="1" t="n">
        <f aca="false">MEDIAN($F280)</f>
        <v>361</v>
      </c>
      <c r="AM280" s="1" t="n">
        <f aca="false">MEDIAN($G280)</f>
        <v>0</v>
      </c>
      <c r="AN280" s="1" t="n">
        <f aca="false">MEDIAN($H280)</f>
        <v>1</v>
      </c>
      <c r="AO280" s="1" t="n">
        <f aca="false">MEDIAN($I280)</f>
        <v>5.919</v>
      </c>
      <c r="AP280" s="1" t="n">
        <f aca="false">MEDIAN($J280)</f>
        <v>6.05</v>
      </c>
      <c r="AQ280" s="1" t="n">
        <f aca="false">MEDIAN($K280)</f>
        <v>10</v>
      </c>
      <c r="AR280" s="1" t="n">
        <f aca="false">MEDIAN($M280)</f>
        <v>1265928</v>
      </c>
      <c r="AS280" s="1" t="n">
        <f aca="false">MEDIAN($N280)</f>
        <v>0.44</v>
      </c>
      <c r="AT280" s="1" t="n">
        <f aca="false">MEDIAN($P280)</f>
        <v>6.05</v>
      </c>
      <c r="AU280" s="1" t="n">
        <f aca="false">MEDIAN($Q280)</f>
        <v>0</v>
      </c>
      <c r="AV280" s="1" t="n">
        <f aca="false">MEDIAN($R280)</f>
        <v>355804</v>
      </c>
      <c r="AW280" s="1" t="n">
        <f aca="false">MAX($B280)</f>
        <v>11642</v>
      </c>
      <c r="AX280" s="1" t="n">
        <f aca="false">MAX($C280)</f>
        <v>1635</v>
      </c>
      <c r="AY280" s="1" t="n">
        <f aca="false">MAX($D280)</f>
        <v>304069</v>
      </c>
      <c r="AZ280" s="1" t="n">
        <f aca="false">MAX($E280)</f>
        <v>0</v>
      </c>
      <c r="BA280" s="1" t="n">
        <f aca="false">MAX($F280)</f>
        <v>361</v>
      </c>
      <c r="BB280" s="1" t="n">
        <f aca="false">MAX($G280)</f>
        <v>0</v>
      </c>
      <c r="BC280" s="1" t="n">
        <f aca="false">MAX($H280)</f>
        <v>1</v>
      </c>
      <c r="BD280" s="1" t="n">
        <f aca="false">MAX($I280)</f>
        <v>5.919</v>
      </c>
      <c r="BE280" s="1" t="n">
        <f aca="false">MAX($J280)</f>
        <v>6.05</v>
      </c>
      <c r="BF280" s="1" t="n">
        <f aca="false">MAX($K280)</f>
        <v>10</v>
      </c>
      <c r="BG280" s="1" t="n">
        <f aca="false">MAX($M280)</f>
        <v>1265928</v>
      </c>
      <c r="BH280" s="1" t="n">
        <f aca="false">MAX($N280)</f>
        <v>0.44</v>
      </c>
      <c r="BI280" s="1" t="n">
        <f aca="false">MAX($P280)</f>
        <v>6.05</v>
      </c>
      <c r="BJ280" s="1" t="n">
        <f aca="false">MAX($Q280)</f>
        <v>0</v>
      </c>
      <c r="BK280" s="1" t="n">
        <f aca="false">MAX($R280)</f>
        <v>355804</v>
      </c>
    </row>
    <row r="281" customFormat="false" ht="15" hidden="false" customHeight="false" outlineLevel="0" collapsed="false">
      <c r="A281" s="1" t="s">
        <v>298</v>
      </c>
      <c r="B281" s="1" t="n">
        <f aca="false" t="array" ref="B281:B281">_xlfn.SWITCH($A$2,"average", AVERAGE(Instances!B281:B281),"median", MEDIAN(Instances!B281:B281),"min", MIN(Instances!B281:B281),"max", MAX(Instances!B281:B281),"diff", MAX(Instances!B281:B281)-MIN(Instances!B281:B281))</f>
        <v>43195</v>
      </c>
      <c r="C281" s="1" t="n">
        <f aca="false" t="array" ref="C281:C281">_xlfn.SWITCH($A$2,"average", AVERAGE(Instances!C281:C281),"median", MEDIAN(Instances!C281:C281),"min", MIN(Instances!C281:C281),"max", MAX(Instances!C281:C281),"diff", MAX(Instances!C281:C281)-MIN(Instances!C281:C281))</f>
        <v>274</v>
      </c>
      <c r="D281" s="1" t="n">
        <f aca="false" t="array" ref="D281:D281">_xlfn.SWITCH($A$2,"average", AVERAGE(Instances!D281:D281),"median", MEDIAN(Instances!D281:D281),"min", MIN(Instances!D281:D281),"max", MAX(Instances!D281:D281),"diff", MAX(Instances!D281:D281)-MIN(Instances!D281:D281))</f>
        <v>315934</v>
      </c>
      <c r="E281" s="1" t="n">
        <f aca="false" t="array" ref="E281:E281">_xlfn.SWITCH($A$2,"average", AVERAGE(Instances!E281:E281),"median", MEDIAN(Instances!E281:E281),"min", MIN(Instances!E281:E281),"max", MAX(Instances!E281:E281),"diff", MAX(Instances!E281:E281)-MIN(Instances!E281:E281))</f>
        <v>0</v>
      </c>
      <c r="F281" s="1" t="n">
        <f aca="false" t="array" ref="F281:F281">_xlfn.SWITCH($A$2,"average", AVERAGE(Instances!F281:F281),"median", MEDIAN(Instances!F281:F281),"min", MIN(Instances!F281:F281),"max", MAX(Instances!F281:F281),"diff", MAX(Instances!F281:F281)-MIN(Instances!F281:F281))</f>
        <v>338</v>
      </c>
      <c r="G281" s="1" t="n">
        <f aca="false" t="array" ref="G281:G281">_xlfn.SWITCH($A$2,"average", AVERAGE(Instances!G281:G281),"median", MEDIAN(Instances!G281:G281),"min", MIN(Instances!G281:G281),"max", MAX(Instances!G281:G281),"diff", MAX(Instances!G281:G281)-MIN(Instances!G281:G281))</f>
        <v>0</v>
      </c>
      <c r="H281" s="1" t="n">
        <f aca="false" t="array" ref="H281:H281">_xlfn.SWITCH($A$2,"average", AVERAGE(Instances!H281:H281),"median", MEDIAN(Instances!H281:H281),"min", MIN(Instances!H281:H281),"max", MAX(Instances!H281:H281),"diff", MAX(Instances!H281:H281)-MIN(Instances!H281:H281))</f>
        <v>1</v>
      </c>
      <c r="I281" s="1" t="n">
        <f aca="false" t="array" ref="I281:I281">_xlfn.SWITCH($A$2,"average", AVERAGE(Instances!I281:I281),"median", MEDIAN(Instances!I281:I281),"min", MIN(Instances!I281:I281),"max", MAX(Instances!I281:I281),"diff", MAX(Instances!I281:I281)-MIN(Instances!I281:I281))</f>
        <v>5.447</v>
      </c>
      <c r="J281" s="1" t="n">
        <f aca="false" t="array" ref="J281:J281">_xlfn.SWITCH($A$2,"average", AVERAGE(Instances!J281:J281),"median", MEDIAN(Instances!J281:J281),"min", MIN(Instances!J281:J281),"max", MAX(Instances!J281:J281),"diff", MAX(Instances!J281:J281)-MIN(Instances!J281:J281))</f>
        <v>5.57</v>
      </c>
      <c r="K281" s="1" t="n">
        <f aca="false" t="array" ref="K281:K281">_xlfn.SWITCH($A$2,"average", AVERAGE(Instances!K281:K281),"median", MEDIAN(Instances!K281:K281),"min", MIN(Instances!K281:K281),"max", MAX(Instances!K281:K281),"diff", MAX(Instances!K281:K281)-MIN(Instances!K281:K281))</f>
        <v>2</v>
      </c>
      <c r="L281" s="1"/>
      <c r="M281" s="1" t="n">
        <f aca="false" t="array" ref="M281:M281">_xlfn.SWITCH($A$2,"average", AVERAGE(Instances!M281:M281),"median", MEDIAN(Instances!M281:M281),"min", MIN(Instances!M281:M281),"max", MAX(Instances!M281:M281),"diff", MAX(Instances!M281:M281)-MIN(Instances!M281:M281))</f>
        <v>1205134</v>
      </c>
      <c r="N281" s="1" t="n">
        <f aca="false" t="array" ref="N281:N281">_xlfn.SWITCH($A$2,"average", AVERAGE(Instances!N281:N281),"median", MEDIAN(Instances!N281:N281),"min", MIN(Instances!N281:N281),"max", MAX(Instances!N281:N281),"diff", MAX(Instances!N281:N281)-MIN(Instances!N281:N281))</f>
        <v>0.4</v>
      </c>
      <c r="O281" s="1"/>
      <c r="P281" s="1" t="n">
        <f aca="false" t="array" ref="P281:P281">_xlfn.SWITCH($A$2,"average", AVERAGE(Instances!P281:P281),"median", MEDIAN(Instances!P281:P281),"min", MIN(Instances!P281:P281),"max", MAX(Instances!P281:P281),"diff", MAX(Instances!P281:P281)-MIN(Instances!P281:P281))</f>
        <v>5.57</v>
      </c>
      <c r="Q281" s="1" t="n">
        <f aca="false" t="array" ref="Q281:Q281">_xlfn.SWITCH($A$2,"average", AVERAGE(Instances!Q281:Q281),"median", MEDIAN(Instances!Q281:Q281),"min", MIN(Instances!Q281:Q281),"max", MAX(Instances!Q281:Q281),"diff", MAX(Instances!Q281:Q281)-MIN(Instances!Q281:Q281))</f>
        <v>0</v>
      </c>
      <c r="R281" s="1" t="n">
        <f aca="false" t="array" ref="R281:R281">_xlfn.SWITCH($A$2,"average", AVERAGE(Instances!R281:R281),"median", MEDIAN(Instances!R281:R281),"min", MIN(Instances!R281:R281),"max", MAX(Instances!R281:R281),"diff", MAX(Instances!R281:R281)-MIN(Instances!R281:R281))</f>
        <v>339281</v>
      </c>
      <c r="S281" s="1" t="n">
        <f aca="false">MIN($B281)</f>
        <v>43195</v>
      </c>
      <c r="T281" s="1" t="n">
        <f aca="false">MIN($C281)</f>
        <v>274</v>
      </c>
      <c r="U281" s="1" t="n">
        <f aca="false">MIN($D281)</f>
        <v>315934</v>
      </c>
      <c r="V281" s="1" t="n">
        <f aca="false">MIN($E281)</f>
        <v>0</v>
      </c>
      <c r="W281" s="1" t="n">
        <f aca="false">MIN($F281)</f>
        <v>338</v>
      </c>
      <c r="X281" s="1" t="n">
        <f aca="false">MIN($G281)</f>
        <v>0</v>
      </c>
      <c r="Y281" s="1" t="n">
        <f aca="false">MIN($H281)</f>
        <v>1</v>
      </c>
      <c r="Z281" s="1" t="n">
        <f aca="false">MIN($I281)</f>
        <v>5.447</v>
      </c>
      <c r="AA281" s="1" t="n">
        <f aca="false">MIN($J281)</f>
        <v>5.57</v>
      </c>
      <c r="AB281" s="1" t="n">
        <f aca="false">MIN($K281)</f>
        <v>2</v>
      </c>
      <c r="AC281" s="1" t="n">
        <f aca="false">MIN($M281)</f>
        <v>1205134</v>
      </c>
      <c r="AD281" s="1" t="n">
        <f aca="false">MIN($N281)</f>
        <v>0.4</v>
      </c>
      <c r="AE281" s="1" t="n">
        <f aca="false">MIN($P281)</f>
        <v>5.57</v>
      </c>
      <c r="AF281" s="1" t="n">
        <f aca="false">MIN($Q281)</f>
        <v>0</v>
      </c>
      <c r="AG281" s="1" t="n">
        <f aca="false">MIN($R281)</f>
        <v>339281</v>
      </c>
      <c r="AH281" s="1" t="n">
        <f aca="false">MEDIAN($B281)</f>
        <v>43195</v>
      </c>
      <c r="AI281" s="1" t="n">
        <f aca="false">MEDIAN($C281)</f>
        <v>274</v>
      </c>
      <c r="AJ281" s="1" t="n">
        <f aca="false">MEDIAN($D281)</f>
        <v>315934</v>
      </c>
      <c r="AK281" s="1" t="n">
        <f aca="false">MEDIAN($E281)</f>
        <v>0</v>
      </c>
      <c r="AL281" s="1" t="n">
        <f aca="false">MEDIAN($F281)</f>
        <v>338</v>
      </c>
      <c r="AM281" s="1" t="n">
        <f aca="false">MEDIAN($G281)</f>
        <v>0</v>
      </c>
      <c r="AN281" s="1" t="n">
        <f aca="false">MEDIAN($H281)</f>
        <v>1</v>
      </c>
      <c r="AO281" s="1" t="n">
        <f aca="false">MEDIAN($I281)</f>
        <v>5.447</v>
      </c>
      <c r="AP281" s="1" t="n">
        <f aca="false">MEDIAN($J281)</f>
        <v>5.57</v>
      </c>
      <c r="AQ281" s="1" t="n">
        <f aca="false">MEDIAN($K281)</f>
        <v>2</v>
      </c>
      <c r="AR281" s="1" t="n">
        <f aca="false">MEDIAN($M281)</f>
        <v>1205134</v>
      </c>
      <c r="AS281" s="1" t="n">
        <f aca="false">MEDIAN($N281)</f>
        <v>0.4</v>
      </c>
      <c r="AT281" s="1" t="n">
        <f aca="false">MEDIAN($P281)</f>
        <v>5.57</v>
      </c>
      <c r="AU281" s="1" t="n">
        <f aca="false">MEDIAN($Q281)</f>
        <v>0</v>
      </c>
      <c r="AV281" s="1" t="n">
        <f aca="false">MEDIAN($R281)</f>
        <v>339281</v>
      </c>
      <c r="AW281" s="1" t="n">
        <f aca="false">MAX($B281)</f>
        <v>43195</v>
      </c>
      <c r="AX281" s="1" t="n">
        <f aca="false">MAX($C281)</f>
        <v>274</v>
      </c>
      <c r="AY281" s="1" t="n">
        <f aca="false">MAX($D281)</f>
        <v>315934</v>
      </c>
      <c r="AZ281" s="1" t="n">
        <f aca="false">MAX($E281)</f>
        <v>0</v>
      </c>
      <c r="BA281" s="1" t="n">
        <f aca="false">MAX($F281)</f>
        <v>338</v>
      </c>
      <c r="BB281" s="1" t="n">
        <f aca="false">MAX($G281)</f>
        <v>0</v>
      </c>
      <c r="BC281" s="1" t="n">
        <f aca="false">MAX($H281)</f>
        <v>1</v>
      </c>
      <c r="BD281" s="1" t="n">
        <f aca="false">MAX($I281)</f>
        <v>5.447</v>
      </c>
      <c r="BE281" s="1" t="n">
        <f aca="false">MAX($J281)</f>
        <v>5.57</v>
      </c>
      <c r="BF281" s="1" t="n">
        <f aca="false">MAX($K281)</f>
        <v>2</v>
      </c>
      <c r="BG281" s="1" t="n">
        <f aca="false">MAX($M281)</f>
        <v>1205134</v>
      </c>
      <c r="BH281" s="1" t="n">
        <f aca="false">MAX($N281)</f>
        <v>0.4</v>
      </c>
      <c r="BI281" s="1" t="n">
        <f aca="false">MAX($P281)</f>
        <v>5.57</v>
      </c>
      <c r="BJ281" s="1" t="n">
        <f aca="false">MAX($Q281)</f>
        <v>0</v>
      </c>
      <c r="BK281" s="1" t="n">
        <f aca="false">MAX($R281)</f>
        <v>339281</v>
      </c>
    </row>
    <row r="282" customFormat="false" ht="15" hidden="false" customHeight="false" outlineLevel="0" collapsed="false">
      <c r="A282" s="1" t="s">
        <v>299</v>
      </c>
      <c r="B282" s="1" t="n">
        <f aca="false" t="array" ref="B282:B282">_xlfn.SWITCH($A$2,"average", AVERAGE(Instances!B282:B282),"median", MEDIAN(Instances!B282:B282),"min", MIN(Instances!B282:B282),"max", MAX(Instances!B282:B282),"diff", MAX(Instances!B282:B282)-MIN(Instances!B282:B282))</f>
        <v>2402</v>
      </c>
      <c r="C282" s="1" t="n">
        <f aca="false" t="array" ref="C282:C282">_xlfn.SWITCH($A$2,"average", AVERAGE(Instances!C282:C282),"median", MEDIAN(Instances!C282:C282),"min", MIN(Instances!C282:C282),"max", MAX(Instances!C282:C282),"diff", MAX(Instances!C282:C282)-MIN(Instances!C282:C282))</f>
        <v>2</v>
      </c>
      <c r="D282" s="1" t="n">
        <f aca="false" t="array" ref="D282:D282">_xlfn.SWITCH($A$2,"average", AVERAGE(Instances!D282:D282),"median", MEDIAN(Instances!D282:D282),"min", MIN(Instances!D282:D282),"max", MAX(Instances!D282:D282),"diff", MAX(Instances!D282:D282)-MIN(Instances!D282:D282))</f>
        <v>407127</v>
      </c>
      <c r="E282" s="1" t="n">
        <f aca="false" t="array" ref="E282:E282">_xlfn.SWITCH($A$2,"average", AVERAGE(Instances!E282:E282),"median", MEDIAN(Instances!E282:E282),"min", MIN(Instances!E282:E282),"max", MAX(Instances!E282:E282),"diff", MAX(Instances!E282:E282)-MIN(Instances!E282:E282))</f>
        <v>0</v>
      </c>
      <c r="F282" s="1" t="n">
        <f aca="false" t="array" ref="F282:F282">_xlfn.SWITCH($A$2,"average", AVERAGE(Instances!F282:F282),"median", MEDIAN(Instances!F282:F282),"min", MIN(Instances!F282:F282),"max", MAX(Instances!F282:F282),"diff", MAX(Instances!F282:F282)-MIN(Instances!F282:F282))</f>
        <v>383</v>
      </c>
      <c r="G282" s="1" t="n">
        <f aca="false" t="array" ref="G282:G282">_xlfn.SWITCH($A$2,"average", AVERAGE(Instances!G282:G282),"median", MEDIAN(Instances!G282:G282),"min", MIN(Instances!G282:G282),"max", MAX(Instances!G282:G282),"diff", MAX(Instances!G282:G282)-MIN(Instances!G282:G282))</f>
        <v>0</v>
      </c>
      <c r="H282" s="1" t="n">
        <f aca="false" t="array" ref="H282:H282">_xlfn.SWITCH($A$2,"average", AVERAGE(Instances!H282:H282),"median", MEDIAN(Instances!H282:H282),"min", MIN(Instances!H282:H282),"max", MAX(Instances!H282:H282),"diff", MAX(Instances!H282:H282)-MIN(Instances!H282:H282))</f>
        <v>1</v>
      </c>
      <c r="I282" s="1" t="n">
        <f aca="false" t="array" ref="I282:I282">_xlfn.SWITCH($A$2,"average", AVERAGE(Instances!I282:I282),"median", MEDIAN(Instances!I282:I282),"min", MIN(Instances!I282:I282),"max", MAX(Instances!I282:I282),"diff", MAX(Instances!I282:I282)-MIN(Instances!I282:I282))</f>
        <v>5.657</v>
      </c>
      <c r="J282" s="1" t="n">
        <f aca="false" t="array" ref="J282:J282">_xlfn.SWITCH($A$2,"average", AVERAGE(Instances!J282:J282),"median", MEDIAN(Instances!J282:J282),"min", MIN(Instances!J282:J282),"max", MAX(Instances!J282:J282),"diff", MAX(Instances!J282:J282)-MIN(Instances!J282:J282))</f>
        <v>5.79</v>
      </c>
      <c r="K282" s="1" t="n">
        <f aca="false" t="array" ref="K282:K282">_xlfn.SWITCH($A$2,"average", AVERAGE(Instances!K282:K282),"median", MEDIAN(Instances!K282:K282),"min", MIN(Instances!K282:K282),"max", MAX(Instances!K282:K282),"diff", MAX(Instances!K282:K282)-MIN(Instances!K282:K282))</f>
        <v>0</v>
      </c>
      <c r="L282" s="1"/>
      <c r="M282" s="1" t="n">
        <f aca="false" t="array" ref="M282:M282">_xlfn.SWITCH($A$2,"average", AVERAGE(Instances!M282:M282),"median", MEDIAN(Instances!M282:M282),"min", MIN(Instances!M282:M282),"max", MAX(Instances!M282:M282),"diff", MAX(Instances!M282:M282)-MIN(Instances!M282:M282))</f>
        <v>1323885</v>
      </c>
      <c r="N282" s="1" t="n">
        <f aca="false" t="array" ref="N282:N282">_xlfn.SWITCH($A$2,"average", AVERAGE(Instances!N282:N282),"median", MEDIAN(Instances!N282:N282),"min", MIN(Instances!N282:N282),"max", MAX(Instances!N282:N282),"diff", MAX(Instances!N282:N282)-MIN(Instances!N282:N282))</f>
        <v>0.04</v>
      </c>
      <c r="O282" s="1"/>
      <c r="P282" s="1" t="n">
        <f aca="false" t="array" ref="P282:P282">_xlfn.SWITCH($A$2,"average", AVERAGE(Instances!P282:P282),"median", MEDIAN(Instances!P282:P282),"min", MIN(Instances!P282:P282),"max", MAX(Instances!P282:P282),"diff", MAX(Instances!P282:P282)-MIN(Instances!P282:P282))</f>
        <v>5.79</v>
      </c>
      <c r="Q282" s="1" t="n">
        <f aca="false" t="array" ref="Q282:Q282">_xlfn.SWITCH($A$2,"average", AVERAGE(Instances!Q282:Q282),"median", MEDIAN(Instances!Q282:Q282),"min", MIN(Instances!Q282:Q282),"max", MAX(Instances!Q282:Q282),"diff", MAX(Instances!Q282:Q282)-MIN(Instances!Q282:Q282))</f>
        <v>0</v>
      </c>
      <c r="R282" s="1" t="n">
        <f aca="false" t="array" ref="R282:R282">_xlfn.SWITCH($A$2,"average", AVERAGE(Instances!R282:R282),"median", MEDIAN(Instances!R282:R282),"min", MIN(Instances!R282:R282),"max", MAX(Instances!R282:R282),"diff", MAX(Instances!R282:R282)-MIN(Instances!R282:R282))</f>
        <v>373941</v>
      </c>
      <c r="S282" s="1" t="n">
        <f aca="false">MIN($B282)</f>
        <v>2402</v>
      </c>
      <c r="T282" s="1" t="n">
        <f aca="false">MIN($C282)</f>
        <v>2</v>
      </c>
      <c r="U282" s="1" t="n">
        <f aca="false">MIN($D282)</f>
        <v>407127</v>
      </c>
      <c r="V282" s="1" t="n">
        <f aca="false">MIN($E282)</f>
        <v>0</v>
      </c>
      <c r="W282" s="1" t="n">
        <f aca="false">MIN($F282)</f>
        <v>383</v>
      </c>
      <c r="X282" s="1" t="n">
        <f aca="false">MIN($G282)</f>
        <v>0</v>
      </c>
      <c r="Y282" s="1" t="n">
        <f aca="false">MIN($H282)</f>
        <v>1</v>
      </c>
      <c r="Z282" s="1" t="n">
        <f aca="false">MIN($I282)</f>
        <v>5.657</v>
      </c>
      <c r="AA282" s="1" t="n">
        <f aca="false">MIN($J282)</f>
        <v>5.79</v>
      </c>
      <c r="AB282" s="1" t="n">
        <f aca="false">MIN($K282)</f>
        <v>0</v>
      </c>
      <c r="AC282" s="1" t="n">
        <f aca="false">MIN($M282)</f>
        <v>1323885</v>
      </c>
      <c r="AD282" s="1" t="n">
        <f aca="false">MIN($N282)</f>
        <v>0.04</v>
      </c>
      <c r="AE282" s="1" t="n">
        <f aca="false">MIN($P282)</f>
        <v>5.79</v>
      </c>
      <c r="AF282" s="1" t="n">
        <f aca="false">MIN($Q282)</f>
        <v>0</v>
      </c>
      <c r="AG282" s="1" t="n">
        <f aca="false">MIN($R282)</f>
        <v>373941</v>
      </c>
      <c r="AH282" s="1" t="n">
        <f aca="false">MEDIAN($B282)</f>
        <v>2402</v>
      </c>
      <c r="AI282" s="1" t="n">
        <f aca="false">MEDIAN($C282)</f>
        <v>2</v>
      </c>
      <c r="AJ282" s="1" t="n">
        <f aca="false">MEDIAN($D282)</f>
        <v>407127</v>
      </c>
      <c r="AK282" s="1" t="n">
        <f aca="false">MEDIAN($E282)</f>
        <v>0</v>
      </c>
      <c r="AL282" s="1" t="n">
        <f aca="false">MEDIAN($F282)</f>
        <v>383</v>
      </c>
      <c r="AM282" s="1" t="n">
        <f aca="false">MEDIAN($G282)</f>
        <v>0</v>
      </c>
      <c r="AN282" s="1" t="n">
        <f aca="false">MEDIAN($H282)</f>
        <v>1</v>
      </c>
      <c r="AO282" s="1" t="n">
        <f aca="false">MEDIAN($I282)</f>
        <v>5.657</v>
      </c>
      <c r="AP282" s="1" t="n">
        <f aca="false">MEDIAN($J282)</f>
        <v>5.79</v>
      </c>
      <c r="AQ282" s="1" t="n">
        <f aca="false">MEDIAN($K282)</f>
        <v>0</v>
      </c>
      <c r="AR282" s="1" t="n">
        <f aca="false">MEDIAN($M282)</f>
        <v>1323885</v>
      </c>
      <c r="AS282" s="1" t="n">
        <f aca="false">MEDIAN($N282)</f>
        <v>0.04</v>
      </c>
      <c r="AT282" s="1" t="n">
        <f aca="false">MEDIAN($P282)</f>
        <v>5.79</v>
      </c>
      <c r="AU282" s="1" t="n">
        <f aca="false">MEDIAN($Q282)</f>
        <v>0</v>
      </c>
      <c r="AV282" s="1" t="n">
        <f aca="false">MEDIAN($R282)</f>
        <v>373941</v>
      </c>
      <c r="AW282" s="1" t="n">
        <f aca="false">MAX($B282)</f>
        <v>2402</v>
      </c>
      <c r="AX282" s="1" t="n">
        <f aca="false">MAX($C282)</f>
        <v>2</v>
      </c>
      <c r="AY282" s="1" t="n">
        <f aca="false">MAX($D282)</f>
        <v>407127</v>
      </c>
      <c r="AZ282" s="1" t="n">
        <f aca="false">MAX($E282)</f>
        <v>0</v>
      </c>
      <c r="BA282" s="1" t="n">
        <f aca="false">MAX($F282)</f>
        <v>383</v>
      </c>
      <c r="BB282" s="1" t="n">
        <f aca="false">MAX($G282)</f>
        <v>0</v>
      </c>
      <c r="BC282" s="1" t="n">
        <f aca="false">MAX($H282)</f>
        <v>1</v>
      </c>
      <c r="BD282" s="1" t="n">
        <f aca="false">MAX($I282)</f>
        <v>5.657</v>
      </c>
      <c r="BE282" s="1" t="n">
        <f aca="false">MAX($J282)</f>
        <v>5.79</v>
      </c>
      <c r="BF282" s="1" t="n">
        <f aca="false">MAX($K282)</f>
        <v>0</v>
      </c>
      <c r="BG282" s="1" t="n">
        <f aca="false">MAX($M282)</f>
        <v>1323885</v>
      </c>
      <c r="BH282" s="1" t="n">
        <f aca="false">MAX($N282)</f>
        <v>0.04</v>
      </c>
      <c r="BI282" s="1" t="n">
        <f aca="false">MAX($P282)</f>
        <v>5.79</v>
      </c>
      <c r="BJ282" s="1" t="n">
        <f aca="false">MAX($Q282)</f>
        <v>0</v>
      </c>
      <c r="BK282" s="1" t="n">
        <f aca="false">MAX($R282)</f>
        <v>373941</v>
      </c>
    </row>
    <row r="283" customFormat="false" ht="15" hidden="false" customHeight="false" outlineLevel="0" collapsed="false">
      <c r="A283" s="1" t="s">
        <v>300</v>
      </c>
      <c r="B283" s="1" t="n">
        <f aca="false" t="array" ref="B283:B283">_xlfn.SWITCH($A$2,"average", AVERAGE(Instances!B283:B283),"median", MEDIAN(Instances!B283:B283),"min", MIN(Instances!B283:B283),"max", MAX(Instances!B283:B283),"diff", MAX(Instances!B283:B283)-MIN(Instances!B283:B283))</f>
        <v>1759</v>
      </c>
      <c r="C283" s="1" t="n">
        <f aca="false" t="array" ref="C283:C283">_xlfn.SWITCH($A$2,"average", AVERAGE(Instances!C283:C283),"median", MEDIAN(Instances!C283:C283),"min", MIN(Instances!C283:C283),"max", MAX(Instances!C283:C283),"diff", MAX(Instances!C283:C283)-MIN(Instances!C283:C283))</f>
        <v>1</v>
      </c>
      <c r="D283" s="1" t="n">
        <f aca="false" t="array" ref="D283:D283">_xlfn.SWITCH($A$2,"average", AVERAGE(Instances!D283:D283),"median", MEDIAN(Instances!D283:D283),"min", MIN(Instances!D283:D283),"max", MAX(Instances!D283:D283),"diff", MAX(Instances!D283:D283)-MIN(Instances!D283:D283))</f>
        <v>488476</v>
      </c>
      <c r="E283" s="1" t="n">
        <f aca="false" t="array" ref="E283:E283">_xlfn.SWITCH($A$2,"average", AVERAGE(Instances!E283:E283),"median", MEDIAN(Instances!E283:E283),"min", MIN(Instances!E283:E283),"max", MAX(Instances!E283:E283),"diff", MAX(Instances!E283:E283)-MIN(Instances!E283:E283))</f>
        <v>0</v>
      </c>
      <c r="F283" s="1" t="n">
        <f aca="false" t="array" ref="F283:F283">_xlfn.SWITCH($A$2,"average", AVERAGE(Instances!F283:F283),"median", MEDIAN(Instances!F283:F283),"min", MIN(Instances!F283:F283),"max", MAX(Instances!F283:F283),"diff", MAX(Instances!F283:F283)-MIN(Instances!F283:F283))</f>
        <v>462</v>
      </c>
      <c r="G283" s="1" t="n">
        <f aca="false" t="array" ref="G283:G283">_xlfn.SWITCH($A$2,"average", AVERAGE(Instances!G283:G283),"median", MEDIAN(Instances!G283:G283),"min", MIN(Instances!G283:G283),"max", MAX(Instances!G283:G283),"diff", MAX(Instances!G283:G283)-MIN(Instances!G283:G283))</f>
        <v>0</v>
      </c>
      <c r="H283" s="1" t="n">
        <f aca="false" t="array" ref="H283:H283">_xlfn.SWITCH($A$2,"average", AVERAGE(Instances!H283:H283),"median", MEDIAN(Instances!H283:H283),"min", MIN(Instances!H283:H283),"max", MAX(Instances!H283:H283),"diff", MAX(Instances!H283:H283)-MIN(Instances!H283:H283))</f>
        <v>1</v>
      </c>
      <c r="I283" s="1" t="n">
        <f aca="false" t="array" ref="I283:I283">_xlfn.SWITCH($A$2,"average", AVERAGE(Instances!I283:I283),"median", MEDIAN(Instances!I283:I283),"min", MIN(Instances!I283:I283),"max", MAX(Instances!I283:I283),"diff", MAX(Instances!I283:I283)-MIN(Instances!I283:I283))</f>
        <v>7.437</v>
      </c>
      <c r="J283" s="1" t="n">
        <f aca="false" t="array" ref="J283:J283">_xlfn.SWITCH($A$2,"average", AVERAGE(Instances!J283:J283),"median", MEDIAN(Instances!J283:J283),"min", MIN(Instances!J283:J283),"max", MAX(Instances!J283:J283),"diff", MAX(Instances!J283:J283)-MIN(Instances!J283:J283))</f>
        <v>7.58</v>
      </c>
      <c r="K283" s="1" t="n">
        <f aca="false" t="array" ref="K283:K283">_xlfn.SWITCH($A$2,"average", AVERAGE(Instances!K283:K283),"median", MEDIAN(Instances!K283:K283),"min", MIN(Instances!K283:K283),"max", MAX(Instances!K283:K283),"diff", MAX(Instances!K283:K283)-MIN(Instances!K283:K283))</f>
        <v>0</v>
      </c>
      <c r="L283" s="1"/>
      <c r="M283" s="1" t="n">
        <f aca="false" t="array" ref="M283:M283">_xlfn.SWITCH($A$2,"average", AVERAGE(Instances!M283:M283),"median", MEDIAN(Instances!M283:M283),"min", MIN(Instances!M283:M283),"max", MAX(Instances!M283:M283),"diff", MAX(Instances!M283:M283)-MIN(Instances!M283:M283))</f>
        <v>1771766</v>
      </c>
      <c r="N283" s="1" t="n">
        <f aca="false" t="array" ref="N283:N283">_xlfn.SWITCH($A$2,"average", AVERAGE(Instances!N283:N283),"median", MEDIAN(Instances!N283:N283),"min", MIN(Instances!N283:N283),"max", MAX(Instances!N283:N283),"diff", MAX(Instances!N283:N283)-MIN(Instances!N283:N283))</f>
        <v>0.05</v>
      </c>
      <c r="O283" s="1"/>
      <c r="P283" s="1" t="n">
        <f aca="false" t="array" ref="P283:P283">_xlfn.SWITCH($A$2,"average", AVERAGE(Instances!P283:P283),"median", MEDIAN(Instances!P283:P283),"min", MIN(Instances!P283:P283),"max", MAX(Instances!P283:P283),"diff", MAX(Instances!P283:P283)-MIN(Instances!P283:P283))</f>
        <v>7.58</v>
      </c>
      <c r="Q283" s="1" t="n">
        <f aca="false" t="array" ref="Q283:Q283">_xlfn.SWITCH($A$2,"average", AVERAGE(Instances!Q283:Q283),"median", MEDIAN(Instances!Q283:Q283),"min", MIN(Instances!Q283:Q283),"max", MAX(Instances!Q283:Q283),"diff", MAX(Instances!Q283:Q283)-MIN(Instances!Q283:Q283))</f>
        <v>0</v>
      </c>
      <c r="R283" s="1" t="n">
        <f aca="false" t="array" ref="R283:R283">_xlfn.SWITCH($A$2,"average", AVERAGE(Instances!R283:R283),"median", MEDIAN(Instances!R283:R283),"min", MIN(Instances!R283:R283),"max", MAX(Instances!R283:R283),"diff", MAX(Instances!R283:R283)-MIN(Instances!R283:R283))</f>
        <v>459598</v>
      </c>
      <c r="S283" s="1" t="n">
        <f aca="false">MIN($B283)</f>
        <v>1759</v>
      </c>
      <c r="T283" s="1" t="n">
        <f aca="false">MIN($C283)</f>
        <v>1</v>
      </c>
      <c r="U283" s="1" t="n">
        <f aca="false">MIN($D283)</f>
        <v>488476</v>
      </c>
      <c r="V283" s="1" t="n">
        <f aca="false">MIN($E283)</f>
        <v>0</v>
      </c>
      <c r="W283" s="1" t="n">
        <f aca="false">MIN($F283)</f>
        <v>462</v>
      </c>
      <c r="X283" s="1" t="n">
        <f aca="false">MIN($G283)</f>
        <v>0</v>
      </c>
      <c r="Y283" s="1" t="n">
        <f aca="false">MIN($H283)</f>
        <v>1</v>
      </c>
      <c r="Z283" s="1" t="n">
        <f aca="false">MIN($I283)</f>
        <v>7.437</v>
      </c>
      <c r="AA283" s="1" t="n">
        <f aca="false">MIN($J283)</f>
        <v>7.58</v>
      </c>
      <c r="AB283" s="1" t="n">
        <f aca="false">MIN($K283)</f>
        <v>0</v>
      </c>
      <c r="AC283" s="1" t="n">
        <f aca="false">MIN($M283)</f>
        <v>1771766</v>
      </c>
      <c r="AD283" s="1" t="n">
        <f aca="false">MIN($N283)</f>
        <v>0.05</v>
      </c>
      <c r="AE283" s="1" t="n">
        <f aca="false">MIN($P283)</f>
        <v>7.58</v>
      </c>
      <c r="AF283" s="1" t="n">
        <f aca="false">MIN($Q283)</f>
        <v>0</v>
      </c>
      <c r="AG283" s="1" t="n">
        <f aca="false">MIN($R283)</f>
        <v>459598</v>
      </c>
      <c r="AH283" s="1" t="n">
        <f aca="false">MEDIAN($B283)</f>
        <v>1759</v>
      </c>
      <c r="AI283" s="1" t="n">
        <f aca="false">MEDIAN($C283)</f>
        <v>1</v>
      </c>
      <c r="AJ283" s="1" t="n">
        <f aca="false">MEDIAN($D283)</f>
        <v>488476</v>
      </c>
      <c r="AK283" s="1" t="n">
        <f aca="false">MEDIAN($E283)</f>
        <v>0</v>
      </c>
      <c r="AL283" s="1" t="n">
        <f aca="false">MEDIAN($F283)</f>
        <v>462</v>
      </c>
      <c r="AM283" s="1" t="n">
        <f aca="false">MEDIAN($G283)</f>
        <v>0</v>
      </c>
      <c r="AN283" s="1" t="n">
        <f aca="false">MEDIAN($H283)</f>
        <v>1</v>
      </c>
      <c r="AO283" s="1" t="n">
        <f aca="false">MEDIAN($I283)</f>
        <v>7.437</v>
      </c>
      <c r="AP283" s="1" t="n">
        <f aca="false">MEDIAN($J283)</f>
        <v>7.58</v>
      </c>
      <c r="AQ283" s="1" t="n">
        <f aca="false">MEDIAN($K283)</f>
        <v>0</v>
      </c>
      <c r="AR283" s="1" t="n">
        <f aca="false">MEDIAN($M283)</f>
        <v>1771766</v>
      </c>
      <c r="AS283" s="1" t="n">
        <f aca="false">MEDIAN($N283)</f>
        <v>0.05</v>
      </c>
      <c r="AT283" s="1" t="n">
        <f aca="false">MEDIAN($P283)</f>
        <v>7.58</v>
      </c>
      <c r="AU283" s="1" t="n">
        <f aca="false">MEDIAN($Q283)</f>
        <v>0</v>
      </c>
      <c r="AV283" s="1" t="n">
        <f aca="false">MEDIAN($R283)</f>
        <v>459598</v>
      </c>
      <c r="AW283" s="1" t="n">
        <f aca="false">MAX($B283)</f>
        <v>1759</v>
      </c>
      <c r="AX283" s="1" t="n">
        <f aca="false">MAX($C283)</f>
        <v>1</v>
      </c>
      <c r="AY283" s="1" t="n">
        <f aca="false">MAX($D283)</f>
        <v>488476</v>
      </c>
      <c r="AZ283" s="1" t="n">
        <f aca="false">MAX($E283)</f>
        <v>0</v>
      </c>
      <c r="BA283" s="1" t="n">
        <f aca="false">MAX($F283)</f>
        <v>462</v>
      </c>
      <c r="BB283" s="1" t="n">
        <f aca="false">MAX($G283)</f>
        <v>0</v>
      </c>
      <c r="BC283" s="1" t="n">
        <f aca="false">MAX($H283)</f>
        <v>1</v>
      </c>
      <c r="BD283" s="1" t="n">
        <f aca="false">MAX($I283)</f>
        <v>7.437</v>
      </c>
      <c r="BE283" s="1" t="n">
        <f aca="false">MAX($J283)</f>
        <v>7.58</v>
      </c>
      <c r="BF283" s="1" t="n">
        <f aca="false">MAX($K283)</f>
        <v>0</v>
      </c>
      <c r="BG283" s="1" t="n">
        <f aca="false">MAX($M283)</f>
        <v>1771766</v>
      </c>
      <c r="BH283" s="1" t="n">
        <f aca="false">MAX($N283)</f>
        <v>0.05</v>
      </c>
      <c r="BI283" s="1" t="n">
        <f aca="false">MAX($P283)</f>
        <v>7.58</v>
      </c>
      <c r="BJ283" s="1" t="n">
        <f aca="false">MAX($Q283)</f>
        <v>0</v>
      </c>
      <c r="BK283" s="1" t="n">
        <f aca="false">MAX($R283)</f>
        <v>459598</v>
      </c>
    </row>
    <row r="284" customFormat="false" ht="15" hidden="false" customHeight="false" outlineLevel="0" collapsed="false">
      <c r="A284" s="1" t="s">
        <v>301</v>
      </c>
      <c r="B284" s="1" t="n">
        <f aca="false" t="array" ref="B284:B284">_xlfn.SWITCH($A$2,"average", AVERAGE(Instances!B284:B284),"median", MEDIAN(Instances!B284:B284),"min", MIN(Instances!B284:B284),"max", MAX(Instances!B284:B284),"diff", MAX(Instances!B284:B284)-MIN(Instances!B284:B284))</f>
        <v>24668</v>
      </c>
      <c r="C284" s="1" t="n">
        <f aca="false" t="array" ref="C284:C284">_xlfn.SWITCH($A$2,"average", AVERAGE(Instances!C284:C284),"median", MEDIAN(Instances!C284:C284),"min", MIN(Instances!C284:C284),"max", MAX(Instances!C284:C284),"diff", MAX(Instances!C284:C284)-MIN(Instances!C284:C284))</f>
        <v>1370</v>
      </c>
      <c r="D284" s="1" t="n">
        <f aca="false" t="array" ref="D284:D284">_xlfn.SWITCH($A$2,"average", AVERAGE(Instances!D284:D284),"median", MEDIAN(Instances!D284:D284),"min", MIN(Instances!D284:D284),"max", MAX(Instances!D284:D284),"diff", MAX(Instances!D284:D284)-MIN(Instances!D284:D284))</f>
        <v>446475</v>
      </c>
      <c r="E284" s="1" t="n">
        <f aca="false" t="array" ref="E284:E284">_xlfn.SWITCH($A$2,"average", AVERAGE(Instances!E284:E284),"median", MEDIAN(Instances!E284:E284),"min", MIN(Instances!E284:E284),"max", MAX(Instances!E284:E284),"diff", MAX(Instances!E284:E284)-MIN(Instances!E284:E284))</f>
        <v>0</v>
      </c>
      <c r="F284" s="1" t="n">
        <f aca="false" t="array" ref="F284:F284">_xlfn.SWITCH($A$2,"average", AVERAGE(Instances!F284:F284),"median", MEDIAN(Instances!F284:F284),"min", MIN(Instances!F284:F284),"max", MAX(Instances!F284:F284),"diff", MAX(Instances!F284:F284)-MIN(Instances!F284:F284))</f>
        <v>449</v>
      </c>
      <c r="G284" s="1" t="n">
        <f aca="false" t="array" ref="G284:G284">_xlfn.SWITCH($A$2,"average", AVERAGE(Instances!G284:G284),"median", MEDIAN(Instances!G284:G284),"min", MIN(Instances!G284:G284),"max", MAX(Instances!G284:G284),"diff", MAX(Instances!G284:G284)-MIN(Instances!G284:G284))</f>
        <v>0</v>
      </c>
      <c r="H284" s="1" t="n">
        <f aca="false" t="array" ref="H284:H284">_xlfn.SWITCH($A$2,"average", AVERAGE(Instances!H284:H284),"median", MEDIAN(Instances!H284:H284),"min", MIN(Instances!H284:H284),"max", MAX(Instances!H284:H284),"diff", MAX(Instances!H284:H284)-MIN(Instances!H284:H284))</f>
        <v>1</v>
      </c>
      <c r="I284" s="1" t="n">
        <f aca="false" t="array" ref="I284:I284">_xlfn.SWITCH($A$2,"average", AVERAGE(Instances!I284:I284),"median", MEDIAN(Instances!I284:I284),"min", MIN(Instances!I284:I284),"max", MAX(Instances!I284:I284),"diff", MAX(Instances!I284:I284)-MIN(Instances!I284:I284))</f>
        <v>7.67</v>
      </c>
      <c r="J284" s="1" t="n">
        <f aca="false" t="array" ref="J284:J284">_xlfn.SWITCH($A$2,"average", AVERAGE(Instances!J284:J284),"median", MEDIAN(Instances!J284:J284),"min", MIN(Instances!J284:J284),"max", MAX(Instances!J284:J284),"diff", MAX(Instances!J284:J284)-MIN(Instances!J284:J284))</f>
        <v>7.84</v>
      </c>
      <c r="K284" s="1" t="n">
        <f aca="false" t="array" ref="K284:K284">_xlfn.SWITCH($A$2,"average", AVERAGE(Instances!K284:K284),"median", MEDIAN(Instances!K284:K284),"min", MIN(Instances!K284:K284),"max", MAX(Instances!K284:K284),"diff", MAX(Instances!K284:K284)-MIN(Instances!K284:K284))</f>
        <v>10</v>
      </c>
      <c r="L284" s="1"/>
      <c r="M284" s="1" t="n">
        <f aca="false" t="array" ref="M284:M284">_xlfn.SWITCH($A$2,"average", AVERAGE(Instances!M284:M284),"median", MEDIAN(Instances!M284:M284),"min", MIN(Instances!M284:M284),"max", MAX(Instances!M284:M284),"diff", MAX(Instances!M284:M284)-MIN(Instances!M284:M284))</f>
        <v>1696957</v>
      </c>
      <c r="N284" s="1" t="n">
        <f aca="false" t="array" ref="N284:N284">_xlfn.SWITCH($A$2,"average", AVERAGE(Instances!N284:N284),"median", MEDIAN(Instances!N284:N284),"min", MIN(Instances!N284:N284),"max", MAX(Instances!N284:N284),"diff", MAX(Instances!N284:N284)-MIN(Instances!N284:N284))</f>
        <v>0.64</v>
      </c>
      <c r="O284" s="1"/>
      <c r="P284" s="1" t="n">
        <f aca="false" t="array" ref="P284:P284">_xlfn.SWITCH($A$2,"average", AVERAGE(Instances!P284:P284),"median", MEDIAN(Instances!P284:P284),"min", MIN(Instances!P284:P284),"max", MAX(Instances!P284:P284),"diff", MAX(Instances!P284:P284)-MIN(Instances!P284:P284))</f>
        <v>7.84</v>
      </c>
      <c r="Q284" s="1" t="n">
        <f aca="false" t="array" ref="Q284:Q284">_xlfn.SWITCH($A$2,"average", AVERAGE(Instances!Q284:Q284),"median", MEDIAN(Instances!Q284:Q284),"min", MIN(Instances!Q284:Q284),"max", MAX(Instances!Q284:Q284),"diff", MAX(Instances!Q284:Q284)-MIN(Instances!Q284:Q284))</f>
        <v>0</v>
      </c>
      <c r="R284" s="1" t="n">
        <f aca="false" t="array" ref="R284:R284">_xlfn.SWITCH($A$2,"average", AVERAGE(Instances!R284:R284),"median", MEDIAN(Instances!R284:R284),"min", MIN(Instances!R284:R284),"max", MAX(Instances!R284:R284),"diff", MAX(Instances!R284:R284)-MIN(Instances!R284:R284))</f>
        <v>445251</v>
      </c>
      <c r="S284" s="1" t="n">
        <f aca="false">MIN($B284)</f>
        <v>24668</v>
      </c>
      <c r="T284" s="1" t="n">
        <f aca="false">MIN($C284)</f>
        <v>1370</v>
      </c>
      <c r="U284" s="1" t="n">
        <f aca="false">MIN($D284)</f>
        <v>446475</v>
      </c>
      <c r="V284" s="1" t="n">
        <f aca="false">MIN($E284)</f>
        <v>0</v>
      </c>
      <c r="W284" s="1" t="n">
        <f aca="false">MIN($F284)</f>
        <v>449</v>
      </c>
      <c r="X284" s="1" t="n">
        <f aca="false">MIN($G284)</f>
        <v>0</v>
      </c>
      <c r="Y284" s="1" t="n">
        <f aca="false">MIN($H284)</f>
        <v>1</v>
      </c>
      <c r="Z284" s="1" t="n">
        <f aca="false">MIN($I284)</f>
        <v>7.67</v>
      </c>
      <c r="AA284" s="1" t="n">
        <f aca="false">MIN($J284)</f>
        <v>7.84</v>
      </c>
      <c r="AB284" s="1" t="n">
        <f aca="false">MIN($K284)</f>
        <v>10</v>
      </c>
      <c r="AC284" s="1" t="n">
        <f aca="false">MIN($M284)</f>
        <v>1696957</v>
      </c>
      <c r="AD284" s="1" t="n">
        <f aca="false">MIN($N284)</f>
        <v>0.64</v>
      </c>
      <c r="AE284" s="1" t="n">
        <f aca="false">MIN($P284)</f>
        <v>7.84</v>
      </c>
      <c r="AF284" s="1" t="n">
        <f aca="false">MIN($Q284)</f>
        <v>0</v>
      </c>
      <c r="AG284" s="1" t="n">
        <f aca="false">MIN($R284)</f>
        <v>445251</v>
      </c>
      <c r="AH284" s="1" t="n">
        <f aca="false">MEDIAN($B284)</f>
        <v>24668</v>
      </c>
      <c r="AI284" s="1" t="n">
        <f aca="false">MEDIAN($C284)</f>
        <v>1370</v>
      </c>
      <c r="AJ284" s="1" t="n">
        <f aca="false">MEDIAN($D284)</f>
        <v>446475</v>
      </c>
      <c r="AK284" s="1" t="n">
        <f aca="false">MEDIAN($E284)</f>
        <v>0</v>
      </c>
      <c r="AL284" s="1" t="n">
        <f aca="false">MEDIAN($F284)</f>
        <v>449</v>
      </c>
      <c r="AM284" s="1" t="n">
        <f aca="false">MEDIAN($G284)</f>
        <v>0</v>
      </c>
      <c r="AN284" s="1" t="n">
        <f aca="false">MEDIAN($H284)</f>
        <v>1</v>
      </c>
      <c r="AO284" s="1" t="n">
        <f aca="false">MEDIAN($I284)</f>
        <v>7.67</v>
      </c>
      <c r="AP284" s="1" t="n">
        <f aca="false">MEDIAN($J284)</f>
        <v>7.84</v>
      </c>
      <c r="AQ284" s="1" t="n">
        <f aca="false">MEDIAN($K284)</f>
        <v>10</v>
      </c>
      <c r="AR284" s="1" t="n">
        <f aca="false">MEDIAN($M284)</f>
        <v>1696957</v>
      </c>
      <c r="AS284" s="1" t="n">
        <f aca="false">MEDIAN($N284)</f>
        <v>0.64</v>
      </c>
      <c r="AT284" s="1" t="n">
        <f aca="false">MEDIAN($P284)</f>
        <v>7.84</v>
      </c>
      <c r="AU284" s="1" t="n">
        <f aca="false">MEDIAN($Q284)</f>
        <v>0</v>
      </c>
      <c r="AV284" s="1" t="n">
        <f aca="false">MEDIAN($R284)</f>
        <v>445251</v>
      </c>
      <c r="AW284" s="1" t="n">
        <f aca="false">MAX($B284)</f>
        <v>24668</v>
      </c>
      <c r="AX284" s="1" t="n">
        <f aca="false">MAX($C284)</f>
        <v>1370</v>
      </c>
      <c r="AY284" s="1" t="n">
        <f aca="false">MAX($D284)</f>
        <v>446475</v>
      </c>
      <c r="AZ284" s="1" t="n">
        <f aca="false">MAX($E284)</f>
        <v>0</v>
      </c>
      <c r="BA284" s="1" t="n">
        <f aca="false">MAX($F284)</f>
        <v>449</v>
      </c>
      <c r="BB284" s="1" t="n">
        <f aca="false">MAX($G284)</f>
        <v>0</v>
      </c>
      <c r="BC284" s="1" t="n">
        <f aca="false">MAX($H284)</f>
        <v>1</v>
      </c>
      <c r="BD284" s="1" t="n">
        <f aca="false">MAX($I284)</f>
        <v>7.67</v>
      </c>
      <c r="BE284" s="1" t="n">
        <f aca="false">MAX($J284)</f>
        <v>7.84</v>
      </c>
      <c r="BF284" s="1" t="n">
        <f aca="false">MAX($K284)</f>
        <v>10</v>
      </c>
      <c r="BG284" s="1" t="n">
        <f aca="false">MAX($M284)</f>
        <v>1696957</v>
      </c>
      <c r="BH284" s="1" t="n">
        <f aca="false">MAX($N284)</f>
        <v>0.64</v>
      </c>
      <c r="BI284" s="1" t="n">
        <f aca="false">MAX($P284)</f>
        <v>7.84</v>
      </c>
      <c r="BJ284" s="1" t="n">
        <f aca="false">MAX($Q284)</f>
        <v>0</v>
      </c>
      <c r="BK284" s="1" t="n">
        <f aca="false">MAX($R284)</f>
        <v>445251</v>
      </c>
    </row>
    <row r="285" customFormat="false" ht="15" hidden="false" customHeight="false" outlineLevel="0" collapsed="false">
      <c r="A285" s="1" t="s">
        <v>302</v>
      </c>
      <c r="B285" s="1" t="n">
        <f aca="false" t="array" ref="B285:B285">_xlfn.SWITCH($A$2,"average", AVERAGE(Instances!B285:B285),"median", MEDIAN(Instances!B285:B285),"min", MIN(Instances!B285:B285),"max", MAX(Instances!B285:B285),"diff", MAX(Instances!B285:B285)-MIN(Instances!B285:B285))</f>
        <v>29365</v>
      </c>
      <c r="C285" s="1" t="n">
        <f aca="false" t="array" ref="C285:C285">_xlfn.SWITCH($A$2,"average", AVERAGE(Instances!C285:C285),"median", MEDIAN(Instances!C285:C285),"min", MIN(Instances!C285:C285),"max", MAX(Instances!C285:C285),"diff", MAX(Instances!C285:C285)-MIN(Instances!C285:C285))</f>
        <v>4557</v>
      </c>
      <c r="D285" s="1" t="n">
        <f aca="false" t="array" ref="D285:D285">_xlfn.SWITCH($A$2,"average", AVERAGE(Instances!D285:D285),"median", MEDIAN(Instances!D285:D285),"min", MIN(Instances!D285:D285),"max", MAX(Instances!D285:D285),"diff", MAX(Instances!D285:D285)-MIN(Instances!D285:D285))</f>
        <v>400066</v>
      </c>
      <c r="E285" s="1" t="n">
        <f aca="false" t="array" ref="E285:E285">_xlfn.SWITCH($A$2,"average", AVERAGE(Instances!E285:E285),"median", MEDIAN(Instances!E285:E285),"min", MIN(Instances!E285:E285),"max", MAX(Instances!E285:E285),"diff", MAX(Instances!E285:E285)-MIN(Instances!E285:E285))</f>
        <v>0</v>
      </c>
      <c r="F285" s="1" t="n">
        <f aca="false" t="array" ref="F285:F285">_xlfn.SWITCH($A$2,"average", AVERAGE(Instances!F285:F285),"median", MEDIAN(Instances!F285:F285),"min", MIN(Instances!F285:F285),"max", MAX(Instances!F285:F285),"diff", MAX(Instances!F285:F285)-MIN(Instances!F285:F285))</f>
        <v>439</v>
      </c>
      <c r="G285" s="1" t="n">
        <f aca="false" t="array" ref="G285:G285">_xlfn.SWITCH($A$2,"average", AVERAGE(Instances!G285:G285),"median", MEDIAN(Instances!G285:G285),"min", MIN(Instances!G285:G285),"max", MAX(Instances!G285:G285),"diff", MAX(Instances!G285:G285)-MIN(Instances!G285:G285))</f>
        <v>0</v>
      </c>
      <c r="H285" s="1" t="n">
        <f aca="false" t="array" ref="H285:H285">_xlfn.SWITCH($A$2,"average", AVERAGE(Instances!H285:H285),"median", MEDIAN(Instances!H285:H285),"min", MIN(Instances!H285:H285),"max", MAX(Instances!H285:H285),"diff", MAX(Instances!H285:H285)-MIN(Instances!H285:H285))</f>
        <v>1</v>
      </c>
      <c r="I285" s="1" t="n">
        <f aca="false" t="array" ref="I285:I285">_xlfn.SWITCH($A$2,"average", AVERAGE(Instances!I285:I285),"median", MEDIAN(Instances!I285:I285),"min", MIN(Instances!I285:I285),"max", MAX(Instances!I285:I285),"diff", MAX(Instances!I285:I285)-MIN(Instances!I285:I285))</f>
        <v>8.149</v>
      </c>
      <c r="J285" s="1" t="n">
        <f aca="false" t="array" ref="J285:J285">_xlfn.SWITCH($A$2,"average", AVERAGE(Instances!J285:J285),"median", MEDIAN(Instances!J285:J285),"min", MIN(Instances!J285:J285),"max", MAX(Instances!J285:J285),"diff", MAX(Instances!J285:J285)-MIN(Instances!J285:J285))</f>
        <v>8.3</v>
      </c>
      <c r="K285" s="1" t="n">
        <f aca="false" t="array" ref="K285:K285">_xlfn.SWITCH($A$2,"average", AVERAGE(Instances!K285:K285),"median", MEDIAN(Instances!K285:K285),"min", MIN(Instances!K285:K285),"max", MAX(Instances!K285:K285),"diff", MAX(Instances!K285:K285)-MIN(Instances!K285:K285))</f>
        <v>27</v>
      </c>
      <c r="L285" s="1"/>
      <c r="M285" s="1" t="n">
        <f aca="false" t="array" ref="M285:M285">_xlfn.SWITCH($A$2,"average", AVERAGE(Instances!M285:M285),"median", MEDIAN(Instances!M285:M285),"min", MIN(Instances!M285:M285),"max", MAX(Instances!M285:M285),"diff", MAX(Instances!M285:M285)-MIN(Instances!M285:M285))</f>
        <v>1653844</v>
      </c>
      <c r="N285" s="1" t="n">
        <f aca="false" t="array" ref="N285:N285">_xlfn.SWITCH($A$2,"average", AVERAGE(Instances!N285:N285),"median", MEDIAN(Instances!N285:N285),"min", MIN(Instances!N285:N285),"max", MAX(Instances!N285:N285),"diff", MAX(Instances!N285:N285)-MIN(Instances!N285:N285))</f>
        <v>1.28</v>
      </c>
      <c r="O285" s="1"/>
      <c r="P285" s="1" t="n">
        <f aca="false" t="array" ref="P285:P285">_xlfn.SWITCH($A$2,"average", AVERAGE(Instances!P285:P285),"median", MEDIAN(Instances!P285:P285),"min", MIN(Instances!P285:P285),"max", MAX(Instances!P285:P285),"diff", MAX(Instances!P285:P285)-MIN(Instances!P285:P285))</f>
        <v>8.3</v>
      </c>
      <c r="Q285" s="1" t="n">
        <f aca="false" t="array" ref="Q285:Q285">_xlfn.SWITCH($A$2,"average", AVERAGE(Instances!Q285:Q285),"median", MEDIAN(Instances!Q285:Q285),"min", MIN(Instances!Q285:Q285),"max", MAX(Instances!Q285:Q285),"diff", MAX(Instances!Q285:Q285)-MIN(Instances!Q285:Q285))</f>
        <v>0</v>
      </c>
      <c r="R285" s="1" t="n">
        <f aca="false" t="array" ref="R285:R285">_xlfn.SWITCH($A$2,"average", AVERAGE(Instances!R285:R285),"median", MEDIAN(Instances!R285:R285),"min", MIN(Instances!R285:R285),"max", MAX(Instances!R285:R285),"diff", MAX(Instances!R285:R285)-MIN(Instances!R285:R285))</f>
        <v>431659</v>
      </c>
      <c r="S285" s="1" t="n">
        <f aca="false">MIN($B285)</f>
        <v>29365</v>
      </c>
      <c r="T285" s="1" t="n">
        <f aca="false">MIN($C285)</f>
        <v>4557</v>
      </c>
      <c r="U285" s="1" t="n">
        <f aca="false">MIN($D285)</f>
        <v>400066</v>
      </c>
      <c r="V285" s="1" t="n">
        <f aca="false">MIN($E285)</f>
        <v>0</v>
      </c>
      <c r="W285" s="1" t="n">
        <f aca="false">MIN($F285)</f>
        <v>439</v>
      </c>
      <c r="X285" s="1" t="n">
        <f aca="false">MIN($G285)</f>
        <v>0</v>
      </c>
      <c r="Y285" s="1" t="n">
        <f aca="false">MIN($H285)</f>
        <v>1</v>
      </c>
      <c r="Z285" s="1" t="n">
        <f aca="false">MIN($I285)</f>
        <v>8.149</v>
      </c>
      <c r="AA285" s="1" t="n">
        <f aca="false">MIN($J285)</f>
        <v>8.3</v>
      </c>
      <c r="AB285" s="1" t="n">
        <f aca="false">MIN($K285)</f>
        <v>27</v>
      </c>
      <c r="AC285" s="1" t="n">
        <f aca="false">MIN($M285)</f>
        <v>1653844</v>
      </c>
      <c r="AD285" s="1" t="n">
        <f aca="false">MIN($N285)</f>
        <v>1.28</v>
      </c>
      <c r="AE285" s="1" t="n">
        <f aca="false">MIN($P285)</f>
        <v>8.3</v>
      </c>
      <c r="AF285" s="1" t="n">
        <f aca="false">MIN($Q285)</f>
        <v>0</v>
      </c>
      <c r="AG285" s="1" t="n">
        <f aca="false">MIN($R285)</f>
        <v>431659</v>
      </c>
      <c r="AH285" s="1" t="n">
        <f aca="false">MEDIAN($B285)</f>
        <v>29365</v>
      </c>
      <c r="AI285" s="1" t="n">
        <f aca="false">MEDIAN($C285)</f>
        <v>4557</v>
      </c>
      <c r="AJ285" s="1" t="n">
        <f aca="false">MEDIAN($D285)</f>
        <v>400066</v>
      </c>
      <c r="AK285" s="1" t="n">
        <f aca="false">MEDIAN($E285)</f>
        <v>0</v>
      </c>
      <c r="AL285" s="1" t="n">
        <f aca="false">MEDIAN($F285)</f>
        <v>439</v>
      </c>
      <c r="AM285" s="1" t="n">
        <f aca="false">MEDIAN($G285)</f>
        <v>0</v>
      </c>
      <c r="AN285" s="1" t="n">
        <f aca="false">MEDIAN($H285)</f>
        <v>1</v>
      </c>
      <c r="AO285" s="1" t="n">
        <f aca="false">MEDIAN($I285)</f>
        <v>8.149</v>
      </c>
      <c r="AP285" s="1" t="n">
        <f aca="false">MEDIAN($J285)</f>
        <v>8.3</v>
      </c>
      <c r="AQ285" s="1" t="n">
        <f aca="false">MEDIAN($K285)</f>
        <v>27</v>
      </c>
      <c r="AR285" s="1" t="n">
        <f aca="false">MEDIAN($M285)</f>
        <v>1653844</v>
      </c>
      <c r="AS285" s="1" t="n">
        <f aca="false">MEDIAN($N285)</f>
        <v>1.28</v>
      </c>
      <c r="AT285" s="1" t="n">
        <f aca="false">MEDIAN($P285)</f>
        <v>8.3</v>
      </c>
      <c r="AU285" s="1" t="n">
        <f aca="false">MEDIAN($Q285)</f>
        <v>0</v>
      </c>
      <c r="AV285" s="1" t="n">
        <f aca="false">MEDIAN($R285)</f>
        <v>431659</v>
      </c>
      <c r="AW285" s="1" t="n">
        <f aca="false">MAX($B285)</f>
        <v>29365</v>
      </c>
      <c r="AX285" s="1" t="n">
        <f aca="false">MAX($C285)</f>
        <v>4557</v>
      </c>
      <c r="AY285" s="1" t="n">
        <f aca="false">MAX($D285)</f>
        <v>400066</v>
      </c>
      <c r="AZ285" s="1" t="n">
        <f aca="false">MAX($E285)</f>
        <v>0</v>
      </c>
      <c r="BA285" s="1" t="n">
        <f aca="false">MAX($F285)</f>
        <v>439</v>
      </c>
      <c r="BB285" s="1" t="n">
        <f aca="false">MAX($G285)</f>
        <v>0</v>
      </c>
      <c r="BC285" s="1" t="n">
        <f aca="false">MAX($H285)</f>
        <v>1</v>
      </c>
      <c r="BD285" s="1" t="n">
        <f aca="false">MAX($I285)</f>
        <v>8.149</v>
      </c>
      <c r="BE285" s="1" t="n">
        <f aca="false">MAX($J285)</f>
        <v>8.3</v>
      </c>
      <c r="BF285" s="1" t="n">
        <f aca="false">MAX($K285)</f>
        <v>27</v>
      </c>
      <c r="BG285" s="1" t="n">
        <f aca="false">MAX($M285)</f>
        <v>1653844</v>
      </c>
      <c r="BH285" s="1" t="n">
        <f aca="false">MAX($N285)</f>
        <v>1.28</v>
      </c>
      <c r="BI285" s="1" t="n">
        <f aca="false">MAX($P285)</f>
        <v>8.3</v>
      </c>
      <c r="BJ285" s="1" t="n">
        <f aca="false">MAX($Q285)</f>
        <v>0</v>
      </c>
      <c r="BK285" s="1" t="n">
        <f aca="false">MAX($R285)</f>
        <v>431659</v>
      </c>
    </row>
    <row r="286" customFormat="false" ht="15" hidden="false" customHeight="false" outlineLevel="0" collapsed="false">
      <c r="A286" s="1" t="s">
        <v>303</v>
      </c>
      <c r="B286" s="1" t="n">
        <f aca="false" t="array" ref="B286:B286">_xlfn.SWITCH($A$2,"average", AVERAGE(Instances!B286:B286),"median", MEDIAN(Instances!B286:B286),"min", MIN(Instances!B286:B286),"max", MAX(Instances!B286:B286),"diff", MAX(Instances!B286:B286)-MIN(Instances!B286:B286))</f>
        <v>37052</v>
      </c>
      <c r="C286" s="1" t="n">
        <f aca="false" t="array" ref="C286:C286">_xlfn.SWITCH($A$2,"average", AVERAGE(Instances!C286:C286),"median", MEDIAN(Instances!C286:C286),"min", MIN(Instances!C286:C286),"max", MAX(Instances!C286:C286),"diff", MAX(Instances!C286:C286)-MIN(Instances!C286:C286))</f>
        <v>751</v>
      </c>
      <c r="D286" s="1" t="n">
        <f aca="false" t="array" ref="D286:D286">_xlfn.SWITCH($A$2,"average", AVERAGE(Instances!D286:D286),"median", MEDIAN(Instances!D286:D286),"min", MIN(Instances!D286:D286),"max", MAX(Instances!D286:D286),"diff", MAX(Instances!D286:D286)-MIN(Instances!D286:D286))</f>
        <v>384943</v>
      </c>
      <c r="E286" s="1" t="n">
        <f aca="false" t="array" ref="E286:E286">_xlfn.SWITCH($A$2,"average", AVERAGE(Instances!E286:E286),"median", MEDIAN(Instances!E286:E286),"min", MIN(Instances!E286:E286),"max", MAX(Instances!E286:E286),"diff", MAX(Instances!E286:E286)-MIN(Instances!E286:E286))</f>
        <v>0</v>
      </c>
      <c r="F286" s="1" t="n">
        <f aca="false" t="array" ref="F286:F286">_xlfn.SWITCH($A$2,"average", AVERAGE(Instances!F286:F286),"median", MEDIAN(Instances!F286:F286),"min", MIN(Instances!F286:F286),"max", MAX(Instances!F286:F286),"diff", MAX(Instances!F286:F286)-MIN(Instances!F286:F286))</f>
        <v>433</v>
      </c>
      <c r="G286" s="1" t="n">
        <f aca="false" t="array" ref="G286:G286">_xlfn.SWITCH($A$2,"average", AVERAGE(Instances!G286:G286),"median", MEDIAN(Instances!G286:G286),"min", MIN(Instances!G286:G286),"max", MAX(Instances!G286:G286),"diff", MAX(Instances!G286:G286)-MIN(Instances!G286:G286))</f>
        <v>0</v>
      </c>
      <c r="H286" s="1" t="n">
        <f aca="false" t="array" ref="H286:H286">_xlfn.SWITCH($A$2,"average", AVERAGE(Instances!H286:H286),"median", MEDIAN(Instances!H286:H286),"min", MIN(Instances!H286:H286),"max", MAX(Instances!H286:H286),"diff", MAX(Instances!H286:H286)-MIN(Instances!H286:H286))</f>
        <v>1</v>
      </c>
      <c r="I286" s="1" t="n">
        <f aca="false" t="array" ref="I286:I286">_xlfn.SWITCH($A$2,"average", AVERAGE(Instances!I286:I286),"median", MEDIAN(Instances!I286:I286),"min", MIN(Instances!I286:I286),"max", MAX(Instances!I286:I286),"diff", MAX(Instances!I286:I286)-MIN(Instances!I286:I286))</f>
        <v>7.26</v>
      </c>
      <c r="J286" s="1" t="n">
        <f aca="false" t="array" ref="J286:J286">_xlfn.SWITCH($A$2,"average", AVERAGE(Instances!J286:J286),"median", MEDIAN(Instances!J286:J286),"min", MIN(Instances!J286:J286),"max", MAX(Instances!J286:J286),"diff", MAX(Instances!J286:J286)-MIN(Instances!J286:J286))</f>
        <v>7.41</v>
      </c>
      <c r="K286" s="1" t="n">
        <f aca="false" t="array" ref="K286:K286">_xlfn.SWITCH($A$2,"average", AVERAGE(Instances!K286:K286),"median", MEDIAN(Instances!K286:K286),"min", MIN(Instances!K286:K286),"max", MAX(Instances!K286:K286),"diff", MAX(Instances!K286:K286)-MIN(Instances!K286:K286))</f>
        <v>6</v>
      </c>
      <c r="L286" s="1"/>
      <c r="M286" s="1" t="n">
        <f aca="false" t="array" ref="M286:M286">_xlfn.SWITCH($A$2,"average", AVERAGE(Instances!M286:M286),"median", MEDIAN(Instances!M286:M286),"min", MIN(Instances!M286:M286),"max", MAX(Instances!M286:M286),"diff", MAX(Instances!M286:M286)-MIN(Instances!M286:M286))</f>
        <v>1626512</v>
      </c>
      <c r="N286" s="1" t="n">
        <f aca="false" t="array" ref="N286:N286">_xlfn.SWITCH($A$2,"average", AVERAGE(Instances!N286:N286),"median", MEDIAN(Instances!N286:N286),"min", MIN(Instances!N286:N286),"max", MAX(Instances!N286:N286),"diff", MAX(Instances!N286:N286)-MIN(Instances!N286:N286))</f>
        <v>0.55</v>
      </c>
      <c r="O286" s="1"/>
      <c r="P286" s="1" t="n">
        <f aca="false" t="array" ref="P286:P286">_xlfn.SWITCH($A$2,"average", AVERAGE(Instances!P286:P286),"median", MEDIAN(Instances!P286:P286),"min", MIN(Instances!P286:P286),"max", MAX(Instances!P286:P286),"diff", MAX(Instances!P286:P286)-MIN(Instances!P286:P286))</f>
        <v>7.41</v>
      </c>
      <c r="Q286" s="1" t="n">
        <f aca="false" t="array" ref="Q286:Q286">_xlfn.SWITCH($A$2,"average", AVERAGE(Instances!Q286:Q286),"median", MEDIAN(Instances!Q286:Q286),"min", MIN(Instances!Q286:Q286),"max", MAX(Instances!Q286:Q286),"diff", MAX(Instances!Q286:Q286)-MIN(Instances!Q286:Q286))</f>
        <v>0</v>
      </c>
      <c r="R286" s="1" t="n">
        <f aca="false" t="array" ref="R286:R286">_xlfn.SWITCH($A$2,"average", AVERAGE(Instances!R286:R286),"median", MEDIAN(Instances!R286:R286),"min", MIN(Instances!R286:R286),"max", MAX(Instances!R286:R286),"diff", MAX(Instances!R286:R286)-MIN(Instances!R286:R286))</f>
        <v>423077</v>
      </c>
      <c r="S286" s="1" t="n">
        <f aca="false">MIN($B286)</f>
        <v>37052</v>
      </c>
      <c r="T286" s="1" t="n">
        <f aca="false">MIN($C286)</f>
        <v>751</v>
      </c>
      <c r="U286" s="1" t="n">
        <f aca="false">MIN($D286)</f>
        <v>384943</v>
      </c>
      <c r="V286" s="1" t="n">
        <f aca="false">MIN($E286)</f>
        <v>0</v>
      </c>
      <c r="W286" s="1" t="n">
        <f aca="false">MIN($F286)</f>
        <v>433</v>
      </c>
      <c r="X286" s="1" t="n">
        <f aca="false">MIN($G286)</f>
        <v>0</v>
      </c>
      <c r="Y286" s="1" t="n">
        <f aca="false">MIN($H286)</f>
        <v>1</v>
      </c>
      <c r="Z286" s="1" t="n">
        <f aca="false">MIN($I286)</f>
        <v>7.26</v>
      </c>
      <c r="AA286" s="1" t="n">
        <f aca="false">MIN($J286)</f>
        <v>7.41</v>
      </c>
      <c r="AB286" s="1" t="n">
        <f aca="false">MIN($K286)</f>
        <v>6</v>
      </c>
      <c r="AC286" s="1" t="n">
        <f aca="false">MIN($M286)</f>
        <v>1626512</v>
      </c>
      <c r="AD286" s="1" t="n">
        <f aca="false">MIN($N286)</f>
        <v>0.55</v>
      </c>
      <c r="AE286" s="1" t="n">
        <f aca="false">MIN($P286)</f>
        <v>7.41</v>
      </c>
      <c r="AF286" s="1" t="n">
        <f aca="false">MIN($Q286)</f>
        <v>0</v>
      </c>
      <c r="AG286" s="1" t="n">
        <f aca="false">MIN($R286)</f>
        <v>423077</v>
      </c>
      <c r="AH286" s="1" t="n">
        <f aca="false">MEDIAN($B286)</f>
        <v>37052</v>
      </c>
      <c r="AI286" s="1" t="n">
        <f aca="false">MEDIAN($C286)</f>
        <v>751</v>
      </c>
      <c r="AJ286" s="1" t="n">
        <f aca="false">MEDIAN($D286)</f>
        <v>384943</v>
      </c>
      <c r="AK286" s="1" t="n">
        <f aca="false">MEDIAN($E286)</f>
        <v>0</v>
      </c>
      <c r="AL286" s="1" t="n">
        <f aca="false">MEDIAN($F286)</f>
        <v>433</v>
      </c>
      <c r="AM286" s="1" t="n">
        <f aca="false">MEDIAN($G286)</f>
        <v>0</v>
      </c>
      <c r="AN286" s="1" t="n">
        <f aca="false">MEDIAN($H286)</f>
        <v>1</v>
      </c>
      <c r="AO286" s="1" t="n">
        <f aca="false">MEDIAN($I286)</f>
        <v>7.26</v>
      </c>
      <c r="AP286" s="1" t="n">
        <f aca="false">MEDIAN($J286)</f>
        <v>7.41</v>
      </c>
      <c r="AQ286" s="1" t="n">
        <f aca="false">MEDIAN($K286)</f>
        <v>6</v>
      </c>
      <c r="AR286" s="1" t="n">
        <f aca="false">MEDIAN($M286)</f>
        <v>1626512</v>
      </c>
      <c r="AS286" s="1" t="n">
        <f aca="false">MEDIAN($N286)</f>
        <v>0.55</v>
      </c>
      <c r="AT286" s="1" t="n">
        <f aca="false">MEDIAN($P286)</f>
        <v>7.41</v>
      </c>
      <c r="AU286" s="1" t="n">
        <f aca="false">MEDIAN($Q286)</f>
        <v>0</v>
      </c>
      <c r="AV286" s="1" t="n">
        <f aca="false">MEDIAN($R286)</f>
        <v>423077</v>
      </c>
      <c r="AW286" s="1" t="n">
        <f aca="false">MAX($B286)</f>
        <v>37052</v>
      </c>
      <c r="AX286" s="1" t="n">
        <f aca="false">MAX($C286)</f>
        <v>751</v>
      </c>
      <c r="AY286" s="1" t="n">
        <f aca="false">MAX($D286)</f>
        <v>384943</v>
      </c>
      <c r="AZ286" s="1" t="n">
        <f aca="false">MAX($E286)</f>
        <v>0</v>
      </c>
      <c r="BA286" s="1" t="n">
        <f aca="false">MAX($F286)</f>
        <v>433</v>
      </c>
      <c r="BB286" s="1" t="n">
        <f aca="false">MAX($G286)</f>
        <v>0</v>
      </c>
      <c r="BC286" s="1" t="n">
        <f aca="false">MAX($H286)</f>
        <v>1</v>
      </c>
      <c r="BD286" s="1" t="n">
        <f aca="false">MAX($I286)</f>
        <v>7.26</v>
      </c>
      <c r="BE286" s="1" t="n">
        <f aca="false">MAX($J286)</f>
        <v>7.41</v>
      </c>
      <c r="BF286" s="1" t="n">
        <f aca="false">MAX($K286)</f>
        <v>6</v>
      </c>
      <c r="BG286" s="1" t="n">
        <f aca="false">MAX($M286)</f>
        <v>1626512</v>
      </c>
      <c r="BH286" s="1" t="n">
        <f aca="false">MAX($N286)</f>
        <v>0.55</v>
      </c>
      <c r="BI286" s="1" t="n">
        <f aca="false">MAX($P286)</f>
        <v>7.41</v>
      </c>
      <c r="BJ286" s="1" t="n">
        <f aca="false">MAX($Q286)</f>
        <v>0</v>
      </c>
      <c r="BK286" s="1" t="n">
        <f aca="false">MAX($R286)</f>
        <v>423077</v>
      </c>
    </row>
    <row r="287" customFormat="false" ht="15" hidden="false" customHeight="false" outlineLevel="0" collapsed="false">
      <c r="A287" s="1" t="s">
        <v>304</v>
      </c>
      <c r="B287" s="1" t="n">
        <f aca="false" t="array" ref="B287:B287">_xlfn.SWITCH($A$2,"average", AVERAGE(Instances!B287:B287),"median", MEDIAN(Instances!B287:B287),"min", MIN(Instances!B287:B287),"max", MAX(Instances!B287:B287),"diff", MAX(Instances!B287:B287)-MIN(Instances!B287:B287))</f>
        <v>11436</v>
      </c>
      <c r="C287" s="1" t="n">
        <f aca="false" t="array" ref="C287:C287">_xlfn.SWITCH($A$2,"average", AVERAGE(Instances!C287:C287),"median", MEDIAN(Instances!C287:C287),"min", MIN(Instances!C287:C287),"max", MAX(Instances!C287:C287),"diff", MAX(Instances!C287:C287)-MIN(Instances!C287:C287))</f>
        <v>167</v>
      </c>
      <c r="D287" s="1" t="n">
        <f aca="false" t="array" ref="D287:D287">_xlfn.SWITCH($A$2,"average", AVERAGE(Instances!D287:D287),"median", MEDIAN(Instances!D287:D287),"min", MIN(Instances!D287:D287),"max", MAX(Instances!D287:D287),"diff", MAX(Instances!D287:D287)-MIN(Instances!D287:D287))</f>
        <v>449114</v>
      </c>
      <c r="E287" s="1" t="n">
        <f aca="false" t="array" ref="E287:E287">_xlfn.SWITCH($A$2,"average", AVERAGE(Instances!E287:E287),"median", MEDIAN(Instances!E287:E287),"min", MIN(Instances!E287:E287),"max", MAX(Instances!E287:E287),"diff", MAX(Instances!E287:E287)-MIN(Instances!E287:E287))</f>
        <v>0</v>
      </c>
      <c r="F287" s="1" t="n">
        <f aca="false" t="array" ref="F287:F287">_xlfn.SWITCH($A$2,"average", AVERAGE(Instances!F287:F287),"median", MEDIAN(Instances!F287:F287),"min", MIN(Instances!F287:F287),"max", MAX(Instances!F287:F287),"diff", MAX(Instances!F287:F287)-MIN(Instances!F287:F287))</f>
        <v>456</v>
      </c>
      <c r="G287" s="1" t="n">
        <f aca="false" t="array" ref="G287:G287">_xlfn.SWITCH($A$2,"average", AVERAGE(Instances!G287:G287),"median", MEDIAN(Instances!G287:G287),"min", MIN(Instances!G287:G287),"max", MAX(Instances!G287:G287),"diff", MAX(Instances!G287:G287)-MIN(Instances!G287:G287))</f>
        <v>0</v>
      </c>
      <c r="H287" s="1" t="n">
        <f aca="false" t="array" ref="H287:H287">_xlfn.SWITCH($A$2,"average", AVERAGE(Instances!H287:H287),"median", MEDIAN(Instances!H287:H287),"min", MIN(Instances!H287:H287),"max", MAX(Instances!H287:H287),"diff", MAX(Instances!H287:H287)-MIN(Instances!H287:H287))</f>
        <v>1</v>
      </c>
      <c r="I287" s="1" t="n">
        <f aca="false" t="array" ref="I287:I287">_xlfn.SWITCH($A$2,"average", AVERAGE(Instances!I287:I287),"median", MEDIAN(Instances!I287:I287),"min", MIN(Instances!I287:I287),"max", MAX(Instances!I287:I287),"diff", MAX(Instances!I287:I287)-MIN(Instances!I287:I287))</f>
        <v>7.017</v>
      </c>
      <c r="J287" s="1" t="n">
        <f aca="false" t="array" ref="J287:J287">_xlfn.SWITCH($A$2,"average", AVERAGE(Instances!J287:J287),"median", MEDIAN(Instances!J287:J287),"min", MIN(Instances!J287:J287),"max", MAX(Instances!J287:J287),"diff", MAX(Instances!J287:J287)-MIN(Instances!J287:J287))</f>
        <v>7.17</v>
      </c>
      <c r="K287" s="1" t="n">
        <f aca="false" t="array" ref="K287:K287">_xlfn.SWITCH($A$2,"average", AVERAGE(Instances!K287:K287),"median", MEDIAN(Instances!K287:K287),"min", MIN(Instances!K287:K287),"max", MAX(Instances!K287:K287),"diff", MAX(Instances!K287:K287)-MIN(Instances!K287:K287))</f>
        <v>1</v>
      </c>
      <c r="L287" s="1"/>
      <c r="M287" s="1" t="n">
        <f aca="false" t="array" ref="M287:M287">_xlfn.SWITCH($A$2,"average", AVERAGE(Instances!M287:M287),"median", MEDIAN(Instances!M287:M287),"min", MIN(Instances!M287:M287),"max", MAX(Instances!M287:M287),"diff", MAX(Instances!M287:M287)-MIN(Instances!M287:M287))</f>
        <v>1710551</v>
      </c>
      <c r="N287" s="1" t="n">
        <f aca="false" t="array" ref="N287:N287">_xlfn.SWITCH($A$2,"average", AVERAGE(Instances!N287:N287),"median", MEDIAN(Instances!N287:N287),"min", MIN(Instances!N287:N287),"max", MAX(Instances!N287:N287),"diff", MAX(Instances!N287:N287)-MIN(Instances!N287:N287))</f>
        <v>0.18</v>
      </c>
      <c r="O287" s="1"/>
      <c r="P287" s="1" t="n">
        <f aca="false" t="array" ref="P287:P287">_xlfn.SWITCH($A$2,"average", AVERAGE(Instances!P287:P287),"median", MEDIAN(Instances!P287:P287),"min", MIN(Instances!P287:P287),"max", MAX(Instances!P287:P287),"diff", MAX(Instances!P287:P287)-MIN(Instances!P287:P287))</f>
        <v>7.17</v>
      </c>
      <c r="Q287" s="1" t="n">
        <f aca="false" t="array" ref="Q287:Q287">_xlfn.SWITCH($A$2,"average", AVERAGE(Instances!Q287:Q287),"median", MEDIAN(Instances!Q287:Q287),"min", MIN(Instances!Q287:Q287),"max", MAX(Instances!Q287:Q287),"diff", MAX(Instances!Q287:Q287)-MIN(Instances!Q287:Q287))</f>
        <v>0</v>
      </c>
      <c r="R287" s="1" t="n">
        <f aca="false" t="array" ref="R287:R287">_xlfn.SWITCH($A$2,"average", AVERAGE(Instances!R287:R287),"median", MEDIAN(Instances!R287:R287),"min", MIN(Instances!R287:R287),"max", MAX(Instances!R287:R287),"diff", MAX(Instances!R287:R287)-MIN(Instances!R287:R287))</f>
        <v>448273</v>
      </c>
      <c r="S287" s="1" t="n">
        <f aca="false">MIN($B287)</f>
        <v>11436</v>
      </c>
      <c r="T287" s="1" t="n">
        <f aca="false">MIN($C287)</f>
        <v>167</v>
      </c>
      <c r="U287" s="1" t="n">
        <f aca="false">MIN($D287)</f>
        <v>449114</v>
      </c>
      <c r="V287" s="1" t="n">
        <f aca="false">MIN($E287)</f>
        <v>0</v>
      </c>
      <c r="W287" s="1" t="n">
        <f aca="false">MIN($F287)</f>
        <v>456</v>
      </c>
      <c r="X287" s="1" t="n">
        <f aca="false">MIN($G287)</f>
        <v>0</v>
      </c>
      <c r="Y287" s="1" t="n">
        <f aca="false">MIN($H287)</f>
        <v>1</v>
      </c>
      <c r="Z287" s="1" t="n">
        <f aca="false">MIN($I287)</f>
        <v>7.017</v>
      </c>
      <c r="AA287" s="1" t="n">
        <f aca="false">MIN($J287)</f>
        <v>7.17</v>
      </c>
      <c r="AB287" s="1" t="n">
        <f aca="false">MIN($K287)</f>
        <v>1</v>
      </c>
      <c r="AC287" s="1" t="n">
        <f aca="false">MIN($M287)</f>
        <v>1710551</v>
      </c>
      <c r="AD287" s="1" t="n">
        <f aca="false">MIN($N287)</f>
        <v>0.18</v>
      </c>
      <c r="AE287" s="1" t="n">
        <f aca="false">MIN($P287)</f>
        <v>7.17</v>
      </c>
      <c r="AF287" s="1" t="n">
        <f aca="false">MIN($Q287)</f>
        <v>0</v>
      </c>
      <c r="AG287" s="1" t="n">
        <f aca="false">MIN($R287)</f>
        <v>448273</v>
      </c>
      <c r="AH287" s="1" t="n">
        <f aca="false">MEDIAN($B287)</f>
        <v>11436</v>
      </c>
      <c r="AI287" s="1" t="n">
        <f aca="false">MEDIAN($C287)</f>
        <v>167</v>
      </c>
      <c r="AJ287" s="1" t="n">
        <f aca="false">MEDIAN($D287)</f>
        <v>449114</v>
      </c>
      <c r="AK287" s="1" t="n">
        <f aca="false">MEDIAN($E287)</f>
        <v>0</v>
      </c>
      <c r="AL287" s="1" t="n">
        <f aca="false">MEDIAN($F287)</f>
        <v>456</v>
      </c>
      <c r="AM287" s="1" t="n">
        <f aca="false">MEDIAN($G287)</f>
        <v>0</v>
      </c>
      <c r="AN287" s="1" t="n">
        <f aca="false">MEDIAN($H287)</f>
        <v>1</v>
      </c>
      <c r="AO287" s="1" t="n">
        <f aca="false">MEDIAN($I287)</f>
        <v>7.017</v>
      </c>
      <c r="AP287" s="1" t="n">
        <f aca="false">MEDIAN($J287)</f>
        <v>7.17</v>
      </c>
      <c r="AQ287" s="1" t="n">
        <f aca="false">MEDIAN($K287)</f>
        <v>1</v>
      </c>
      <c r="AR287" s="1" t="n">
        <f aca="false">MEDIAN($M287)</f>
        <v>1710551</v>
      </c>
      <c r="AS287" s="1" t="n">
        <f aca="false">MEDIAN($N287)</f>
        <v>0.18</v>
      </c>
      <c r="AT287" s="1" t="n">
        <f aca="false">MEDIAN($P287)</f>
        <v>7.17</v>
      </c>
      <c r="AU287" s="1" t="n">
        <f aca="false">MEDIAN($Q287)</f>
        <v>0</v>
      </c>
      <c r="AV287" s="1" t="n">
        <f aca="false">MEDIAN($R287)</f>
        <v>448273</v>
      </c>
      <c r="AW287" s="1" t="n">
        <f aca="false">MAX($B287)</f>
        <v>11436</v>
      </c>
      <c r="AX287" s="1" t="n">
        <f aca="false">MAX($C287)</f>
        <v>167</v>
      </c>
      <c r="AY287" s="1" t="n">
        <f aca="false">MAX($D287)</f>
        <v>449114</v>
      </c>
      <c r="AZ287" s="1" t="n">
        <f aca="false">MAX($E287)</f>
        <v>0</v>
      </c>
      <c r="BA287" s="1" t="n">
        <f aca="false">MAX($F287)</f>
        <v>456</v>
      </c>
      <c r="BB287" s="1" t="n">
        <f aca="false">MAX($G287)</f>
        <v>0</v>
      </c>
      <c r="BC287" s="1" t="n">
        <f aca="false">MAX($H287)</f>
        <v>1</v>
      </c>
      <c r="BD287" s="1" t="n">
        <f aca="false">MAX($I287)</f>
        <v>7.017</v>
      </c>
      <c r="BE287" s="1" t="n">
        <f aca="false">MAX($J287)</f>
        <v>7.17</v>
      </c>
      <c r="BF287" s="1" t="n">
        <f aca="false">MAX($K287)</f>
        <v>1</v>
      </c>
      <c r="BG287" s="1" t="n">
        <f aca="false">MAX($M287)</f>
        <v>1710551</v>
      </c>
      <c r="BH287" s="1" t="n">
        <f aca="false">MAX($N287)</f>
        <v>0.18</v>
      </c>
      <c r="BI287" s="1" t="n">
        <f aca="false">MAX($P287)</f>
        <v>7.17</v>
      </c>
      <c r="BJ287" s="1" t="n">
        <f aca="false">MAX($Q287)</f>
        <v>0</v>
      </c>
      <c r="BK287" s="1" t="n">
        <f aca="false">MAX($R287)</f>
        <v>448273</v>
      </c>
    </row>
    <row r="288" customFormat="false" ht="15" hidden="false" customHeight="false" outlineLevel="0" collapsed="false">
      <c r="A288" s="1" t="s">
        <v>305</v>
      </c>
      <c r="B288" s="1" t="n">
        <f aca="false" t="array" ref="B288:B288">_xlfn.SWITCH($A$2,"average", AVERAGE(Instances!B288:B288),"median", MEDIAN(Instances!B288:B288),"min", MIN(Instances!B288:B288),"max", MAX(Instances!B288:B288),"diff", MAX(Instances!B288:B288)-MIN(Instances!B288:B288))</f>
        <v>3354</v>
      </c>
      <c r="C288" s="1" t="n">
        <f aca="false" t="array" ref="C288:C288">_xlfn.SWITCH($A$2,"average", AVERAGE(Instances!C288:C288),"median", MEDIAN(Instances!C288:C288),"min", MIN(Instances!C288:C288),"max", MAX(Instances!C288:C288),"diff", MAX(Instances!C288:C288)-MIN(Instances!C288:C288))</f>
        <v>2</v>
      </c>
      <c r="D288" s="1" t="n">
        <f aca="false" t="array" ref="D288:D288">_xlfn.SWITCH($A$2,"average", AVERAGE(Instances!D288:D288),"median", MEDIAN(Instances!D288:D288),"min", MIN(Instances!D288:D288),"max", MAX(Instances!D288:D288),"diff", MAX(Instances!D288:D288)-MIN(Instances!D288:D288))</f>
        <v>503140</v>
      </c>
      <c r="E288" s="1" t="n">
        <f aca="false" t="array" ref="E288:E288">_xlfn.SWITCH($A$2,"average", AVERAGE(Instances!E288:E288),"median", MEDIAN(Instances!E288:E288),"min", MIN(Instances!E288:E288),"max", MAX(Instances!E288:E288),"diff", MAX(Instances!E288:E288)-MIN(Instances!E288:E288))</f>
        <v>0</v>
      </c>
      <c r="F288" s="1" t="n">
        <f aca="false" t="array" ref="F288:F288">_xlfn.SWITCH($A$2,"average", AVERAGE(Instances!F288:F288),"median", MEDIAN(Instances!F288:F288),"min", MIN(Instances!F288:F288),"max", MAX(Instances!F288:F288),"diff", MAX(Instances!F288:F288)-MIN(Instances!F288:F288))</f>
        <v>451</v>
      </c>
      <c r="G288" s="1" t="n">
        <f aca="false" t="array" ref="G288:G288">_xlfn.SWITCH($A$2,"average", AVERAGE(Instances!G288:G288),"median", MEDIAN(Instances!G288:G288),"min", MIN(Instances!G288:G288),"max", MAX(Instances!G288:G288),"diff", MAX(Instances!G288:G288)-MIN(Instances!G288:G288))</f>
        <v>0</v>
      </c>
      <c r="H288" s="1" t="n">
        <f aca="false" t="array" ref="H288:H288">_xlfn.SWITCH($A$2,"average", AVERAGE(Instances!H288:H288),"median", MEDIAN(Instances!H288:H288),"min", MIN(Instances!H288:H288),"max", MAX(Instances!H288:H288),"diff", MAX(Instances!H288:H288)-MIN(Instances!H288:H288))</f>
        <v>1</v>
      </c>
      <c r="I288" s="1" t="n">
        <f aca="false" t="array" ref="I288:I288">_xlfn.SWITCH($A$2,"average", AVERAGE(Instances!I288:I288),"median", MEDIAN(Instances!I288:I288),"min", MIN(Instances!I288:I288),"max", MAX(Instances!I288:I288),"diff", MAX(Instances!I288:I288)-MIN(Instances!I288:I288))</f>
        <v>7.047</v>
      </c>
      <c r="J288" s="1" t="n">
        <f aca="false" t="array" ref="J288:J288">_xlfn.SWITCH($A$2,"average", AVERAGE(Instances!J288:J288),"median", MEDIAN(Instances!J288:J288),"min", MIN(Instances!J288:J288),"max", MAX(Instances!J288:J288),"diff", MAX(Instances!J288:J288)-MIN(Instances!J288:J288))</f>
        <v>7.22</v>
      </c>
      <c r="K288" s="1" t="n">
        <f aca="false" t="array" ref="K288:K288">_xlfn.SWITCH($A$2,"average", AVERAGE(Instances!K288:K288),"median", MEDIAN(Instances!K288:K288),"min", MIN(Instances!K288:K288),"max", MAX(Instances!K288:K288),"diff", MAX(Instances!K288:K288)-MIN(Instances!K288:K288))</f>
        <v>0</v>
      </c>
      <c r="L288" s="1"/>
      <c r="M288" s="1" t="n">
        <f aca="false" t="array" ref="M288:M288">_xlfn.SWITCH($A$2,"average", AVERAGE(Instances!M288:M288),"median", MEDIAN(Instances!M288:M288),"min", MIN(Instances!M288:M288),"max", MAX(Instances!M288:M288),"diff", MAX(Instances!M288:M288)-MIN(Instances!M288:M288))</f>
        <v>1703299</v>
      </c>
      <c r="N288" s="1" t="n">
        <f aca="false" t="array" ref="N288:N288">_xlfn.SWITCH($A$2,"average", AVERAGE(Instances!N288:N288),"median", MEDIAN(Instances!N288:N288),"min", MIN(Instances!N288:N288),"max", MAX(Instances!N288:N288),"diff", MAX(Instances!N288:N288)-MIN(Instances!N288:N288))</f>
        <v>0.05</v>
      </c>
      <c r="O288" s="1"/>
      <c r="P288" s="1" t="n">
        <f aca="false" t="array" ref="P288:P288">_xlfn.SWITCH($A$2,"average", AVERAGE(Instances!P288:P288),"median", MEDIAN(Instances!P288:P288),"min", MIN(Instances!P288:P288),"max", MAX(Instances!P288:P288),"diff", MAX(Instances!P288:P288)-MIN(Instances!P288:P288))</f>
        <v>7.22</v>
      </c>
      <c r="Q288" s="1" t="n">
        <f aca="false" t="array" ref="Q288:Q288">_xlfn.SWITCH($A$2,"average", AVERAGE(Instances!Q288:Q288),"median", MEDIAN(Instances!Q288:Q288),"min", MIN(Instances!Q288:Q288),"max", MAX(Instances!Q288:Q288),"diff", MAX(Instances!Q288:Q288)-MIN(Instances!Q288:Q288))</f>
        <v>0</v>
      </c>
      <c r="R288" s="1" t="n">
        <f aca="false" t="array" ref="R288:R288">_xlfn.SWITCH($A$2,"average", AVERAGE(Instances!R288:R288),"median", MEDIAN(Instances!R288:R288),"min", MIN(Instances!R288:R288),"max", MAX(Instances!R288:R288),"diff", MAX(Instances!R288:R288)-MIN(Instances!R288:R288))</f>
        <v>446760</v>
      </c>
      <c r="S288" s="1" t="n">
        <f aca="false">MIN($B288)</f>
        <v>3354</v>
      </c>
      <c r="T288" s="1" t="n">
        <f aca="false">MIN($C288)</f>
        <v>2</v>
      </c>
      <c r="U288" s="1" t="n">
        <f aca="false">MIN($D288)</f>
        <v>503140</v>
      </c>
      <c r="V288" s="1" t="n">
        <f aca="false">MIN($E288)</f>
        <v>0</v>
      </c>
      <c r="W288" s="1" t="n">
        <f aca="false">MIN($F288)</f>
        <v>451</v>
      </c>
      <c r="X288" s="1" t="n">
        <f aca="false">MIN($G288)</f>
        <v>0</v>
      </c>
      <c r="Y288" s="1" t="n">
        <f aca="false">MIN($H288)</f>
        <v>1</v>
      </c>
      <c r="Z288" s="1" t="n">
        <f aca="false">MIN($I288)</f>
        <v>7.047</v>
      </c>
      <c r="AA288" s="1" t="n">
        <f aca="false">MIN($J288)</f>
        <v>7.22</v>
      </c>
      <c r="AB288" s="1" t="n">
        <f aca="false">MIN($K288)</f>
        <v>0</v>
      </c>
      <c r="AC288" s="1" t="n">
        <f aca="false">MIN($M288)</f>
        <v>1703299</v>
      </c>
      <c r="AD288" s="1" t="n">
        <f aca="false">MIN($N288)</f>
        <v>0.05</v>
      </c>
      <c r="AE288" s="1" t="n">
        <f aca="false">MIN($P288)</f>
        <v>7.22</v>
      </c>
      <c r="AF288" s="1" t="n">
        <f aca="false">MIN($Q288)</f>
        <v>0</v>
      </c>
      <c r="AG288" s="1" t="n">
        <f aca="false">MIN($R288)</f>
        <v>446760</v>
      </c>
      <c r="AH288" s="1" t="n">
        <f aca="false">MEDIAN($B288)</f>
        <v>3354</v>
      </c>
      <c r="AI288" s="1" t="n">
        <f aca="false">MEDIAN($C288)</f>
        <v>2</v>
      </c>
      <c r="AJ288" s="1" t="n">
        <f aca="false">MEDIAN($D288)</f>
        <v>503140</v>
      </c>
      <c r="AK288" s="1" t="n">
        <f aca="false">MEDIAN($E288)</f>
        <v>0</v>
      </c>
      <c r="AL288" s="1" t="n">
        <f aca="false">MEDIAN($F288)</f>
        <v>451</v>
      </c>
      <c r="AM288" s="1" t="n">
        <f aca="false">MEDIAN($G288)</f>
        <v>0</v>
      </c>
      <c r="AN288" s="1" t="n">
        <f aca="false">MEDIAN($H288)</f>
        <v>1</v>
      </c>
      <c r="AO288" s="1" t="n">
        <f aca="false">MEDIAN($I288)</f>
        <v>7.047</v>
      </c>
      <c r="AP288" s="1" t="n">
        <f aca="false">MEDIAN($J288)</f>
        <v>7.22</v>
      </c>
      <c r="AQ288" s="1" t="n">
        <f aca="false">MEDIAN($K288)</f>
        <v>0</v>
      </c>
      <c r="AR288" s="1" t="n">
        <f aca="false">MEDIAN($M288)</f>
        <v>1703299</v>
      </c>
      <c r="AS288" s="1" t="n">
        <f aca="false">MEDIAN($N288)</f>
        <v>0.05</v>
      </c>
      <c r="AT288" s="1" t="n">
        <f aca="false">MEDIAN($P288)</f>
        <v>7.22</v>
      </c>
      <c r="AU288" s="1" t="n">
        <f aca="false">MEDIAN($Q288)</f>
        <v>0</v>
      </c>
      <c r="AV288" s="1" t="n">
        <f aca="false">MEDIAN($R288)</f>
        <v>446760</v>
      </c>
      <c r="AW288" s="1" t="n">
        <f aca="false">MAX($B288)</f>
        <v>3354</v>
      </c>
      <c r="AX288" s="1" t="n">
        <f aca="false">MAX($C288)</f>
        <v>2</v>
      </c>
      <c r="AY288" s="1" t="n">
        <f aca="false">MAX($D288)</f>
        <v>503140</v>
      </c>
      <c r="AZ288" s="1" t="n">
        <f aca="false">MAX($E288)</f>
        <v>0</v>
      </c>
      <c r="BA288" s="1" t="n">
        <f aca="false">MAX($F288)</f>
        <v>451</v>
      </c>
      <c r="BB288" s="1" t="n">
        <f aca="false">MAX($G288)</f>
        <v>0</v>
      </c>
      <c r="BC288" s="1" t="n">
        <f aca="false">MAX($H288)</f>
        <v>1</v>
      </c>
      <c r="BD288" s="1" t="n">
        <f aca="false">MAX($I288)</f>
        <v>7.047</v>
      </c>
      <c r="BE288" s="1" t="n">
        <f aca="false">MAX($J288)</f>
        <v>7.22</v>
      </c>
      <c r="BF288" s="1" t="n">
        <f aca="false">MAX($K288)</f>
        <v>0</v>
      </c>
      <c r="BG288" s="1" t="n">
        <f aca="false">MAX($M288)</f>
        <v>1703299</v>
      </c>
      <c r="BH288" s="1" t="n">
        <f aca="false">MAX($N288)</f>
        <v>0.05</v>
      </c>
      <c r="BI288" s="1" t="n">
        <f aca="false">MAX($P288)</f>
        <v>7.22</v>
      </c>
      <c r="BJ288" s="1" t="n">
        <f aca="false">MAX($Q288)</f>
        <v>0</v>
      </c>
      <c r="BK288" s="1" t="n">
        <f aca="false">MAX($R288)</f>
        <v>446760</v>
      </c>
    </row>
    <row r="289" customFormat="false" ht="15" hidden="false" customHeight="false" outlineLevel="0" collapsed="false">
      <c r="A289" s="1" t="s">
        <v>306</v>
      </c>
      <c r="B289" s="1" t="n">
        <f aca="false" t="array" ref="B289:B289">_xlfn.SWITCH($A$2,"average", AVERAGE(Instances!B289:B289),"median", MEDIAN(Instances!B289:B289),"min", MIN(Instances!B289:B289),"max", MAX(Instances!B289:B289),"diff", MAX(Instances!B289:B289)-MIN(Instances!B289:B289))</f>
        <v>19291</v>
      </c>
      <c r="C289" s="1" t="n">
        <f aca="false" t="array" ref="C289:C289">_xlfn.SWITCH($A$2,"average", AVERAGE(Instances!C289:C289),"median", MEDIAN(Instances!C289:C289),"min", MIN(Instances!C289:C289),"max", MAX(Instances!C289:C289),"diff", MAX(Instances!C289:C289)-MIN(Instances!C289:C289))</f>
        <v>352</v>
      </c>
      <c r="D289" s="1" t="n">
        <f aca="false" t="array" ref="D289:D289">_xlfn.SWITCH($A$2,"average", AVERAGE(Instances!D289:D289),"median", MEDIAN(Instances!D289:D289),"min", MIN(Instances!D289:D289),"max", MAX(Instances!D289:D289),"diff", MAX(Instances!D289:D289)-MIN(Instances!D289:D289))</f>
        <v>495883</v>
      </c>
      <c r="E289" s="1" t="n">
        <f aca="false" t="array" ref="E289:E289">_xlfn.SWITCH($A$2,"average", AVERAGE(Instances!E289:E289),"median", MEDIAN(Instances!E289:E289),"min", MIN(Instances!E289:E289),"max", MAX(Instances!E289:E289),"diff", MAX(Instances!E289:E289)-MIN(Instances!E289:E289))</f>
        <v>0</v>
      </c>
      <c r="F289" s="1" t="n">
        <f aca="false" t="array" ref="F289:F289">_xlfn.SWITCH($A$2,"average", AVERAGE(Instances!F289:F289),"median", MEDIAN(Instances!F289:F289),"min", MIN(Instances!F289:F289),"max", MAX(Instances!F289:F289),"diff", MAX(Instances!F289:F289)-MIN(Instances!F289:F289))</f>
        <v>448</v>
      </c>
      <c r="G289" s="1" t="n">
        <f aca="false" t="array" ref="G289:G289">_xlfn.SWITCH($A$2,"average", AVERAGE(Instances!G289:G289),"median", MEDIAN(Instances!G289:G289),"min", MIN(Instances!G289:G289),"max", MAX(Instances!G289:G289),"diff", MAX(Instances!G289:G289)-MIN(Instances!G289:G289))</f>
        <v>0</v>
      </c>
      <c r="H289" s="1" t="n">
        <f aca="false" t="array" ref="H289:H289">_xlfn.SWITCH($A$2,"average", AVERAGE(Instances!H289:H289),"median", MEDIAN(Instances!H289:H289),"min", MIN(Instances!H289:H289),"max", MAX(Instances!H289:H289),"diff", MAX(Instances!H289:H289)-MIN(Instances!H289:H289))</f>
        <v>1</v>
      </c>
      <c r="I289" s="1" t="n">
        <f aca="false" t="array" ref="I289:I289">_xlfn.SWITCH($A$2,"average", AVERAGE(Instances!I289:I289),"median", MEDIAN(Instances!I289:I289),"min", MIN(Instances!I289:I289),"max", MAX(Instances!I289:I289),"diff", MAX(Instances!I289:I289)-MIN(Instances!I289:I289))</f>
        <v>7.372</v>
      </c>
      <c r="J289" s="1" t="n">
        <f aca="false" t="array" ref="J289:J289">_xlfn.SWITCH($A$2,"average", AVERAGE(Instances!J289:J289),"median", MEDIAN(Instances!J289:J289),"min", MIN(Instances!J289:J289),"max", MAX(Instances!J289:J289),"diff", MAX(Instances!J289:J289)-MIN(Instances!J289:J289))</f>
        <v>7.53</v>
      </c>
      <c r="K289" s="1" t="n">
        <f aca="false" t="array" ref="K289:K289">_xlfn.SWITCH($A$2,"average", AVERAGE(Instances!K289:K289),"median", MEDIAN(Instances!K289:K289),"min", MIN(Instances!K289:K289),"max", MAX(Instances!K289:K289),"diff", MAX(Instances!K289:K289)-MIN(Instances!K289:K289))</f>
        <v>2</v>
      </c>
      <c r="L289" s="1"/>
      <c r="M289" s="1" t="n">
        <f aca="false" t="array" ref="M289:M289">_xlfn.SWITCH($A$2,"average", AVERAGE(Instances!M289:M289),"median", MEDIAN(Instances!M289:M289),"min", MIN(Instances!M289:M289),"max", MAX(Instances!M289:M289),"diff", MAX(Instances!M289:M289)-MIN(Instances!M289:M289))</f>
        <v>1688586</v>
      </c>
      <c r="N289" s="1" t="n">
        <f aca="false" t="array" ref="N289:N289">_xlfn.SWITCH($A$2,"average", AVERAGE(Instances!N289:N289),"median", MEDIAN(Instances!N289:N289),"min", MIN(Instances!N289:N289),"max", MAX(Instances!N289:N289),"diff", MAX(Instances!N289:N289)-MIN(Instances!N289:N289))</f>
        <v>0.36</v>
      </c>
      <c r="O289" s="1"/>
      <c r="P289" s="1" t="n">
        <f aca="false" t="array" ref="P289:P289">_xlfn.SWITCH($A$2,"average", AVERAGE(Instances!P289:P289),"median", MEDIAN(Instances!P289:P289),"min", MIN(Instances!P289:P289),"max", MAX(Instances!P289:P289),"diff", MAX(Instances!P289:P289)-MIN(Instances!P289:P289))</f>
        <v>7.53</v>
      </c>
      <c r="Q289" s="1" t="n">
        <f aca="false" t="array" ref="Q289:Q289">_xlfn.SWITCH($A$2,"average", AVERAGE(Instances!Q289:Q289),"median", MEDIAN(Instances!Q289:Q289),"min", MIN(Instances!Q289:Q289),"max", MAX(Instances!Q289:Q289),"diff", MAX(Instances!Q289:Q289)-MIN(Instances!Q289:Q289))</f>
        <v>0</v>
      </c>
      <c r="R289" s="1" t="n">
        <f aca="false" t="array" ref="R289:R289">_xlfn.SWITCH($A$2,"average", AVERAGE(Instances!R289:R289),"median", MEDIAN(Instances!R289:R289),"min", MIN(Instances!R289:R289),"max", MAX(Instances!R289:R289),"diff", MAX(Instances!R289:R289)-MIN(Instances!R289:R289))</f>
        <v>441776</v>
      </c>
      <c r="S289" s="1" t="n">
        <f aca="false">MIN($B289)</f>
        <v>19291</v>
      </c>
      <c r="T289" s="1" t="n">
        <f aca="false">MIN($C289)</f>
        <v>352</v>
      </c>
      <c r="U289" s="1" t="n">
        <f aca="false">MIN($D289)</f>
        <v>495883</v>
      </c>
      <c r="V289" s="1" t="n">
        <f aca="false">MIN($E289)</f>
        <v>0</v>
      </c>
      <c r="W289" s="1" t="n">
        <f aca="false">MIN($F289)</f>
        <v>448</v>
      </c>
      <c r="X289" s="1" t="n">
        <f aca="false">MIN($G289)</f>
        <v>0</v>
      </c>
      <c r="Y289" s="1" t="n">
        <f aca="false">MIN($H289)</f>
        <v>1</v>
      </c>
      <c r="Z289" s="1" t="n">
        <f aca="false">MIN($I289)</f>
        <v>7.372</v>
      </c>
      <c r="AA289" s="1" t="n">
        <f aca="false">MIN($J289)</f>
        <v>7.53</v>
      </c>
      <c r="AB289" s="1" t="n">
        <f aca="false">MIN($K289)</f>
        <v>2</v>
      </c>
      <c r="AC289" s="1" t="n">
        <f aca="false">MIN($M289)</f>
        <v>1688586</v>
      </c>
      <c r="AD289" s="1" t="n">
        <f aca="false">MIN($N289)</f>
        <v>0.36</v>
      </c>
      <c r="AE289" s="1" t="n">
        <f aca="false">MIN($P289)</f>
        <v>7.53</v>
      </c>
      <c r="AF289" s="1" t="n">
        <f aca="false">MIN($Q289)</f>
        <v>0</v>
      </c>
      <c r="AG289" s="1" t="n">
        <f aca="false">MIN($R289)</f>
        <v>441776</v>
      </c>
      <c r="AH289" s="1" t="n">
        <f aca="false">MEDIAN($B289)</f>
        <v>19291</v>
      </c>
      <c r="AI289" s="1" t="n">
        <f aca="false">MEDIAN($C289)</f>
        <v>352</v>
      </c>
      <c r="AJ289" s="1" t="n">
        <f aca="false">MEDIAN($D289)</f>
        <v>495883</v>
      </c>
      <c r="AK289" s="1" t="n">
        <f aca="false">MEDIAN($E289)</f>
        <v>0</v>
      </c>
      <c r="AL289" s="1" t="n">
        <f aca="false">MEDIAN($F289)</f>
        <v>448</v>
      </c>
      <c r="AM289" s="1" t="n">
        <f aca="false">MEDIAN($G289)</f>
        <v>0</v>
      </c>
      <c r="AN289" s="1" t="n">
        <f aca="false">MEDIAN($H289)</f>
        <v>1</v>
      </c>
      <c r="AO289" s="1" t="n">
        <f aca="false">MEDIAN($I289)</f>
        <v>7.372</v>
      </c>
      <c r="AP289" s="1" t="n">
        <f aca="false">MEDIAN($J289)</f>
        <v>7.53</v>
      </c>
      <c r="AQ289" s="1" t="n">
        <f aca="false">MEDIAN($K289)</f>
        <v>2</v>
      </c>
      <c r="AR289" s="1" t="n">
        <f aca="false">MEDIAN($M289)</f>
        <v>1688586</v>
      </c>
      <c r="AS289" s="1" t="n">
        <f aca="false">MEDIAN($N289)</f>
        <v>0.36</v>
      </c>
      <c r="AT289" s="1" t="n">
        <f aca="false">MEDIAN($P289)</f>
        <v>7.53</v>
      </c>
      <c r="AU289" s="1" t="n">
        <f aca="false">MEDIAN($Q289)</f>
        <v>0</v>
      </c>
      <c r="AV289" s="1" t="n">
        <f aca="false">MEDIAN($R289)</f>
        <v>441776</v>
      </c>
      <c r="AW289" s="1" t="n">
        <f aca="false">MAX($B289)</f>
        <v>19291</v>
      </c>
      <c r="AX289" s="1" t="n">
        <f aca="false">MAX($C289)</f>
        <v>352</v>
      </c>
      <c r="AY289" s="1" t="n">
        <f aca="false">MAX($D289)</f>
        <v>495883</v>
      </c>
      <c r="AZ289" s="1" t="n">
        <f aca="false">MAX($E289)</f>
        <v>0</v>
      </c>
      <c r="BA289" s="1" t="n">
        <f aca="false">MAX($F289)</f>
        <v>448</v>
      </c>
      <c r="BB289" s="1" t="n">
        <f aca="false">MAX($G289)</f>
        <v>0</v>
      </c>
      <c r="BC289" s="1" t="n">
        <f aca="false">MAX($H289)</f>
        <v>1</v>
      </c>
      <c r="BD289" s="1" t="n">
        <f aca="false">MAX($I289)</f>
        <v>7.372</v>
      </c>
      <c r="BE289" s="1" t="n">
        <f aca="false">MAX($J289)</f>
        <v>7.53</v>
      </c>
      <c r="BF289" s="1" t="n">
        <f aca="false">MAX($K289)</f>
        <v>2</v>
      </c>
      <c r="BG289" s="1" t="n">
        <f aca="false">MAX($M289)</f>
        <v>1688586</v>
      </c>
      <c r="BH289" s="1" t="n">
        <f aca="false">MAX($N289)</f>
        <v>0.36</v>
      </c>
      <c r="BI289" s="1" t="n">
        <f aca="false">MAX($P289)</f>
        <v>7.53</v>
      </c>
      <c r="BJ289" s="1" t="n">
        <f aca="false">MAX($Q289)</f>
        <v>0</v>
      </c>
      <c r="BK289" s="1" t="n">
        <f aca="false">MAX($R289)</f>
        <v>441776</v>
      </c>
    </row>
    <row r="290" customFormat="false" ht="15" hidden="false" customHeight="false" outlineLevel="0" collapsed="false">
      <c r="A290" s="1" t="s">
        <v>307</v>
      </c>
      <c r="B290" s="1" t="n">
        <f aca="false" t="array" ref="B290:B290">_xlfn.SWITCH($A$2,"average", AVERAGE(Instances!B290:B290),"median", MEDIAN(Instances!B290:B290),"min", MIN(Instances!B290:B290),"max", MAX(Instances!B290:B290),"diff", MAX(Instances!B290:B290)-MIN(Instances!B290:B290))</f>
        <v>19656</v>
      </c>
      <c r="C290" s="1" t="n">
        <f aca="false" t="array" ref="C290:C290">_xlfn.SWITCH($A$2,"average", AVERAGE(Instances!C290:C290),"median", MEDIAN(Instances!C290:C290),"min", MIN(Instances!C290:C290),"max", MAX(Instances!C290:C290),"diff", MAX(Instances!C290:C290)-MIN(Instances!C290:C290))</f>
        <v>606</v>
      </c>
      <c r="D290" s="1" t="n">
        <f aca="false" t="array" ref="D290:D290">_xlfn.SWITCH($A$2,"average", AVERAGE(Instances!D290:D290),"median", MEDIAN(Instances!D290:D290),"min", MIN(Instances!D290:D290),"max", MAX(Instances!D290:D290),"diff", MAX(Instances!D290:D290)-MIN(Instances!D290:D290))</f>
        <v>498470</v>
      </c>
      <c r="E290" s="1" t="n">
        <f aca="false" t="array" ref="E290:E290">_xlfn.SWITCH($A$2,"average", AVERAGE(Instances!E290:E290),"median", MEDIAN(Instances!E290:E290),"min", MIN(Instances!E290:E290),"max", MAX(Instances!E290:E290),"diff", MAX(Instances!E290:E290)-MIN(Instances!E290:E290))</f>
        <v>0</v>
      </c>
      <c r="F290" s="1" t="n">
        <f aca="false" t="array" ref="F290:F290">_xlfn.SWITCH($A$2,"average", AVERAGE(Instances!F290:F290),"median", MEDIAN(Instances!F290:F290),"min", MIN(Instances!F290:F290),"max", MAX(Instances!F290:F290),"diff", MAX(Instances!F290:F290)-MIN(Instances!F290:F290))</f>
        <v>521</v>
      </c>
      <c r="G290" s="1" t="n">
        <f aca="false" t="array" ref="G290:G290">_xlfn.SWITCH($A$2,"average", AVERAGE(Instances!G290:G290),"median", MEDIAN(Instances!G290:G290),"min", MIN(Instances!G290:G290),"max", MAX(Instances!G290:G290),"diff", MAX(Instances!G290:G290)-MIN(Instances!G290:G290))</f>
        <v>0</v>
      </c>
      <c r="H290" s="1" t="n">
        <f aca="false" t="array" ref="H290:H290">_xlfn.SWITCH($A$2,"average", AVERAGE(Instances!H290:H290),"median", MEDIAN(Instances!H290:H290),"min", MIN(Instances!H290:H290),"max", MAX(Instances!H290:H290),"diff", MAX(Instances!H290:H290)-MIN(Instances!H290:H290))</f>
        <v>1</v>
      </c>
      <c r="I290" s="1" t="n">
        <f aca="false" t="array" ref="I290:I290">_xlfn.SWITCH($A$2,"average", AVERAGE(Instances!I290:I290),"median", MEDIAN(Instances!I290:I290),"min", MIN(Instances!I290:I290),"max", MAX(Instances!I290:I290),"diff", MAX(Instances!I290:I290)-MIN(Instances!I290:I290))</f>
        <v>8.674</v>
      </c>
      <c r="J290" s="1" t="n">
        <f aca="false" t="array" ref="J290:J290">_xlfn.SWITCH($A$2,"average", AVERAGE(Instances!J290:J290),"median", MEDIAN(Instances!J290:J290),"min", MIN(Instances!J290:J290),"max", MAX(Instances!J290:J290),"diff", MAX(Instances!J290:J290)-MIN(Instances!J290:J290))</f>
        <v>8.87</v>
      </c>
      <c r="K290" s="1" t="n">
        <f aca="false" t="array" ref="K290:K290">_xlfn.SWITCH($A$2,"average", AVERAGE(Instances!K290:K290),"median", MEDIAN(Instances!K290:K290),"min", MIN(Instances!K290:K290),"max", MAX(Instances!K290:K290),"diff", MAX(Instances!K290:K290)-MIN(Instances!K290:K290))</f>
        <v>5</v>
      </c>
      <c r="L290" s="1"/>
      <c r="M290" s="1" t="n">
        <f aca="false" t="array" ref="M290:M290">_xlfn.SWITCH($A$2,"average", AVERAGE(Instances!M290:M290),"median", MEDIAN(Instances!M290:M290),"min", MIN(Instances!M290:M290),"max", MAX(Instances!M290:M290),"diff", MAX(Instances!M290:M290)-MIN(Instances!M290:M290))</f>
        <v>1994333</v>
      </c>
      <c r="N290" s="1" t="n">
        <f aca="false" t="array" ref="N290:N290">_xlfn.SWITCH($A$2,"average", AVERAGE(Instances!N290:N290),"median", MEDIAN(Instances!N290:N290),"min", MIN(Instances!N290:N290),"max", MAX(Instances!N290:N290),"diff", MAX(Instances!N290:N290)-MIN(Instances!N290:N290))</f>
        <v>0.48</v>
      </c>
      <c r="O290" s="1"/>
      <c r="P290" s="1" t="n">
        <f aca="false" t="array" ref="P290:P290">_xlfn.SWITCH($A$2,"average", AVERAGE(Instances!P290:P290),"median", MEDIAN(Instances!P290:P290),"min", MIN(Instances!P290:P290),"max", MAX(Instances!P290:P290),"diff", MAX(Instances!P290:P290)-MIN(Instances!P290:P290))</f>
        <v>8.87</v>
      </c>
      <c r="Q290" s="1" t="n">
        <f aca="false" t="array" ref="Q290:Q290">_xlfn.SWITCH($A$2,"average", AVERAGE(Instances!Q290:Q290),"median", MEDIAN(Instances!Q290:Q290),"min", MIN(Instances!Q290:Q290),"max", MAX(Instances!Q290:Q290),"diff", MAX(Instances!Q290:Q290)-MIN(Instances!Q290:Q290))</f>
        <v>0</v>
      </c>
      <c r="R290" s="1" t="n">
        <f aca="false" t="array" ref="R290:R290">_xlfn.SWITCH($A$2,"average", AVERAGE(Instances!R290:R290),"median", MEDIAN(Instances!R290:R290),"min", MIN(Instances!R290:R290),"max", MAX(Instances!R290:R290),"diff", MAX(Instances!R290:R290)-MIN(Instances!R290:R290))</f>
        <v>517413</v>
      </c>
      <c r="S290" s="1" t="n">
        <f aca="false">MIN($B290)</f>
        <v>19656</v>
      </c>
      <c r="T290" s="1" t="n">
        <f aca="false">MIN($C290)</f>
        <v>606</v>
      </c>
      <c r="U290" s="1" t="n">
        <f aca="false">MIN($D290)</f>
        <v>498470</v>
      </c>
      <c r="V290" s="1" t="n">
        <f aca="false">MIN($E290)</f>
        <v>0</v>
      </c>
      <c r="W290" s="1" t="n">
        <f aca="false">MIN($F290)</f>
        <v>521</v>
      </c>
      <c r="X290" s="1" t="n">
        <f aca="false">MIN($G290)</f>
        <v>0</v>
      </c>
      <c r="Y290" s="1" t="n">
        <f aca="false">MIN($H290)</f>
        <v>1</v>
      </c>
      <c r="Z290" s="1" t="n">
        <f aca="false">MIN($I290)</f>
        <v>8.674</v>
      </c>
      <c r="AA290" s="1" t="n">
        <f aca="false">MIN($J290)</f>
        <v>8.87</v>
      </c>
      <c r="AB290" s="1" t="n">
        <f aca="false">MIN($K290)</f>
        <v>5</v>
      </c>
      <c r="AC290" s="1" t="n">
        <f aca="false">MIN($M290)</f>
        <v>1994333</v>
      </c>
      <c r="AD290" s="1" t="n">
        <f aca="false">MIN($N290)</f>
        <v>0.48</v>
      </c>
      <c r="AE290" s="1" t="n">
        <f aca="false">MIN($P290)</f>
        <v>8.87</v>
      </c>
      <c r="AF290" s="1" t="n">
        <f aca="false">MIN($Q290)</f>
        <v>0</v>
      </c>
      <c r="AG290" s="1" t="n">
        <f aca="false">MIN($R290)</f>
        <v>517413</v>
      </c>
      <c r="AH290" s="1" t="n">
        <f aca="false">MEDIAN($B290)</f>
        <v>19656</v>
      </c>
      <c r="AI290" s="1" t="n">
        <f aca="false">MEDIAN($C290)</f>
        <v>606</v>
      </c>
      <c r="AJ290" s="1" t="n">
        <f aca="false">MEDIAN($D290)</f>
        <v>498470</v>
      </c>
      <c r="AK290" s="1" t="n">
        <f aca="false">MEDIAN($E290)</f>
        <v>0</v>
      </c>
      <c r="AL290" s="1" t="n">
        <f aca="false">MEDIAN($F290)</f>
        <v>521</v>
      </c>
      <c r="AM290" s="1" t="n">
        <f aca="false">MEDIAN($G290)</f>
        <v>0</v>
      </c>
      <c r="AN290" s="1" t="n">
        <f aca="false">MEDIAN($H290)</f>
        <v>1</v>
      </c>
      <c r="AO290" s="1" t="n">
        <f aca="false">MEDIAN($I290)</f>
        <v>8.674</v>
      </c>
      <c r="AP290" s="1" t="n">
        <f aca="false">MEDIAN($J290)</f>
        <v>8.87</v>
      </c>
      <c r="AQ290" s="1" t="n">
        <f aca="false">MEDIAN($K290)</f>
        <v>5</v>
      </c>
      <c r="AR290" s="1" t="n">
        <f aca="false">MEDIAN($M290)</f>
        <v>1994333</v>
      </c>
      <c r="AS290" s="1" t="n">
        <f aca="false">MEDIAN($N290)</f>
        <v>0.48</v>
      </c>
      <c r="AT290" s="1" t="n">
        <f aca="false">MEDIAN($P290)</f>
        <v>8.87</v>
      </c>
      <c r="AU290" s="1" t="n">
        <f aca="false">MEDIAN($Q290)</f>
        <v>0</v>
      </c>
      <c r="AV290" s="1" t="n">
        <f aca="false">MEDIAN($R290)</f>
        <v>517413</v>
      </c>
      <c r="AW290" s="1" t="n">
        <f aca="false">MAX($B290)</f>
        <v>19656</v>
      </c>
      <c r="AX290" s="1" t="n">
        <f aca="false">MAX($C290)</f>
        <v>606</v>
      </c>
      <c r="AY290" s="1" t="n">
        <f aca="false">MAX($D290)</f>
        <v>498470</v>
      </c>
      <c r="AZ290" s="1" t="n">
        <f aca="false">MAX($E290)</f>
        <v>0</v>
      </c>
      <c r="BA290" s="1" t="n">
        <f aca="false">MAX($F290)</f>
        <v>521</v>
      </c>
      <c r="BB290" s="1" t="n">
        <f aca="false">MAX($G290)</f>
        <v>0</v>
      </c>
      <c r="BC290" s="1" t="n">
        <f aca="false">MAX($H290)</f>
        <v>1</v>
      </c>
      <c r="BD290" s="1" t="n">
        <f aca="false">MAX($I290)</f>
        <v>8.674</v>
      </c>
      <c r="BE290" s="1" t="n">
        <f aca="false">MAX($J290)</f>
        <v>8.87</v>
      </c>
      <c r="BF290" s="1" t="n">
        <f aca="false">MAX($K290)</f>
        <v>5</v>
      </c>
      <c r="BG290" s="1" t="n">
        <f aca="false">MAX($M290)</f>
        <v>1994333</v>
      </c>
      <c r="BH290" s="1" t="n">
        <f aca="false">MAX($N290)</f>
        <v>0.48</v>
      </c>
      <c r="BI290" s="1" t="n">
        <f aca="false">MAX($P290)</f>
        <v>8.87</v>
      </c>
      <c r="BJ290" s="1" t="n">
        <f aca="false">MAX($Q290)</f>
        <v>0</v>
      </c>
      <c r="BK290" s="1" t="n">
        <f aca="false">MAX($R290)</f>
        <v>517413</v>
      </c>
    </row>
    <row r="291" customFormat="false" ht="15" hidden="false" customHeight="false" outlineLevel="0" collapsed="false">
      <c r="A291" s="1" t="s">
        <v>308</v>
      </c>
      <c r="B291" s="1" t="n">
        <f aca="false" t="array" ref="B291:B291">_xlfn.SWITCH($A$2,"average", AVERAGE(Instances!B291:B291),"median", MEDIAN(Instances!B291:B291),"min", MIN(Instances!B291:B291),"max", MAX(Instances!B291:B291),"diff", MAX(Instances!B291:B291)-MIN(Instances!B291:B291))</f>
        <v>993</v>
      </c>
      <c r="C291" s="1" t="n">
        <f aca="false" t="array" ref="C291:C291">_xlfn.SWITCH($A$2,"average", AVERAGE(Instances!C291:C291),"median", MEDIAN(Instances!C291:C291),"min", MIN(Instances!C291:C291),"max", MAX(Instances!C291:C291),"diff", MAX(Instances!C291:C291)-MIN(Instances!C291:C291))</f>
        <v>0</v>
      </c>
      <c r="D291" s="1" t="n">
        <f aca="false" t="array" ref="D291:D291">_xlfn.SWITCH($A$2,"average", AVERAGE(Instances!D291:D291),"median", MEDIAN(Instances!D291:D291),"min", MIN(Instances!D291:D291),"max", MAX(Instances!D291:D291),"diff", MAX(Instances!D291:D291)-MIN(Instances!D291:D291))</f>
        <v>257545</v>
      </c>
      <c r="E291" s="1" t="n">
        <f aca="false" t="array" ref="E291:E291">_xlfn.SWITCH($A$2,"average", AVERAGE(Instances!E291:E291),"median", MEDIAN(Instances!E291:E291),"min", MIN(Instances!E291:E291),"max", MAX(Instances!E291:E291),"diff", MAX(Instances!E291:E291)-MIN(Instances!E291:E291))</f>
        <v>0</v>
      </c>
      <c r="F291" s="1" t="n">
        <f aca="false" t="array" ref="F291:F291">_xlfn.SWITCH($A$2,"average", AVERAGE(Instances!F291:F291),"median", MEDIAN(Instances!F291:F291),"min", MIN(Instances!F291:F291),"max", MAX(Instances!F291:F291),"diff", MAX(Instances!F291:F291)-MIN(Instances!F291:F291))</f>
        <v>340</v>
      </c>
      <c r="G291" s="1" t="n">
        <f aca="false" t="array" ref="G291:G291">_xlfn.SWITCH($A$2,"average", AVERAGE(Instances!G291:G291),"median", MEDIAN(Instances!G291:G291),"min", MIN(Instances!G291:G291),"max", MAX(Instances!G291:G291),"diff", MAX(Instances!G291:G291)-MIN(Instances!G291:G291))</f>
        <v>0</v>
      </c>
      <c r="H291" s="1" t="n">
        <f aca="false" t="array" ref="H291:H291">_xlfn.SWITCH($A$2,"average", AVERAGE(Instances!H291:H291),"median", MEDIAN(Instances!H291:H291),"min", MIN(Instances!H291:H291),"max", MAX(Instances!H291:H291),"diff", MAX(Instances!H291:H291)-MIN(Instances!H291:H291))</f>
        <v>1</v>
      </c>
      <c r="I291" s="1" t="n">
        <f aca="false" t="array" ref="I291:I291">_xlfn.SWITCH($A$2,"average", AVERAGE(Instances!I291:I291),"median", MEDIAN(Instances!I291:I291),"min", MIN(Instances!I291:I291),"max", MAX(Instances!I291:I291),"diff", MAX(Instances!I291:I291)-MIN(Instances!I291:I291))</f>
        <v>4.043</v>
      </c>
      <c r="J291" s="1" t="n">
        <f aca="false" t="array" ref="J291:J291">_xlfn.SWITCH($A$2,"average", AVERAGE(Instances!J291:J291),"median", MEDIAN(Instances!J291:J291),"min", MIN(Instances!J291:J291),"max", MAX(Instances!J291:J291),"diff", MAX(Instances!J291:J291)-MIN(Instances!J291:J291))</f>
        <v>4.17</v>
      </c>
      <c r="K291" s="1" t="n">
        <f aca="false" t="array" ref="K291:K291">_xlfn.SWITCH($A$2,"average", AVERAGE(Instances!K291:K291),"median", MEDIAN(Instances!K291:K291),"min", MIN(Instances!K291:K291),"max", MAX(Instances!K291:K291),"diff", MAX(Instances!K291:K291)-MIN(Instances!K291:K291))</f>
        <v>0</v>
      </c>
      <c r="L291" s="1"/>
      <c r="M291" s="1" t="n">
        <f aca="false" t="array" ref="M291:M291">_xlfn.SWITCH($A$2,"average", AVERAGE(Instances!M291:M291),"median", MEDIAN(Instances!M291:M291),"min", MIN(Instances!M291:M291),"max", MAX(Instances!M291:M291),"diff", MAX(Instances!M291:M291)-MIN(Instances!M291:M291))</f>
        <v>900405</v>
      </c>
      <c r="N291" s="1" t="n">
        <f aca="false" t="array" ref="N291:N291">_xlfn.SWITCH($A$2,"average", AVERAGE(Instances!N291:N291),"median", MEDIAN(Instances!N291:N291),"min", MIN(Instances!N291:N291),"max", MAX(Instances!N291:N291),"diff", MAX(Instances!N291:N291)-MIN(Instances!N291:N291))</f>
        <v>0.02</v>
      </c>
      <c r="O291" s="1"/>
      <c r="P291" s="1" t="n">
        <f aca="false" t="array" ref="P291:P291">_xlfn.SWITCH($A$2,"average", AVERAGE(Instances!P291:P291),"median", MEDIAN(Instances!P291:P291),"min", MIN(Instances!P291:P291),"max", MAX(Instances!P291:P291),"diff", MAX(Instances!P291:P291)-MIN(Instances!P291:P291))</f>
        <v>4.17</v>
      </c>
      <c r="Q291" s="1" t="n">
        <f aca="false" t="array" ref="Q291:Q291">_xlfn.SWITCH($A$2,"average", AVERAGE(Instances!Q291:Q291),"median", MEDIAN(Instances!Q291:Q291),"min", MIN(Instances!Q291:Q291),"max", MAX(Instances!Q291:Q291),"diff", MAX(Instances!Q291:Q291)-MIN(Instances!Q291:Q291))</f>
        <v>0</v>
      </c>
      <c r="R291" s="1" t="n">
        <f aca="false" t="array" ref="R291:R291">_xlfn.SWITCH($A$2,"average", AVERAGE(Instances!R291:R291),"median", MEDIAN(Instances!R291:R291),"min", MIN(Instances!R291:R291),"max", MAX(Instances!R291:R291),"diff", MAX(Instances!R291:R291)-MIN(Instances!R291:R291))</f>
        <v>329775</v>
      </c>
      <c r="S291" s="1" t="n">
        <f aca="false">MIN($B291)</f>
        <v>993</v>
      </c>
      <c r="T291" s="1" t="n">
        <f aca="false">MIN($C291)</f>
        <v>0</v>
      </c>
      <c r="U291" s="1" t="n">
        <f aca="false">MIN($D291)</f>
        <v>257545</v>
      </c>
      <c r="V291" s="1" t="n">
        <f aca="false">MIN($E291)</f>
        <v>0</v>
      </c>
      <c r="W291" s="1" t="n">
        <f aca="false">MIN($F291)</f>
        <v>340</v>
      </c>
      <c r="X291" s="1" t="n">
        <f aca="false">MIN($G291)</f>
        <v>0</v>
      </c>
      <c r="Y291" s="1" t="n">
        <f aca="false">MIN($H291)</f>
        <v>1</v>
      </c>
      <c r="Z291" s="1" t="n">
        <f aca="false">MIN($I291)</f>
        <v>4.043</v>
      </c>
      <c r="AA291" s="1" t="n">
        <f aca="false">MIN($J291)</f>
        <v>4.17</v>
      </c>
      <c r="AB291" s="1" t="n">
        <f aca="false">MIN($K291)</f>
        <v>0</v>
      </c>
      <c r="AC291" s="1" t="n">
        <f aca="false">MIN($M291)</f>
        <v>900405</v>
      </c>
      <c r="AD291" s="1" t="n">
        <f aca="false">MIN($N291)</f>
        <v>0.02</v>
      </c>
      <c r="AE291" s="1" t="n">
        <f aca="false">MIN($P291)</f>
        <v>4.17</v>
      </c>
      <c r="AF291" s="1" t="n">
        <f aca="false">MIN($Q291)</f>
        <v>0</v>
      </c>
      <c r="AG291" s="1" t="n">
        <f aca="false">MIN($R291)</f>
        <v>329775</v>
      </c>
      <c r="AH291" s="1" t="n">
        <f aca="false">MEDIAN($B291)</f>
        <v>993</v>
      </c>
      <c r="AI291" s="1" t="n">
        <f aca="false">MEDIAN($C291)</f>
        <v>0</v>
      </c>
      <c r="AJ291" s="1" t="n">
        <f aca="false">MEDIAN($D291)</f>
        <v>257545</v>
      </c>
      <c r="AK291" s="1" t="n">
        <f aca="false">MEDIAN($E291)</f>
        <v>0</v>
      </c>
      <c r="AL291" s="1" t="n">
        <f aca="false">MEDIAN($F291)</f>
        <v>340</v>
      </c>
      <c r="AM291" s="1" t="n">
        <f aca="false">MEDIAN($G291)</f>
        <v>0</v>
      </c>
      <c r="AN291" s="1" t="n">
        <f aca="false">MEDIAN($H291)</f>
        <v>1</v>
      </c>
      <c r="AO291" s="1" t="n">
        <f aca="false">MEDIAN($I291)</f>
        <v>4.043</v>
      </c>
      <c r="AP291" s="1" t="n">
        <f aca="false">MEDIAN($J291)</f>
        <v>4.17</v>
      </c>
      <c r="AQ291" s="1" t="n">
        <f aca="false">MEDIAN($K291)</f>
        <v>0</v>
      </c>
      <c r="AR291" s="1" t="n">
        <f aca="false">MEDIAN($M291)</f>
        <v>900405</v>
      </c>
      <c r="AS291" s="1" t="n">
        <f aca="false">MEDIAN($N291)</f>
        <v>0.02</v>
      </c>
      <c r="AT291" s="1" t="n">
        <f aca="false">MEDIAN($P291)</f>
        <v>4.17</v>
      </c>
      <c r="AU291" s="1" t="n">
        <f aca="false">MEDIAN($Q291)</f>
        <v>0</v>
      </c>
      <c r="AV291" s="1" t="n">
        <f aca="false">MEDIAN($R291)</f>
        <v>329775</v>
      </c>
      <c r="AW291" s="1" t="n">
        <f aca="false">MAX($B291)</f>
        <v>993</v>
      </c>
      <c r="AX291" s="1" t="n">
        <f aca="false">MAX($C291)</f>
        <v>0</v>
      </c>
      <c r="AY291" s="1" t="n">
        <f aca="false">MAX($D291)</f>
        <v>257545</v>
      </c>
      <c r="AZ291" s="1" t="n">
        <f aca="false">MAX($E291)</f>
        <v>0</v>
      </c>
      <c r="BA291" s="1" t="n">
        <f aca="false">MAX($F291)</f>
        <v>340</v>
      </c>
      <c r="BB291" s="1" t="n">
        <f aca="false">MAX($G291)</f>
        <v>0</v>
      </c>
      <c r="BC291" s="1" t="n">
        <f aca="false">MAX($H291)</f>
        <v>1</v>
      </c>
      <c r="BD291" s="1" t="n">
        <f aca="false">MAX($I291)</f>
        <v>4.043</v>
      </c>
      <c r="BE291" s="1" t="n">
        <f aca="false">MAX($J291)</f>
        <v>4.17</v>
      </c>
      <c r="BF291" s="1" t="n">
        <f aca="false">MAX($K291)</f>
        <v>0</v>
      </c>
      <c r="BG291" s="1" t="n">
        <f aca="false">MAX($M291)</f>
        <v>900405</v>
      </c>
      <c r="BH291" s="1" t="n">
        <f aca="false">MAX($N291)</f>
        <v>0.02</v>
      </c>
      <c r="BI291" s="1" t="n">
        <f aca="false">MAX($P291)</f>
        <v>4.17</v>
      </c>
      <c r="BJ291" s="1" t="n">
        <f aca="false">MAX($Q291)</f>
        <v>0</v>
      </c>
      <c r="BK291" s="1" t="n">
        <f aca="false">MAX($R291)</f>
        <v>329775</v>
      </c>
    </row>
    <row r="292" customFormat="false" ht="15" hidden="false" customHeight="false" outlineLevel="0" collapsed="false">
      <c r="A292" s="1" t="s">
        <v>309</v>
      </c>
      <c r="B292" s="1" t="n">
        <f aca="false" t="array" ref="B292:B292">_xlfn.SWITCH($A$2,"average", AVERAGE(Instances!B292:B292),"median", MEDIAN(Instances!B292:B292),"min", MIN(Instances!B292:B292),"max", MAX(Instances!B292:B292),"diff", MAX(Instances!B292:B292)-MIN(Instances!B292:B292))</f>
        <v>497</v>
      </c>
      <c r="C292" s="1" t="n">
        <f aca="false" t="array" ref="C292:C292">_xlfn.SWITCH($A$2,"average", AVERAGE(Instances!C292:C292),"median", MEDIAN(Instances!C292:C292),"min", MIN(Instances!C292:C292),"max", MAX(Instances!C292:C292),"diff", MAX(Instances!C292:C292)-MIN(Instances!C292:C292))</f>
        <v>0</v>
      </c>
      <c r="D292" s="1" t="n">
        <f aca="false" t="array" ref="D292:D292">_xlfn.SWITCH($A$2,"average", AVERAGE(Instances!D292:D292),"median", MEDIAN(Instances!D292:D292),"min", MIN(Instances!D292:D292),"max", MAX(Instances!D292:D292),"diff", MAX(Instances!D292:D292)-MIN(Instances!D292:D292))</f>
        <v>98147</v>
      </c>
      <c r="E292" s="1" t="n">
        <f aca="false" t="array" ref="E292:E292">_xlfn.SWITCH($A$2,"average", AVERAGE(Instances!E292:E292),"median", MEDIAN(Instances!E292:E292),"min", MIN(Instances!E292:E292),"max", MAX(Instances!E292:E292),"diff", MAX(Instances!E292:E292)-MIN(Instances!E292:E292))</f>
        <v>0</v>
      </c>
      <c r="F292" s="1" t="n">
        <f aca="false" t="array" ref="F292:F292">_xlfn.SWITCH($A$2,"average", AVERAGE(Instances!F292:F292),"median", MEDIAN(Instances!F292:F292),"min", MIN(Instances!F292:F292),"max", MAX(Instances!F292:F292),"diff", MAX(Instances!F292:F292)-MIN(Instances!F292:F292))</f>
        <v>197</v>
      </c>
      <c r="G292" s="1" t="n">
        <f aca="false" t="array" ref="G292:G292">_xlfn.SWITCH($A$2,"average", AVERAGE(Instances!G292:G292),"median", MEDIAN(Instances!G292:G292),"min", MIN(Instances!G292:G292),"max", MAX(Instances!G292:G292),"diff", MAX(Instances!G292:G292)-MIN(Instances!G292:G292))</f>
        <v>0</v>
      </c>
      <c r="H292" s="1" t="n">
        <f aca="false" t="array" ref="H292:H292">_xlfn.SWITCH($A$2,"average", AVERAGE(Instances!H292:H292),"median", MEDIAN(Instances!H292:H292),"min", MIN(Instances!H292:H292),"max", MAX(Instances!H292:H292),"diff", MAX(Instances!H292:H292)-MIN(Instances!H292:H292))</f>
        <v>1</v>
      </c>
      <c r="I292" s="1" t="n">
        <f aca="false" t="array" ref="I292:I292">_xlfn.SWITCH($A$2,"average", AVERAGE(Instances!I292:I292),"median", MEDIAN(Instances!I292:I292),"min", MIN(Instances!I292:I292),"max", MAX(Instances!I292:I292),"diff", MAX(Instances!I292:I292)-MIN(Instances!I292:I292))</f>
        <v>2.44</v>
      </c>
      <c r="J292" s="1" t="n">
        <f aca="false" t="array" ref="J292:J292">_xlfn.SWITCH($A$2,"average", AVERAGE(Instances!J292:J292),"median", MEDIAN(Instances!J292:J292),"min", MIN(Instances!J292:J292),"max", MAX(Instances!J292:J292),"diff", MAX(Instances!J292:J292)-MIN(Instances!J292:J292))</f>
        <v>2.51</v>
      </c>
      <c r="K292" s="1" t="n">
        <f aca="false" t="array" ref="K292:K292">_xlfn.SWITCH($A$2,"average", AVERAGE(Instances!K292:K292),"median", MEDIAN(Instances!K292:K292),"min", MIN(Instances!K292:K292),"max", MAX(Instances!K292:K292),"diff", MAX(Instances!K292:K292)-MIN(Instances!K292:K292))</f>
        <v>0</v>
      </c>
      <c r="L292" s="1"/>
      <c r="M292" s="1" t="n">
        <f aca="false" t="array" ref="M292:M292">_xlfn.SWITCH($A$2,"average", AVERAGE(Instances!M292:M292),"median", MEDIAN(Instances!M292:M292),"min", MIN(Instances!M292:M292),"max", MAX(Instances!M292:M292),"diff", MAX(Instances!M292:M292)-MIN(Instances!M292:M292))</f>
        <v>522817</v>
      </c>
      <c r="N292" s="1" t="n">
        <f aca="false" t="array" ref="N292:N292">_xlfn.SWITCH($A$2,"average", AVERAGE(Instances!N292:N292),"median", MEDIAN(Instances!N292:N292),"min", MIN(Instances!N292:N292),"max", MAX(Instances!N292:N292),"diff", MAX(Instances!N292:N292)-MIN(Instances!N292:N292))</f>
        <v>0.01</v>
      </c>
      <c r="O292" s="1"/>
      <c r="P292" s="1" t="n">
        <f aca="false" t="array" ref="P292:P292">_xlfn.SWITCH($A$2,"average", AVERAGE(Instances!P292:P292),"median", MEDIAN(Instances!P292:P292),"min", MIN(Instances!P292:P292),"max", MAX(Instances!P292:P292),"diff", MAX(Instances!P292:P292)-MIN(Instances!P292:P292))</f>
        <v>2.51</v>
      </c>
      <c r="Q292" s="1" t="n">
        <f aca="false" t="array" ref="Q292:Q292">_xlfn.SWITCH($A$2,"average", AVERAGE(Instances!Q292:Q292),"median", MEDIAN(Instances!Q292:Q292),"min", MIN(Instances!Q292:Q292),"max", MAX(Instances!Q292:Q292),"diff", MAX(Instances!Q292:Q292)-MIN(Instances!Q292:Q292))</f>
        <v>0</v>
      </c>
      <c r="R292" s="1" t="n">
        <f aca="false" t="array" ref="R292:R292">_xlfn.SWITCH($A$2,"average", AVERAGE(Instances!R292:R292),"median", MEDIAN(Instances!R292:R292),"min", MIN(Instances!R292:R292),"max", MAX(Instances!R292:R292),"diff", MAX(Instances!R292:R292)-MIN(Instances!R292:R292))</f>
        <v>192348</v>
      </c>
      <c r="S292" s="1" t="n">
        <f aca="false">MIN($B292)</f>
        <v>497</v>
      </c>
      <c r="T292" s="1" t="n">
        <f aca="false">MIN($C292)</f>
        <v>0</v>
      </c>
      <c r="U292" s="1" t="n">
        <f aca="false">MIN($D292)</f>
        <v>98147</v>
      </c>
      <c r="V292" s="1" t="n">
        <f aca="false">MIN($E292)</f>
        <v>0</v>
      </c>
      <c r="W292" s="1" t="n">
        <f aca="false">MIN($F292)</f>
        <v>197</v>
      </c>
      <c r="X292" s="1" t="n">
        <f aca="false">MIN($G292)</f>
        <v>0</v>
      </c>
      <c r="Y292" s="1" t="n">
        <f aca="false">MIN($H292)</f>
        <v>1</v>
      </c>
      <c r="Z292" s="1" t="n">
        <f aca="false">MIN($I292)</f>
        <v>2.44</v>
      </c>
      <c r="AA292" s="1" t="n">
        <f aca="false">MIN($J292)</f>
        <v>2.51</v>
      </c>
      <c r="AB292" s="1" t="n">
        <f aca="false">MIN($K292)</f>
        <v>0</v>
      </c>
      <c r="AC292" s="1" t="n">
        <f aca="false">MIN($M292)</f>
        <v>522817</v>
      </c>
      <c r="AD292" s="1" t="n">
        <f aca="false">MIN($N292)</f>
        <v>0.01</v>
      </c>
      <c r="AE292" s="1" t="n">
        <f aca="false">MIN($P292)</f>
        <v>2.51</v>
      </c>
      <c r="AF292" s="1" t="n">
        <f aca="false">MIN($Q292)</f>
        <v>0</v>
      </c>
      <c r="AG292" s="1" t="n">
        <f aca="false">MIN($R292)</f>
        <v>192348</v>
      </c>
      <c r="AH292" s="1" t="n">
        <f aca="false">MEDIAN($B292)</f>
        <v>497</v>
      </c>
      <c r="AI292" s="1" t="n">
        <f aca="false">MEDIAN($C292)</f>
        <v>0</v>
      </c>
      <c r="AJ292" s="1" t="n">
        <f aca="false">MEDIAN($D292)</f>
        <v>98147</v>
      </c>
      <c r="AK292" s="1" t="n">
        <f aca="false">MEDIAN($E292)</f>
        <v>0</v>
      </c>
      <c r="AL292" s="1" t="n">
        <f aca="false">MEDIAN($F292)</f>
        <v>197</v>
      </c>
      <c r="AM292" s="1" t="n">
        <f aca="false">MEDIAN($G292)</f>
        <v>0</v>
      </c>
      <c r="AN292" s="1" t="n">
        <f aca="false">MEDIAN($H292)</f>
        <v>1</v>
      </c>
      <c r="AO292" s="1" t="n">
        <f aca="false">MEDIAN($I292)</f>
        <v>2.44</v>
      </c>
      <c r="AP292" s="1" t="n">
        <f aca="false">MEDIAN($J292)</f>
        <v>2.51</v>
      </c>
      <c r="AQ292" s="1" t="n">
        <f aca="false">MEDIAN($K292)</f>
        <v>0</v>
      </c>
      <c r="AR292" s="1" t="n">
        <f aca="false">MEDIAN($M292)</f>
        <v>522817</v>
      </c>
      <c r="AS292" s="1" t="n">
        <f aca="false">MEDIAN($N292)</f>
        <v>0.01</v>
      </c>
      <c r="AT292" s="1" t="n">
        <f aca="false">MEDIAN($P292)</f>
        <v>2.51</v>
      </c>
      <c r="AU292" s="1" t="n">
        <f aca="false">MEDIAN($Q292)</f>
        <v>0</v>
      </c>
      <c r="AV292" s="1" t="n">
        <f aca="false">MEDIAN($R292)</f>
        <v>192348</v>
      </c>
      <c r="AW292" s="1" t="n">
        <f aca="false">MAX($B292)</f>
        <v>497</v>
      </c>
      <c r="AX292" s="1" t="n">
        <f aca="false">MAX($C292)</f>
        <v>0</v>
      </c>
      <c r="AY292" s="1" t="n">
        <f aca="false">MAX($D292)</f>
        <v>98147</v>
      </c>
      <c r="AZ292" s="1" t="n">
        <f aca="false">MAX($E292)</f>
        <v>0</v>
      </c>
      <c r="BA292" s="1" t="n">
        <f aca="false">MAX($F292)</f>
        <v>197</v>
      </c>
      <c r="BB292" s="1" t="n">
        <f aca="false">MAX($G292)</f>
        <v>0</v>
      </c>
      <c r="BC292" s="1" t="n">
        <f aca="false">MAX($H292)</f>
        <v>1</v>
      </c>
      <c r="BD292" s="1" t="n">
        <f aca="false">MAX($I292)</f>
        <v>2.44</v>
      </c>
      <c r="BE292" s="1" t="n">
        <f aca="false">MAX($J292)</f>
        <v>2.51</v>
      </c>
      <c r="BF292" s="1" t="n">
        <f aca="false">MAX($K292)</f>
        <v>0</v>
      </c>
      <c r="BG292" s="1" t="n">
        <f aca="false">MAX($M292)</f>
        <v>522817</v>
      </c>
      <c r="BH292" s="1" t="n">
        <f aca="false">MAX($N292)</f>
        <v>0.01</v>
      </c>
      <c r="BI292" s="1" t="n">
        <f aca="false">MAX($P292)</f>
        <v>2.51</v>
      </c>
      <c r="BJ292" s="1" t="n">
        <f aca="false">MAX($Q292)</f>
        <v>0</v>
      </c>
      <c r="BK292" s="1" t="n">
        <f aca="false">MAX($R292)</f>
        <v>192348</v>
      </c>
    </row>
    <row r="293" customFormat="false" ht="15" hidden="false" customHeight="false" outlineLevel="0" collapsed="false">
      <c r="A293" s="1" t="s">
        <v>310</v>
      </c>
      <c r="B293" s="1" t="n">
        <f aca="false" t="array" ref="B293:B293">_xlfn.SWITCH($A$2,"average", AVERAGE(Instances!B293:B293),"median", MEDIAN(Instances!B293:B293),"min", MIN(Instances!B293:B293),"max", MAX(Instances!B293:B293),"diff", MAX(Instances!B293:B293)-MIN(Instances!B293:B293))</f>
        <v>2128</v>
      </c>
      <c r="C293" s="1" t="n">
        <f aca="false" t="array" ref="C293:C293">_xlfn.SWITCH($A$2,"average", AVERAGE(Instances!C293:C293),"median", MEDIAN(Instances!C293:C293),"min", MIN(Instances!C293:C293),"max", MAX(Instances!C293:C293),"diff", MAX(Instances!C293:C293)-MIN(Instances!C293:C293))</f>
        <v>0</v>
      </c>
      <c r="D293" s="1" t="n">
        <f aca="false" t="array" ref="D293:D293">_xlfn.SWITCH($A$2,"average", AVERAGE(Instances!D293:D293),"median", MEDIAN(Instances!D293:D293),"min", MIN(Instances!D293:D293),"max", MAX(Instances!D293:D293),"diff", MAX(Instances!D293:D293)-MIN(Instances!D293:D293))</f>
        <v>361941</v>
      </c>
      <c r="E293" s="1" t="n">
        <f aca="false" t="array" ref="E293:E293">_xlfn.SWITCH($A$2,"average", AVERAGE(Instances!E293:E293),"median", MEDIAN(Instances!E293:E293),"min", MIN(Instances!E293:E293),"max", MAX(Instances!E293:E293),"diff", MAX(Instances!E293:E293)-MIN(Instances!E293:E293))</f>
        <v>0</v>
      </c>
      <c r="F293" s="1" t="n">
        <f aca="false" t="array" ref="F293:F293">_xlfn.SWITCH($A$2,"average", AVERAGE(Instances!F293:F293),"median", MEDIAN(Instances!F293:F293),"min", MIN(Instances!F293:F293),"max", MAX(Instances!F293:F293),"diff", MAX(Instances!F293:F293)-MIN(Instances!F293:F293))</f>
        <v>355</v>
      </c>
      <c r="G293" s="1" t="n">
        <f aca="false" t="array" ref="G293:G293">_xlfn.SWITCH($A$2,"average", AVERAGE(Instances!G293:G293),"median", MEDIAN(Instances!G293:G293),"min", MIN(Instances!G293:G293),"max", MAX(Instances!G293:G293),"diff", MAX(Instances!G293:G293)-MIN(Instances!G293:G293))</f>
        <v>0</v>
      </c>
      <c r="H293" s="1" t="n">
        <f aca="false" t="array" ref="H293:H293">_xlfn.SWITCH($A$2,"average", AVERAGE(Instances!H293:H293),"median", MEDIAN(Instances!H293:H293),"min", MIN(Instances!H293:H293),"max", MAX(Instances!H293:H293),"diff", MAX(Instances!H293:H293)-MIN(Instances!H293:H293))</f>
        <v>1</v>
      </c>
      <c r="I293" s="1" t="n">
        <f aca="false" t="array" ref="I293:I293">_xlfn.SWITCH($A$2,"average", AVERAGE(Instances!I293:I293),"median", MEDIAN(Instances!I293:I293),"min", MIN(Instances!I293:I293),"max", MAX(Instances!I293:I293),"diff", MAX(Instances!I293:I293)-MIN(Instances!I293:I293))</f>
        <v>4.418</v>
      </c>
      <c r="J293" s="1" t="n">
        <f aca="false" t="array" ref="J293:J293">_xlfn.SWITCH($A$2,"average", AVERAGE(Instances!J293:J293),"median", MEDIAN(Instances!J293:J293),"min", MIN(Instances!J293:J293),"max", MAX(Instances!J293:J293),"diff", MAX(Instances!J293:J293)-MIN(Instances!J293:J293))</f>
        <v>4.55</v>
      </c>
      <c r="K293" s="1" t="n">
        <f aca="false" t="array" ref="K293:K293">_xlfn.SWITCH($A$2,"average", AVERAGE(Instances!K293:K293),"median", MEDIAN(Instances!K293:K293),"min", MIN(Instances!K293:K293),"max", MAX(Instances!K293:K293),"diff", MAX(Instances!K293:K293)-MIN(Instances!K293:K293))</f>
        <v>0</v>
      </c>
      <c r="L293" s="1"/>
      <c r="M293" s="1" t="n">
        <f aca="false" t="array" ref="M293:M293">_xlfn.SWITCH($A$2,"average", AVERAGE(Instances!M293:M293),"median", MEDIAN(Instances!M293:M293),"min", MIN(Instances!M293:M293),"max", MAX(Instances!M293:M293),"diff", MAX(Instances!M293:M293)-MIN(Instances!M293:M293))</f>
        <v>989712</v>
      </c>
      <c r="N293" s="1" t="n">
        <f aca="false" t="array" ref="N293:N293">_xlfn.SWITCH($A$2,"average", AVERAGE(Instances!N293:N293),"median", MEDIAN(Instances!N293:N293),"min", MIN(Instances!N293:N293),"max", MAX(Instances!N293:N293),"diff", MAX(Instances!N293:N293)-MIN(Instances!N293:N293))</f>
        <v>0.03</v>
      </c>
      <c r="O293" s="1"/>
      <c r="P293" s="1" t="n">
        <f aca="false" t="array" ref="P293:P293">_xlfn.SWITCH($A$2,"average", AVERAGE(Instances!P293:P293),"median", MEDIAN(Instances!P293:P293),"min", MIN(Instances!P293:P293),"max", MAX(Instances!P293:P293),"diff", MAX(Instances!P293:P293)-MIN(Instances!P293:P293))</f>
        <v>4.55</v>
      </c>
      <c r="Q293" s="1" t="n">
        <f aca="false" t="array" ref="Q293:Q293">_xlfn.SWITCH($A$2,"average", AVERAGE(Instances!Q293:Q293),"median", MEDIAN(Instances!Q293:Q293),"min", MIN(Instances!Q293:Q293),"max", MAX(Instances!Q293:Q293),"diff", MAX(Instances!Q293:Q293)-MIN(Instances!Q293:Q293))</f>
        <v>0</v>
      </c>
      <c r="R293" s="1" t="n">
        <f aca="false" t="array" ref="R293:R293">_xlfn.SWITCH($A$2,"average", AVERAGE(Instances!R293:R293),"median", MEDIAN(Instances!R293:R293),"min", MIN(Instances!R293:R293),"max", MAX(Instances!R293:R293),"diff", MAX(Instances!R293:R293)-MIN(Instances!R293:R293))</f>
        <v>350919</v>
      </c>
      <c r="S293" s="1" t="n">
        <f aca="false">MIN($B293)</f>
        <v>2128</v>
      </c>
      <c r="T293" s="1" t="n">
        <f aca="false">MIN($C293)</f>
        <v>0</v>
      </c>
      <c r="U293" s="1" t="n">
        <f aca="false">MIN($D293)</f>
        <v>361941</v>
      </c>
      <c r="V293" s="1" t="n">
        <f aca="false">MIN($E293)</f>
        <v>0</v>
      </c>
      <c r="W293" s="1" t="n">
        <f aca="false">MIN($F293)</f>
        <v>355</v>
      </c>
      <c r="X293" s="1" t="n">
        <f aca="false">MIN($G293)</f>
        <v>0</v>
      </c>
      <c r="Y293" s="1" t="n">
        <f aca="false">MIN($H293)</f>
        <v>1</v>
      </c>
      <c r="Z293" s="1" t="n">
        <f aca="false">MIN($I293)</f>
        <v>4.418</v>
      </c>
      <c r="AA293" s="1" t="n">
        <f aca="false">MIN($J293)</f>
        <v>4.55</v>
      </c>
      <c r="AB293" s="1" t="n">
        <f aca="false">MIN($K293)</f>
        <v>0</v>
      </c>
      <c r="AC293" s="1" t="n">
        <f aca="false">MIN($M293)</f>
        <v>989712</v>
      </c>
      <c r="AD293" s="1" t="n">
        <f aca="false">MIN($N293)</f>
        <v>0.03</v>
      </c>
      <c r="AE293" s="1" t="n">
        <f aca="false">MIN($P293)</f>
        <v>4.55</v>
      </c>
      <c r="AF293" s="1" t="n">
        <f aca="false">MIN($Q293)</f>
        <v>0</v>
      </c>
      <c r="AG293" s="1" t="n">
        <f aca="false">MIN($R293)</f>
        <v>350919</v>
      </c>
      <c r="AH293" s="1" t="n">
        <f aca="false">MEDIAN($B293)</f>
        <v>2128</v>
      </c>
      <c r="AI293" s="1" t="n">
        <f aca="false">MEDIAN($C293)</f>
        <v>0</v>
      </c>
      <c r="AJ293" s="1" t="n">
        <f aca="false">MEDIAN($D293)</f>
        <v>361941</v>
      </c>
      <c r="AK293" s="1" t="n">
        <f aca="false">MEDIAN($E293)</f>
        <v>0</v>
      </c>
      <c r="AL293" s="1" t="n">
        <f aca="false">MEDIAN($F293)</f>
        <v>355</v>
      </c>
      <c r="AM293" s="1" t="n">
        <f aca="false">MEDIAN($G293)</f>
        <v>0</v>
      </c>
      <c r="AN293" s="1" t="n">
        <f aca="false">MEDIAN($H293)</f>
        <v>1</v>
      </c>
      <c r="AO293" s="1" t="n">
        <f aca="false">MEDIAN($I293)</f>
        <v>4.418</v>
      </c>
      <c r="AP293" s="1" t="n">
        <f aca="false">MEDIAN($J293)</f>
        <v>4.55</v>
      </c>
      <c r="AQ293" s="1" t="n">
        <f aca="false">MEDIAN($K293)</f>
        <v>0</v>
      </c>
      <c r="AR293" s="1" t="n">
        <f aca="false">MEDIAN($M293)</f>
        <v>989712</v>
      </c>
      <c r="AS293" s="1" t="n">
        <f aca="false">MEDIAN($N293)</f>
        <v>0.03</v>
      </c>
      <c r="AT293" s="1" t="n">
        <f aca="false">MEDIAN($P293)</f>
        <v>4.55</v>
      </c>
      <c r="AU293" s="1" t="n">
        <f aca="false">MEDIAN($Q293)</f>
        <v>0</v>
      </c>
      <c r="AV293" s="1" t="n">
        <f aca="false">MEDIAN($R293)</f>
        <v>350919</v>
      </c>
      <c r="AW293" s="1" t="n">
        <f aca="false">MAX($B293)</f>
        <v>2128</v>
      </c>
      <c r="AX293" s="1" t="n">
        <f aca="false">MAX($C293)</f>
        <v>0</v>
      </c>
      <c r="AY293" s="1" t="n">
        <f aca="false">MAX($D293)</f>
        <v>361941</v>
      </c>
      <c r="AZ293" s="1" t="n">
        <f aca="false">MAX($E293)</f>
        <v>0</v>
      </c>
      <c r="BA293" s="1" t="n">
        <f aca="false">MAX($F293)</f>
        <v>355</v>
      </c>
      <c r="BB293" s="1" t="n">
        <f aca="false">MAX($G293)</f>
        <v>0</v>
      </c>
      <c r="BC293" s="1" t="n">
        <f aca="false">MAX($H293)</f>
        <v>1</v>
      </c>
      <c r="BD293" s="1" t="n">
        <f aca="false">MAX($I293)</f>
        <v>4.418</v>
      </c>
      <c r="BE293" s="1" t="n">
        <f aca="false">MAX($J293)</f>
        <v>4.55</v>
      </c>
      <c r="BF293" s="1" t="n">
        <f aca="false">MAX($K293)</f>
        <v>0</v>
      </c>
      <c r="BG293" s="1" t="n">
        <f aca="false">MAX($M293)</f>
        <v>989712</v>
      </c>
      <c r="BH293" s="1" t="n">
        <f aca="false">MAX($N293)</f>
        <v>0.03</v>
      </c>
      <c r="BI293" s="1" t="n">
        <f aca="false">MAX($P293)</f>
        <v>4.55</v>
      </c>
      <c r="BJ293" s="1" t="n">
        <f aca="false">MAX($Q293)</f>
        <v>0</v>
      </c>
      <c r="BK293" s="1" t="n">
        <f aca="false">MAX($R293)</f>
        <v>350919</v>
      </c>
    </row>
    <row r="294" customFormat="false" ht="15" hidden="false" customHeight="false" outlineLevel="0" collapsed="false">
      <c r="A294" s="1" t="s">
        <v>311</v>
      </c>
      <c r="B294" s="1" t="n">
        <f aca="false" t="array" ref="B294:B294">_xlfn.SWITCH($A$2,"average", AVERAGE(Instances!B294:B294),"median", MEDIAN(Instances!B294:B294),"min", MIN(Instances!B294:B294),"max", MAX(Instances!B294:B294),"diff", MAX(Instances!B294:B294)-MIN(Instances!B294:B294))</f>
        <v>1041</v>
      </c>
      <c r="C294" s="1" t="n">
        <f aca="false" t="array" ref="C294:C294">_xlfn.SWITCH($A$2,"average", AVERAGE(Instances!C294:C294),"median", MEDIAN(Instances!C294:C294),"min", MIN(Instances!C294:C294),"max", MAX(Instances!C294:C294),"diff", MAX(Instances!C294:C294)-MIN(Instances!C294:C294))</f>
        <v>0</v>
      </c>
      <c r="D294" s="1" t="n">
        <f aca="false" t="array" ref="D294:D294">_xlfn.SWITCH($A$2,"average", AVERAGE(Instances!D294:D294),"median", MEDIAN(Instances!D294:D294),"min", MIN(Instances!D294:D294),"max", MAX(Instances!D294:D294),"diff", MAX(Instances!D294:D294)-MIN(Instances!D294:D294))</f>
        <v>533077</v>
      </c>
      <c r="E294" s="1" t="n">
        <f aca="false" t="array" ref="E294:E294">_xlfn.SWITCH($A$2,"average", AVERAGE(Instances!E294:E294),"median", MEDIAN(Instances!E294:E294),"min", MIN(Instances!E294:E294),"max", MAX(Instances!E294:E294),"diff", MAX(Instances!E294:E294)-MIN(Instances!E294:E294))</f>
        <v>0</v>
      </c>
      <c r="F294" s="1" t="n">
        <f aca="false" t="array" ref="F294:F294">_xlfn.SWITCH($A$2,"average", AVERAGE(Instances!F294:F294),"median", MEDIAN(Instances!F294:F294),"min", MIN(Instances!F294:F294),"max", MAX(Instances!F294:F294),"diff", MAX(Instances!F294:F294)-MIN(Instances!F294:F294))</f>
        <v>355</v>
      </c>
      <c r="G294" s="1" t="n">
        <f aca="false" t="array" ref="G294:G294">_xlfn.SWITCH($A$2,"average", AVERAGE(Instances!G294:G294),"median", MEDIAN(Instances!G294:G294),"min", MIN(Instances!G294:G294),"max", MAX(Instances!G294:G294),"diff", MAX(Instances!G294:G294)-MIN(Instances!G294:G294))</f>
        <v>0</v>
      </c>
      <c r="H294" s="1" t="n">
        <f aca="false" t="array" ref="H294:H294">_xlfn.SWITCH($A$2,"average", AVERAGE(Instances!H294:H294),"median", MEDIAN(Instances!H294:H294),"min", MIN(Instances!H294:H294),"max", MAX(Instances!H294:H294),"diff", MAX(Instances!H294:H294)-MIN(Instances!H294:H294))</f>
        <v>1</v>
      </c>
      <c r="I294" s="1" t="n">
        <f aca="false" t="array" ref="I294:I294">_xlfn.SWITCH($A$2,"average", AVERAGE(Instances!I294:I294),"median", MEDIAN(Instances!I294:I294),"min", MIN(Instances!I294:I294),"max", MAX(Instances!I294:I294),"diff", MAX(Instances!I294:I294)-MIN(Instances!I294:I294))</f>
        <v>4.272</v>
      </c>
      <c r="J294" s="1" t="n">
        <f aca="false" t="array" ref="J294:J294">_xlfn.SWITCH($A$2,"average", AVERAGE(Instances!J294:J294),"median", MEDIAN(Instances!J294:J294),"min", MIN(Instances!J294:J294),"max", MAX(Instances!J294:J294),"diff", MAX(Instances!J294:J294)-MIN(Instances!J294:J294))</f>
        <v>4.4</v>
      </c>
      <c r="K294" s="1" t="n">
        <f aca="false" t="array" ref="K294:K294">_xlfn.SWITCH($A$2,"average", AVERAGE(Instances!K294:K294),"median", MEDIAN(Instances!K294:K294),"min", MIN(Instances!K294:K294),"max", MAX(Instances!K294:K294),"diff", MAX(Instances!K294:K294)-MIN(Instances!K294:K294))</f>
        <v>0</v>
      </c>
      <c r="L294" s="1"/>
      <c r="M294" s="1" t="n">
        <f aca="false" t="array" ref="M294:M294">_xlfn.SWITCH($A$2,"average", AVERAGE(Instances!M294:M294),"median", MEDIAN(Instances!M294:M294),"min", MIN(Instances!M294:M294),"max", MAX(Instances!M294:M294),"diff", MAX(Instances!M294:M294)-MIN(Instances!M294:M294))</f>
        <v>980210</v>
      </c>
      <c r="N294" s="1" t="n">
        <f aca="false" t="array" ref="N294:N294">_xlfn.SWITCH($A$2,"average", AVERAGE(Instances!N294:N294),"median", MEDIAN(Instances!N294:N294),"min", MIN(Instances!N294:N294),"max", MAX(Instances!N294:N294),"diff", MAX(Instances!N294:N294)-MIN(Instances!N294:N294))</f>
        <v>0.04</v>
      </c>
      <c r="O294" s="1"/>
      <c r="P294" s="1" t="n">
        <f aca="false" t="array" ref="P294:P294">_xlfn.SWITCH($A$2,"average", AVERAGE(Instances!P294:P294),"median", MEDIAN(Instances!P294:P294),"min", MIN(Instances!P294:P294),"max", MAX(Instances!P294:P294),"diff", MAX(Instances!P294:P294)-MIN(Instances!P294:P294))</f>
        <v>4.4</v>
      </c>
      <c r="Q294" s="1" t="n">
        <f aca="false" t="array" ref="Q294:Q294">_xlfn.SWITCH($A$2,"average", AVERAGE(Instances!Q294:Q294),"median", MEDIAN(Instances!Q294:Q294),"min", MIN(Instances!Q294:Q294),"max", MAX(Instances!Q294:Q294),"diff", MAX(Instances!Q294:Q294)-MIN(Instances!Q294:Q294))</f>
        <v>0</v>
      </c>
      <c r="R294" s="1" t="n">
        <f aca="false" t="array" ref="R294:R294">_xlfn.SWITCH($A$2,"average", AVERAGE(Instances!R294:R294),"median", MEDIAN(Instances!R294:R294),"min", MIN(Instances!R294:R294),"max", MAX(Instances!R294:R294),"diff", MAX(Instances!R294:R294)-MIN(Instances!R294:R294))</f>
        <v>347062</v>
      </c>
      <c r="S294" s="1" t="n">
        <f aca="false">MIN($B294)</f>
        <v>1041</v>
      </c>
      <c r="T294" s="1" t="n">
        <f aca="false">MIN($C294)</f>
        <v>0</v>
      </c>
      <c r="U294" s="1" t="n">
        <f aca="false">MIN($D294)</f>
        <v>533077</v>
      </c>
      <c r="V294" s="1" t="n">
        <f aca="false">MIN($E294)</f>
        <v>0</v>
      </c>
      <c r="W294" s="1" t="n">
        <f aca="false">MIN($F294)</f>
        <v>355</v>
      </c>
      <c r="X294" s="1" t="n">
        <f aca="false">MIN($G294)</f>
        <v>0</v>
      </c>
      <c r="Y294" s="1" t="n">
        <f aca="false">MIN($H294)</f>
        <v>1</v>
      </c>
      <c r="Z294" s="1" t="n">
        <f aca="false">MIN($I294)</f>
        <v>4.272</v>
      </c>
      <c r="AA294" s="1" t="n">
        <f aca="false">MIN($J294)</f>
        <v>4.4</v>
      </c>
      <c r="AB294" s="1" t="n">
        <f aca="false">MIN($K294)</f>
        <v>0</v>
      </c>
      <c r="AC294" s="1" t="n">
        <f aca="false">MIN($M294)</f>
        <v>980210</v>
      </c>
      <c r="AD294" s="1" t="n">
        <f aca="false">MIN($N294)</f>
        <v>0.04</v>
      </c>
      <c r="AE294" s="1" t="n">
        <f aca="false">MIN($P294)</f>
        <v>4.4</v>
      </c>
      <c r="AF294" s="1" t="n">
        <f aca="false">MIN($Q294)</f>
        <v>0</v>
      </c>
      <c r="AG294" s="1" t="n">
        <f aca="false">MIN($R294)</f>
        <v>347062</v>
      </c>
      <c r="AH294" s="1" t="n">
        <f aca="false">MEDIAN($B294)</f>
        <v>1041</v>
      </c>
      <c r="AI294" s="1" t="n">
        <f aca="false">MEDIAN($C294)</f>
        <v>0</v>
      </c>
      <c r="AJ294" s="1" t="n">
        <f aca="false">MEDIAN($D294)</f>
        <v>533077</v>
      </c>
      <c r="AK294" s="1" t="n">
        <f aca="false">MEDIAN($E294)</f>
        <v>0</v>
      </c>
      <c r="AL294" s="1" t="n">
        <f aca="false">MEDIAN($F294)</f>
        <v>355</v>
      </c>
      <c r="AM294" s="1" t="n">
        <f aca="false">MEDIAN($G294)</f>
        <v>0</v>
      </c>
      <c r="AN294" s="1" t="n">
        <f aca="false">MEDIAN($H294)</f>
        <v>1</v>
      </c>
      <c r="AO294" s="1" t="n">
        <f aca="false">MEDIAN($I294)</f>
        <v>4.272</v>
      </c>
      <c r="AP294" s="1" t="n">
        <f aca="false">MEDIAN($J294)</f>
        <v>4.4</v>
      </c>
      <c r="AQ294" s="1" t="n">
        <f aca="false">MEDIAN($K294)</f>
        <v>0</v>
      </c>
      <c r="AR294" s="1" t="n">
        <f aca="false">MEDIAN($M294)</f>
        <v>980210</v>
      </c>
      <c r="AS294" s="1" t="n">
        <f aca="false">MEDIAN($N294)</f>
        <v>0.04</v>
      </c>
      <c r="AT294" s="1" t="n">
        <f aca="false">MEDIAN($P294)</f>
        <v>4.4</v>
      </c>
      <c r="AU294" s="1" t="n">
        <f aca="false">MEDIAN($Q294)</f>
        <v>0</v>
      </c>
      <c r="AV294" s="1" t="n">
        <f aca="false">MEDIAN($R294)</f>
        <v>347062</v>
      </c>
      <c r="AW294" s="1" t="n">
        <f aca="false">MAX($B294)</f>
        <v>1041</v>
      </c>
      <c r="AX294" s="1" t="n">
        <f aca="false">MAX($C294)</f>
        <v>0</v>
      </c>
      <c r="AY294" s="1" t="n">
        <f aca="false">MAX($D294)</f>
        <v>533077</v>
      </c>
      <c r="AZ294" s="1" t="n">
        <f aca="false">MAX($E294)</f>
        <v>0</v>
      </c>
      <c r="BA294" s="1" t="n">
        <f aca="false">MAX($F294)</f>
        <v>355</v>
      </c>
      <c r="BB294" s="1" t="n">
        <f aca="false">MAX($G294)</f>
        <v>0</v>
      </c>
      <c r="BC294" s="1" t="n">
        <f aca="false">MAX($H294)</f>
        <v>1</v>
      </c>
      <c r="BD294" s="1" t="n">
        <f aca="false">MAX($I294)</f>
        <v>4.272</v>
      </c>
      <c r="BE294" s="1" t="n">
        <f aca="false">MAX($J294)</f>
        <v>4.4</v>
      </c>
      <c r="BF294" s="1" t="n">
        <f aca="false">MAX($K294)</f>
        <v>0</v>
      </c>
      <c r="BG294" s="1" t="n">
        <f aca="false">MAX($M294)</f>
        <v>980210</v>
      </c>
      <c r="BH294" s="1" t="n">
        <f aca="false">MAX($N294)</f>
        <v>0.04</v>
      </c>
      <c r="BI294" s="1" t="n">
        <f aca="false">MAX($P294)</f>
        <v>4.4</v>
      </c>
      <c r="BJ294" s="1" t="n">
        <f aca="false">MAX($Q294)</f>
        <v>0</v>
      </c>
      <c r="BK294" s="1" t="n">
        <f aca="false">MAX($R294)</f>
        <v>347062</v>
      </c>
    </row>
    <row r="295" customFormat="false" ht="15" hidden="false" customHeight="false" outlineLevel="0" collapsed="false">
      <c r="A295" s="1" t="s">
        <v>312</v>
      </c>
      <c r="B295" s="1" t="n">
        <f aca="false" t="array" ref="B295:B295">_xlfn.SWITCH($A$2,"average", AVERAGE(Instances!B295:B295),"median", MEDIAN(Instances!B295:B295),"min", MIN(Instances!B295:B295),"max", MAX(Instances!B295:B295),"diff", MAX(Instances!B295:B295)-MIN(Instances!B295:B295))</f>
        <v>1083</v>
      </c>
      <c r="C295" s="1" t="n">
        <f aca="false" t="array" ref="C295:C295">_xlfn.SWITCH($A$2,"average", AVERAGE(Instances!C295:C295),"median", MEDIAN(Instances!C295:C295),"min", MIN(Instances!C295:C295),"max", MAX(Instances!C295:C295),"diff", MAX(Instances!C295:C295)-MIN(Instances!C295:C295))</f>
        <v>0</v>
      </c>
      <c r="D295" s="1" t="n">
        <f aca="false" t="array" ref="D295:D295">_xlfn.SWITCH($A$2,"average", AVERAGE(Instances!D295:D295),"median", MEDIAN(Instances!D295:D295),"min", MIN(Instances!D295:D295),"max", MAX(Instances!D295:D295),"diff", MAX(Instances!D295:D295)-MIN(Instances!D295:D295))</f>
        <v>264022</v>
      </c>
      <c r="E295" s="1" t="n">
        <f aca="false" t="array" ref="E295:E295">_xlfn.SWITCH($A$2,"average", AVERAGE(Instances!E295:E295),"median", MEDIAN(Instances!E295:E295),"min", MIN(Instances!E295:E295),"max", MAX(Instances!E295:E295),"diff", MAX(Instances!E295:E295)-MIN(Instances!E295:E295))</f>
        <v>0</v>
      </c>
      <c r="F295" s="1" t="n">
        <f aca="false" t="array" ref="F295:F295">_xlfn.SWITCH($A$2,"average", AVERAGE(Instances!F295:F295),"median", MEDIAN(Instances!F295:F295),"min", MIN(Instances!F295:F295),"max", MAX(Instances!F295:F295),"diff", MAX(Instances!F295:F295)-MIN(Instances!F295:F295))</f>
        <v>255</v>
      </c>
      <c r="G295" s="1" t="n">
        <f aca="false" t="array" ref="G295:G295">_xlfn.SWITCH($A$2,"average", AVERAGE(Instances!G295:G295),"median", MEDIAN(Instances!G295:G295),"min", MIN(Instances!G295:G295),"max", MAX(Instances!G295:G295),"diff", MAX(Instances!G295:G295)-MIN(Instances!G295:G295))</f>
        <v>0</v>
      </c>
      <c r="H295" s="1" t="n">
        <f aca="false" t="array" ref="H295:H295">_xlfn.SWITCH($A$2,"average", AVERAGE(Instances!H295:H295),"median", MEDIAN(Instances!H295:H295),"min", MIN(Instances!H295:H295),"max", MAX(Instances!H295:H295),"diff", MAX(Instances!H295:H295)-MIN(Instances!H295:H295))</f>
        <v>1</v>
      </c>
      <c r="I295" s="1" t="n">
        <f aca="false" t="array" ref="I295:I295">_xlfn.SWITCH($A$2,"average", AVERAGE(Instances!I295:I295),"median", MEDIAN(Instances!I295:I295),"min", MIN(Instances!I295:I295),"max", MAX(Instances!I295:I295),"diff", MAX(Instances!I295:I295)-MIN(Instances!I295:I295))</f>
        <v>3.069</v>
      </c>
      <c r="J295" s="1" t="n">
        <f aca="false" t="array" ref="J295:J295">_xlfn.SWITCH($A$2,"average", AVERAGE(Instances!J295:J295),"median", MEDIAN(Instances!J295:J295),"min", MIN(Instances!J295:J295),"max", MAX(Instances!J295:J295),"diff", MAX(Instances!J295:J295)-MIN(Instances!J295:J295))</f>
        <v>3.16</v>
      </c>
      <c r="K295" s="1" t="n">
        <f aca="false" t="array" ref="K295:K295">_xlfn.SWITCH($A$2,"average", AVERAGE(Instances!K295:K295),"median", MEDIAN(Instances!K295:K295),"min", MIN(Instances!K295:K295),"max", MAX(Instances!K295:K295),"diff", MAX(Instances!K295:K295)-MIN(Instances!K295:K295))</f>
        <v>0</v>
      </c>
      <c r="L295" s="1"/>
      <c r="M295" s="1" t="n">
        <f aca="false" t="array" ref="M295:M295">_xlfn.SWITCH($A$2,"average", AVERAGE(Instances!M295:M295),"median", MEDIAN(Instances!M295:M295),"min", MIN(Instances!M295:M295),"max", MAX(Instances!M295:M295),"diff", MAX(Instances!M295:M295)-MIN(Instances!M295:M295))</f>
        <v>678683</v>
      </c>
      <c r="N295" s="1" t="n">
        <f aca="false" t="array" ref="N295:N295">_xlfn.SWITCH($A$2,"average", AVERAGE(Instances!N295:N295),"median", MEDIAN(Instances!N295:N295),"min", MIN(Instances!N295:N295),"max", MAX(Instances!N295:N295),"diff", MAX(Instances!N295:N295)-MIN(Instances!N295:N295))</f>
        <v>0.02</v>
      </c>
      <c r="O295" s="1"/>
      <c r="P295" s="1" t="n">
        <f aca="false" t="array" ref="P295:P295">_xlfn.SWITCH($A$2,"average", AVERAGE(Instances!P295:P295),"median", MEDIAN(Instances!P295:P295),"min", MIN(Instances!P295:P295),"max", MAX(Instances!P295:P295),"diff", MAX(Instances!P295:P295)-MIN(Instances!P295:P295))</f>
        <v>3.16</v>
      </c>
      <c r="Q295" s="1" t="n">
        <f aca="false" t="array" ref="Q295:Q295">_xlfn.SWITCH($A$2,"average", AVERAGE(Instances!Q295:Q295),"median", MEDIAN(Instances!Q295:Q295),"min", MIN(Instances!Q295:Q295),"max", MAX(Instances!Q295:Q295),"diff", MAX(Instances!Q295:Q295)-MIN(Instances!Q295:Q295))</f>
        <v>0</v>
      </c>
      <c r="R295" s="1" t="n">
        <f aca="false" t="array" ref="R295:R295">_xlfn.SWITCH($A$2,"average", AVERAGE(Instances!R295:R295),"median", MEDIAN(Instances!R295:R295),"min", MIN(Instances!R295:R295),"max", MAX(Instances!R295:R295),"diff", MAX(Instances!R295:R295)-MIN(Instances!R295:R295))</f>
        <v>248203</v>
      </c>
      <c r="S295" s="1" t="n">
        <f aca="false">MIN($B295)</f>
        <v>1083</v>
      </c>
      <c r="T295" s="1" t="n">
        <f aca="false">MIN($C295)</f>
        <v>0</v>
      </c>
      <c r="U295" s="1" t="n">
        <f aca="false">MIN($D295)</f>
        <v>264022</v>
      </c>
      <c r="V295" s="1" t="n">
        <f aca="false">MIN($E295)</f>
        <v>0</v>
      </c>
      <c r="W295" s="1" t="n">
        <f aca="false">MIN($F295)</f>
        <v>255</v>
      </c>
      <c r="X295" s="1" t="n">
        <f aca="false">MIN($G295)</f>
        <v>0</v>
      </c>
      <c r="Y295" s="1" t="n">
        <f aca="false">MIN($H295)</f>
        <v>1</v>
      </c>
      <c r="Z295" s="1" t="n">
        <f aca="false">MIN($I295)</f>
        <v>3.069</v>
      </c>
      <c r="AA295" s="1" t="n">
        <f aca="false">MIN($J295)</f>
        <v>3.16</v>
      </c>
      <c r="AB295" s="1" t="n">
        <f aca="false">MIN($K295)</f>
        <v>0</v>
      </c>
      <c r="AC295" s="1" t="n">
        <f aca="false">MIN($M295)</f>
        <v>678683</v>
      </c>
      <c r="AD295" s="1" t="n">
        <f aca="false">MIN($N295)</f>
        <v>0.02</v>
      </c>
      <c r="AE295" s="1" t="n">
        <f aca="false">MIN($P295)</f>
        <v>3.16</v>
      </c>
      <c r="AF295" s="1" t="n">
        <f aca="false">MIN($Q295)</f>
        <v>0</v>
      </c>
      <c r="AG295" s="1" t="n">
        <f aca="false">MIN($R295)</f>
        <v>248203</v>
      </c>
      <c r="AH295" s="1" t="n">
        <f aca="false">MEDIAN($B295)</f>
        <v>1083</v>
      </c>
      <c r="AI295" s="1" t="n">
        <f aca="false">MEDIAN($C295)</f>
        <v>0</v>
      </c>
      <c r="AJ295" s="1" t="n">
        <f aca="false">MEDIAN($D295)</f>
        <v>264022</v>
      </c>
      <c r="AK295" s="1" t="n">
        <f aca="false">MEDIAN($E295)</f>
        <v>0</v>
      </c>
      <c r="AL295" s="1" t="n">
        <f aca="false">MEDIAN($F295)</f>
        <v>255</v>
      </c>
      <c r="AM295" s="1" t="n">
        <f aca="false">MEDIAN($G295)</f>
        <v>0</v>
      </c>
      <c r="AN295" s="1" t="n">
        <f aca="false">MEDIAN($H295)</f>
        <v>1</v>
      </c>
      <c r="AO295" s="1" t="n">
        <f aca="false">MEDIAN($I295)</f>
        <v>3.069</v>
      </c>
      <c r="AP295" s="1" t="n">
        <f aca="false">MEDIAN($J295)</f>
        <v>3.16</v>
      </c>
      <c r="AQ295" s="1" t="n">
        <f aca="false">MEDIAN($K295)</f>
        <v>0</v>
      </c>
      <c r="AR295" s="1" t="n">
        <f aca="false">MEDIAN($M295)</f>
        <v>678683</v>
      </c>
      <c r="AS295" s="1" t="n">
        <f aca="false">MEDIAN($N295)</f>
        <v>0.02</v>
      </c>
      <c r="AT295" s="1" t="n">
        <f aca="false">MEDIAN($P295)</f>
        <v>3.16</v>
      </c>
      <c r="AU295" s="1" t="n">
        <f aca="false">MEDIAN($Q295)</f>
        <v>0</v>
      </c>
      <c r="AV295" s="1" t="n">
        <f aca="false">MEDIAN($R295)</f>
        <v>248203</v>
      </c>
      <c r="AW295" s="1" t="n">
        <f aca="false">MAX($B295)</f>
        <v>1083</v>
      </c>
      <c r="AX295" s="1" t="n">
        <f aca="false">MAX($C295)</f>
        <v>0</v>
      </c>
      <c r="AY295" s="1" t="n">
        <f aca="false">MAX($D295)</f>
        <v>264022</v>
      </c>
      <c r="AZ295" s="1" t="n">
        <f aca="false">MAX($E295)</f>
        <v>0</v>
      </c>
      <c r="BA295" s="1" t="n">
        <f aca="false">MAX($F295)</f>
        <v>255</v>
      </c>
      <c r="BB295" s="1" t="n">
        <f aca="false">MAX($G295)</f>
        <v>0</v>
      </c>
      <c r="BC295" s="1" t="n">
        <f aca="false">MAX($H295)</f>
        <v>1</v>
      </c>
      <c r="BD295" s="1" t="n">
        <f aca="false">MAX($I295)</f>
        <v>3.069</v>
      </c>
      <c r="BE295" s="1" t="n">
        <f aca="false">MAX($J295)</f>
        <v>3.16</v>
      </c>
      <c r="BF295" s="1" t="n">
        <f aca="false">MAX($K295)</f>
        <v>0</v>
      </c>
      <c r="BG295" s="1" t="n">
        <f aca="false">MAX($M295)</f>
        <v>678683</v>
      </c>
      <c r="BH295" s="1" t="n">
        <f aca="false">MAX($N295)</f>
        <v>0.02</v>
      </c>
      <c r="BI295" s="1" t="n">
        <f aca="false">MAX($P295)</f>
        <v>3.16</v>
      </c>
      <c r="BJ295" s="1" t="n">
        <f aca="false">MAX($Q295)</f>
        <v>0</v>
      </c>
      <c r="BK295" s="1" t="n">
        <f aca="false">MAX($R295)</f>
        <v>248203</v>
      </c>
    </row>
    <row r="296" customFormat="false" ht="15" hidden="false" customHeight="false" outlineLevel="0" collapsed="false">
      <c r="A296" s="1" t="s">
        <v>313</v>
      </c>
      <c r="B296" s="1" t="n">
        <f aca="false" t="array" ref="B296:B296">_xlfn.SWITCH($A$2,"average", AVERAGE(Instances!B296:B296),"median", MEDIAN(Instances!B296:B296),"min", MIN(Instances!B296:B296),"max", MAX(Instances!B296:B296),"diff", MAX(Instances!B296:B296)-MIN(Instances!B296:B296))</f>
        <v>500</v>
      </c>
      <c r="C296" s="1" t="n">
        <f aca="false" t="array" ref="C296:C296">_xlfn.SWITCH($A$2,"average", AVERAGE(Instances!C296:C296),"median", MEDIAN(Instances!C296:C296),"min", MIN(Instances!C296:C296),"max", MAX(Instances!C296:C296),"diff", MAX(Instances!C296:C296)-MIN(Instances!C296:C296))</f>
        <v>0</v>
      </c>
      <c r="D296" s="1" t="n">
        <f aca="false" t="array" ref="D296:D296">_xlfn.SWITCH($A$2,"average", AVERAGE(Instances!D296:D296),"median", MEDIAN(Instances!D296:D296),"min", MIN(Instances!D296:D296),"max", MAX(Instances!D296:D296),"diff", MAX(Instances!D296:D296)-MIN(Instances!D296:D296))</f>
        <v>83901</v>
      </c>
      <c r="E296" s="1" t="n">
        <f aca="false" t="array" ref="E296:E296">_xlfn.SWITCH($A$2,"average", AVERAGE(Instances!E296:E296),"median", MEDIAN(Instances!E296:E296),"min", MIN(Instances!E296:E296),"max", MAX(Instances!E296:E296),"diff", MAX(Instances!E296:E296)-MIN(Instances!E296:E296))</f>
        <v>0</v>
      </c>
      <c r="F296" s="1" t="n">
        <f aca="false" t="array" ref="F296:F296">_xlfn.SWITCH($A$2,"average", AVERAGE(Instances!F296:F296),"median", MEDIAN(Instances!F296:F296),"min", MIN(Instances!F296:F296),"max", MAX(Instances!F296:F296),"diff", MAX(Instances!F296:F296)-MIN(Instances!F296:F296))</f>
        <v>202</v>
      </c>
      <c r="G296" s="1" t="n">
        <f aca="false" t="array" ref="G296:G296">_xlfn.SWITCH($A$2,"average", AVERAGE(Instances!G296:G296),"median", MEDIAN(Instances!G296:G296),"min", MIN(Instances!G296:G296),"max", MAX(Instances!G296:G296),"diff", MAX(Instances!G296:G296)-MIN(Instances!G296:G296))</f>
        <v>0</v>
      </c>
      <c r="H296" s="1" t="n">
        <f aca="false" t="array" ref="H296:H296">_xlfn.SWITCH($A$2,"average", AVERAGE(Instances!H296:H296),"median", MEDIAN(Instances!H296:H296),"min", MIN(Instances!H296:H296),"max", MAX(Instances!H296:H296),"diff", MAX(Instances!H296:H296)-MIN(Instances!H296:H296))</f>
        <v>1</v>
      </c>
      <c r="I296" s="1" t="n">
        <f aca="false" t="array" ref="I296:I296">_xlfn.SWITCH($A$2,"average", AVERAGE(Instances!I296:I296),"median", MEDIAN(Instances!I296:I296),"min", MIN(Instances!I296:I296),"max", MAX(Instances!I296:I296),"diff", MAX(Instances!I296:I296)-MIN(Instances!I296:I296))</f>
        <v>2.482</v>
      </c>
      <c r="J296" s="1" t="n">
        <f aca="false" t="array" ref="J296:J296">_xlfn.SWITCH($A$2,"average", AVERAGE(Instances!J296:J296),"median", MEDIAN(Instances!J296:J296),"min", MIN(Instances!J296:J296),"max", MAX(Instances!J296:J296),"diff", MAX(Instances!J296:J296)-MIN(Instances!J296:J296))</f>
        <v>2.56</v>
      </c>
      <c r="K296" s="1" t="n">
        <f aca="false" t="array" ref="K296:K296">_xlfn.SWITCH($A$2,"average", AVERAGE(Instances!K296:K296),"median", MEDIAN(Instances!K296:K296),"min", MIN(Instances!K296:K296),"max", MAX(Instances!K296:K296),"diff", MAX(Instances!K296:K296)-MIN(Instances!K296:K296))</f>
        <v>0</v>
      </c>
      <c r="L296" s="1"/>
      <c r="M296" s="1" t="n">
        <f aca="false" t="array" ref="M296:M296">_xlfn.SWITCH($A$2,"average", AVERAGE(Instances!M296:M296),"median", MEDIAN(Instances!M296:M296),"min", MIN(Instances!M296:M296),"max", MAX(Instances!M296:M296),"diff", MAX(Instances!M296:M296)-MIN(Instances!M296:M296))</f>
        <v>539367</v>
      </c>
      <c r="N296" s="1" t="n">
        <f aca="false" t="array" ref="N296:N296">_xlfn.SWITCH($A$2,"average", AVERAGE(Instances!N296:N296),"median", MEDIAN(Instances!N296:N296),"min", MIN(Instances!N296:N296),"max", MAX(Instances!N296:N296),"diff", MAX(Instances!N296:N296)-MIN(Instances!N296:N296))</f>
        <v>0.01</v>
      </c>
      <c r="O296" s="1"/>
      <c r="P296" s="1" t="n">
        <f aca="false" t="array" ref="P296:P296">_xlfn.SWITCH($A$2,"average", AVERAGE(Instances!P296:P296),"median", MEDIAN(Instances!P296:P296),"min", MIN(Instances!P296:P296),"max", MAX(Instances!P296:P296),"diff", MAX(Instances!P296:P296)-MIN(Instances!P296:P296))</f>
        <v>2.56</v>
      </c>
      <c r="Q296" s="1" t="n">
        <f aca="false" t="array" ref="Q296:Q296">_xlfn.SWITCH($A$2,"average", AVERAGE(Instances!Q296:Q296),"median", MEDIAN(Instances!Q296:Q296),"min", MIN(Instances!Q296:Q296),"max", MAX(Instances!Q296:Q296),"diff", MAX(Instances!Q296:Q296)-MIN(Instances!Q296:Q296))</f>
        <v>0</v>
      </c>
      <c r="R296" s="1" t="n">
        <f aca="false" t="array" ref="R296:R296">_xlfn.SWITCH($A$2,"average", AVERAGE(Instances!R296:R296),"median", MEDIAN(Instances!R296:R296),"min", MIN(Instances!R296:R296),"max", MAX(Instances!R296:R296),"diff", MAX(Instances!R296:R296)-MIN(Instances!R296:R296))</f>
        <v>195237</v>
      </c>
      <c r="S296" s="1" t="n">
        <f aca="false">MIN($B296)</f>
        <v>500</v>
      </c>
      <c r="T296" s="1" t="n">
        <f aca="false">MIN($C296)</f>
        <v>0</v>
      </c>
      <c r="U296" s="1" t="n">
        <f aca="false">MIN($D296)</f>
        <v>83901</v>
      </c>
      <c r="V296" s="1" t="n">
        <f aca="false">MIN($E296)</f>
        <v>0</v>
      </c>
      <c r="W296" s="1" t="n">
        <f aca="false">MIN($F296)</f>
        <v>202</v>
      </c>
      <c r="X296" s="1" t="n">
        <f aca="false">MIN($G296)</f>
        <v>0</v>
      </c>
      <c r="Y296" s="1" t="n">
        <f aca="false">MIN($H296)</f>
        <v>1</v>
      </c>
      <c r="Z296" s="1" t="n">
        <f aca="false">MIN($I296)</f>
        <v>2.482</v>
      </c>
      <c r="AA296" s="1" t="n">
        <f aca="false">MIN($J296)</f>
        <v>2.56</v>
      </c>
      <c r="AB296" s="1" t="n">
        <f aca="false">MIN($K296)</f>
        <v>0</v>
      </c>
      <c r="AC296" s="1" t="n">
        <f aca="false">MIN($M296)</f>
        <v>539367</v>
      </c>
      <c r="AD296" s="1" t="n">
        <f aca="false">MIN($N296)</f>
        <v>0.01</v>
      </c>
      <c r="AE296" s="1" t="n">
        <f aca="false">MIN($P296)</f>
        <v>2.56</v>
      </c>
      <c r="AF296" s="1" t="n">
        <f aca="false">MIN($Q296)</f>
        <v>0</v>
      </c>
      <c r="AG296" s="1" t="n">
        <f aca="false">MIN($R296)</f>
        <v>195237</v>
      </c>
      <c r="AH296" s="1" t="n">
        <f aca="false">MEDIAN($B296)</f>
        <v>500</v>
      </c>
      <c r="AI296" s="1" t="n">
        <f aca="false">MEDIAN($C296)</f>
        <v>0</v>
      </c>
      <c r="AJ296" s="1" t="n">
        <f aca="false">MEDIAN($D296)</f>
        <v>83901</v>
      </c>
      <c r="AK296" s="1" t="n">
        <f aca="false">MEDIAN($E296)</f>
        <v>0</v>
      </c>
      <c r="AL296" s="1" t="n">
        <f aca="false">MEDIAN($F296)</f>
        <v>202</v>
      </c>
      <c r="AM296" s="1" t="n">
        <f aca="false">MEDIAN($G296)</f>
        <v>0</v>
      </c>
      <c r="AN296" s="1" t="n">
        <f aca="false">MEDIAN($H296)</f>
        <v>1</v>
      </c>
      <c r="AO296" s="1" t="n">
        <f aca="false">MEDIAN($I296)</f>
        <v>2.482</v>
      </c>
      <c r="AP296" s="1" t="n">
        <f aca="false">MEDIAN($J296)</f>
        <v>2.56</v>
      </c>
      <c r="AQ296" s="1" t="n">
        <f aca="false">MEDIAN($K296)</f>
        <v>0</v>
      </c>
      <c r="AR296" s="1" t="n">
        <f aca="false">MEDIAN($M296)</f>
        <v>539367</v>
      </c>
      <c r="AS296" s="1" t="n">
        <f aca="false">MEDIAN($N296)</f>
        <v>0.01</v>
      </c>
      <c r="AT296" s="1" t="n">
        <f aca="false">MEDIAN($P296)</f>
        <v>2.56</v>
      </c>
      <c r="AU296" s="1" t="n">
        <f aca="false">MEDIAN($Q296)</f>
        <v>0</v>
      </c>
      <c r="AV296" s="1" t="n">
        <f aca="false">MEDIAN($R296)</f>
        <v>195237</v>
      </c>
      <c r="AW296" s="1" t="n">
        <f aca="false">MAX($B296)</f>
        <v>500</v>
      </c>
      <c r="AX296" s="1" t="n">
        <f aca="false">MAX($C296)</f>
        <v>0</v>
      </c>
      <c r="AY296" s="1" t="n">
        <f aca="false">MAX($D296)</f>
        <v>83901</v>
      </c>
      <c r="AZ296" s="1" t="n">
        <f aca="false">MAX($E296)</f>
        <v>0</v>
      </c>
      <c r="BA296" s="1" t="n">
        <f aca="false">MAX($F296)</f>
        <v>202</v>
      </c>
      <c r="BB296" s="1" t="n">
        <f aca="false">MAX($G296)</f>
        <v>0</v>
      </c>
      <c r="BC296" s="1" t="n">
        <f aca="false">MAX($H296)</f>
        <v>1</v>
      </c>
      <c r="BD296" s="1" t="n">
        <f aca="false">MAX($I296)</f>
        <v>2.482</v>
      </c>
      <c r="BE296" s="1" t="n">
        <f aca="false">MAX($J296)</f>
        <v>2.56</v>
      </c>
      <c r="BF296" s="1" t="n">
        <f aca="false">MAX($K296)</f>
        <v>0</v>
      </c>
      <c r="BG296" s="1" t="n">
        <f aca="false">MAX($M296)</f>
        <v>539367</v>
      </c>
      <c r="BH296" s="1" t="n">
        <f aca="false">MAX($N296)</f>
        <v>0.01</v>
      </c>
      <c r="BI296" s="1" t="n">
        <f aca="false">MAX($P296)</f>
        <v>2.56</v>
      </c>
      <c r="BJ296" s="1" t="n">
        <f aca="false">MAX($Q296)</f>
        <v>0</v>
      </c>
      <c r="BK296" s="1" t="n">
        <f aca="false">MAX($R296)</f>
        <v>195237</v>
      </c>
    </row>
    <row r="297" customFormat="false" ht="15" hidden="false" customHeight="false" outlineLevel="0" collapsed="false">
      <c r="A297" s="1" t="s">
        <v>314</v>
      </c>
      <c r="B297" s="1" t="n">
        <f aca="false" t="array" ref="B297:B297">_xlfn.SWITCH($A$2,"average", AVERAGE(Instances!B297:B297),"median", MEDIAN(Instances!B297:B297),"min", MIN(Instances!B297:B297),"max", MAX(Instances!B297:B297),"diff", MAX(Instances!B297:B297)-MIN(Instances!B297:B297))</f>
        <v>621</v>
      </c>
      <c r="C297" s="1" t="n">
        <f aca="false" t="array" ref="C297:C297">_xlfn.SWITCH($A$2,"average", AVERAGE(Instances!C297:C297),"median", MEDIAN(Instances!C297:C297),"min", MIN(Instances!C297:C297),"max", MAX(Instances!C297:C297),"diff", MAX(Instances!C297:C297)-MIN(Instances!C297:C297))</f>
        <v>0</v>
      </c>
      <c r="D297" s="1" t="n">
        <f aca="false" t="array" ref="D297:D297">_xlfn.SWITCH($A$2,"average", AVERAGE(Instances!D297:D297),"median", MEDIAN(Instances!D297:D297),"min", MIN(Instances!D297:D297),"max", MAX(Instances!D297:D297),"diff", MAX(Instances!D297:D297)-MIN(Instances!D297:D297))</f>
        <v>275337</v>
      </c>
      <c r="E297" s="1" t="n">
        <f aca="false" t="array" ref="E297:E297">_xlfn.SWITCH($A$2,"average", AVERAGE(Instances!E297:E297),"median", MEDIAN(Instances!E297:E297),"min", MIN(Instances!E297:E297),"max", MAX(Instances!E297:E297),"diff", MAX(Instances!E297:E297)-MIN(Instances!E297:E297))</f>
        <v>0</v>
      </c>
      <c r="F297" s="1" t="n">
        <f aca="false" t="array" ref="F297:F297">_xlfn.SWITCH($A$2,"average", AVERAGE(Instances!F297:F297),"median", MEDIAN(Instances!F297:F297),"min", MIN(Instances!F297:F297),"max", MAX(Instances!F297:F297),"diff", MAX(Instances!F297:F297)-MIN(Instances!F297:F297))</f>
        <v>273</v>
      </c>
      <c r="G297" s="1" t="n">
        <f aca="false" t="array" ref="G297:G297">_xlfn.SWITCH($A$2,"average", AVERAGE(Instances!G297:G297),"median", MEDIAN(Instances!G297:G297),"min", MIN(Instances!G297:G297),"max", MAX(Instances!G297:G297),"diff", MAX(Instances!G297:G297)-MIN(Instances!G297:G297))</f>
        <v>0</v>
      </c>
      <c r="H297" s="1" t="n">
        <f aca="false" t="array" ref="H297:H297">_xlfn.SWITCH($A$2,"average", AVERAGE(Instances!H297:H297),"median", MEDIAN(Instances!H297:H297),"min", MIN(Instances!H297:H297),"max", MAX(Instances!H297:H297),"diff", MAX(Instances!H297:H297)-MIN(Instances!H297:H297))</f>
        <v>1</v>
      </c>
      <c r="I297" s="1" t="n">
        <f aca="false" t="array" ref="I297:I297">_xlfn.SWITCH($A$2,"average", AVERAGE(Instances!I297:I297),"median", MEDIAN(Instances!I297:I297),"min", MIN(Instances!I297:I297),"max", MAX(Instances!I297:I297),"diff", MAX(Instances!I297:I297)-MIN(Instances!I297:I297))</f>
        <v>3.337</v>
      </c>
      <c r="J297" s="1" t="n">
        <f aca="false" t="array" ref="J297:J297">_xlfn.SWITCH($A$2,"average", AVERAGE(Instances!J297:J297),"median", MEDIAN(Instances!J297:J297),"min", MIN(Instances!J297:J297),"max", MAX(Instances!J297:J297),"diff", MAX(Instances!J297:J297)-MIN(Instances!J297:J297))</f>
        <v>3.44</v>
      </c>
      <c r="K297" s="1" t="n">
        <f aca="false" t="array" ref="K297:K297">_xlfn.SWITCH($A$2,"average", AVERAGE(Instances!K297:K297),"median", MEDIAN(Instances!K297:K297),"min", MIN(Instances!K297:K297),"max", MAX(Instances!K297:K297),"diff", MAX(Instances!K297:K297)-MIN(Instances!K297:K297))</f>
        <v>0</v>
      </c>
      <c r="L297" s="1"/>
      <c r="M297" s="1" t="n">
        <f aca="false" t="array" ref="M297:M297">_xlfn.SWITCH($A$2,"average", AVERAGE(Instances!M297:M297),"median", MEDIAN(Instances!M297:M297),"min", MIN(Instances!M297:M297),"max", MAX(Instances!M297:M297),"diff", MAX(Instances!M297:M297)-MIN(Instances!M297:M297))</f>
        <v>737443</v>
      </c>
      <c r="N297" s="1" t="n">
        <f aca="false" t="array" ref="N297:N297">_xlfn.SWITCH($A$2,"average", AVERAGE(Instances!N297:N297),"median", MEDIAN(Instances!N297:N297),"min", MIN(Instances!N297:N297),"max", MAX(Instances!N297:N297),"diff", MAX(Instances!N297:N297)-MIN(Instances!N297:N297))</f>
        <v>0.02</v>
      </c>
      <c r="O297" s="1"/>
      <c r="P297" s="1" t="n">
        <f aca="false" t="array" ref="P297:P297">_xlfn.SWITCH($A$2,"average", AVERAGE(Instances!P297:P297),"median", MEDIAN(Instances!P297:P297),"min", MIN(Instances!P297:P297),"max", MAX(Instances!P297:P297),"diff", MAX(Instances!P297:P297)-MIN(Instances!P297:P297))</f>
        <v>3.44</v>
      </c>
      <c r="Q297" s="1" t="n">
        <f aca="false" t="array" ref="Q297:Q297">_xlfn.SWITCH($A$2,"average", AVERAGE(Instances!Q297:Q297),"median", MEDIAN(Instances!Q297:Q297),"min", MIN(Instances!Q297:Q297),"max", MAX(Instances!Q297:Q297),"diff", MAX(Instances!Q297:Q297)-MIN(Instances!Q297:Q297))</f>
        <v>0</v>
      </c>
      <c r="R297" s="1" t="n">
        <f aca="false" t="array" ref="R297:R297">_xlfn.SWITCH($A$2,"average", AVERAGE(Instances!R297:R297),"median", MEDIAN(Instances!R297:R297),"min", MIN(Instances!R297:R297),"max", MAX(Instances!R297:R297),"diff", MAX(Instances!R297:R297)-MIN(Instances!R297:R297))</f>
        <v>267050</v>
      </c>
      <c r="S297" s="1" t="n">
        <f aca="false">MIN($B297)</f>
        <v>621</v>
      </c>
      <c r="T297" s="1" t="n">
        <f aca="false">MIN($C297)</f>
        <v>0</v>
      </c>
      <c r="U297" s="1" t="n">
        <f aca="false">MIN($D297)</f>
        <v>275337</v>
      </c>
      <c r="V297" s="1" t="n">
        <f aca="false">MIN($E297)</f>
        <v>0</v>
      </c>
      <c r="W297" s="1" t="n">
        <f aca="false">MIN($F297)</f>
        <v>273</v>
      </c>
      <c r="X297" s="1" t="n">
        <f aca="false">MIN($G297)</f>
        <v>0</v>
      </c>
      <c r="Y297" s="1" t="n">
        <f aca="false">MIN($H297)</f>
        <v>1</v>
      </c>
      <c r="Z297" s="1" t="n">
        <f aca="false">MIN($I297)</f>
        <v>3.337</v>
      </c>
      <c r="AA297" s="1" t="n">
        <f aca="false">MIN($J297)</f>
        <v>3.44</v>
      </c>
      <c r="AB297" s="1" t="n">
        <f aca="false">MIN($K297)</f>
        <v>0</v>
      </c>
      <c r="AC297" s="1" t="n">
        <f aca="false">MIN($M297)</f>
        <v>737443</v>
      </c>
      <c r="AD297" s="1" t="n">
        <f aca="false">MIN($N297)</f>
        <v>0.02</v>
      </c>
      <c r="AE297" s="1" t="n">
        <f aca="false">MIN($P297)</f>
        <v>3.44</v>
      </c>
      <c r="AF297" s="1" t="n">
        <f aca="false">MIN($Q297)</f>
        <v>0</v>
      </c>
      <c r="AG297" s="1" t="n">
        <f aca="false">MIN($R297)</f>
        <v>267050</v>
      </c>
      <c r="AH297" s="1" t="n">
        <f aca="false">MEDIAN($B297)</f>
        <v>621</v>
      </c>
      <c r="AI297" s="1" t="n">
        <f aca="false">MEDIAN($C297)</f>
        <v>0</v>
      </c>
      <c r="AJ297" s="1" t="n">
        <f aca="false">MEDIAN($D297)</f>
        <v>275337</v>
      </c>
      <c r="AK297" s="1" t="n">
        <f aca="false">MEDIAN($E297)</f>
        <v>0</v>
      </c>
      <c r="AL297" s="1" t="n">
        <f aca="false">MEDIAN($F297)</f>
        <v>273</v>
      </c>
      <c r="AM297" s="1" t="n">
        <f aca="false">MEDIAN($G297)</f>
        <v>0</v>
      </c>
      <c r="AN297" s="1" t="n">
        <f aca="false">MEDIAN($H297)</f>
        <v>1</v>
      </c>
      <c r="AO297" s="1" t="n">
        <f aca="false">MEDIAN($I297)</f>
        <v>3.337</v>
      </c>
      <c r="AP297" s="1" t="n">
        <f aca="false">MEDIAN($J297)</f>
        <v>3.44</v>
      </c>
      <c r="AQ297" s="1" t="n">
        <f aca="false">MEDIAN($K297)</f>
        <v>0</v>
      </c>
      <c r="AR297" s="1" t="n">
        <f aca="false">MEDIAN($M297)</f>
        <v>737443</v>
      </c>
      <c r="AS297" s="1" t="n">
        <f aca="false">MEDIAN($N297)</f>
        <v>0.02</v>
      </c>
      <c r="AT297" s="1" t="n">
        <f aca="false">MEDIAN($P297)</f>
        <v>3.44</v>
      </c>
      <c r="AU297" s="1" t="n">
        <f aca="false">MEDIAN($Q297)</f>
        <v>0</v>
      </c>
      <c r="AV297" s="1" t="n">
        <f aca="false">MEDIAN($R297)</f>
        <v>267050</v>
      </c>
      <c r="AW297" s="1" t="n">
        <f aca="false">MAX($B297)</f>
        <v>621</v>
      </c>
      <c r="AX297" s="1" t="n">
        <f aca="false">MAX($C297)</f>
        <v>0</v>
      </c>
      <c r="AY297" s="1" t="n">
        <f aca="false">MAX($D297)</f>
        <v>275337</v>
      </c>
      <c r="AZ297" s="1" t="n">
        <f aca="false">MAX($E297)</f>
        <v>0</v>
      </c>
      <c r="BA297" s="1" t="n">
        <f aca="false">MAX($F297)</f>
        <v>273</v>
      </c>
      <c r="BB297" s="1" t="n">
        <f aca="false">MAX($G297)</f>
        <v>0</v>
      </c>
      <c r="BC297" s="1" t="n">
        <f aca="false">MAX($H297)</f>
        <v>1</v>
      </c>
      <c r="BD297" s="1" t="n">
        <f aca="false">MAX($I297)</f>
        <v>3.337</v>
      </c>
      <c r="BE297" s="1" t="n">
        <f aca="false">MAX($J297)</f>
        <v>3.44</v>
      </c>
      <c r="BF297" s="1" t="n">
        <f aca="false">MAX($K297)</f>
        <v>0</v>
      </c>
      <c r="BG297" s="1" t="n">
        <f aca="false">MAX($M297)</f>
        <v>737443</v>
      </c>
      <c r="BH297" s="1" t="n">
        <f aca="false">MAX($N297)</f>
        <v>0.02</v>
      </c>
      <c r="BI297" s="1" t="n">
        <f aca="false">MAX($P297)</f>
        <v>3.44</v>
      </c>
      <c r="BJ297" s="1" t="n">
        <f aca="false">MAX($Q297)</f>
        <v>0</v>
      </c>
      <c r="BK297" s="1" t="n">
        <f aca="false">MAX($R297)</f>
        <v>267050</v>
      </c>
    </row>
    <row r="298" customFormat="false" ht="15" hidden="false" customHeight="false" outlineLevel="0" collapsed="false">
      <c r="A298" s="1" t="s">
        <v>315</v>
      </c>
      <c r="B298" s="1" t="n">
        <f aca="false" t="array" ref="B298:B298">_xlfn.SWITCH($A$2,"average", AVERAGE(Instances!B298:B298),"median", MEDIAN(Instances!B298:B298),"min", MIN(Instances!B298:B298),"max", MAX(Instances!B298:B298),"diff", MAX(Instances!B298:B298)-MIN(Instances!B298:B298))</f>
        <v>2430</v>
      </c>
      <c r="C298" s="1" t="n">
        <f aca="false" t="array" ref="C298:C298">_xlfn.SWITCH($A$2,"average", AVERAGE(Instances!C298:C298),"median", MEDIAN(Instances!C298:C298),"min", MIN(Instances!C298:C298),"max", MAX(Instances!C298:C298),"diff", MAX(Instances!C298:C298)-MIN(Instances!C298:C298))</f>
        <v>0</v>
      </c>
      <c r="D298" s="1" t="n">
        <f aca="false" t="array" ref="D298:D298">_xlfn.SWITCH($A$2,"average", AVERAGE(Instances!D298:D298),"median", MEDIAN(Instances!D298:D298),"min", MIN(Instances!D298:D298),"max", MAX(Instances!D298:D298),"diff", MAX(Instances!D298:D298)-MIN(Instances!D298:D298))</f>
        <v>719993</v>
      </c>
      <c r="E298" s="1" t="n">
        <f aca="false" t="array" ref="E298:E298">_xlfn.SWITCH($A$2,"average", AVERAGE(Instances!E298:E298),"median", MEDIAN(Instances!E298:E298),"min", MIN(Instances!E298:E298),"max", MAX(Instances!E298:E298),"diff", MAX(Instances!E298:E298)-MIN(Instances!E298:E298))</f>
        <v>0</v>
      </c>
      <c r="F298" s="1" t="n">
        <f aca="false" t="array" ref="F298:F298">_xlfn.SWITCH($A$2,"average", AVERAGE(Instances!F298:F298),"median", MEDIAN(Instances!F298:F298),"min", MIN(Instances!F298:F298),"max", MAX(Instances!F298:F298),"diff", MAX(Instances!F298:F298)-MIN(Instances!F298:F298))</f>
        <v>497</v>
      </c>
      <c r="G298" s="1" t="n">
        <f aca="false" t="array" ref="G298:G298">_xlfn.SWITCH($A$2,"average", AVERAGE(Instances!G298:G298),"median", MEDIAN(Instances!G298:G298),"min", MIN(Instances!G298:G298),"max", MAX(Instances!G298:G298),"diff", MAX(Instances!G298:G298)-MIN(Instances!G298:G298))</f>
        <v>0</v>
      </c>
      <c r="H298" s="1" t="n">
        <f aca="false" t="array" ref="H298:H298">_xlfn.SWITCH($A$2,"average", AVERAGE(Instances!H298:H298),"median", MEDIAN(Instances!H298:H298),"min", MIN(Instances!H298:H298),"max", MAX(Instances!H298:H298),"diff", MAX(Instances!H298:H298)-MIN(Instances!H298:H298))</f>
        <v>1</v>
      </c>
      <c r="I298" s="1" t="n">
        <f aca="false" t="array" ref="I298:I298">_xlfn.SWITCH($A$2,"average", AVERAGE(Instances!I298:I298),"median", MEDIAN(Instances!I298:I298),"min", MIN(Instances!I298:I298),"max", MAX(Instances!I298:I298),"diff", MAX(Instances!I298:I298)-MIN(Instances!I298:I298))</f>
        <v>6.211</v>
      </c>
      <c r="J298" s="1" t="n">
        <f aca="false" t="array" ref="J298:J298">_xlfn.SWITCH($A$2,"average", AVERAGE(Instances!J298:J298),"median", MEDIAN(Instances!J298:J298),"min", MIN(Instances!J298:J298),"max", MAX(Instances!J298:J298),"diff", MAX(Instances!J298:J298)-MIN(Instances!J298:J298))</f>
        <v>6.4</v>
      </c>
      <c r="K298" s="1" t="n">
        <f aca="false" t="array" ref="K298:K298">_xlfn.SWITCH($A$2,"average", AVERAGE(Instances!K298:K298),"median", MEDIAN(Instances!K298:K298),"min", MIN(Instances!K298:K298),"max", MAX(Instances!K298:K298),"diff", MAX(Instances!K298:K298)-MIN(Instances!K298:K298))</f>
        <v>0</v>
      </c>
      <c r="L298" s="1"/>
      <c r="M298" s="1" t="n">
        <f aca="false" t="array" ref="M298:M298">_xlfn.SWITCH($A$2,"average", AVERAGE(Instances!M298:M298),"median", MEDIAN(Instances!M298:M298),"min", MIN(Instances!M298:M298),"max", MAX(Instances!M298:M298),"diff", MAX(Instances!M298:M298)-MIN(Instances!M298:M298))</f>
        <v>1461956</v>
      </c>
      <c r="N298" s="1" t="n">
        <f aca="false" t="array" ref="N298:N298">_xlfn.SWITCH($A$2,"average", AVERAGE(Instances!N298:N298),"median", MEDIAN(Instances!N298:N298),"min", MIN(Instances!N298:N298),"max", MAX(Instances!N298:N298),"diff", MAX(Instances!N298:N298)-MIN(Instances!N298:N298))</f>
        <v>0.05</v>
      </c>
      <c r="O298" s="1"/>
      <c r="P298" s="1" t="n">
        <f aca="false" t="array" ref="P298:P298">_xlfn.SWITCH($A$2,"average", AVERAGE(Instances!P298:P298),"median", MEDIAN(Instances!P298:P298),"min", MIN(Instances!P298:P298),"max", MAX(Instances!P298:P298),"diff", MAX(Instances!P298:P298)-MIN(Instances!P298:P298))</f>
        <v>6.4</v>
      </c>
      <c r="Q298" s="1" t="n">
        <f aca="false" t="array" ref="Q298:Q298">_xlfn.SWITCH($A$2,"average", AVERAGE(Instances!Q298:Q298),"median", MEDIAN(Instances!Q298:Q298),"min", MIN(Instances!Q298:Q298),"max", MAX(Instances!Q298:Q298),"diff", MAX(Instances!Q298:Q298)-MIN(Instances!Q298:Q298))</f>
        <v>0</v>
      </c>
      <c r="R298" s="1" t="n">
        <f aca="false" t="array" ref="R298:R298">_xlfn.SWITCH($A$2,"average", AVERAGE(Instances!R298:R298),"median", MEDIAN(Instances!R298:R298),"min", MIN(Instances!R298:R298),"max", MAX(Instances!R298:R298),"diff", MAX(Instances!R298:R298)-MIN(Instances!R298:R298))</f>
        <v>486025</v>
      </c>
      <c r="S298" s="1" t="n">
        <f aca="false">MIN($B298)</f>
        <v>2430</v>
      </c>
      <c r="T298" s="1" t="n">
        <f aca="false">MIN($C298)</f>
        <v>0</v>
      </c>
      <c r="U298" s="1" t="n">
        <f aca="false">MIN($D298)</f>
        <v>719993</v>
      </c>
      <c r="V298" s="1" t="n">
        <f aca="false">MIN($E298)</f>
        <v>0</v>
      </c>
      <c r="W298" s="1" t="n">
        <f aca="false">MIN($F298)</f>
        <v>497</v>
      </c>
      <c r="X298" s="1" t="n">
        <f aca="false">MIN($G298)</f>
        <v>0</v>
      </c>
      <c r="Y298" s="1" t="n">
        <f aca="false">MIN($H298)</f>
        <v>1</v>
      </c>
      <c r="Z298" s="1" t="n">
        <f aca="false">MIN($I298)</f>
        <v>6.211</v>
      </c>
      <c r="AA298" s="1" t="n">
        <f aca="false">MIN($J298)</f>
        <v>6.4</v>
      </c>
      <c r="AB298" s="1" t="n">
        <f aca="false">MIN($K298)</f>
        <v>0</v>
      </c>
      <c r="AC298" s="1" t="n">
        <f aca="false">MIN($M298)</f>
        <v>1461956</v>
      </c>
      <c r="AD298" s="1" t="n">
        <f aca="false">MIN($N298)</f>
        <v>0.05</v>
      </c>
      <c r="AE298" s="1" t="n">
        <f aca="false">MIN($P298)</f>
        <v>6.4</v>
      </c>
      <c r="AF298" s="1" t="n">
        <f aca="false">MIN($Q298)</f>
        <v>0</v>
      </c>
      <c r="AG298" s="1" t="n">
        <f aca="false">MIN($R298)</f>
        <v>486025</v>
      </c>
      <c r="AH298" s="1" t="n">
        <f aca="false">MEDIAN($B298)</f>
        <v>2430</v>
      </c>
      <c r="AI298" s="1" t="n">
        <f aca="false">MEDIAN($C298)</f>
        <v>0</v>
      </c>
      <c r="AJ298" s="1" t="n">
        <f aca="false">MEDIAN($D298)</f>
        <v>719993</v>
      </c>
      <c r="AK298" s="1" t="n">
        <f aca="false">MEDIAN($E298)</f>
        <v>0</v>
      </c>
      <c r="AL298" s="1" t="n">
        <f aca="false">MEDIAN($F298)</f>
        <v>497</v>
      </c>
      <c r="AM298" s="1" t="n">
        <f aca="false">MEDIAN($G298)</f>
        <v>0</v>
      </c>
      <c r="AN298" s="1" t="n">
        <f aca="false">MEDIAN($H298)</f>
        <v>1</v>
      </c>
      <c r="AO298" s="1" t="n">
        <f aca="false">MEDIAN($I298)</f>
        <v>6.211</v>
      </c>
      <c r="AP298" s="1" t="n">
        <f aca="false">MEDIAN($J298)</f>
        <v>6.4</v>
      </c>
      <c r="AQ298" s="1" t="n">
        <f aca="false">MEDIAN($K298)</f>
        <v>0</v>
      </c>
      <c r="AR298" s="1" t="n">
        <f aca="false">MEDIAN($M298)</f>
        <v>1461956</v>
      </c>
      <c r="AS298" s="1" t="n">
        <f aca="false">MEDIAN($N298)</f>
        <v>0.05</v>
      </c>
      <c r="AT298" s="1" t="n">
        <f aca="false">MEDIAN($P298)</f>
        <v>6.4</v>
      </c>
      <c r="AU298" s="1" t="n">
        <f aca="false">MEDIAN($Q298)</f>
        <v>0</v>
      </c>
      <c r="AV298" s="1" t="n">
        <f aca="false">MEDIAN($R298)</f>
        <v>486025</v>
      </c>
      <c r="AW298" s="1" t="n">
        <f aca="false">MAX($B298)</f>
        <v>2430</v>
      </c>
      <c r="AX298" s="1" t="n">
        <f aca="false">MAX($C298)</f>
        <v>0</v>
      </c>
      <c r="AY298" s="1" t="n">
        <f aca="false">MAX($D298)</f>
        <v>719993</v>
      </c>
      <c r="AZ298" s="1" t="n">
        <f aca="false">MAX($E298)</f>
        <v>0</v>
      </c>
      <c r="BA298" s="1" t="n">
        <f aca="false">MAX($F298)</f>
        <v>497</v>
      </c>
      <c r="BB298" s="1" t="n">
        <f aca="false">MAX($G298)</f>
        <v>0</v>
      </c>
      <c r="BC298" s="1" t="n">
        <f aca="false">MAX($H298)</f>
        <v>1</v>
      </c>
      <c r="BD298" s="1" t="n">
        <f aca="false">MAX($I298)</f>
        <v>6.211</v>
      </c>
      <c r="BE298" s="1" t="n">
        <f aca="false">MAX($J298)</f>
        <v>6.4</v>
      </c>
      <c r="BF298" s="1" t="n">
        <f aca="false">MAX($K298)</f>
        <v>0</v>
      </c>
      <c r="BG298" s="1" t="n">
        <f aca="false">MAX($M298)</f>
        <v>1461956</v>
      </c>
      <c r="BH298" s="1" t="n">
        <f aca="false">MAX($N298)</f>
        <v>0.05</v>
      </c>
      <c r="BI298" s="1" t="n">
        <f aca="false">MAX($P298)</f>
        <v>6.4</v>
      </c>
      <c r="BJ298" s="1" t="n">
        <f aca="false">MAX($Q298)</f>
        <v>0</v>
      </c>
      <c r="BK298" s="1" t="n">
        <f aca="false">MAX($R298)</f>
        <v>486025</v>
      </c>
    </row>
    <row r="299" customFormat="false" ht="15" hidden="false" customHeight="false" outlineLevel="0" collapsed="false">
      <c r="A299" s="1" t="s">
        <v>316</v>
      </c>
      <c r="B299" s="1" t="n">
        <f aca="false" t="array" ref="B299:B299">_xlfn.SWITCH($A$2,"average", AVERAGE(Instances!B299:B299),"median", MEDIAN(Instances!B299:B299),"min", MIN(Instances!B299:B299),"max", MAX(Instances!B299:B299),"diff", MAX(Instances!B299:B299)-MIN(Instances!B299:B299))</f>
        <v>2610</v>
      </c>
      <c r="C299" s="1" t="n">
        <f aca="false" t="array" ref="C299:C299">_xlfn.SWITCH($A$2,"average", AVERAGE(Instances!C299:C299),"median", MEDIAN(Instances!C299:C299),"min", MIN(Instances!C299:C299),"max", MAX(Instances!C299:C299),"diff", MAX(Instances!C299:C299)-MIN(Instances!C299:C299))</f>
        <v>0</v>
      </c>
      <c r="D299" s="1" t="n">
        <f aca="false" t="array" ref="D299:D299">_xlfn.SWITCH($A$2,"average", AVERAGE(Instances!D299:D299),"median", MEDIAN(Instances!D299:D299),"min", MIN(Instances!D299:D299),"max", MAX(Instances!D299:D299),"diff", MAX(Instances!D299:D299)-MIN(Instances!D299:D299))</f>
        <v>507424</v>
      </c>
      <c r="E299" s="1" t="n">
        <f aca="false" t="array" ref="E299:E299">_xlfn.SWITCH($A$2,"average", AVERAGE(Instances!E299:E299),"median", MEDIAN(Instances!E299:E299),"min", MIN(Instances!E299:E299),"max", MAX(Instances!E299:E299),"diff", MAX(Instances!E299:E299)-MIN(Instances!E299:E299))</f>
        <v>0</v>
      </c>
      <c r="F299" s="1" t="n">
        <f aca="false" t="array" ref="F299:F299">_xlfn.SWITCH($A$2,"average", AVERAGE(Instances!F299:F299),"median", MEDIAN(Instances!F299:F299),"min", MIN(Instances!F299:F299),"max", MAX(Instances!F299:F299),"diff", MAX(Instances!F299:F299)-MIN(Instances!F299:F299))</f>
        <v>498</v>
      </c>
      <c r="G299" s="1" t="n">
        <f aca="false" t="array" ref="G299:G299">_xlfn.SWITCH($A$2,"average", AVERAGE(Instances!G299:G299),"median", MEDIAN(Instances!G299:G299),"min", MIN(Instances!G299:G299),"max", MAX(Instances!G299:G299),"diff", MAX(Instances!G299:G299)-MIN(Instances!G299:G299))</f>
        <v>0</v>
      </c>
      <c r="H299" s="1" t="n">
        <f aca="false" t="array" ref="H299:H299">_xlfn.SWITCH($A$2,"average", AVERAGE(Instances!H299:H299),"median", MEDIAN(Instances!H299:H299),"min", MIN(Instances!H299:H299),"max", MAX(Instances!H299:H299),"diff", MAX(Instances!H299:H299)-MIN(Instances!H299:H299))</f>
        <v>1</v>
      </c>
      <c r="I299" s="1" t="n">
        <f aca="false" t="array" ref="I299:I299">_xlfn.SWITCH($A$2,"average", AVERAGE(Instances!I299:I299),"median", MEDIAN(Instances!I299:I299),"min", MIN(Instances!I299:I299),"max", MAX(Instances!I299:I299),"diff", MAX(Instances!I299:I299)-MIN(Instances!I299:I299))</f>
        <v>6.254</v>
      </c>
      <c r="J299" s="1" t="n">
        <f aca="false" t="array" ref="J299:J299">_xlfn.SWITCH($A$2,"average", AVERAGE(Instances!J299:J299),"median", MEDIAN(Instances!J299:J299),"min", MIN(Instances!J299:J299),"max", MAX(Instances!J299:J299),"diff", MAX(Instances!J299:J299)-MIN(Instances!J299:J299))</f>
        <v>6.44</v>
      </c>
      <c r="K299" s="1" t="n">
        <f aca="false" t="array" ref="K299:K299">_xlfn.SWITCH($A$2,"average", AVERAGE(Instances!K299:K299),"median", MEDIAN(Instances!K299:K299),"min", MIN(Instances!K299:K299),"max", MAX(Instances!K299:K299),"diff", MAX(Instances!K299:K299)-MIN(Instances!K299:K299))</f>
        <v>0</v>
      </c>
      <c r="L299" s="1"/>
      <c r="M299" s="1" t="n">
        <f aca="false" t="array" ref="M299:M299">_xlfn.SWITCH($A$2,"average", AVERAGE(Instances!M299:M299),"median", MEDIAN(Instances!M299:M299),"min", MIN(Instances!M299:M299),"max", MAX(Instances!M299:M299),"diff", MAX(Instances!M299:M299)-MIN(Instances!M299:M299))</f>
        <v>1482073</v>
      </c>
      <c r="N299" s="1" t="n">
        <f aca="false" t="array" ref="N299:N299">_xlfn.SWITCH($A$2,"average", AVERAGE(Instances!N299:N299),"median", MEDIAN(Instances!N299:N299),"min", MIN(Instances!N299:N299),"max", MAX(Instances!N299:N299),"diff", MAX(Instances!N299:N299)-MIN(Instances!N299:N299))</f>
        <v>0.04</v>
      </c>
      <c r="O299" s="1"/>
      <c r="P299" s="1" t="n">
        <f aca="false" t="array" ref="P299:P299">_xlfn.SWITCH($A$2,"average", AVERAGE(Instances!P299:P299),"median", MEDIAN(Instances!P299:P299),"min", MIN(Instances!P299:P299),"max", MAX(Instances!P299:P299),"diff", MAX(Instances!P299:P299)-MIN(Instances!P299:P299))</f>
        <v>6.44</v>
      </c>
      <c r="Q299" s="1" t="n">
        <f aca="false" t="array" ref="Q299:Q299">_xlfn.SWITCH($A$2,"average", AVERAGE(Instances!Q299:Q299),"median", MEDIAN(Instances!Q299:Q299),"min", MIN(Instances!Q299:Q299),"max", MAX(Instances!Q299:Q299),"diff", MAX(Instances!Q299:Q299)-MIN(Instances!Q299:Q299))</f>
        <v>0</v>
      </c>
      <c r="R299" s="1" t="n">
        <f aca="false" t="array" ref="R299:R299">_xlfn.SWITCH($A$2,"average", AVERAGE(Instances!R299:R299),"median", MEDIAN(Instances!R299:R299),"min", MIN(Instances!R299:R299),"max", MAX(Instances!R299:R299),"diff", MAX(Instances!R299:R299)-MIN(Instances!R299:R299))</f>
        <v>491835</v>
      </c>
      <c r="S299" s="1" t="n">
        <f aca="false">MIN($B299)</f>
        <v>2610</v>
      </c>
      <c r="T299" s="1" t="n">
        <f aca="false">MIN($C299)</f>
        <v>0</v>
      </c>
      <c r="U299" s="1" t="n">
        <f aca="false">MIN($D299)</f>
        <v>507424</v>
      </c>
      <c r="V299" s="1" t="n">
        <f aca="false">MIN($E299)</f>
        <v>0</v>
      </c>
      <c r="W299" s="1" t="n">
        <f aca="false">MIN($F299)</f>
        <v>498</v>
      </c>
      <c r="X299" s="1" t="n">
        <f aca="false">MIN($G299)</f>
        <v>0</v>
      </c>
      <c r="Y299" s="1" t="n">
        <f aca="false">MIN($H299)</f>
        <v>1</v>
      </c>
      <c r="Z299" s="1" t="n">
        <f aca="false">MIN($I299)</f>
        <v>6.254</v>
      </c>
      <c r="AA299" s="1" t="n">
        <f aca="false">MIN($J299)</f>
        <v>6.44</v>
      </c>
      <c r="AB299" s="1" t="n">
        <f aca="false">MIN($K299)</f>
        <v>0</v>
      </c>
      <c r="AC299" s="1" t="n">
        <f aca="false">MIN($M299)</f>
        <v>1482073</v>
      </c>
      <c r="AD299" s="1" t="n">
        <f aca="false">MIN($N299)</f>
        <v>0.04</v>
      </c>
      <c r="AE299" s="1" t="n">
        <f aca="false">MIN($P299)</f>
        <v>6.44</v>
      </c>
      <c r="AF299" s="1" t="n">
        <f aca="false">MIN($Q299)</f>
        <v>0</v>
      </c>
      <c r="AG299" s="1" t="n">
        <f aca="false">MIN($R299)</f>
        <v>491835</v>
      </c>
      <c r="AH299" s="1" t="n">
        <f aca="false">MEDIAN($B299)</f>
        <v>2610</v>
      </c>
      <c r="AI299" s="1" t="n">
        <f aca="false">MEDIAN($C299)</f>
        <v>0</v>
      </c>
      <c r="AJ299" s="1" t="n">
        <f aca="false">MEDIAN($D299)</f>
        <v>507424</v>
      </c>
      <c r="AK299" s="1" t="n">
        <f aca="false">MEDIAN($E299)</f>
        <v>0</v>
      </c>
      <c r="AL299" s="1" t="n">
        <f aca="false">MEDIAN($F299)</f>
        <v>498</v>
      </c>
      <c r="AM299" s="1" t="n">
        <f aca="false">MEDIAN($G299)</f>
        <v>0</v>
      </c>
      <c r="AN299" s="1" t="n">
        <f aca="false">MEDIAN($H299)</f>
        <v>1</v>
      </c>
      <c r="AO299" s="1" t="n">
        <f aca="false">MEDIAN($I299)</f>
        <v>6.254</v>
      </c>
      <c r="AP299" s="1" t="n">
        <f aca="false">MEDIAN($J299)</f>
        <v>6.44</v>
      </c>
      <c r="AQ299" s="1" t="n">
        <f aca="false">MEDIAN($K299)</f>
        <v>0</v>
      </c>
      <c r="AR299" s="1" t="n">
        <f aca="false">MEDIAN($M299)</f>
        <v>1482073</v>
      </c>
      <c r="AS299" s="1" t="n">
        <f aca="false">MEDIAN($N299)</f>
        <v>0.04</v>
      </c>
      <c r="AT299" s="1" t="n">
        <f aca="false">MEDIAN($P299)</f>
        <v>6.44</v>
      </c>
      <c r="AU299" s="1" t="n">
        <f aca="false">MEDIAN($Q299)</f>
        <v>0</v>
      </c>
      <c r="AV299" s="1" t="n">
        <f aca="false">MEDIAN($R299)</f>
        <v>491835</v>
      </c>
      <c r="AW299" s="1" t="n">
        <f aca="false">MAX($B299)</f>
        <v>2610</v>
      </c>
      <c r="AX299" s="1" t="n">
        <f aca="false">MAX($C299)</f>
        <v>0</v>
      </c>
      <c r="AY299" s="1" t="n">
        <f aca="false">MAX($D299)</f>
        <v>507424</v>
      </c>
      <c r="AZ299" s="1" t="n">
        <f aca="false">MAX($E299)</f>
        <v>0</v>
      </c>
      <c r="BA299" s="1" t="n">
        <f aca="false">MAX($F299)</f>
        <v>498</v>
      </c>
      <c r="BB299" s="1" t="n">
        <f aca="false">MAX($G299)</f>
        <v>0</v>
      </c>
      <c r="BC299" s="1" t="n">
        <f aca="false">MAX($H299)</f>
        <v>1</v>
      </c>
      <c r="BD299" s="1" t="n">
        <f aca="false">MAX($I299)</f>
        <v>6.254</v>
      </c>
      <c r="BE299" s="1" t="n">
        <f aca="false">MAX($J299)</f>
        <v>6.44</v>
      </c>
      <c r="BF299" s="1" t="n">
        <f aca="false">MAX($K299)</f>
        <v>0</v>
      </c>
      <c r="BG299" s="1" t="n">
        <f aca="false">MAX($M299)</f>
        <v>1482073</v>
      </c>
      <c r="BH299" s="1" t="n">
        <f aca="false">MAX($N299)</f>
        <v>0.04</v>
      </c>
      <c r="BI299" s="1" t="n">
        <f aca="false">MAX($P299)</f>
        <v>6.44</v>
      </c>
      <c r="BJ299" s="1" t="n">
        <f aca="false">MAX($Q299)</f>
        <v>0</v>
      </c>
      <c r="BK299" s="1" t="n">
        <f aca="false">MAX($R299)</f>
        <v>491835</v>
      </c>
    </row>
    <row r="300" customFormat="false" ht="15" hidden="false" customHeight="false" outlineLevel="0" collapsed="false">
      <c r="A300" s="1" t="s">
        <v>317</v>
      </c>
      <c r="B300" s="1" t="n">
        <f aca="false" t="array" ref="B300:B300">_xlfn.SWITCH($A$2,"average", AVERAGE(Instances!B300:B300),"median", MEDIAN(Instances!B300:B300),"min", MIN(Instances!B300:B300),"max", MAX(Instances!B300:B300),"diff", MAX(Instances!B300:B300)-MIN(Instances!B300:B300))</f>
        <v>1910</v>
      </c>
      <c r="C300" s="1" t="n">
        <f aca="false" t="array" ref="C300:C300">_xlfn.SWITCH($A$2,"average", AVERAGE(Instances!C300:C300),"median", MEDIAN(Instances!C300:C300),"min", MIN(Instances!C300:C300),"max", MAX(Instances!C300:C300),"diff", MAX(Instances!C300:C300)-MIN(Instances!C300:C300))</f>
        <v>0</v>
      </c>
      <c r="D300" s="1" t="n">
        <f aca="false" t="array" ref="D300:D300">_xlfn.SWITCH($A$2,"average", AVERAGE(Instances!D300:D300),"median", MEDIAN(Instances!D300:D300),"min", MIN(Instances!D300:D300),"max", MAX(Instances!D300:D300),"diff", MAX(Instances!D300:D300)-MIN(Instances!D300:D300))</f>
        <v>531208</v>
      </c>
      <c r="E300" s="1" t="n">
        <f aca="false" t="array" ref="E300:E300">_xlfn.SWITCH($A$2,"average", AVERAGE(Instances!E300:E300),"median", MEDIAN(Instances!E300:E300),"min", MIN(Instances!E300:E300),"max", MAX(Instances!E300:E300),"diff", MAX(Instances!E300:E300)-MIN(Instances!E300:E300))</f>
        <v>0</v>
      </c>
      <c r="F300" s="1" t="n">
        <f aca="false" t="array" ref="F300:F300">_xlfn.SWITCH($A$2,"average", AVERAGE(Instances!F300:F300),"median", MEDIAN(Instances!F300:F300),"min", MIN(Instances!F300:F300),"max", MAX(Instances!F300:F300),"diff", MAX(Instances!F300:F300)-MIN(Instances!F300:F300))</f>
        <v>567</v>
      </c>
      <c r="G300" s="1" t="n">
        <f aca="false" t="array" ref="G300:G300">_xlfn.SWITCH($A$2,"average", AVERAGE(Instances!G300:G300),"median", MEDIAN(Instances!G300:G300),"min", MIN(Instances!G300:G300),"max", MAX(Instances!G300:G300),"diff", MAX(Instances!G300:G300)-MIN(Instances!G300:G300))</f>
        <v>0</v>
      </c>
      <c r="H300" s="1" t="n">
        <f aca="false" t="array" ref="H300:H300">_xlfn.SWITCH($A$2,"average", AVERAGE(Instances!H300:H300),"median", MEDIAN(Instances!H300:H300),"min", MIN(Instances!H300:H300),"max", MAX(Instances!H300:H300),"diff", MAX(Instances!H300:H300)-MIN(Instances!H300:H300))</f>
        <v>1</v>
      </c>
      <c r="I300" s="1" t="n">
        <f aca="false" t="array" ref="I300:I300">_xlfn.SWITCH($A$2,"average", AVERAGE(Instances!I300:I300),"median", MEDIAN(Instances!I300:I300),"min", MIN(Instances!I300:I300),"max", MAX(Instances!I300:I300),"diff", MAX(Instances!I300:I300)-MIN(Instances!I300:I300))</f>
        <v>7.491</v>
      </c>
      <c r="J300" s="1" t="n">
        <f aca="false" t="array" ref="J300:J300">_xlfn.SWITCH($A$2,"average", AVERAGE(Instances!J300:J300),"median", MEDIAN(Instances!J300:J300),"min", MIN(Instances!J300:J300),"max", MAX(Instances!J300:J300),"diff", MAX(Instances!J300:J300)-MIN(Instances!J300:J300))</f>
        <v>7.7</v>
      </c>
      <c r="K300" s="1" t="n">
        <f aca="false" t="array" ref="K300:K300">_xlfn.SWITCH($A$2,"average", AVERAGE(Instances!K300:K300),"median", MEDIAN(Instances!K300:K300),"min", MIN(Instances!K300:K300),"max", MAX(Instances!K300:K300),"diff", MAX(Instances!K300:K300)-MIN(Instances!K300:K300))</f>
        <v>0</v>
      </c>
      <c r="L300" s="1"/>
      <c r="M300" s="1" t="n">
        <f aca="false" t="array" ref="M300:M300">_xlfn.SWITCH($A$2,"average", AVERAGE(Instances!M300:M300),"median", MEDIAN(Instances!M300:M300),"min", MIN(Instances!M300:M300),"max", MAX(Instances!M300:M300),"diff", MAX(Instances!M300:M300)-MIN(Instances!M300:M300))</f>
        <v>1748156</v>
      </c>
      <c r="N300" s="1" t="n">
        <f aca="false" t="array" ref="N300:N300">_xlfn.SWITCH($A$2,"average", AVERAGE(Instances!N300:N300),"median", MEDIAN(Instances!N300:N300),"min", MIN(Instances!N300:N300),"max", MAX(Instances!N300:N300),"diff", MAX(Instances!N300:N300)-MIN(Instances!N300:N300))</f>
        <v>0.04</v>
      </c>
      <c r="O300" s="1"/>
      <c r="P300" s="1" t="n">
        <f aca="false" t="array" ref="P300:P300">_xlfn.SWITCH($A$2,"average", AVERAGE(Instances!P300:P300),"median", MEDIAN(Instances!P300:P300),"min", MIN(Instances!P300:P300),"max", MAX(Instances!P300:P300),"diff", MAX(Instances!P300:P300)-MIN(Instances!P300:P300))</f>
        <v>7.7</v>
      </c>
      <c r="Q300" s="1" t="n">
        <f aca="false" t="array" ref="Q300:Q300">_xlfn.SWITCH($A$2,"average", AVERAGE(Instances!Q300:Q300),"median", MEDIAN(Instances!Q300:Q300),"min", MIN(Instances!Q300:Q300),"max", MAX(Instances!Q300:Q300),"diff", MAX(Instances!Q300:Q300)-MIN(Instances!Q300:Q300))</f>
        <v>0</v>
      </c>
      <c r="R300" s="1" t="n">
        <f aca="false" t="array" ref="R300:R300">_xlfn.SWITCH($A$2,"average", AVERAGE(Instances!R300:R300),"median", MEDIAN(Instances!R300:R300),"min", MIN(Instances!R300:R300),"max", MAX(Instances!R300:R300),"diff", MAX(Instances!R300:R300)-MIN(Instances!R300:R300))</f>
        <v>566364</v>
      </c>
      <c r="S300" s="1" t="n">
        <f aca="false">MIN($B300)</f>
        <v>1910</v>
      </c>
      <c r="T300" s="1" t="n">
        <f aca="false">MIN($C300)</f>
        <v>0</v>
      </c>
      <c r="U300" s="1" t="n">
        <f aca="false">MIN($D300)</f>
        <v>531208</v>
      </c>
      <c r="V300" s="1" t="n">
        <f aca="false">MIN($E300)</f>
        <v>0</v>
      </c>
      <c r="W300" s="1" t="n">
        <f aca="false">MIN($F300)</f>
        <v>567</v>
      </c>
      <c r="X300" s="1" t="n">
        <f aca="false">MIN($G300)</f>
        <v>0</v>
      </c>
      <c r="Y300" s="1" t="n">
        <f aca="false">MIN($H300)</f>
        <v>1</v>
      </c>
      <c r="Z300" s="1" t="n">
        <f aca="false">MIN($I300)</f>
        <v>7.491</v>
      </c>
      <c r="AA300" s="1" t="n">
        <f aca="false">MIN($J300)</f>
        <v>7.7</v>
      </c>
      <c r="AB300" s="1" t="n">
        <f aca="false">MIN($K300)</f>
        <v>0</v>
      </c>
      <c r="AC300" s="1" t="n">
        <f aca="false">MIN($M300)</f>
        <v>1748156</v>
      </c>
      <c r="AD300" s="1" t="n">
        <f aca="false">MIN($N300)</f>
        <v>0.04</v>
      </c>
      <c r="AE300" s="1" t="n">
        <f aca="false">MIN($P300)</f>
        <v>7.7</v>
      </c>
      <c r="AF300" s="1" t="n">
        <f aca="false">MIN($Q300)</f>
        <v>0</v>
      </c>
      <c r="AG300" s="1" t="n">
        <f aca="false">MIN($R300)</f>
        <v>566364</v>
      </c>
      <c r="AH300" s="1" t="n">
        <f aca="false">MEDIAN($B300)</f>
        <v>1910</v>
      </c>
      <c r="AI300" s="1" t="n">
        <f aca="false">MEDIAN($C300)</f>
        <v>0</v>
      </c>
      <c r="AJ300" s="1" t="n">
        <f aca="false">MEDIAN($D300)</f>
        <v>531208</v>
      </c>
      <c r="AK300" s="1" t="n">
        <f aca="false">MEDIAN($E300)</f>
        <v>0</v>
      </c>
      <c r="AL300" s="1" t="n">
        <f aca="false">MEDIAN($F300)</f>
        <v>567</v>
      </c>
      <c r="AM300" s="1" t="n">
        <f aca="false">MEDIAN($G300)</f>
        <v>0</v>
      </c>
      <c r="AN300" s="1" t="n">
        <f aca="false">MEDIAN($H300)</f>
        <v>1</v>
      </c>
      <c r="AO300" s="1" t="n">
        <f aca="false">MEDIAN($I300)</f>
        <v>7.491</v>
      </c>
      <c r="AP300" s="1" t="n">
        <f aca="false">MEDIAN($J300)</f>
        <v>7.7</v>
      </c>
      <c r="AQ300" s="1" t="n">
        <f aca="false">MEDIAN($K300)</f>
        <v>0</v>
      </c>
      <c r="AR300" s="1" t="n">
        <f aca="false">MEDIAN($M300)</f>
        <v>1748156</v>
      </c>
      <c r="AS300" s="1" t="n">
        <f aca="false">MEDIAN($N300)</f>
        <v>0.04</v>
      </c>
      <c r="AT300" s="1" t="n">
        <f aca="false">MEDIAN($P300)</f>
        <v>7.7</v>
      </c>
      <c r="AU300" s="1" t="n">
        <f aca="false">MEDIAN($Q300)</f>
        <v>0</v>
      </c>
      <c r="AV300" s="1" t="n">
        <f aca="false">MEDIAN($R300)</f>
        <v>566364</v>
      </c>
      <c r="AW300" s="1" t="n">
        <f aca="false">MAX($B300)</f>
        <v>1910</v>
      </c>
      <c r="AX300" s="1" t="n">
        <f aca="false">MAX($C300)</f>
        <v>0</v>
      </c>
      <c r="AY300" s="1" t="n">
        <f aca="false">MAX($D300)</f>
        <v>531208</v>
      </c>
      <c r="AZ300" s="1" t="n">
        <f aca="false">MAX($E300)</f>
        <v>0</v>
      </c>
      <c r="BA300" s="1" t="n">
        <f aca="false">MAX($F300)</f>
        <v>567</v>
      </c>
      <c r="BB300" s="1" t="n">
        <f aca="false">MAX($G300)</f>
        <v>0</v>
      </c>
      <c r="BC300" s="1" t="n">
        <f aca="false">MAX($H300)</f>
        <v>1</v>
      </c>
      <c r="BD300" s="1" t="n">
        <f aca="false">MAX($I300)</f>
        <v>7.491</v>
      </c>
      <c r="BE300" s="1" t="n">
        <f aca="false">MAX($J300)</f>
        <v>7.7</v>
      </c>
      <c r="BF300" s="1" t="n">
        <f aca="false">MAX($K300)</f>
        <v>0</v>
      </c>
      <c r="BG300" s="1" t="n">
        <f aca="false">MAX($M300)</f>
        <v>1748156</v>
      </c>
      <c r="BH300" s="1" t="n">
        <f aca="false">MAX($N300)</f>
        <v>0.04</v>
      </c>
      <c r="BI300" s="1" t="n">
        <f aca="false">MAX($P300)</f>
        <v>7.7</v>
      </c>
      <c r="BJ300" s="1" t="n">
        <f aca="false">MAX($Q300)</f>
        <v>0</v>
      </c>
      <c r="BK300" s="1" t="n">
        <f aca="false">MAX($R300)</f>
        <v>566364</v>
      </c>
    </row>
    <row r="301" customFormat="false" ht="15" hidden="false" customHeight="false" outlineLevel="0" collapsed="false">
      <c r="A301" s="1" t="s">
        <v>318</v>
      </c>
      <c r="B301" s="1" t="n">
        <f aca="false" t="array" ref="B301:B301">_xlfn.SWITCH($A$2,"average", AVERAGE(Instances!B301:B301),"median", MEDIAN(Instances!B301:B301),"min", MIN(Instances!B301:B301),"max", MAX(Instances!B301:B301),"diff", MAX(Instances!B301:B301)-MIN(Instances!B301:B301))</f>
        <v>2156</v>
      </c>
      <c r="C301" s="1" t="n">
        <f aca="false" t="array" ref="C301:C301">_xlfn.SWITCH($A$2,"average", AVERAGE(Instances!C301:C301),"median", MEDIAN(Instances!C301:C301),"min", MIN(Instances!C301:C301),"max", MAX(Instances!C301:C301),"diff", MAX(Instances!C301:C301)-MIN(Instances!C301:C301))</f>
        <v>0</v>
      </c>
      <c r="D301" s="1" t="n">
        <f aca="false" t="array" ref="D301:D301">_xlfn.SWITCH($A$2,"average", AVERAGE(Instances!D301:D301),"median", MEDIAN(Instances!D301:D301),"min", MIN(Instances!D301:D301),"max", MAX(Instances!D301:D301),"diff", MAX(Instances!D301:D301)-MIN(Instances!D301:D301))</f>
        <v>689042</v>
      </c>
      <c r="E301" s="1" t="n">
        <f aca="false" t="array" ref="E301:E301">_xlfn.SWITCH($A$2,"average", AVERAGE(Instances!E301:E301),"median", MEDIAN(Instances!E301:E301),"min", MIN(Instances!E301:E301),"max", MAX(Instances!E301:E301),"diff", MAX(Instances!E301:E301)-MIN(Instances!E301:E301))</f>
        <v>0</v>
      </c>
      <c r="F301" s="1" t="n">
        <f aca="false" t="array" ref="F301:F301">_xlfn.SWITCH($A$2,"average", AVERAGE(Instances!F301:F301),"median", MEDIAN(Instances!F301:F301),"min", MIN(Instances!F301:F301),"max", MAX(Instances!F301:F301),"diff", MAX(Instances!F301:F301)-MIN(Instances!F301:F301))</f>
        <v>515</v>
      </c>
      <c r="G301" s="1" t="n">
        <f aca="false" t="array" ref="G301:G301">_xlfn.SWITCH($A$2,"average", AVERAGE(Instances!G301:G301),"median", MEDIAN(Instances!G301:G301),"min", MIN(Instances!G301:G301),"max", MAX(Instances!G301:G301),"diff", MAX(Instances!G301:G301)-MIN(Instances!G301:G301))</f>
        <v>0</v>
      </c>
      <c r="H301" s="1" t="n">
        <f aca="false" t="array" ref="H301:H301">_xlfn.SWITCH($A$2,"average", AVERAGE(Instances!H301:H301),"median", MEDIAN(Instances!H301:H301),"min", MIN(Instances!H301:H301),"max", MAX(Instances!H301:H301),"diff", MAX(Instances!H301:H301)-MIN(Instances!H301:H301))</f>
        <v>1</v>
      </c>
      <c r="I301" s="1" t="n">
        <f aca="false" t="array" ref="I301:I301">_xlfn.SWITCH($A$2,"average", AVERAGE(Instances!I301:I301),"median", MEDIAN(Instances!I301:I301),"min", MIN(Instances!I301:I301),"max", MAX(Instances!I301:I301),"diff", MAX(Instances!I301:I301)-MIN(Instances!I301:I301))</f>
        <v>6.547</v>
      </c>
      <c r="J301" s="1" t="n">
        <f aca="false" t="array" ref="J301:J301">_xlfn.SWITCH($A$2,"average", AVERAGE(Instances!J301:J301),"median", MEDIAN(Instances!J301:J301),"min", MIN(Instances!J301:J301),"max", MAX(Instances!J301:J301),"diff", MAX(Instances!J301:J301)-MIN(Instances!J301:J301))</f>
        <v>6.73</v>
      </c>
      <c r="K301" s="1" t="n">
        <f aca="false" t="array" ref="K301:K301">_xlfn.SWITCH($A$2,"average", AVERAGE(Instances!K301:K301),"median", MEDIAN(Instances!K301:K301),"min", MIN(Instances!K301:K301),"max", MAX(Instances!K301:K301),"diff", MAX(Instances!K301:K301)-MIN(Instances!K301:K301))</f>
        <v>0</v>
      </c>
      <c r="L301" s="1"/>
      <c r="M301" s="1" t="n">
        <f aca="false" t="array" ref="M301:M301">_xlfn.SWITCH($A$2,"average", AVERAGE(Instances!M301:M301),"median", MEDIAN(Instances!M301:M301),"min", MIN(Instances!M301:M301),"max", MAX(Instances!M301:M301),"diff", MAX(Instances!M301:M301)-MIN(Instances!M301:M301))</f>
        <v>1544848</v>
      </c>
      <c r="N301" s="1" t="n">
        <f aca="false" t="array" ref="N301:N301">_xlfn.SWITCH($A$2,"average", AVERAGE(Instances!N301:N301),"median", MEDIAN(Instances!N301:N301),"min", MIN(Instances!N301:N301),"max", MAX(Instances!N301:N301),"diff", MAX(Instances!N301:N301)-MIN(Instances!N301:N301))</f>
        <v>0.05</v>
      </c>
      <c r="O301" s="1"/>
      <c r="P301" s="1" t="n">
        <f aca="false" t="array" ref="P301:P301">_xlfn.SWITCH($A$2,"average", AVERAGE(Instances!P301:P301),"median", MEDIAN(Instances!P301:P301),"min", MIN(Instances!P301:P301),"max", MAX(Instances!P301:P301),"diff", MAX(Instances!P301:P301)-MIN(Instances!P301:P301))</f>
        <v>6.73</v>
      </c>
      <c r="Q301" s="1" t="n">
        <f aca="false" t="array" ref="Q301:Q301">_xlfn.SWITCH($A$2,"average", AVERAGE(Instances!Q301:Q301),"median", MEDIAN(Instances!Q301:Q301),"min", MIN(Instances!Q301:Q301),"max", MAX(Instances!Q301:Q301),"diff", MAX(Instances!Q301:Q301)-MIN(Instances!Q301:Q301))</f>
        <v>0</v>
      </c>
      <c r="R301" s="1" t="n">
        <f aca="false" t="array" ref="R301:R301">_xlfn.SWITCH($A$2,"average", AVERAGE(Instances!R301:R301),"median", MEDIAN(Instances!R301:R301),"min", MIN(Instances!R301:R301),"max", MAX(Instances!R301:R301),"diff", MAX(Instances!R301:R301)-MIN(Instances!R301:R301))</f>
        <v>508312</v>
      </c>
      <c r="S301" s="1" t="n">
        <f aca="false">MIN($B301)</f>
        <v>2156</v>
      </c>
      <c r="T301" s="1" t="n">
        <f aca="false">MIN($C301)</f>
        <v>0</v>
      </c>
      <c r="U301" s="1" t="n">
        <f aca="false">MIN($D301)</f>
        <v>689042</v>
      </c>
      <c r="V301" s="1" t="n">
        <f aca="false">MIN($E301)</f>
        <v>0</v>
      </c>
      <c r="W301" s="1" t="n">
        <f aca="false">MIN($F301)</f>
        <v>515</v>
      </c>
      <c r="X301" s="1" t="n">
        <f aca="false">MIN($G301)</f>
        <v>0</v>
      </c>
      <c r="Y301" s="1" t="n">
        <f aca="false">MIN($H301)</f>
        <v>1</v>
      </c>
      <c r="Z301" s="1" t="n">
        <f aca="false">MIN($I301)</f>
        <v>6.547</v>
      </c>
      <c r="AA301" s="1" t="n">
        <f aca="false">MIN($J301)</f>
        <v>6.73</v>
      </c>
      <c r="AB301" s="1" t="n">
        <f aca="false">MIN($K301)</f>
        <v>0</v>
      </c>
      <c r="AC301" s="1" t="n">
        <f aca="false">MIN($M301)</f>
        <v>1544848</v>
      </c>
      <c r="AD301" s="1" t="n">
        <f aca="false">MIN($N301)</f>
        <v>0.05</v>
      </c>
      <c r="AE301" s="1" t="n">
        <f aca="false">MIN($P301)</f>
        <v>6.73</v>
      </c>
      <c r="AF301" s="1" t="n">
        <f aca="false">MIN($Q301)</f>
        <v>0</v>
      </c>
      <c r="AG301" s="1" t="n">
        <f aca="false">MIN($R301)</f>
        <v>508312</v>
      </c>
      <c r="AH301" s="1" t="n">
        <f aca="false">MEDIAN($B301)</f>
        <v>2156</v>
      </c>
      <c r="AI301" s="1" t="n">
        <f aca="false">MEDIAN($C301)</f>
        <v>0</v>
      </c>
      <c r="AJ301" s="1" t="n">
        <f aca="false">MEDIAN($D301)</f>
        <v>689042</v>
      </c>
      <c r="AK301" s="1" t="n">
        <f aca="false">MEDIAN($E301)</f>
        <v>0</v>
      </c>
      <c r="AL301" s="1" t="n">
        <f aca="false">MEDIAN($F301)</f>
        <v>515</v>
      </c>
      <c r="AM301" s="1" t="n">
        <f aca="false">MEDIAN($G301)</f>
        <v>0</v>
      </c>
      <c r="AN301" s="1" t="n">
        <f aca="false">MEDIAN($H301)</f>
        <v>1</v>
      </c>
      <c r="AO301" s="1" t="n">
        <f aca="false">MEDIAN($I301)</f>
        <v>6.547</v>
      </c>
      <c r="AP301" s="1" t="n">
        <f aca="false">MEDIAN($J301)</f>
        <v>6.73</v>
      </c>
      <c r="AQ301" s="1" t="n">
        <f aca="false">MEDIAN($K301)</f>
        <v>0</v>
      </c>
      <c r="AR301" s="1" t="n">
        <f aca="false">MEDIAN($M301)</f>
        <v>1544848</v>
      </c>
      <c r="AS301" s="1" t="n">
        <f aca="false">MEDIAN($N301)</f>
        <v>0.05</v>
      </c>
      <c r="AT301" s="1" t="n">
        <f aca="false">MEDIAN($P301)</f>
        <v>6.73</v>
      </c>
      <c r="AU301" s="1" t="n">
        <f aca="false">MEDIAN($Q301)</f>
        <v>0</v>
      </c>
      <c r="AV301" s="1" t="n">
        <f aca="false">MEDIAN($R301)</f>
        <v>508312</v>
      </c>
      <c r="AW301" s="1" t="n">
        <f aca="false">MAX($B301)</f>
        <v>2156</v>
      </c>
      <c r="AX301" s="1" t="n">
        <f aca="false">MAX($C301)</f>
        <v>0</v>
      </c>
      <c r="AY301" s="1" t="n">
        <f aca="false">MAX($D301)</f>
        <v>689042</v>
      </c>
      <c r="AZ301" s="1" t="n">
        <f aca="false">MAX($E301)</f>
        <v>0</v>
      </c>
      <c r="BA301" s="1" t="n">
        <f aca="false">MAX($F301)</f>
        <v>515</v>
      </c>
      <c r="BB301" s="1" t="n">
        <f aca="false">MAX($G301)</f>
        <v>0</v>
      </c>
      <c r="BC301" s="1" t="n">
        <f aca="false">MAX($H301)</f>
        <v>1</v>
      </c>
      <c r="BD301" s="1" t="n">
        <f aca="false">MAX($I301)</f>
        <v>6.547</v>
      </c>
      <c r="BE301" s="1" t="n">
        <f aca="false">MAX($J301)</f>
        <v>6.73</v>
      </c>
      <c r="BF301" s="1" t="n">
        <f aca="false">MAX($K301)</f>
        <v>0</v>
      </c>
      <c r="BG301" s="1" t="n">
        <f aca="false">MAX($M301)</f>
        <v>1544848</v>
      </c>
      <c r="BH301" s="1" t="n">
        <f aca="false">MAX($N301)</f>
        <v>0.05</v>
      </c>
      <c r="BI301" s="1" t="n">
        <f aca="false">MAX($P301)</f>
        <v>6.73</v>
      </c>
      <c r="BJ301" s="1" t="n">
        <f aca="false">MAX($Q301)</f>
        <v>0</v>
      </c>
      <c r="BK301" s="1" t="n">
        <f aca="false">MAX($R301)</f>
        <v>508312</v>
      </c>
    </row>
    <row r="302" customFormat="false" ht="15" hidden="false" customHeight="false" outlineLevel="0" collapsed="false">
      <c r="A302" s="1" t="s">
        <v>319</v>
      </c>
      <c r="B302" s="1" t="n">
        <f aca="false" t="array" ref="B302:B302">_xlfn.SWITCH($A$2,"average", AVERAGE(Instances!B302:B302),"median", MEDIAN(Instances!B302:B302),"min", MIN(Instances!B302:B302),"max", MAX(Instances!B302:B302),"diff", MAX(Instances!B302:B302)-MIN(Instances!B302:B302))</f>
        <v>2942</v>
      </c>
      <c r="C302" s="1" t="n">
        <f aca="false" t="array" ref="C302:C302">_xlfn.SWITCH($A$2,"average", AVERAGE(Instances!C302:C302),"median", MEDIAN(Instances!C302:C302),"min", MIN(Instances!C302:C302),"max", MAX(Instances!C302:C302),"diff", MAX(Instances!C302:C302)-MIN(Instances!C302:C302))</f>
        <v>43</v>
      </c>
      <c r="D302" s="1" t="n">
        <f aca="false" t="array" ref="D302:D302">_xlfn.SWITCH($A$2,"average", AVERAGE(Instances!D302:D302),"median", MEDIAN(Instances!D302:D302),"min", MIN(Instances!D302:D302),"max", MAX(Instances!D302:D302),"diff", MAX(Instances!D302:D302)-MIN(Instances!D302:D302))</f>
        <v>605004</v>
      </c>
      <c r="E302" s="1" t="n">
        <f aca="false" t="array" ref="E302:E302">_xlfn.SWITCH($A$2,"average", AVERAGE(Instances!E302:E302),"median", MEDIAN(Instances!E302:E302),"min", MIN(Instances!E302:E302),"max", MAX(Instances!E302:E302),"diff", MAX(Instances!E302:E302)-MIN(Instances!E302:E302))</f>
        <v>0</v>
      </c>
      <c r="F302" s="1" t="n">
        <f aca="false" t="array" ref="F302:F302">_xlfn.SWITCH($A$2,"average", AVERAGE(Instances!F302:F302),"median", MEDIAN(Instances!F302:F302),"min", MIN(Instances!F302:F302),"max", MAX(Instances!F302:F302),"diff", MAX(Instances!F302:F302)-MIN(Instances!F302:F302))</f>
        <v>565</v>
      </c>
      <c r="G302" s="1" t="n">
        <f aca="false" t="array" ref="G302:G302">_xlfn.SWITCH($A$2,"average", AVERAGE(Instances!G302:G302),"median", MEDIAN(Instances!G302:G302),"min", MIN(Instances!G302:G302),"max", MAX(Instances!G302:G302),"diff", MAX(Instances!G302:G302)-MIN(Instances!G302:G302))</f>
        <v>0</v>
      </c>
      <c r="H302" s="1" t="n">
        <f aca="false" t="array" ref="H302:H302">_xlfn.SWITCH($A$2,"average", AVERAGE(Instances!H302:H302),"median", MEDIAN(Instances!H302:H302),"min", MIN(Instances!H302:H302),"max", MAX(Instances!H302:H302),"diff", MAX(Instances!H302:H302)-MIN(Instances!H302:H302))</f>
        <v>1</v>
      </c>
      <c r="I302" s="1" t="n">
        <f aca="false" t="array" ref="I302:I302">_xlfn.SWITCH($A$2,"average", AVERAGE(Instances!I302:I302),"median", MEDIAN(Instances!I302:I302),"min", MIN(Instances!I302:I302),"max", MAX(Instances!I302:I302),"diff", MAX(Instances!I302:I302)-MIN(Instances!I302:I302))</f>
        <v>7.538</v>
      </c>
      <c r="J302" s="1" t="n">
        <f aca="false" t="array" ref="J302:J302">_xlfn.SWITCH($A$2,"average", AVERAGE(Instances!J302:J302),"median", MEDIAN(Instances!J302:J302),"min", MIN(Instances!J302:J302),"max", MAX(Instances!J302:J302),"diff", MAX(Instances!J302:J302)-MIN(Instances!J302:J302))</f>
        <v>7.75</v>
      </c>
      <c r="K302" s="1" t="n">
        <f aca="false" t="array" ref="K302:K302">_xlfn.SWITCH($A$2,"average", AVERAGE(Instances!K302:K302),"median", MEDIAN(Instances!K302:K302),"min", MIN(Instances!K302:K302),"max", MAX(Instances!K302:K302),"diff", MAX(Instances!K302:K302)-MIN(Instances!K302:K302))</f>
        <v>0</v>
      </c>
      <c r="L302" s="1"/>
      <c r="M302" s="1" t="n">
        <f aca="false" t="array" ref="M302:M302">_xlfn.SWITCH($A$2,"average", AVERAGE(Instances!M302:M302),"median", MEDIAN(Instances!M302:M302),"min", MIN(Instances!M302:M302),"max", MAX(Instances!M302:M302),"diff", MAX(Instances!M302:M302)-MIN(Instances!M302:M302))</f>
        <v>1724146</v>
      </c>
      <c r="N302" s="1" t="n">
        <f aca="false" t="array" ref="N302:N302">_xlfn.SWITCH($A$2,"average", AVERAGE(Instances!N302:N302),"median", MEDIAN(Instances!N302:N302),"min", MIN(Instances!N302:N302),"max", MAX(Instances!N302:N302),"diff", MAX(Instances!N302:N302)-MIN(Instances!N302:N302))</f>
        <v>0.08</v>
      </c>
      <c r="O302" s="1"/>
      <c r="P302" s="1" t="n">
        <f aca="false" t="array" ref="P302:P302">_xlfn.SWITCH($A$2,"average", AVERAGE(Instances!P302:P302),"median", MEDIAN(Instances!P302:P302),"min", MIN(Instances!P302:P302),"max", MAX(Instances!P302:P302),"diff", MAX(Instances!P302:P302)-MIN(Instances!P302:P302))</f>
        <v>7.75</v>
      </c>
      <c r="Q302" s="1" t="n">
        <f aca="false" t="array" ref="Q302:Q302">_xlfn.SWITCH($A$2,"average", AVERAGE(Instances!Q302:Q302),"median", MEDIAN(Instances!Q302:Q302),"min", MIN(Instances!Q302:Q302),"max", MAX(Instances!Q302:Q302),"diff", MAX(Instances!Q302:Q302)-MIN(Instances!Q302:Q302))</f>
        <v>0</v>
      </c>
      <c r="R302" s="1" t="n">
        <f aca="false" t="array" ref="R302:R302">_xlfn.SWITCH($A$2,"average", AVERAGE(Instances!R302:R302),"median", MEDIAN(Instances!R302:R302),"min", MIN(Instances!R302:R302),"max", MAX(Instances!R302:R302),"diff", MAX(Instances!R302:R302)-MIN(Instances!R302:R302))</f>
        <v>564431</v>
      </c>
      <c r="S302" s="1" t="n">
        <f aca="false">MIN($B302)</f>
        <v>2942</v>
      </c>
      <c r="T302" s="1" t="n">
        <f aca="false">MIN($C302)</f>
        <v>43</v>
      </c>
      <c r="U302" s="1" t="n">
        <f aca="false">MIN($D302)</f>
        <v>605004</v>
      </c>
      <c r="V302" s="1" t="n">
        <f aca="false">MIN($E302)</f>
        <v>0</v>
      </c>
      <c r="W302" s="1" t="n">
        <f aca="false">MIN($F302)</f>
        <v>565</v>
      </c>
      <c r="X302" s="1" t="n">
        <f aca="false">MIN($G302)</f>
        <v>0</v>
      </c>
      <c r="Y302" s="1" t="n">
        <f aca="false">MIN($H302)</f>
        <v>1</v>
      </c>
      <c r="Z302" s="1" t="n">
        <f aca="false">MIN($I302)</f>
        <v>7.538</v>
      </c>
      <c r="AA302" s="1" t="n">
        <f aca="false">MIN($J302)</f>
        <v>7.75</v>
      </c>
      <c r="AB302" s="1" t="n">
        <f aca="false">MIN($K302)</f>
        <v>0</v>
      </c>
      <c r="AC302" s="1" t="n">
        <f aca="false">MIN($M302)</f>
        <v>1724146</v>
      </c>
      <c r="AD302" s="1" t="n">
        <f aca="false">MIN($N302)</f>
        <v>0.08</v>
      </c>
      <c r="AE302" s="1" t="n">
        <f aca="false">MIN($P302)</f>
        <v>7.75</v>
      </c>
      <c r="AF302" s="1" t="n">
        <f aca="false">MIN($Q302)</f>
        <v>0</v>
      </c>
      <c r="AG302" s="1" t="n">
        <f aca="false">MIN($R302)</f>
        <v>564431</v>
      </c>
      <c r="AH302" s="1" t="n">
        <f aca="false">MEDIAN($B302)</f>
        <v>2942</v>
      </c>
      <c r="AI302" s="1" t="n">
        <f aca="false">MEDIAN($C302)</f>
        <v>43</v>
      </c>
      <c r="AJ302" s="1" t="n">
        <f aca="false">MEDIAN($D302)</f>
        <v>605004</v>
      </c>
      <c r="AK302" s="1" t="n">
        <f aca="false">MEDIAN($E302)</f>
        <v>0</v>
      </c>
      <c r="AL302" s="1" t="n">
        <f aca="false">MEDIAN($F302)</f>
        <v>565</v>
      </c>
      <c r="AM302" s="1" t="n">
        <f aca="false">MEDIAN($G302)</f>
        <v>0</v>
      </c>
      <c r="AN302" s="1" t="n">
        <f aca="false">MEDIAN($H302)</f>
        <v>1</v>
      </c>
      <c r="AO302" s="1" t="n">
        <f aca="false">MEDIAN($I302)</f>
        <v>7.538</v>
      </c>
      <c r="AP302" s="1" t="n">
        <f aca="false">MEDIAN($J302)</f>
        <v>7.75</v>
      </c>
      <c r="AQ302" s="1" t="n">
        <f aca="false">MEDIAN($K302)</f>
        <v>0</v>
      </c>
      <c r="AR302" s="1" t="n">
        <f aca="false">MEDIAN($M302)</f>
        <v>1724146</v>
      </c>
      <c r="AS302" s="1" t="n">
        <f aca="false">MEDIAN($N302)</f>
        <v>0.08</v>
      </c>
      <c r="AT302" s="1" t="n">
        <f aca="false">MEDIAN($P302)</f>
        <v>7.75</v>
      </c>
      <c r="AU302" s="1" t="n">
        <f aca="false">MEDIAN($Q302)</f>
        <v>0</v>
      </c>
      <c r="AV302" s="1" t="n">
        <f aca="false">MEDIAN($R302)</f>
        <v>564431</v>
      </c>
      <c r="AW302" s="1" t="n">
        <f aca="false">MAX($B302)</f>
        <v>2942</v>
      </c>
      <c r="AX302" s="1" t="n">
        <f aca="false">MAX($C302)</f>
        <v>43</v>
      </c>
      <c r="AY302" s="1" t="n">
        <f aca="false">MAX($D302)</f>
        <v>605004</v>
      </c>
      <c r="AZ302" s="1" t="n">
        <f aca="false">MAX($E302)</f>
        <v>0</v>
      </c>
      <c r="BA302" s="1" t="n">
        <f aca="false">MAX($F302)</f>
        <v>565</v>
      </c>
      <c r="BB302" s="1" t="n">
        <f aca="false">MAX($G302)</f>
        <v>0</v>
      </c>
      <c r="BC302" s="1" t="n">
        <f aca="false">MAX($H302)</f>
        <v>1</v>
      </c>
      <c r="BD302" s="1" t="n">
        <f aca="false">MAX($I302)</f>
        <v>7.538</v>
      </c>
      <c r="BE302" s="1" t="n">
        <f aca="false">MAX($J302)</f>
        <v>7.75</v>
      </c>
      <c r="BF302" s="1" t="n">
        <f aca="false">MAX($K302)</f>
        <v>0</v>
      </c>
      <c r="BG302" s="1" t="n">
        <f aca="false">MAX($M302)</f>
        <v>1724146</v>
      </c>
      <c r="BH302" s="1" t="n">
        <f aca="false">MAX($N302)</f>
        <v>0.08</v>
      </c>
      <c r="BI302" s="1" t="n">
        <f aca="false">MAX($P302)</f>
        <v>7.75</v>
      </c>
      <c r="BJ302" s="1" t="n">
        <f aca="false">MAX($Q302)</f>
        <v>0</v>
      </c>
      <c r="BK302" s="1" t="n">
        <f aca="false">MAX($R302)</f>
        <v>564431</v>
      </c>
    </row>
    <row r="303" customFormat="false" ht="15" hidden="false" customHeight="false" outlineLevel="0" collapsed="false">
      <c r="A303" s="1" t="s">
        <v>320</v>
      </c>
      <c r="B303" s="1" t="n">
        <f aca="false" t="array" ref="B303:B303">_xlfn.SWITCH($A$2,"average", AVERAGE(Instances!B303:B303),"median", MEDIAN(Instances!B303:B303),"min", MIN(Instances!B303:B303),"max", MAX(Instances!B303:B303),"diff", MAX(Instances!B303:B303)-MIN(Instances!B303:B303))</f>
        <v>2028</v>
      </c>
      <c r="C303" s="1" t="n">
        <f aca="false" t="array" ref="C303:C303">_xlfn.SWITCH($A$2,"average", AVERAGE(Instances!C303:C303),"median", MEDIAN(Instances!C303:C303),"min", MIN(Instances!C303:C303),"max", MAX(Instances!C303:C303),"diff", MAX(Instances!C303:C303)-MIN(Instances!C303:C303))</f>
        <v>0</v>
      </c>
      <c r="D303" s="1" t="n">
        <f aca="false" t="array" ref="D303:D303">_xlfn.SWITCH($A$2,"average", AVERAGE(Instances!D303:D303),"median", MEDIAN(Instances!D303:D303),"min", MIN(Instances!D303:D303),"max", MAX(Instances!D303:D303),"diff", MAX(Instances!D303:D303)-MIN(Instances!D303:D303))</f>
        <v>642606</v>
      </c>
      <c r="E303" s="1" t="n">
        <f aca="false" t="array" ref="E303:E303">_xlfn.SWITCH($A$2,"average", AVERAGE(Instances!E303:E303),"median", MEDIAN(Instances!E303:E303),"min", MIN(Instances!E303:E303),"max", MAX(Instances!E303:E303),"diff", MAX(Instances!E303:E303)-MIN(Instances!E303:E303))</f>
        <v>0</v>
      </c>
      <c r="F303" s="1" t="n">
        <f aca="false" t="array" ref="F303:F303">_xlfn.SWITCH($A$2,"average", AVERAGE(Instances!F303:F303),"median", MEDIAN(Instances!F303:F303),"min", MIN(Instances!F303:F303),"max", MAX(Instances!F303:F303),"diff", MAX(Instances!F303:F303)-MIN(Instances!F303:F303))</f>
        <v>497</v>
      </c>
      <c r="G303" s="1" t="n">
        <f aca="false" t="array" ref="G303:G303">_xlfn.SWITCH($A$2,"average", AVERAGE(Instances!G303:G303),"median", MEDIAN(Instances!G303:G303),"min", MIN(Instances!G303:G303),"max", MAX(Instances!G303:G303),"diff", MAX(Instances!G303:G303)-MIN(Instances!G303:G303))</f>
        <v>0</v>
      </c>
      <c r="H303" s="1" t="n">
        <f aca="false" t="array" ref="H303:H303">_xlfn.SWITCH($A$2,"average", AVERAGE(Instances!H303:H303),"median", MEDIAN(Instances!H303:H303),"min", MIN(Instances!H303:H303),"max", MAX(Instances!H303:H303),"diff", MAX(Instances!H303:H303)-MIN(Instances!H303:H303))</f>
        <v>1</v>
      </c>
      <c r="I303" s="1" t="n">
        <f aca="false" t="array" ref="I303:I303">_xlfn.SWITCH($A$2,"average", AVERAGE(Instances!I303:I303),"median", MEDIAN(Instances!I303:I303),"min", MIN(Instances!I303:I303),"max", MAX(Instances!I303:I303),"diff", MAX(Instances!I303:I303)-MIN(Instances!I303:I303))</f>
        <v>6.472</v>
      </c>
      <c r="J303" s="1" t="n">
        <f aca="false" t="array" ref="J303:J303">_xlfn.SWITCH($A$2,"average", AVERAGE(Instances!J303:J303),"median", MEDIAN(Instances!J303:J303),"min", MIN(Instances!J303:J303),"max", MAX(Instances!J303:J303),"diff", MAX(Instances!J303:J303)-MIN(Instances!J303:J303))</f>
        <v>6.66</v>
      </c>
      <c r="K303" s="1" t="n">
        <f aca="false" t="array" ref="K303:K303">_xlfn.SWITCH($A$2,"average", AVERAGE(Instances!K303:K303),"median", MEDIAN(Instances!K303:K303),"min", MIN(Instances!K303:K303),"max", MAX(Instances!K303:K303),"diff", MAX(Instances!K303:K303)-MIN(Instances!K303:K303))</f>
        <v>0</v>
      </c>
      <c r="L303" s="1"/>
      <c r="M303" s="1" t="n">
        <f aca="false" t="array" ref="M303:M303">_xlfn.SWITCH($A$2,"average", AVERAGE(Instances!M303:M303),"median", MEDIAN(Instances!M303:M303),"min", MIN(Instances!M303:M303),"max", MAX(Instances!M303:M303),"diff", MAX(Instances!M303:M303)-MIN(Instances!M303:M303))</f>
        <v>1499814</v>
      </c>
      <c r="N303" s="1" t="n">
        <f aca="false" t="array" ref="N303:N303">_xlfn.SWITCH($A$2,"average", AVERAGE(Instances!N303:N303),"median", MEDIAN(Instances!N303:N303),"min", MIN(Instances!N303:N303),"max", MAX(Instances!N303:N303),"diff", MAX(Instances!N303:N303)-MIN(Instances!N303:N303))</f>
        <v>0.05</v>
      </c>
      <c r="O303" s="1"/>
      <c r="P303" s="1" t="n">
        <f aca="false" t="array" ref="P303:P303">_xlfn.SWITCH($A$2,"average", AVERAGE(Instances!P303:P303),"median", MEDIAN(Instances!P303:P303),"min", MIN(Instances!P303:P303),"max", MAX(Instances!P303:P303),"diff", MAX(Instances!P303:P303)-MIN(Instances!P303:P303))</f>
        <v>6.66</v>
      </c>
      <c r="Q303" s="1" t="n">
        <f aca="false" t="array" ref="Q303:Q303">_xlfn.SWITCH($A$2,"average", AVERAGE(Instances!Q303:Q303),"median", MEDIAN(Instances!Q303:Q303),"min", MIN(Instances!Q303:Q303),"max", MAX(Instances!Q303:Q303),"diff", MAX(Instances!Q303:Q303)-MIN(Instances!Q303:Q303))</f>
        <v>0</v>
      </c>
      <c r="R303" s="1" t="n">
        <f aca="false" t="array" ref="R303:R303">_xlfn.SWITCH($A$2,"average", AVERAGE(Instances!R303:R303),"median", MEDIAN(Instances!R303:R303),"min", MIN(Instances!R303:R303),"max", MAX(Instances!R303:R303),"diff", MAX(Instances!R303:R303)-MIN(Instances!R303:R303))</f>
        <v>489897</v>
      </c>
      <c r="S303" s="1" t="n">
        <f aca="false">MIN($B303)</f>
        <v>2028</v>
      </c>
      <c r="T303" s="1" t="n">
        <f aca="false">MIN($C303)</f>
        <v>0</v>
      </c>
      <c r="U303" s="1" t="n">
        <f aca="false">MIN($D303)</f>
        <v>642606</v>
      </c>
      <c r="V303" s="1" t="n">
        <f aca="false">MIN($E303)</f>
        <v>0</v>
      </c>
      <c r="W303" s="1" t="n">
        <f aca="false">MIN($F303)</f>
        <v>497</v>
      </c>
      <c r="X303" s="1" t="n">
        <f aca="false">MIN($G303)</f>
        <v>0</v>
      </c>
      <c r="Y303" s="1" t="n">
        <f aca="false">MIN($H303)</f>
        <v>1</v>
      </c>
      <c r="Z303" s="1" t="n">
        <f aca="false">MIN($I303)</f>
        <v>6.472</v>
      </c>
      <c r="AA303" s="1" t="n">
        <f aca="false">MIN($J303)</f>
        <v>6.66</v>
      </c>
      <c r="AB303" s="1" t="n">
        <f aca="false">MIN($K303)</f>
        <v>0</v>
      </c>
      <c r="AC303" s="1" t="n">
        <f aca="false">MIN($M303)</f>
        <v>1499814</v>
      </c>
      <c r="AD303" s="1" t="n">
        <f aca="false">MIN($N303)</f>
        <v>0.05</v>
      </c>
      <c r="AE303" s="1" t="n">
        <f aca="false">MIN($P303)</f>
        <v>6.66</v>
      </c>
      <c r="AF303" s="1" t="n">
        <f aca="false">MIN($Q303)</f>
        <v>0</v>
      </c>
      <c r="AG303" s="1" t="n">
        <f aca="false">MIN($R303)</f>
        <v>489897</v>
      </c>
      <c r="AH303" s="1" t="n">
        <f aca="false">MEDIAN($B303)</f>
        <v>2028</v>
      </c>
      <c r="AI303" s="1" t="n">
        <f aca="false">MEDIAN($C303)</f>
        <v>0</v>
      </c>
      <c r="AJ303" s="1" t="n">
        <f aca="false">MEDIAN($D303)</f>
        <v>642606</v>
      </c>
      <c r="AK303" s="1" t="n">
        <f aca="false">MEDIAN($E303)</f>
        <v>0</v>
      </c>
      <c r="AL303" s="1" t="n">
        <f aca="false">MEDIAN($F303)</f>
        <v>497</v>
      </c>
      <c r="AM303" s="1" t="n">
        <f aca="false">MEDIAN($G303)</f>
        <v>0</v>
      </c>
      <c r="AN303" s="1" t="n">
        <f aca="false">MEDIAN($H303)</f>
        <v>1</v>
      </c>
      <c r="AO303" s="1" t="n">
        <f aca="false">MEDIAN($I303)</f>
        <v>6.472</v>
      </c>
      <c r="AP303" s="1" t="n">
        <f aca="false">MEDIAN($J303)</f>
        <v>6.66</v>
      </c>
      <c r="AQ303" s="1" t="n">
        <f aca="false">MEDIAN($K303)</f>
        <v>0</v>
      </c>
      <c r="AR303" s="1" t="n">
        <f aca="false">MEDIAN($M303)</f>
        <v>1499814</v>
      </c>
      <c r="AS303" s="1" t="n">
        <f aca="false">MEDIAN($N303)</f>
        <v>0.05</v>
      </c>
      <c r="AT303" s="1" t="n">
        <f aca="false">MEDIAN($P303)</f>
        <v>6.66</v>
      </c>
      <c r="AU303" s="1" t="n">
        <f aca="false">MEDIAN($Q303)</f>
        <v>0</v>
      </c>
      <c r="AV303" s="1" t="n">
        <f aca="false">MEDIAN($R303)</f>
        <v>489897</v>
      </c>
      <c r="AW303" s="1" t="n">
        <f aca="false">MAX($B303)</f>
        <v>2028</v>
      </c>
      <c r="AX303" s="1" t="n">
        <f aca="false">MAX($C303)</f>
        <v>0</v>
      </c>
      <c r="AY303" s="1" t="n">
        <f aca="false">MAX($D303)</f>
        <v>642606</v>
      </c>
      <c r="AZ303" s="1" t="n">
        <f aca="false">MAX($E303)</f>
        <v>0</v>
      </c>
      <c r="BA303" s="1" t="n">
        <f aca="false">MAX($F303)</f>
        <v>497</v>
      </c>
      <c r="BB303" s="1" t="n">
        <f aca="false">MAX($G303)</f>
        <v>0</v>
      </c>
      <c r="BC303" s="1" t="n">
        <f aca="false">MAX($H303)</f>
        <v>1</v>
      </c>
      <c r="BD303" s="1" t="n">
        <f aca="false">MAX($I303)</f>
        <v>6.472</v>
      </c>
      <c r="BE303" s="1" t="n">
        <f aca="false">MAX($J303)</f>
        <v>6.66</v>
      </c>
      <c r="BF303" s="1" t="n">
        <f aca="false">MAX($K303)</f>
        <v>0</v>
      </c>
      <c r="BG303" s="1" t="n">
        <f aca="false">MAX($M303)</f>
        <v>1499814</v>
      </c>
      <c r="BH303" s="1" t="n">
        <f aca="false">MAX($N303)</f>
        <v>0.05</v>
      </c>
      <c r="BI303" s="1" t="n">
        <f aca="false">MAX($P303)</f>
        <v>6.66</v>
      </c>
      <c r="BJ303" s="1" t="n">
        <f aca="false">MAX($Q303)</f>
        <v>0</v>
      </c>
      <c r="BK303" s="1" t="n">
        <f aca="false">MAX($R303)</f>
        <v>489897</v>
      </c>
    </row>
    <row r="304" customFormat="false" ht="15" hidden="false" customHeight="false" outlineLevel="0" collapsed="false">
      <c r="A304" s="1" t="s">
        <v>321</v>
      </c>
      <c r="B304" s="1" t="n">
        <f aca="false" t="array" ref="B304:B304">_xlfn.SWITCH($A$2,"average", AVERAGE(Instances!B304:B304),"median", MEDIAN(Instances!B304:B304),"min", MIN(Instances!B304:B304),"max", MAX(Instances!B304:B304),"diff", MAX(Instances!B304:B304)-MIN(Instances!B304:B304))</f>
        <v>2357</v>
      </c>
      <c r="C304" s="1" t="n">
        <f aca="false" t="array" ref="C304:C304">_xlfn.SWITCH($A$2,"average", AVERAGE(Instances!C304:C304),"median", MEDIAN(Instances!C304:C304),"min", MIN(Instances!C304:C304),"max", MAX(Instances!C304:C304),"diff", MAX(Instances!C304:C304)-MIN(Instances!C304:C304))</f>
        <v>0</v>
      </c>
      <c r="D304" s="1" t="n">
        <f aca="false" t="array" ref="D304:D304">_xlfn.SWITCH($A$2,"average", AVERAGE(Instances!D304:D304),"median", MEDIAN(Instances!D304:D304),"min", MIN(Instances!D304:D304),"max", MAX(Instances!D304:D304),"diff", MAX(Instances!D304:D304)-MIN(Instances!D304:D304))</f>
        <v>556658</v>
      </c>
      <c r="E304" s="1" t="n">
        <f aca="false" t="array" ref="E304:E304">_xlfn.SWITCH($A$2,"average", AVERAGE(Instances!E304:E304),"median", MEDIAN(Instances!E304:E304),"min", MIN(Instances!E304:E304),"max", MAX(Instances!E304:E304),"diff", MAX(Instances!E304:E304)-MIN(Instances!E304:E304))</f>
        <v>0</v>
      </c>
      <c r="F304" s="1" t="n">
        <f aca="false" t="array" ref="F304:F304">_xlfn.SWITCH($A$2,"average", AVERAGE(Instances!F304:F304),"median", MEDIAN(Instances!F304:F304),"min", MIN(Instances!F304:F304),"max", MAX(Instances!F304:F304),"diff", MAX(Instances!F304:F304)-MIN(Instances!F304:F304))</f>
        <v>548</v>
      </c>
      <c r="G304" s="1" t="n">
        <f aca="false" t="array" ref="G304:G304">_xlfn.SWITCH($A$2,"average", AVERAGE(Instances!G304:G304),"median", MEDIAN(Instances!G304:G304),"min", MIN(Instances!G304:G304),"max", MAX(Instances!G304:G304),"diff", MAX(Instances!G304:G304)-MIN(Instances!G304:G304))</f>
        <v>0</v>
      </c>
      <c r="H304" s="1" t="n">
        <f aca="false" t="array" ref="H304:H304">_xlfn.SWITCH($A$2,"average", AVERAGE(Instances!H304:H304),"median", MEDIAN(Instances!H304:H304),"min", MIN(Instances!H304:H304),"max", MAX(Instances!H304:H304),"diff", MAX(Instances!H304:H304)-MIN(Instances!H304:H304))</f>
        <v>1</v>
      </c>
      <c r="I304" s="1" t="n">
        <f aca="false" t="array" ref="I304:I304">_xlfn.SWITCH($A$2,"average", AVERAGE(Instances!I304:I304),"median", MEDIAN(Instances!I304:I304),"min", MIN(Instances!I304:I304),"max", MAX(Instances!I304:I304),"diff", MAX(Instances!I304:I304)-MIN(Instances!I304:I304))</f>
        <v>7.27</v>
      </c>
      <c r="J304" s="1" t="n">
        <f aca="false" t="array" ref="J304:J304">_xlfn.SWITCH($A$2,"average", AVERAGE(Instances!J304:J304),"median", MEDIAN(Instances!J304:J304),"min", MIN(Instances!J304:J304),"max", MAX(Instances!J304:J304),"diff", MAX(Instances!J304:J304)-MIN(Instances!J304:J304))</f>
        <v>7.47</v>
      </c>
      <c r="K304" s="1" t="n">
        <f aca="false" t="array" ref="K304:K304">_xlfn.SWITCH($A$2,"average", AVERAGE(Instances!K304:K304),"median", MEDIAN(Instances!K304:K304),"min", MIN(Instances!K304:K304),"max", MAX(Instances!K304:K304),"diff", MAX(Instances!K304:K304)-MIN(Instances!K304:K304))</f>
        <v>0</v>
      </c>
      <c r="L304" s="1"/>
      <c r="M304" s="1" t="n">
        <f aca="false" t="array" ref="M304:M304">_xlfn.SWITCH($A$2,"average", AVERAGE(Instances!M304:M304),"median", MEDIAN(Instances!M304:M304),"min", MIN(Instances!M304:M304),"max", MAX(Instances!M304:M304),"diff", MAX(Instances!M304:M304)-MIN(Instances!M304:M304))</f>
        <v>1667432</v>
      </c>
      <c r="N304" s="1" t="n">
        <f aca="false" t="array" ref="N304:N304">_xlfn.SWITCH($A$2,"average", AVERAGE(Instances!N304:N304),"median", MEDIAN(Instances!N304:N304),"min", MIN(Instances!N304:N304),"max", MAX(Instances!N304:N304),"diff", MAX(Instances!N304:N304)-MIN(Instances!N304:N304))</f>
        <v>0.05</v>
      </c>
      <c r="O304" s="1"/>
      <c r="P304" s="1" t="n">
        <f aca="false" t="array" ref="P304:P304">_xlfn.SWITCH($A$2,"average", AVERAGE(Instances!P304:P304),"median", MEDIAN(Instances!P304:P304),"min", MIN(Instances!P304:P304),"max", MAX(Instances!P304:P304),"diff", MAX(Instances!P304:P304)-MIN(Instances!P304:P304))</f>
        <v>7.47</v>
      </c>
      <c r="Q304" s="1" t="n">
        <f aca="false" t="array" ref="Q304:Q304">_xlfn.SWITCH($A$2,"average", AVERAGE(Instances!Q304:Q304),"median", MEDIAN(Instances!Q304:Q304),"min", MIN(Instances!Q304:Q304),"max", MAX(Instances!Q304:Q304),"diff", MAX(Instances!Q304:Q304)-MIN(Instances!Q304:Q304))</f>
        <v>0</v>
      </c>
      <c r="R304" s="1" t="n">
        <f aca="false" t="array" ref="R304:R304">_xlfn.SWITCH($A$2,"average", AVERAGE(Instances!R304:R304),"median", MEDIAN(Instances!R304:R304),"min", MIN(Instances!R304:R304),"max", MAX(Instances!R304:R304),"diff", MAX(Instances!R304:R304)-MIN(Instances!R304:R304))</f>
        <v>546016</v>
      </c>
      <c r="S304" s="1" t="n">
        <f aca="false">MIN($B304)</f>
        <v>2357</v>
      </c>
      <c r="T304" s="1" t="n">
        <f aca="false">MIN($C304)</f>
        <v>0</v>
      </c>
      <c r="U304" s="1" t="n">
        <f aca="false">MIN($D304)</f>
        <v>556658</v>
      </c>
      <c r="V304" s="1" t="n">
        <f aca="false">MIN($E304)</f>
        <v>0</v>
      </c>
      <c r="W304" s="1" t="n">
        <f aca="false">MIN($F304)</f>
        <v>548</v>
      </c>
      <c r="X304" s="1" t="n">
        <f aca="false">MIN($G304)</f>
        <v>0</v>
      </c>
      <c r="Y304" s="1" t="n">
        <f aca="false">MIN($H304)</f>
        <v>1</v>
      </c>
      <c r="Z304" s="1" t="n">
        <f aca="false">MIN($I304)</f>
        <v>7.27</v>
      </c>
      <c r="AA304" s="1" t="n">
        <f aca="false">MIN($J304)</f>
        <v>7.47</v>
      </c>
      <c r="AB304" s="1" t="n">
        <f aca="false">MIN($K304)</f>
        <v>0</v>
      </c>
      <c r="AC304" s="1" t="n">
        <f aca="false">MIN($M304)</f>
        <v>1667432</v>
      </c>
      <c r="AD304" s="1" t="n">
        <f aca="false">MIN($N304)</f>
        <v>0.05</v>
      </c>
      <c r="AE304" s="1" t="n">
        <f aca="false">MIN($P304)</f>
        <v>7.47</v>
      </c>
      <c r="AF304" s="1" t="n">
        <f aca="false">MIN($Q304)</f>
        <v>0</v>
      </c>
      <c r="AG304" s="1" t="n">
        <f aca="false">MIN($R304)</f>
        <v>546016</v>
      </c>
      <c r="AH304" s="1" t="n">
        <f aca="false">MEDIAN($B304)</f>
        <v>2357</v>
      </c>
      <c r="AI304" s="1" t="n">
        <f aca="false">MEDIAN($C304)</f>
        <v>0</v>
      </c>
      <c r="AJ304" s="1" t="n">
        <f aca="false">MEDIAN($D304)</f>
        <v>556658</v>
      </c>
      <c r="AK304" s="1" t="n">
        <f aca="false">MEDIAN($E304)</f>
        <v>0</v>
      </c>
      <c r="AL304" s="1" t="n">
        <f aca="false">MEDIAN($F304)</f>
        <v>548</v>
      </c>
      <c r="AM304" s="1" t="n">
        <f aca="false">MEDIAN($G304)</f>
        <v>0</v>
      </c>
      <c r="AN304" s="1" t="n">
        <f aca="false">MEDIAN($H304)</f>
        <v>1</v>
      </c>
      <c r="AO304" s="1" t="n">
        <f aca="false">MEDIAN($I304)</f>
        <v>7.27</v>
      </c>
      <c r="AP304" s="1" t="n">
        <f aca="false">MEDIAN($J304)</f>
        <v>7.47</v>
      </c>
      <c r="AQ304" s="1" t="n">
        <f aca="false">MEDIAN($K304)</f>
        <v>0</v>
      </c>
      <c r="AR304" s="1" t="n">
        <f aca="false">MEDIAN($M304)</f>
        <v>1667432</v>
      </c>
      <c r="AS304" s="1" t="n">
        <f aca="false">MEDIAN($N304)</f>
        <v>0.05</v>
      </c>
      <c r="AT304" s="1" t="n">
        <f aca="false">MEDIAN($P304)</f>
        <v>7.47</v>
      </c>
      <c r="AU304" s="1" t="n">
        <f aca="false">MEDIAN($Q304)</f>
        <v>0</v>
      </c>
      <c r="AV304" s="1" t="n">
        <f aca="false">MEDIAN($R304)</f>
        <v>546016</v>
      </c>
      <c r="AW304" s="1" t="n">
        <f aca="false">MAX($B304)</f>
        <v>2357</v>
      </c>
      <c r="AX304" s="1" t="n">
        <f aca="false">MAX($C304)</f>
        <v>0</v>
      </c>
      <c r="AY304" s="1" t="n">
        <f aca="false">MAX($D304)</f>
        <v>556658</v>
      </c>
      <c r="AZ304" s="1" t="n">
        <f aca="false">MAX($E304)</f>
        <v>0</v>
      </c>
      <c r="BA304" s="1" t="n">
        <f aca="false">MAX($F304)</f>
        <v>548</v>
      </c>
      <c r="BB304" s="1" t="n">
        <f aca="false">MAX($G304)</f>
        <v>0</v>
      </c>
      <c r="BC304" s="1" t="n">
        <f aca="false">MAX($H304)</f>
        <v>1</v>
      </c>
      <c r="BD304" s="1" t="n">
        <f aca="false">MAX($I304)</f>
        <v>7.27</v>
      </c>
      <c r="BE304" s="1" t="n">
        <f aca="false">MAX($J304)</f>
        <v>7.47</v>
      </c>
      <c r="BF304" s="1" t="n">
        <f aca="false">MAX($K304)</f>
        <v>0</v>
      </c>
      <c r="BG304" s="1" t="n">
        <f aca="false">MAX($M304)</f>
        <v>1667432</v>
      </c>
      <c r="BH304" s="1" t="n">
        <f aca="false">MAX($N304)</f>
        <v>0.05</v>
      </c>
      <c r="BI304" s="1" t="n">
        <f aca="false">MAX($P304)</f>
        <v>7.47</v>
      </c>
      <c r="BJ304" s="1" t="n">
        <f aca="false">MAX($Q304)</f>
        <v>0</v>
      </c>
      <c r="BK304" s="1" t="n">
        <f aca="false">MAX($R304)</f>
        <v>546016</v>
      </c>
    </row>
    <row r="305" customFormat="false" ht="15" hidden="false" customHeight="false" outlineLevel="0" collapsed="false">
      <c r="A305" s="1" t="s">
        <v>322</v>
      </c>
      <c r="B305" s="1" t="n">
        <f aca="false" t="array" ref="B305:B305">_xlfn.SWITCH($A$2,"average", AVERAGE(Instances!B305:B305),"median", MEDIAN(Instances!B305:B305),"min", MIN(Instances!B305:B305),"max", MAX(Instances!B305:B305),"diff", MAX(Instances!B305:B305)-MIN(Instances!B305:B305))</f>
        <v>3929</v>
      </c>
      <c r="C305" s="1" t="n">
        <f aca="false" t="array" ref="C305:C305">_xlfn.SWITCH($A$2,"average", AVERAGE(Instances!C305:C305),"median", MEDIAN(Instances!C305:C305),"min", MIN(Instances!C305:C305),"max", MAX(Instances!C305:C305),"diff", MAX(Instances!C305:C305)-MIN(Instances!C305:C305))</f>
        <v>1</v>
      </c>
      <c r="D305" s="1" t="n">
        <f aca="false" t="array" ref="D305:D305">_xlfn.SWITCH($A$2,"average", AVERAGE(Instances!D305:D305),"median", MEDIAN(Instances!D305:D305),"min", MIN(Instances!D305:D305),"max", MAX(Instances!D305:D305),"diff", MAX(Instances!D305:D305)-MIN(Instances!D305:D305))</f>
        <v>732163</v>
      </c>
      <c r="E305" s="1" t="n">
        <f aca="false" t="array" ref="E305:E305">_xlfn.SWITCH($A$2,"average", AVERAGE(Instances!E305:E305),"median", MEDIAN(Instances!E305:E305),"min", MIN(Instances!E305:E305),"max", MAX(Instances!E305:E305),"diff", MAX(Instances!E305:E305)-MIN(Instances!E305:E305))</f>
        <v>0</v>
      </c>
      <c r="F305" s="1" t="n">
        <f aca="false" t="array" ref="F305:F305">_xlfn.SWITCH($A$2,"average", AVERAGE(Instances!F305:F305),"median", MEDIAN(Instances!F305:F305),"min", MIN(Instances!F305:F305),"max", MAX(Instances!F305:F305),"diff", MAX(Instances!F305:F305)-MIN(Instances!F305:F305))</f>
        <v>733</v>
      </c>
      <c r="G305" s="1" t="n">
        <f aca="false" t="array" ref="G305:G305">_xlfn.SWITCH($A$2,"average", AVERAGE(Instances!G305:G305),"median", MEDIAN(Instances!G305:G305),"min", MIN(Instances!G305:G305),"max", MAX(Instances!G305:G305),"diff", MAX(Instances!G305:G305)-MIN(Instances!G305:G305))</f>
        <v>0</v>
      </c>
      <c r="H305" s="1" t="n">
        <f aca="false" t="array" ref="H305:H305">_xlfn.SWITCH($A$2,"average", AVERAGE(Instances!H305:H305),"median", MEDIAN(Instances!H305:H305),"min", MIN(Instances!H305:H305),"max", MAX(Instances!H305:H305),"diff", MAX(Instances!H305:H305)-MIN(Instances!H305:H305))</f>
        <v>1</v>
      </c>
      <c r="I305" s="1" t="n">
        <f aca="false" t="array" ref="I305:I305">_xlfn.SWITCH($A$2,"average", AVERAGE(Instances!I305:I305),"median", MEDIAN(Instances!I305:I305),"min", MIN(Instances!I305:I305),"max", MAX(Instances!I305:I305),"diff", MAX(Instances!I305:I305)-MIN(Instances!I305:I305))</f>
        <v>10.057</v>
      </c>
      <c r="J305" s="1" t="n">
        <f aca="false" t="array" ref="J305:J305">_xlfn.SWITCH($A$2,"average", AVERAGE(Instances!J305:J305),"median", MEDIAN(Instances!J305:J305),"min", MIN(Instances!J305:J305),"max", MAX(Instances!J305:J305),"diff", MAX(Instances!J305:J305)-MIN(Instances!J305:J305))</f>
        <v>10.29</v>
      </c>
      <c r="K305" s="1" t="n">
        <f aca="false" t="array" ref="K305:K305">_xlfn.SWITCH($A$2,"average", AVERAGE(Instances!K305:K305),"median", MEDIAN(Instances!K305:K305),"min", MIN(Instances!K305:K305),"max", MAX(Instances!K305:K305),"diff", MAX(Instances!K305:K305)-MIN(Instances!K305:K305))</f>
        <v>0</v>
      </c>
      <c r="L305" s="1"/>
      <c r="M305" s="1" t="n">
        <f aca="false" t="array" ref="M305:M305">_xlfn.SWITCH($A$2,"average", AVERAGE(Instances!M305:M305),"median", MEDIAN(Instances!M305:M305),"min", MIN(Instances!M305:M305),"max", MAX(Instances!M305:M305),"diff", MAX(Instances!M305:M305)-MIN(Instances!M305:M305))</f>
        <v>2350576</v>
      </c>
      <c r="N305" s="1" t="n">
        <f aca="false" t="array" ref="N305:N305">_xlfn.SWITCH($A$2,"average", AVERAGE(Instances!N305:N305),"median", MEDIAN(Instances!N305:N305),"min", MIN(Instances!N305:N305),"max", MAX(Instances!N305:N305),"diff", MAX(Instances!N305:N305)-MIN(Instances!N305:N305))</f>
        <v>0.07</v>
      </c>
      <c r="O305" s="1"/>
      <c r="P305" s="1" t="n">
        <f aca="false" t="array" ref="P305:P305">_xlfn.SWITCH($A$2,"average", AVERAGE(Instances!P305:P305),"median", MEDIAN(Instances!P305:P305),"min", MIN(Instances!P305:P305),"max", MAX(Instances!P305:P305),"diff", MAX(Instances!P305:P305)-MIN(Instances!P305:P305))</f>
        <v>10.29</v>
      </c>
      <c r="Q305" s="1" t="n">
        <f aca="false" t="array" ref="Q305:Q305">_xlfn.SWITCH($A$2,"average", AVERAGE(Instances!Q305:Q305),"median", MEDIAN(Instances!Q305:Q305),"min", MIN(Instances!Q305:Q305),"max", MAX(Instances!Q305:Q305),"diff", MAX(Instances!Q305:Q305)-MIN(Instances!Q305:Q305))</f>
        <v>0</v>
      </c>
      <c r="R305" s="1" t="n">
        <f aca="false" t="array" ref="R305:R305">_xlfn.SWITCH($A$2,"average", AVERAGE(Instances!R305:R305),"median", MEDIAN(Instances!R305:R305),"min", MIN(Instances!R305:R305),"max", MAX(Instances!R305:R305),"diff", MAX(Instances!R305:R305)-MIN(Instances!R305:R305))</f>
        <v>709639</v>
      </c>
      <c r="S305" s="1" t="n">
        <f aca="false">MIN($B305)</f>
        <v>3929</v>
      </c>
      <c r="T305" s="1" t="n">
        <f aca="false">MIN($C305)</f>
        <v>1</v>
      </c>
      <c r="U305" s="1" t="n">
        <f aca="false">MIN($D305)</f>
        <v>732163</v>
      </c>
      <c r="V305" s="1" t="n">
        <f aca="false">MIN($E305)</f>
        <v>0</v>
      </c>
      <c r="W305" s="1" t="n">
        <f aca="false">MIN($F305)</f>
        <v>733</v>
      </c>
      <c r="X305" s="1" t="n">
        <f aca="false">MIN($G305)</f>
        <v>0</v>
      </c>
      <c r="Y305" s="1" t="n">
        <f aca="false">MIN($H305)</f>
        <v>1</v>
      </c>
      <c r="Z305" s="1" t="n">
        <f aca="false">MIN($I305)</f>
        <v>10.057</v>
      </c>
      <c r="AA305" s="1" t="n">
        <f aca="false">MIN($J305)</f>
        <v>10.29</v>
      </c>
      <c r="AB305" s="1" t="n">
        <f aca="false">MIN($K305)</f>
        <v>0</v>
      </c>
      <c r="AC305" s="1" t="n">
        <f aca="false">MIN($M305)</f>
        <v>2350576</v>
      </c>
      <c r="AD305" s="1" t="n">
        <f aca="false">MIN($N305)</f>
        <v>0.07</v>
      </c>
      <c r="AE305" s="1" t="n">
        <f aca="false">MIN($P305)</f>
        <v>10.29</v>
      </c>
      <c r="AF305" s="1" t="n">
        <f aca="false">MIN($Q305)</f>
        <v>0</v>
      </c>
      <c r="AG305" s="1" t="n">
        <f aca="false">MIN($R305)</f>
        <v>709639</v>
      </c>
      <c r="AH305" s="1" t="n">
        <f aca="false">MEDIAN($B305)</f>
        <v>3929</v>
      </c>
      <c r="AI305" s="1" t="n">
        <f aca="false">MEDIAN($C305)</f>
        <v>1</v>
      </c>
      <c r="AJ305" s="1" t="n">
        <f aca="false">MEDIAN($D305)</f>
        <v>732163</v>
      </c>
      <c r="AK305" s="1" t="n">
        <f aca="false">MEDIAN($E305)</f>
        <v>0</v>
      </c>
      <c r="AL305" s="1" t="n">
        <f aca="false">MEDIAN($F305)</f>
        <v>733</v>
      </c>
      <c r="AM305" s="1" t="n">
        <f aca="false">MEDIAN($G305)</f>
        <v>0</v>
      </c>
      <c r="AN305" s="1" t="n">
        <f aca="false">MEDIAN($H305)</f>
        <v>1</v>
      </c>
      <c r="AO305" s="1" t="n">
        <f aca="false">MEDIAN($I305)</f>
        <v>10.057</v>
      </c>
      <c r="AP305" s="1" t="n">
        <f aca="false">MEDIAN($J305)</f>
        <v>10.29</v>
      </c>
      <c r="AQ305" s="1" t="n">
        <f aca="false">MEDIAN($K305)</f>
        <v>0</v>
      </c>
      <c r="AR305" s="1" t="n">
        <f aca="false">MEDIAN($M305)</f>
        <v>2350576</v>
      </c>
      <c r="AS305" s="1" t="n">
        <f aca="false">MEDIAN($N305)</f>
        <v>0.07</v>
      </c>
      <c r="AT305" s="1" t="n">
        <f aca="false">MEDIAN($P305)</f>
        <v>10.29</v>
      </c>
      <c r="AU305" s="1" t="n">
        <f aca="false">MEDIAN($Q305)</f>
        <v>0</v>
      </c>
      <c r="AV305" s="1" t="n">
        <f aca="false">MEDIAN($R305)</f>
        <v>709639</v>
      </c>
      <c r="AW305" s="1" t="n">
        <f aca="false">MAX($B305)</f>
        <v>3929</v>
      </c>
      <c r="AX305" s="1" t="n">
        <f aca="false">MAX($C305)</f>
        <v>1</v>
      </c>
      <c r="AY305" s="1" t="n">
        <f aca="false">MAX($D305)</f>
        <v>732163</v>
      </c>
      <c r="AZ305" s="1" t="n">
        <f aca="false">MAX($E305)</f>
        <v>0</v>
      </c>
      <c r="BA305" s="1" t="n">
        <f aca="false">MAX($F305)</f>
        <v>733</v>
      </c>
      <c r="BB305" s="1" t="n">
        <f aca="false">MAX($G305)</f>
        <v>0</v>
      </c>
      <c r="BC305" s="1" t="n">
        <f aca="false">MAX($H305)</f>
        <v>1</v>
      </c>
      <c r="BD305" s="1" t="n">
        <f aca="false">MAX($I305)</f>
        <v>10.057</v>
      </c>
      <c r="BE305" s="1" t="n">
        <f aca="false">MAX($J305)</f>
        <v>10.29</v>
      </c>
      <c r="BF305" s="1" t="n">
        <f aca="false">MAX($K305)</f>
        <v>0</v>
      </c>
      <c r="BG305" s="1" t="n">
        <f aca="false">MAX($M305)</f>
        <v>2350576</v>
      </c>
      <c r="BH305" s="1" t="n">
        <f aca="false">MAX($N305)</f>
        <v>0.07</v>
      </c>
      <c r="BI305" s="1" t="n">
        <f aca="false">MAX($P305)</f>
        <v>10.29</v>
      </c>
      <c r="BJ305" s="1" t="n">
        <f aca="false">MAX($Q305)</f>
        <v>0</v>
      </c>
      <c r="BK305" s="1" t="n">
        <f aca="false">MAX($R305)</f>
        <v>709639</v>
      </c>
    </row>
    <row r="306" customFormat="false" ht="15" hidden="false" customHeight="false" outlineLevel="0" collapsed="false">
      <c r="A306" s="1" t="s">
        <v>323</v>
      </c>
      <c r="B306" s="1" t="n">
        <f aca="false" t="array" ref="B306:B306">_xlfn.SWITCH($A$2,"average", AVERAGE(Instances!B306:B306),"median", MEDIAN(Instances!B306:B306),"min", MIN(Instances!B306:B306),"max", MAX(Instances!B306:B306),"diff", MAX(Instances!B306:B306)-MIN(Instances!B306:B306))</f>
        <v>12416</v>
      </c>
      <c r="C306" s="1" t="n">
        <f aca="false" t="array" ref="C306:C306">_xlfn.SWITCH($A$2,"average", AVERAGE(Instances!C306:C306),"median", MEDIAN(Instances!C306:C306),"min", MIN(Instances!C306:C306),"max", MAX(Instances!C306:C306),"diff", MAX(Instances!C306:C306)-MIN(Instances!C306:C306))</f>
        <v>309</v>
      </c>
      <c r="D306" s="1" t="n">
        <f aca="false" t="array" ref="D306:D306">_xlfn.SWITCH($A$2,"average", AVERAGE(Instances!D306:D306),"median", MEDIAN(Instances!D306:D306),"min", MIN(Instances!D306:D306),"max", MAX(Instances!D306:D306),"diff", MAX(Instances!D306:D306)-MIN(Instances!D306:D306))</f>
        <v>1052954</v>
      </c>
      <c r="E306" s="1" t="n">
        <f aca="false" t="array" ref="E306:E306">_xlfn.SWITCH($A$2,"average", AVERAGE(Instances!E306:E306),"median", MEDIAN(Instances!E306:E306),"min", MIN(Instances!E306:E306),"max", MAX(Instances!E306:E306),"diff", MAX(Instances!E306:E306)-MIN(Instances!E306:E306))</f>
        <v>0</v>
      </c>
      <c r="F306" s="1" t="n">
        <f aca="false" t="array" ref="F306:F306">_xlfn.SWITCH($A$2,"average", AVERAGE(Instances!F306:F306),"median", MEDIAN(Instances!F306:F306),"min", MIN(Instances!F306:F306),"max", MAX(Instances!F306:F306),"diff", MAX(Instances!F306:F306)-MIN(Instances!F306:F306))</f>
        <v>837</v>
      </c>
      <c r="G306" s="1" t="n">
        <f aca="false" t="array" ref="G306:G306">_xlfn.SWITCH($A$2,"average", AVERAGE(Instances!G306:G306),"median", MEDIAN(Instances!G306:G306),"min", MIN(Instances!G306:G306),"max", MAX(Instances!G306:G306),"diff", MAX(Instances!G306:G306)-MIN(Instances!G306:G306))</f>
        <v>0</v>
      </c>
      <c r="H306" s="1" t="n">
        <f aca="false" t="array" ref="H306:H306">_xlfn.SWITCH($A$2,"average", AVERAGE(Instances!H306:H306),"median", MEDIAN(Instances!H306:H306),"min", MIN(Instances!H306:H306),"max", MAX(Instances!H306:H306),"diff", MAX(Instances!H306:H306)-MIN(Instances!H306:H306))</f>
        <v>1</v>
      </c>
      <c r="I306" s="1" t="n">
        <f aca="false" t="array" ref="I306:I306">_xlfn.SWITCH($A$2,"average", AVERAGE(Instances!I306:I306),"median", MEDIAN(Instances!I306:I306),"min", MIN(Instances!I306:I306),"max", MAX(Instances!I306:I306),"diff", MAX(Instances!I306:I306)-MIN(Instances!I306:I306))</f>
        <v>11.808</v>
      </c>
      <c r="J306" s="1" t="n">
        <f aca="false" t="array" ref="J306:J306">_xlfn.SWITCH($A$2,"average", AVERAGE(Instances!J306:J306),"median", MEDIAN(Instances!J306:J306),"min", MIN(Instances!J306:J306),"max", MAX(Instances!J306:J306),"diff", MAX(Instances!J306:J306)-MIN(Instances!J306:J306))</f>
        <v>12.11</v>
      </c>
      <c r="K306" s="1" t="n">
        <f aca="false" t="array" ref="K306:K306">_xlfn.SWITCH($A$2,"average", AVERAGE(Instances!K306:K306),"median", MEDIAN(Instances!K306:K306),"min", MIN(Instances!K306:K306),"max", MAX(Instances!K306:K306),"diff", MAX(Instances!K306:K306)-MIN(Instances!K306:K306))</f>
        <v>3</v>
      </c>
      <c r="L306" s="1"/>
      <c r="M306" s="1" t="n">
        <f aca="false" t="array" ref="M306:M306">_xlfn.SWITCH($A$2,"average", AVERAGE(Instances!M306:M306),"median", MEDIAN(Instances!M306:M306),"min", MIN(Instances!M306:M306),"max", MAX(Instances!M306:M306),"diff", MAX(Instances!M306:M306)-MIN(Instances!M306:M306))</f>
        <v>2769407</v>
      </c>
      <c r="N306" s="1" t="n">
        <f aca="false" t="array" ref="N306:N306">_xlfn.SWITCH($A$2,"average", AVERAGE(Instances!N306:N306),"median", MEDIAN(Instances!N306:N306),"min", MIN(Instances!N306:N306),"max", MAX(Instances!N306:N306),"diff", MAX(Instances!N306:N306)-MIN(Instances!N306:N306))</f>
        <v>0.39</v>
      </c>
      <c r="O306" s="1"/>
      <c r="P306" s="1" t="n">
        <f aca="false" t="array" ref="P306:P306">_xlfn.SWITCH($A$2,"average", AVERAGE(Instances!P306:P306),"median", MEDIAN(Instances!P306:P306),"min", MIN(Instances!P306:P306),"max", MAX(Instances!P306:P306),"diff", MAX(Instances!P306:P306)-MIN(Instances!P306:P306))</f>
        <v>12.11</v>
      </c>
      <c r="Q306" s="1" t="n">
        <f aca="false" t="array" ref="Q306:Q306">_xlfn.SWITCH($A$2,"average", AVERAGE(Instances!Q306:Q306),"median", MEDIAN(Instances!Q306:Q306),"min", MIN(Instances!Q306:Q306),"max", MAX(Instances!Q306:Q306),"diff", MAX(Instances!Q306:Q306)-MIN(Instances!Q306:Q306))</f>
        <v>0</v>
      </c>
      <c r="R306" s="1" t="n">
        <f aca="false" t="array" ref="R306:R306">_xlfn.SWITCH($A$2,"average", AVERAGE(Instances!R306:R306),"median", MEDIAN(Instances!R306:R306),"min", MIN(Instances!R306:R306),"max", MAX(Instances!R306:R306),"diff", MAX(Instances!R306:R306)-MIN(Instances!R306:R306))</f>
        <v>812779</v>
      </c>
      <c r="S306" s="1" t="n">
        <f aca="false">MIN($B306)</f>
        <v>12416</v>
      </c>
      <c r="T306" s="1" t="n">
        <f aca="false">MIN($C306)</f>
        <v>309</v>
      </c>
      <c r="U306" s="1" t="n">
        <f aca="false">MIN($D306)</f>
        <v>1052954</v>
      </c>
      <c r="V306" s="1" t="n">
        <f aca="false">MIN($E306)</f>
        <v>0</v>
      </c>
      <c r="W306" s="1" t="n">
        <f aca="false">MIN($F306)</f>
        <v>837</v>
      </c>
      <c r="X306" s="1" t="n">
        <f aca="false">MIN($G306)</f>
        <v>0</v>
      </c>
      <c r="Y306" s="1" t="n">
        <f aca="false">MIN($H306)</f>
        <v>1</v>
      </c>
      <c r="Z306" s="1" t="n">
        <f aca="false">MIN($I306)</f>
        <v>11.808</v>
      </c>
      <c r="AA306" s="1" t="n">
        <f aca="false">MIN($J306)</f>
        <v>12.11</v>
      </c>
      <c r="AB306" s="1" t="n">
        <f aca="false">MIN($K306)</f>
        <v>3</v>
      </c>
      <c r="AC306" s="1" t="n">
        <f aca="false">MIN($M306)</f>
        <v>2769407</v>
      </c>
      <c r="AD306" s="1" t="n">
        <f aca="false">MIN($N306)</f>
        <v>0.39</v>
      </c>
      <c r="AE306" s="1" t="n">
        <f aca="false">MIN($P306)</f>
        <v>12.11</v>
      </c>
      <c r="AF306" s="1" t="n">
        <f aca="false">MIN($Q306)</f>
        <v>0</v>
      </c>
      <c r="AG306" s="1" t="n">
        <f aca="false">MIN($R306)</f>
        <v>812779</v>
      </c>
      <c r="AH306" s="1" t="n">
        <f aca="false">MEDIAN($B306)</f>
        <v>12416</v>
      </c>
      <c r="AI306" s="1" t="n">
        <f aca="false">MEDIAN($C306)</f>
        <v>309</v>
      </c>
      <c r="AJ306" s="1" t="n">
        <f aca="false">MEDIAN($D306)</f>
        <v>1052954</v>
      </c>
      <c r="AK306" s="1" t="n">
        <f aca="false">MEDIAN($E306)</f>
        <v>0</v>
      </c>
      <c r="AL306" s="1" t="n">
        <f aca="false">MEDIAN($F306)</f>
        <v>837</v>
      </c>
      <c r="AM306" s="1" t="n">
        <f aca="false">MEDIAN($G306)</f>
        <v>0</v>
      </c>
      <c r="AN306" s="1" t="n">
        <f aca="false">MEDIAN($H306)</f>
        <v>1</v>
      </c>
      <c r="AO306" s="1" t="n">
        <f aca="false">MEDIAN($I306)</f>
        <v>11.808</v>
      </c>
      <c r="AP306" s="1" t="n">
        <f aca="false">MEDIAN($J306)</f>
        <v>12.11</v>
      </c>
      <c r="AQ306" s="1" t="n">
        <f aca="false">MEDIAN($K306)</f>
        <v>3</v>
      </c>
      <c r="AR306" s="1" t="n">
        <f aca="false">MEDIAN($M306)</f>
        <v>2769407</v>
      </c>
      <c r="AS306" s="1" t="n">
        <f aca="false">MEDIAN($N306)</f>
        <v>0.39</v>
      </c>
      <c r="AT306" s="1" t="n">
        <f aca="false">MEDIAN($P306)</f>
        <v>12.11</v>
      </c>
      <c r="AU306" s="1" t="n">
        <f aca="false">MEDIAN($Q306)</f>
        <v>0</v>
      </c>
      <c r="AV306" s="1" t="n">
        <f aca="false">MEDIAN($R306)</f>
        <v>812779</v>
      </c>
      <c r="AW306" s="1" t="n">
        <f aca="false">MAX($B306)</f>
        <v>12416</v>
      </c>
      <c r="AX306" s="1" t="n">
        <f aca="false">MAX($C306)</f>
        <v>309</v>
      </c>
      <c r="AY306" s="1" t="n">
        <f aca="false">MAX($D306)</f>
        <v>1052954</v>
      </c>
      <c r="AZ306" s="1" t="n">
        <f aca="false">MAX($E306)</f>
        <v>0</v>
      </c>
      <c r="BA306" s="1" t="n">
        <f aca="false">MAX($F306)</f>
        <v>837</v>
      </c>
      <c r="BB306" s="1" t="n">
        <f aca="false">MAX($G306)</f>
        <v>0</v>
      </c>
      <c r="BC306" s="1" t="n">
        <f aca="false">MAX($H306)</f>
        <v>1</v>
      </c>
      <c r="BD306" s="1" t="n">
        <f aca="false">MAX($I306)</f>
        <v>11.808</v>
      </c>
      <c r="BE306" s="1" t="n">
        <f aca="false">MAX($J306)</f>
        <v>12.11</v>
      </c>
      <c r="BF306" s="1" t="n">
        <f aca="false">MAX($K306)</f>
        <v>3</v>
      </c>
      <c r="BG306" s="1" t="n">
        <f aca="false">MAX($M306)</f>
        <v>2769407</v>
      </c>
      <c r="BH306" s="1" t="n">
        <f aca="false">MAX($N306)</f>
        <v>0.39</v>
      </c>
      <c r="BI306" s="1" t="n">
        <f aca="false">MAX($P306)</f>
        <v>12.11</v>
      </c>
      <c r="BJ306" s="1" t="n">
        <f aca="false">MAX($Q306)</f>
        <v>0</v>
      </c>
      <c r="BK306" s="1" t="n">
        <f aca="false">MAX($R306)</f>
        <v>812779</v>
      </c>
    </row>
    <row r="307" customFormat="false" ht="15" hidden="false" customHeight="false" outlineLevel="0" collapsed="false">
      <c r="A307" s="1" t="s">
        <v>324</v>
      </c>
      <c r="B307" s="1" t="n">
        <f aca="false" t="array" ref="B307:B307">_xlfn.SWITCH($A$2,"average", AVERAGE(Instances!B307:B307),"median", MEDIAN(Instances!B307:B307),"min", MIN(Instances!B307:B307),"max", MAX(Instances!B307:B307),"diff", MAX(Instances!B307:B307)-MIN(Instances!B307:B307))</f>
        <v>3144</v>
      </c>
      <c r="C307" s="1" t="n">
        <f aca="false" t="array" ref="C307:C307">_xlfn.SWITCH($A$2,"average", AVERAGE(Instances!C307:C307),"median", MEDIAN(Instances!C307:C307),"min", MIN(Instances!C307:C307),"max", MAX(Instances!C307:C307),"diff", MAX(Instances!C307:C307)-MIN(Instances!C307:C307))</f>
        <v>0</v>
      </c>
      <c r="D307" s="1" t="n">
        <f aca="false" t="array" ref="D307:D307">_xlfn.SWITCH($A$2,"average", AVERAGE(Instances!D307:D307),"median", MEDIAN(Instances!D307:D307),"min", MIN(Instances!D307:D307),"max", MAX(Instances!D307:D307),"diff", MAX(Instances!D307:D307)-MIN(Instances!D307:D307))</f>
        <v>581280</v>
      </c>
      <c r="E307" s="1" t="n">
        <f aca="false" t="array" ref="E307:E307">_xlfn.SWITCH($A$2,"average", AVERAGE(Instances!E307:E307),"median", MEDIAN(Instances!E307:E307),"min", MIN(Instances!E307:E307),"max", MAX(Instances!E307:E307),"diff", MAX(Instances!E307:E307)-MIN(Instances!E307:E307))</f>
        <v>0</v>
      </c>
      <c r="F307" s="1" t="n">
        <f aca="false" t="array" ref="F307:F307">_xlfn.SWITCH($A$2,"average", AVERAGE(Instances!F307:F307),"median", MEDIAN(Instances!F307:F307),"min", MIN(Instances!F307:F307),"max", MAX(Instances!F307:F307),"diff", MAX(Instances!F307:F307)-MIN(Instances!F307:F307))</f>
        <v>637</v>
      </c>
      <c r="G307" s="1" t="n">
        <f aca="false" t="array" ref="G307:G307">_xlfn.SWITCH($A$2,"average", AVERAGE(Instances!G307:G307),"median", MEDIAN(Instances!G307:G307),"min", MIN(Instances!G307:G307),"max", MAX(Instances!G307:G307),"diff", MAX(Instances!G307:G307)-MIN(Instances!G307:G307))</f>
        <v>0</v>
      </c>
      <c r="H307" s="1" t="n">
        <f aca="false" t="array" ref="H307:H307">_xlfn.SWITCH($A$2,"average", AVERAGE(Instances!H307:H307),"median", MEDIAN(Instances!H307:H307),"min", MIN(Instances!H307:H307),"max", MAX(Instances!H307:H307),"diff", MAX(Instances!H307:H307)-MIN(Instances!H307:H307))</f>
        <v>1</v>
      </c>
      <c r="I307" s="1" t="n">
        <f aca="false" t="array" ref="I307:I307">_xlfn.SWITCH($A$2,"average", AVERAGE(Instances!I307:I307),"median", MEDIAN(Instances!I307:I307),"min", MIN(Instances!I307:I307),"max", MAX(Instances!I307:I307),"diff", MAX(Instances!I307:I307)-MIN(Instances!I307:I307))</f>
        <v>8.687</v>
      </c>
      <c r="J307" s="1" t="n">
        <f aca="false" t="array" ref="J307:J307">_xlfn.SWITCH($A$2,"average", AVERAGE(Instances!J307:J307),"median", MEDIAN(Instances!J307:J307),"min", MIN(Instances!J307:J307),"max", MAX(Instances!J307:J307),"diff", MAX(Instances!J307:J307)-MIN(Instances!J307:J307))</f>
        <v>8.92</v>
      </c>
      <c r="K307" s="1" t="n">
        <f aca="false" t="array" ref="K307:K307">_xlfn.SWITCH($A$2,"average", AVERAGE(Instances!K307:K307),"median", MEDIAN(Instances!K307:K307),"min", MIN(Instances!K307:K307),"max", MAX(Instances!K307:K307),"diff", MAX(Instances!K307:K307)-MIN(Instances!K307:K307))</f>
        <v>0</v>
      </c>
      <c r="L307" s="1"/>
      <c r="M307" s="1" t="n">
        <f aca="false" t="array" ref="M307:M307">_xlfn.SWITCH($A$2,"average", AVERAGE(Instances!M307:M307),"median", MEDIAN(Instances!M307:M307),"min", MIN(Instances!M307:M307),"max", MAX(Instances!M307:M307),"diff", MAX(Instances!M307:M307)-MIN(Instances!M307:M307))</f>
        <v>2052619</v>
      </c>
      <c r="N307" s="1" t="n">
        <f aca="false" t="array" ref="N307:N307">_xlfn.SWITCH($A$2,"average", AVERAGE(Instances!N307:N307),"median", MEDIAN(Instances!N307:N307),"min", MIN(Instances!N307:N307),"max", MAX(Instances!N307:N307),"diff", MAX(Instances!N307:N307)-MIN(Instances!N307:N307))</f>
        <v>0.05</v>
      </c>
      <c r="O307" s="1"/>
      <c r="P307" s="1" t="n">
        <f aca="false" t="array" ref="P307:P307">_xlfn.SWITCH($A$2,"average", AVERAGE(Instances!P307:P307),"median", MEDIAN(Instances!P307:P307),"min", MIN(Instances!P307:P307),"max", MAX(Instances!P307:P307),"diff", MAX(Instances!P307:P307)-MIN(Instances!P307:P307))</f>
        <v>8.92</v>
      </c>
      <c r="Q307" s="1" t="n">
        <f aca="false" t="array" ref="Q307:Q307">_xlfn.SWITCH($A$2,"average", AVERAGE(Instances!Q307:Q307),"median", MEDIAN(Instances!Q307:Q307),"min", MIN(Instances!Q307:Q307),"max", MAX(Instances!Q307:Q307),"diff", MAX(Instances!Q307:Q307)-MIN(Instances!Q307:Q307))</f>
        <v>0</v>
      </c>
      <c r="R307" s="1" t="n">
        <f aca="false" t="array" ref="R307:R307">_xlfn.SWITCH($A$2,"average", AVERAGE(Instances!R307:R307),"median", MEDIAN(Instances!R307:R307),"min", MIN(Instances!R307:R307),"max", MAX(Instances!R307:R307),"diff", MAX(Instances!R307:R307)-MIN(Instances!R307:R307))</f>
        <v>625068</v>
      </c>
      <c r="S307" s="1" t="n">
        <f aca="false">MIN($B307)</f>
        <v>3144</v>
      </c>
      <c r="T307" s="1" t="n">
        <f aca="false">MIN($C307)</f>
        <v>0</v>
      </c>
      <c r="U307" s="1" t="n">
        <f aca="false">MIN($D307)</f>
        <v>581280</v>
      </c>
      <c r="V307" s="1" t="n">
        <f aca="false">MIN($E307)</f>
        <v>0</v>
      </c>
      <c r="W307" s="1" t="n">
        <f aca="false">MIN($F307)</f>
        <v>637</v>
      </c>
      <c r="X307" s="1" t="n">
        <f aca="false">MIN($G307)</f>
        <v>0</v>
      </c>
      <c r="Y307" s="1" t="n">
        <f aca="false">MIN($H307)</f>
        <v>1</v>
      </c>
      <c r="Z307" s="1" t="n">
        <f aca="false">MIN($I307)</f>
        <v>8.687</v>
      </c>
      <c r="AA307" s="1" t="n">
        <f aca="false">MIN($J307)</f>
        <v>8.92</v>
      </c>
      <c r="AB307" s="1" t="n">
        <f aca="false">MIN($K307)</f>
        <v>0</v>
      </c>
      <c r="AC307" s="1" t="n">
        <f aca="false">MIN($M307)</f>
        <v>2052619</v>
      </c>
      <c r="AD307" s="1" t="n">
        <f aca="false">MIN($N307)</f>
        <v>0.05</v>
      </c>
      <c r="AE307" s="1" t="n">
        <f aca="false">MIN($P307)</f>
        <v>8.92</v>
      </c>
      <c r="AF307" s="1" t="n">
        <f aca="false">MIN($Q307)</f>
        <v>0</v>
      </c>
      <c r="AG307" s="1" t="n">
        <f aca="false">MIN($R307)</f>
        <v>625068</v>
      </c>
      <c r="AH307" s="1" t="n">
        <f aca="false">MEDIAN($B307)</f>
        <v>3144</v>
      </c>
      <c r="AI307" s="1" t="n">
        <f aca="false">MEDIAN($C307)</f>
        <v>0</v>
      </c>
      <c r="AJ307" s="1" t="n">
        <f aca="false">MEDIAN($D307)</f>
        <v>581280</v>
      </c>
      <c r="AK307" s="1" t="n">
        <f aca="false">MEDIAN($E307)</f>
        <v>0</v>
      </c>
      <c r="AL307" s="1" t="n">
        <f aca="false">MEDIAN($F307)</f>
        <v>637</v>
      </c>
      <c r="AM307" s="1" t="n">
        <f aca="false">MEDIAN($G307)</f>
        <v>0</v>
      </c>
      <c r="AN307" s="1" t="n">
        <f aca="false">MEDIAN($H307)</f>
        <v>1</v>
      </c>
      <c r="AO307" s="1" t="n">
        <f aca="false">MEDIAN($I307)</f>
        <v>8.687</v>
      </c>
      <c r="AP307" s="1" t="n">
        <f aca="false">MEDIAN($J307)</f>
        <v>8.92</v>
      </c>
      <c r="AQ307" s="1" t="n">
        <f aca="false">MEDIAN($K307)</f>
        <v>0</v>
      </c>
      <c r="AR307" s="1" t="n">
        <f aca="false">MEDIAN($M307)</f>
        <v>2052619</v>
      </c>
      <c r="AS307" s="1" t="n">
        <f aca="false">MEDIAN($N307)</f>
        <v>0.05</v>
      </c>
      <c r="AT307" s="1" t="n">
        <f aca="false">MEDIAN($P307)</f>
        <v>8.92</v>
      </c>
      <c r="AU307" s="1" t="n">
        <f aca="false">MEDIAN($Q307)</f>
        <v>0</v>
      </c>
      <c r="AV307" s="1" t="n">
        <f aca="false">MEDIAN($R307)</f>
        <v>625068</v>
      </c>
      <c r="AW307" s="1" t="n">
        <f aca="false">MAX($B307)</f>
        <v>3144</v>
      </c>
      <c r="AX307" s="1" t="n">
        <f aca="false">MAX($C307)</f>
        <v>0</v>
      </c>
      <c r="AY307" s="1" t="n">
        <f aca="false">MAX($D307)</f>
        <v>581280</v>
      </c>
      <c r="AZ307" s="1" t="n">
        <f aca="false">MAX($E307)</f>
        <v>0</v>
      </c>
      <c r="BA307" s="1" t="n">
        <f aca="false">MAX($F307)</f>
        <v>637</v>
      </c>
      <c r="BB307" s="1" t="n">
        <f aca="false">MAX($G307)</f>
        <v>0</v>
      </c>
      <c r="BC307" s="1" t="n">
        <f aca="false">MAX($H307)</f>
        <v>1</v>
      </c>
      <c r="BD307" s="1" t="n">
        <f aca="false">MAX($I307)</f>
        <v>8.687</v>
      </c>
      <c r="BE307" s="1" t="n">
        <f aca="false">MAX($J307)</f>
        <v>8.92</v>
      </c>
      <c r="BF307" s="1" t="n">
        <f aca="false">MAX($K307)</f>
        <v>0</v>
      </c>
      <c r="BG307" s="1" t="n">
        <f aca="false">MAX($M307)</f>
        <v>2052619</v>
      </c>
      <c r="BH307" s="1" t="n">
        <f aca="false">MAX($N307)</f>
        <v>0.05</v>
      </c>
      <c r="BI307" s="1" t="n">
        <f aca="false">MAX($P307)</f>
        <v>8.92</v>
      </c>
      <c r="BJ307" s="1" t="n">
        <f aca="false">MAX($Q307)</f>
        <v>0</v>
      </c>
      <c r="BK307" s="1" t="n">
        <f aca="false">MAX($R307)</f>
        <v>625068</v>
      </c>
    </row>
    <row r="308" customFormat="false" ht="15" hidden="false" customHeight="false" outlineLevel="0" collapsed="false">
      <c r="A308" s="1" t="s">
        <v>325</v>
      </c>
      <c r="B308" s="1" t="n">
        <f aca="false" t="array" ref="B308:B308">_xlfn.SWITCH($A$2,"average", AVERAGE(Instances!B308:B308),"median", MEDIAN(Instances!B308:B308),"min", MIN(Instances!B308:B308),"max", MAX(Instances!B308:B308),"diff", MAX(Instances!B308:B308)-MIN(Instances!B308:B308))</f>
        <v>2689</v>
      </c>
      <c r="C308" s="1" t="n">
        <f aca="false" t="array" ref="C308:C308">_xlfn.SWITCH($A$2,"average", AVERAGE(Instances!C308:C308),"median", MEDIAN(Instances!C308:C308),"min", MIN(Instances!C308:C308),"max", MAX(Instances!C308:C308),"diff", MAX(Instances!C308:C308)-MIN(Instances!C308:C308))</f>
        <v>0</v>
      </c>
      <c r="D308" s="1" t="n">
        <f aca="false" t="array" ref="D308:D308">_xlfn.SWITCH($A$2,"average", AVERAGE(Instances!D308:D308),"median", MEDIAN(Instances!D308:D308),"min", MIN(Instances!D308:D308),"max", MAX(Instances!D308:D308),"diff", MAX(Instances!D308:D308)-MIN(Instances!D308:D308))</f>
        <v>447194</v>
      </c>
      <c r="E308" s="1" t="n">
        <f aca="false" t="array" ref="E308:E308">_xlfn.SWITCH($A$2,"average", AVERAGE(Instances!E308:E308),"median", MEDIAN(Instances!E308:E308),"min", MIN(Instances!E308:E308),"max", MAX(Instances!E308:E308),"diff", MAX(Instances!E308:E308)-MIN(Instances!E308:E308))</f>
        <v>0</v>
      </c>
      <c r="F308" s="1" t="n">
        <f aca="false" t="array" ref="F308:F308">_xlfn.SWITCH($A$2,"average", AVERAGE(Instances!F308:F308),"median", MEDIAN(Instances!F308:F308),"min", MIN(Instances!F308:F308),"max", MAX(Instances!F308:F308),"diff", MAX(Instances!F308:F308)-MIN(Instances!F308:F308))</f>
        <v>661</v>
      </c>
      <c r="G308" s="1" t="n">
        <f aca="false" t="array" ref="G308:G308">_xlfn.SWITCH($A$2,"average", AVERAGE(Instances!G308:G308),"median", MEDIAN(Instances!G308:G308),"min", MIN(Instances!G308:G308),"max", MAX(Instances!G308:G308),"diff", MAX(Instances!G308:G308)-MIN(Instances!G308:G308))</f>
        <v>0</v>
      </c>
      <c r="H308" s="1" t="n">
        <f aca="false" t="array" ref="H308:H308">_xlfn.SWITCH($A$2,"average", AVERAGE(Instances!H308:H308),"median", MEDIAN(Instances!H308:H308),"min", MIN(Instances!H308:H308),"max", MAX(Instances!H308:H308),"diff", MAX(Instances!H308:H308)-MIN(Instances!H308:H308))</f>
        <v>1</v>
      </c>
      <c r="I308" s="1" t="n">
        <f aca="false" t="array" ref="I308:I308">_xlfn.SWITCH($A$2,"average", AVERAGE(Instances!I308:I308),"median", MEDIAN(Instances!I308:I308),"min", MIN(Instances!I308:I308),"max", MAX(Instances!I308:I308),"diff", MAX(Instances!I308:I308)-MIN(Instances!I308:I308))</f>
        <v>8.994</v>
      </c>
      <c r="J308" s="1" t="n">
        <f aca="false" t="array" ref="J308:J308">_xlfn.SWITCH($A$2,"average", AVERAGE(Instances!J308:J308),"median", MEDIAN(Instances!J308:J308),"min", MIN(Instances!J308:J308),"max", MAX(Instances!J308:J308),"diff", MAX(Instances!J308:J308)-MIN(Instances!J308:J308))</f>
        <v>9.23</v>
      </c>
      <c r="K308" s="1" t="n">
        <f aca="false" t="array" ref="K308:K308">_xlfn.SWITCH($A$2,"average", AVERAGE(Instances!K308:K308),"median", MEDIAN(Instances!K308:K308),"min", MIN(Instances!K308:K308),"max", MAX(Instances!K308:K308),"diff", MAX(Instances!K308:K308)-MIN(Instances!K308:K308))</f>
        <v>0</v>
      </c>
      <c r="L308" s="1"/>
      <c r="M308" s="1" t="n">
        <f aca="false" t="array" ref="M308:M308">_xlfn.SWITCH($A$2,"average", AVERAGE(Instances!M308:M308),"median", MEDIAN(Instances!M308:M308),"min", MIN(Instances!M308:M308),"max", MAX(Instances!M308:M308),"diff", MAX(Instances!M308:M308)-MIN(Instances!M308:M308))</f>
        <v>2124320</v>
      </c>
      <c r="N308" s="1" t="n">
        <f aca="false" t="array" ref="N308:N308">_xlfn.SWITCH($A$2,"average", AVERAGE(Instances!N308:N308),"median", MEDIAN(Instances!N308:N308),"min", MIN(Instances!N308:N308),"max", MAX(Instances!N308:N308),"diff", MAX(Instances!N308:N308)-MIN(Instances!N308:N308))</f>
        <v>0.04</v>
      </c>
      <c r="O308" s="1"/>
      <c r="P308" s="1" t="n">
        <f aca="false" t="array" ref="P308:P308">_xlfn.SWITCH($A$2,"average", AVERAGE(Instances!P308:P308),"median", MEDIAN(Instances!P308:P308),"min", MIN(Instances!P308:P308),"max", MAX(Instances!P308:P308),"diff", MAX(Instances!P308:P308)-MIN(Instances!P308:P308))</f>
        <v>9.23</v>
      </c>
      <c r="Q308" s="1" t="n">
        <f aca="false" t="array" ref="Q308:Q308">_xlfn.SWITCH($A$2,"average", AVERAGE(Instances!Q308:Q308),"median", MEDIAN(Instances!Q308:Q308),"min", MIN(Instances!Q308:Q308),"max", MAX(Instances!Q308:Q308),"diff", MAX(Instances!Q308:Q308)-MIN(Instances!Q308:Q308))</f>
        <v>0</v>
      </c>
      <c r="R308" s="1" t="n">
        <f aca="false" t="array" ref="R308:R308">_xlfn.SWITCH($A$2,"average", AVERAGE(Instances!R308:R308),"median", MEDIAN(Instances!R308:R308),"min", MIN(Instances!R308:R308),"max", MAX(Instances!R308:R308),"diff", MAX(Instances!R308:R308)-MIN(Instances!R308:R308))</f>
        <v>647367</v>
      </c>
      <c r="S308" s="1" t="n">
        <f aca="false">MIN($B308)</f>
        <v>2689</v>
      </c>
      <c r="T308" s="1" t="n">
        <f aca="false">MIN($C308)</f>
        <v>0</v>
      </c>
      <c r="U308" s="1" t="n">
        <f aca="false">MIN($D308)</f>
        <v>447194</v>
      </c>
      <c r="V308" s="1" t="n">
        <f aca="false">MIN($E308)</f>
        <v>0</v>
      </c>
      <c r="W308" s="1" t="n">
        <f aca="false">MIN($F308)</f>
        <v>661</v>
      </c>
      <c r="X308" s="1" t="n">
        <f aca="false">MIN($G308)</f>
        <v>0</v>
      </c>
      <c r="Y308" s="1" t="n">
        <f aca="false">MIN($H308)</f>
        <v>1</v>
      </c>
      <c r="Z308" s="1" t="n">
        <f aca="false">MIN($I308)</f>
        <v>8.994</v>
      </c>
      <c r="AA308" s="1" t="n">
        <f aca="false">MIN($J308)</f>
        <v>9.23</v>
      </c>
      <c r="AB308" s="1" t="n">
        <f aca="false">MIN($K308)</f>
        <v>0</v>
      </c>
      <c r="AC308" s="1" t="n">
        <f aca="false">MIN($M308)</f>
        <v>2124320</v>
      </c>
      <c r="AD308" s="1" t="n">
        <f aca="false">MIN($N308)</f>
        <v>0.04</v>
      </c>
      <c r="AE308" s="1" t="n">
        <f aca="false">MIN($P308)</f>
        <v>9.23</v>
      </c>
      <c r="AF308" s="1" t="n">
        <f aca="false">MIN($Q308)</f>
        <v>0</v>
      </c>
      <c r="AG308" s="1" t="n">
        <f aca="false">MIN($R308)</f>
        <v>647367</v>
      </c>
      <c r="AH308" s="1" t="n">
        <f aca="false">MEDIAN($B308)</f>
        <v>2689</v>
      </c>
      <c r="AI308" s="1" t="n">
        <f aca="false">MEDIAN($C308)</f>
        <v>0</v>
      </c>
      <c r="AJ308" s="1" t="n">
        <f aca="false">MEDIAN($D308)</f>
        <v>447194</v>
      </c>
      <c r="AK308" s="1" t="n">
        <f aca="false">MEDIAN($E308)</f>
        <v>0</v>
      </c>
      <c r="AL308" s="1" t="n">
        <f aca="false">MEDIAN($F308)</f>
        <v>661</v>
      </c>
      <c r="AM308" s="1" t="n">
        <f aca="false">MEDIAN($G308)</f>
        <v>0</v>
      </c>
      <c r="AN308" s="1" t="n">
        <f aca="false">MEDIAN($H308)</f>
        <v>1</v>
      </c>
      <c r="AO308" s="1" t="n">
        <f aca="false">MEDIAN($I308)</f>
        <v>8.994</v>
      </c>
      <c r="AP308" s="1" t="n">
        <f aca="false">MEDIAN($J308)</f>
        <v>9.23</v>
      </c>
      <c r="AQ308" s="1" t="n">
        <f aca="false">MEDIAN($K308)</f>
        <v>0</v>
      </c>
      <c r="AR308" s="1" t="n">
        <f aca="false">MEDIAN($M308)</f>
        <v>2124320</v>
      </c>
      <c r="AS308" s="1" t="n">
        <f aca="false">MEDIAN($N308)</f>
        <v>0.04</v>
      </c>
      <c r="AT308" s="1" t="n">
        <f aca="false">MEDIAN($P308)</f>
        <v>9.23</v>
      </c>
      <c r="AU308" s="1" t="n">
        <f aca="false">MEDIAN($Q308)</f>
        <v>0</v>
      </c>
      <c r="AV308" s="1" t="n">
        <f aca="false">MEDIAN($R308)</f>
        <v>647367</v>
      </c>
      <c r="AW308" s="1" t="n">
        <f aca="false">MAX($B308)</f>
        <v>2689</v>
      </c>
      <c r="AX308" s="1" t="n">
        <f aca="false">MAX($C308)</f>
        <v>0</v>
      </c>
      <c r="AY308" s="1" t="n">
        <f aca="false">MAX($D308)</f>
        <v>447194</v>
      </c>
      <c r="AZ308" s="1" t="n">
        <f aca="false">MAX($E308)</f>
        <v>0</v>
      </c>
      <c r="BA308" s="1" t="n">
        <f aca="false">MAX($F308)</f>
        <v>661</v>
      </c>
      <c r="BB308" s="1" t="n">
        <f aca="false">MAX($G308)</f>
        <v>0</v>
      </c>
      <c r="BC308" s="1" t="n">
        <f aca="false">MAX($H308)</f>
        <v>1</v>
      </c>
      <c r="BD308" s="1" t="n">
        <f aca="false">MAX($I308)</f>
        <v>8.994</v>
      </c>
      <c r="BE308" s="1" t="n">
        <f aca="false">MAX($J308)</f>
        <v>9.23</v>
      </c>
      <c r="BF308" s="1" t="n">
        <f aca="false">MAX($K308)</f>
        <v>0</v>
      </c>
      <c r="BG308" s="1" t="n">
        <f aca="false">MAX($M308)</f>
        <v>2124320</v>
      </c>
      <c r="BH308" s="1" t="n">
        <f aca="false">MAX($N308)</f>
        <v>0.04</v>
      </c>
      <c r="BI308" s="1" t="n">
        <f aca="false">MAX($P308)</f>
        <v>9.23</v>
      </c>
      <c r="BJ308" s="1" t="n">
        <f aca="false">MAX($Q308)</f>
        <v>0</v>
      </c>
      <c r="BK308" s="1" t="n">
        <f aca="false">MAX($R308)</f>
        <v>647367</v>
      </c>
    </row>
    <row r="309" customFormat="false" ht="15" hidden="false" customHeight="false" outlineLevel="0" collapsed="false">
      <c r="A309" s="1" t="s">
        <v>326</v>
      </c>
      <c r="B309" s="1" t="n">
        <f aca="false" t="array" ref="B309:B309">_xlfn.SWITCH($A$2,"average", AVERAGE(Instances!B309:B309),"median", MEDIAN(Instances!B309:B309),"min", MIN(Instances!B309:B309),"max", MAX(Instances!B309:B309),"diff", MAX(Instances!B309:B309)-MIN(Instances!B309:B309))</f>
        <v>3140</v>
      </c>
      <c r="C309" s="1" t="n">
        <f aca="false" t="array" ref="C309:C309">_xlfn.SWITCH($A$2,"average", AVERAGE(Instances!C309:C309),"median", MEDIAN(Instances!C309:C309),"min", MIN(Instances!C309:C309),"max", MAX(Instances!C309:C309),"diff", MAX(Instances!C309:C309)-MIN(Instances!C309:C309))</f>
        <v>1</v>
      </c>
      <c r="D309" s="1" t="n">
        <f aca="false" t="array" ref="D309:D309">_xlfn.SWITCH($A$2,"average", AVERAGE(Instances!D309:D309),"median", MEDIAN(Instances!D309:D309),"min", MIN(Instances!D309:D309),"max", MAX(Instances!D309:D309),"diff", MAX(Instances!D309:D309)-MIN(Instances!D309:D309))</f>
        <v>605956</v>
      </c>
      <c r="E309" s="1" t="n">
        <f aca="false" t="array" ref="E309:E309">_xlfn.SWITCH($A$2,"average", AVERAGE(Instances!E309:E309),"median", MEDIAN(Instances!E309:E309),"min", MIN(Instances!E309:E309),"max", MAX(Instances!E309:E309),"diff", MAX(Instances!E309:E309)-MIN(Instances!E309:E309))</f>
        <v>0</v>
      </c>
      <c r="F309" s="1" t="n">
        <f aca="false" t="array" ref="F309:F309">_xlfn.SWITCH($A$2,"average", AVERAGE(Instances!F309:F309),"median", MEDIAN(Instances!F309:F309),"min", MIN(Instances!F309:F309),"max", MAX(Instances!F309:F309),"diff", MAX(Instances!F309:F309)-MIN(Instances!F309:F309))</f>
        <v>716</v>
      </c>
      <c r="G309" s="1" t="n">
        <f aca="false" t="array" ref="G309:G309">_xlfn.SWITCH($A$2,"average", AVERAGE(Instances!G309:G309),"median", MEDIAN(Instances!G309:G309),"min", MIN(Instances!G309:G309),"max", MAX(Instances!G309:G309),"diff", MAX(Instances!G309:G309)-MIN(Instances!G309:G309))</f>
        <v>0</v>
      </c>
      <c r="H309" s="1" t="n">
        <f aca="false" t="array" ref="H309:H309">_xlfn.SWITCH($A$2,"average", AVERAGE(Instances!H309:H309),"median", MEDIAN(Instances!H309:H309),"min", MIN(Instances!H309:H309),"max", MAX(Instances!H309:H309),"diff", MAX(Instances!H309:H309)-MIN(Instances!H309:H309))</f>
        <v>1</v>
      </c>
      <c r="I309" s="1" t="n">
        <f aca="false" t="array" ref="I309:I309">_xlfn.SWITCH($A$2,"average", AVERAGE(Instances!I309:I309),"median", MEDIAN(Instances!I309:I309),"min", MIN(Instances!I309:I309),"max", MAX(Instances!I309:I309),"diff", MAX(Instances!I309:I309)-MIN(Instances!I309:I309))</f>
        <v>9.974</v>
      </c>
      <c r="J309" s="1" t="n">
        <f aca="false" t="array" ref="J309:J309">_xlfn.SWITCH($A$2,"average", AVERAGE(Instances!J309:J309),"median", MEDIAN(Instances!J309:J309),"min", MIN(Instances!J309:J309),"max", MAX(Instances!J309:J309),"diff", MAX(Instances!J309:J309)-MIN(Instances!J309:J309))</f>
        <v>10.23</v>
      </c>
      <c r="K309" s="1" t="n">
        <f aca="false" t="array" ref="K309:K309">_xlfn.SWITCH($A$2,"average", AVERAGE(Instances!K309:K309),"median", MEDIAN(Instances!K309:K309),"min", MIN(Instances!K309:K309),"max", MAX(Instances!K309:K309),"diff", MAX(Instances!K309:K309)-MIN(Instances!K309:K309))</f>
        <v>0</v>
      </c>
      <c r="L309" s="1"/>
      <c r="M309" s="1" t="n">
        <f aca="false" t="array" ref="M309:M309">_xlfn.SWITCH($A$2,"average", AVERAGE(Instances!M309:M309),"median", MEDIAN(Instances!M309:M309),"min", MIN(Instances!M309:M309),"max", MAX(Instances!M309:M309),"diff", MAX(Instances!M309:M309)-MIN(Instances!M309:M309))</f>
        <v>2333667</v>
      </c>
      <c r="N309" s="1" t="n">
        <f aca="false" t="array" ref="N309:N309">_xlfn.SWITCH($A$2,"average", AVERAGE(Instances!N309:N309),"median", MEDIAN(Instances!N309:N309),"min", MIN(Instances!N309:N309),"max", MAX(Instances!N309:N309),"diff", MAX(Instances!N309:N309)-MIN(Instances!N309:N309))</f>
        <v>0.06</v>
      </c>
      <c r="O309" s="1"/>
      <c r="P309" s="1" t="n">
        <f aca="false" t="array" ref="P309:P309">_xlfn.SWITCH($A$2,"average", AVERAGE(Instances!P309:P309),"median", MEDIAN(Instances!P309:P309),"min", MIN(Instances!P309:P309),"max", MAX(Instances!P309:P309),"diff", MAX(Instances!P309:P309)-MIN(Instances!P309:P309))</f>
        <v>10.23</v>
      </c>
      <c r="Q309" s="1" t="n">
        <f aca="false" t="array" ref="Q309:Q309">_xlfn.SWITCH($A$2,"average", AVERAGE(Instances!Q309:Q309),"median", MEDIAN(Instances!Q309:Q309),"min", MIN(Instances!Q309:Q309),"max", MAX(Instances!Q309:Q309),"diff", MAX(Instances!Q309:Q309)-MIN(Instances!Q309:Q309))</f>
        <v>0</v>
      </c>
      <c r="R309" s="1" t="n">
        <f aca="false" t="array" ref="R309:R309">_xlfn.SWITCH($A$2,"average", AVERAGE(Instances!R309:R309),"median", MEDIAN(Instances!R309:R309),"min", MIN(Instances!R309:R309),"max", MAX(Instances!R309:R309),"diff", MAX(Instances!R309:R309)-MIN(Instances!R309:R309))</f>
        <v>699907</v>
      </c>
      <c r="S309" s="1" t="n">
        <f aca="false">MIN($B309)</f>
        <v>3140</v>
      </c>
      <c r="T309" s="1" t="n">
        <f aca="false">MIN($C309)</f>
        <v>1</v>
      </c>
      <c r="U309" s="1" t="n">
        <f aca="false">MIN($D309)</f>
        <v>605956</v>
      </c>
      <c r="V309" s="1" t="n">
        <f aca="false">MIN($E309)</f>
        <v>0</v>
      </c>
      <c r="W309" s="1" t="n">
        <f aca="false">MIN($F309)</f>
        <v>716</v>
      </c>
      <c r="X309" s="1" t="n">
        <f aca="false">MIN($G309)</f>
        <v>0</v>
      </c>
      <c r="Y309" s="1" t="n">
        <f aca="false">MIN($H309)</f>
        <v>1</v>
      </c>
      <c r="Z309" s="1" t="n">
        <f aca="false">MIN($I309)</f>
        <v>9.974</v>
      </c>
      <c r="AA309" s="1" t="n">
        <f aca="false">MIN($J309)</f>
        <v>10.23</v>
      </c>
      <c r="AB309" s="1" t="n">
        <f aca="false">MIN($K309)</f>
        <v>0</v>
      </c>
      <c r="AC309" s="1" t="n">
        <f aca="false">MIN($M309)</f>
        <v>2333667</v>
      </c>
      <c r="AD309" s="1" t="n">
        <f aca="false">MIN($N309)</f>
        <v>0.06</v>
      </c>
      <c r="AE309" s="1" t="n">
        <f aca="false">MIN($P309)</f>
        <v>10.23</v>
      </c>
      <c r="AF309" s="1" t="n">
        <f aca="false">MIN($Q309)</f>
        <v>0</v>
      </c>
      <c r="AG309" s="1" t="n">
        <f aca="false">MIN($R309)</f>
        <v>699907</v>
      </c>
      <c r="AH309" s="1" t="n">
        <f aca="false">MEDIAN($B309)</f>
        <v>3140</v>
      </c>
      <c r="AI309" s="1" t="n">
        <f aca="false">MEDIAN($C309)</f>
        <v>1</v>
      </c>
      <c r="AJ309" s="1" t="n">
        <f aca="false">MEDIAN($D309)</f>
        <v>605956</v>
      </c>
      <c r="AK309" s="1" t="n">
        <f aca="false">MEDIAN($E309)</f>
        <v>0</v>
      </c>
      <c r="AL309" s="1" t="n">
        <f aca="false">MEDIAN($F309)</f>
        <v>716</v>
      </c>
      <c r="AM309" s="1" t="n">
        <f aca="false">MEDIAN($G309)</f>
        <v>0</v>
      </c>
      <c r="AN309" s="1" t="n">
        <f aca="false">MEDIAN($H309)</f>
        <v>1</v>
      </c>
      <c r="AO309" s="1" t="n">
        <f aca="false">MEDIAN($I309)</f>
        <v>9.974</v>
      </c>
      <c r="AP309" s="1" t="n">
        <f aca="false">MEDIAN($J309)</f>
        <v>10.23</v>
      </c>
      <c r="AQ309" s="1" t="n">
        <f aca="false">MEDIAN($K309)</f>
        <v>0</v>
      </c>
      <c r="AR309" s="1" t="n">
        <f aca="false">MEDIAN($M309)</f>
        <v>2333667</v>
      </c>
      <c r="AS309" s="1" t="n">
        <f aca="false">MEDIAN($N309)</f>
        <v>0.06</v>
      </c>
      <c r="AT309" s="1" t="n">
        <f aca="false">MEDIAN($P309)</f>
        <v>10.23</v>
      </c>
      <c r="AU309" s="1" t="n">
        <f aca="false">MEDIAN($Q309)</f>
        <v>0</v>
      </c>
      <c r="AV309" s="1" t="n">
        <f aca="false">MEDIAN($R309)</f>
        <v>699907</v>
      </c>
      <c r="AW309" s="1" t="n">
        <f aca="false">MAX($B309)</f>
        <v>3140</v>
      </c>
      <c r="AX309" s="1" t="n">
        <f aca="false">MAX($C309)</f>
        <v>1</v>
      </c>
      <c r="AY309" s="1" t="n">
        <f aca="false">MAX($D309)</f>
        <v>605956</v>
      </c>
      <c r="AZ309" s="1" t="n">
        <f aca="false">MAX($E309)</f>
        <v>0</v>
      </c>
      <c r="BA309" s="1" t="n">
        <f aca="false">MAX($F309)</f>
        <v>716</v>
      </c>
      <c r="BB309" s="1" t="n">
        <f aca="false">MAX($G309)</f>
        <v>0</v>
      </c>
      <c r="BC309" s="1" t="n">
        <f aca="false">MAX($H309)</f>
        <v>1</v>
      </c>
      <c r="BD309" s="1" t="n">
        <f aca="false">MAX($I309)</f>
        <v>9.974</v>
      </c>
      <c r="BE309" s="1" t="n">
        <f aca="false">MAX($J309)</f>
        <v>10.23</v>
      </c>
      <c r="BF309" s="1" t="n">
        <f aca="false">MAX($K309)</f>
        <v>0</v>
      </c>
      <c r="BG309" s="1" t="n">
        <f aca="false">MAX($M309)</f>
        <v>2333667</v>
      </c>
      <c r="BH309" s="1" t="n">
        <f aca="false">MAX($N309)</f>
        <v>0.06</v>
      </c>
      <c r="BI309" s="1" t="n">
        <f aca="false">MAX($P309)</f>
        <v>10.23</v>
      </c>
      <c r="BJ309" s="1" t="n">
        <f aca="false">MAX($Q309)</f>
        <v>0</v>
      </c>
      <c r="BK309" s="1" t="n">
        <f aca="false">MAX($R309)</f>
        <v>699907</v>
      </c>
    </row>
    <row r="310" customFormat="false" ht="15" hidden="false" customHeight="false" outlineLevel="0" collapsed="false">
      <c r="A310" s="1" t="s">
        <v>327</v>
      </c>
      <c r="B310" s="1" t="n">
        <f aca="false" t="array" ref="B310:B310">_xlfn.SWITCH($A$2,"average", AVERAGE(Instances!B310:B310),"median", MEDIAN(Instances!B310:B310),"min", MIN(Instances!B310:B310),"max", MAX(Instances!B310:B310),"diff", MAX(Instances!B310:B310)-MIN(Instances!B310:B310))</f>
        <v>3305</v>
      </c>
      <c r="C310" s="1" t="n">
        <f aca="false" t="array" ref="C310:C310">_xlfn.SWITCH($A$2,"average", AVERAGE(Instances!C310:C310),"median", MEDIAN(Instances!C310:C310),"min", MIN(Instances!C310:C310),"max", MAX(Instances!C310:C310),"diff", MAX(Instances!C310:C310)-MIN(Instances!C310:C310))</f>
        <v>0</v>
      </c>
      <c r="D310" s="1" t="n">
        <f aca="false" t="array" ref="D310:D310">_xlfn.SWITCH($A$2,"average", AVERAGE(Instances!D310:D310),"median", MEDIAN(Instances!D310:D310),"min", MIN(Instances!D310:D310),"max", MAX(Instances!D310:D310),"diff", MAX(Instances!D310:D310)-MIN(Instances!D310:D310))</f>
        <v>749592</v>
      </c>
      <c r="E310" s="1" t="n">
        <f aca="false" t="array" ref="E310:E310">_xlfn.SWITCH($A$2,"average", AVERAGE(Instances!E310:E310),"median", MEDIAN(Instances!E310:E310),"min", MIN(Instances!E310:E310),"max", MAX(Instances!E310:E310),"diff", MAX(Instances!E310:E310)-MIN(Instances!E310:E310))</f>
        <v>0</v>
      </c>
      <c r="F310" s="1" t="n">
        <f aca="false" t="array" ref="F310:F310">_xlfn.SWITCH($A$2,"average", AVERAGE(Instances!F310:F310),"median", MEDIAN(Instances!F310:F310),"min", MIN(Instances!F310:F310),"max", MAX(Instances!F310:F310),"diff", MAX(Instances!F310:F310)-MIN(Instances!F310:F310))</f>
        <v>596</v>
      </c>
      <c r="G310" s="1" t="n">
        <f aca="false" t="array" ref="G310:G310">_xlfn.SWITCH($A$2,"average", AVERAGE(Instances!G310:G310),"median", MEDIAN(Instances!G310:G310),"min", MIN(Instances!G310:G310),"max", MAX(Instances!G310:G310),"diff", MAX(Instances!G310:G310)-MIN(Instances!G310:G310))</f>
        <v>0</v>
      </c>
      <c r="H310" s="1" t="n">
        <f aca="false" t="array" ref="H310:H310">_xlfn.SWITCH($A$2,"average", AVERAGE(Instances!H310:H310),"median", MEDIAN(Instances!H310:H310),"min", MIN(Instances!H310:H310),"max", MAX(Instances!H310:H310),"diff", MAX(Instances!H310:H310)-MIN(Instances!H310:H310))</f>
        <v>1</v>
      </c>
      <c r="I310" s="1" t="n">
        <f aca="false" t="array" ref="I310:I310">_xlfn.SWITCH($A$2,"average", AVERAGE(Instances!I310:I310),"median", MEDIAN(Instances!I310:I310),"min", MIN(Instances!I310:I310),"max", MAX(Instances!I310:I310),"diff", MAX(Instances!I310:I310)-MIN(Instances!I310:I310))</f>
        <v>8.107</v>
      </c>
      <c r="J310" s="1" t="n">
        <f aca="false" t="array" ref="J310:J310">_xlfn.SWITCH($A$2,"average", AVERAGE(Instances!J310:J310),"median", MEDIAN(Instances!J310:J310),"min", MIN(Instances!J310:J310),"max", MAX(Instances!J310:J310),"diff", MAX(Instances!J310:J310)-MIN(Instances!J310:J310))</f>
        <v>8.34</v>
      </c>
      <c r="K310" s="1" t="n">
        <f aca="false" t="array" ref="K310:K310">_xlfn.SWITCH($A$2,"average", AVERAGE(Instances!K310:K310),"median", MEDIAN(Instances!K310:K310),"min", MIN(Instances!K310:K310),"max", MAX(Instances!K310:K310),"diff", MAX(Instances!K310:K310)-MIN(Instances!K310:K310))</f>
        <v>0</v>
      </c>
      <c r="L310" s="1"/>
      <c r="M310" s="1" t="n">
        <f aca="false" t="array" ref="M310:M310">_xlfn.SWITCH($A$2,"average", AVERAGE(Instances!M310:M310),"median", MEDIAN(Instances!M310:M310),"min", MIN(Instances!M310:M310),"max", MAX(Instances!M310:M310),"diff", MAX(Instances!M310:M310)-MIN(Instances!M310:M310))</f>
        <v>1974522</v>
      </c>
      <c r="N310" s="1" t="n">
        <f aca="false" t="array" ref="N310:N310">_xlfn.SWITCH($A$2,"average", AVERAGE(Instances!N310:N310),"median", MEDIAN(Instances!N310:N310),"min", MIN(Instances!N310:N310),"max", MAX(Instances!N310:N310),"diff", MAX(Instances!N310:N310)-MIN(Instances!N310:N310))</f>
        <v>0.06</v>
      </c>
      <c r="O310" s="1"/>
      <c r="P310" s="1" t="n">
        <f aca="false" t="array" ref="P310:P310">_xlfn.SWITCH($A$2,"average", AVERAGE(Instances!P310:P310),"median", MEDIAN(Instances!P310:P310),"min", MIN(Instances!P310:P310),"max", MAX(Instances!P310:P310),"diff", MAX(Instances!P310:P310)-MIN(Instances!P310:P310))</f>
        <v>8.34</v>
      </c>
      <c r="Q310" s="1" t="n">
        <f aca="false" t="array" ref="Q310:Q310">_xlfn.SWITCH($A$2,"average", AVERAGE(Instances!Q310:Q310),"median", MEDIAN(Instances!Q310:Q310),"min", MIN(Instances!Q310:Q310),"max", MAX(Instances!Q310:Q310),"diff", MAX(Instances!Q310:Q310)-MIN(Instances!Q310:Q310))</f>
        <v>0</v>
      </c>
      <c r="R310" s="1" t="n">
        <f aca="false" t="array" ref="R310:R310">_xlfn.SWITCH($A$2,"average", AVERAGE(Instances!R310:R310),"median", MEDIAN(Instances!R310:R310),"min", MIN(Instances!R310:R310),"max", MAX(Instances!R310:R310),"diff", MAX(Instances!R310:R310)-MIN(Instances!R310:R310))</f>
        <v>597824</v>
      </c>
      <c r="S310" s="1" t="n">
        <f aca="false">MIN($B310)</f>
        <v>3305</v>
      </c>
      <c r="T310" s="1" t="n">
        <f aca="false">MIN($C310)</f>
        <v>0</v>
      </c>
      <c r="U310" s="1" t="n">
        <f aca="false">MIN($D310)</f>
        <v>749592</v>
      </c>
      <c r="V310" s="1" t="n">
        <f aca="false">MIN($E310)</f>
        <v>0</v>
      </c>
      <c r="W310" s="1" t="n">
        <f aca="false">MIN($F310)</f>
        <v>596</v>
      </c>
      <c r="X310" s="1" t="n">
        <f aca="false">MIN($G310)</f>
        <v>0</v>
      </c>
      <c r="Y310" s="1" t="n">
        <f aca="false">MIN($H310)</f>
        <v>1</v>
      </c>
      <c r="Z310" s="1" t="n">
        <f aca="false">MIN($I310)</f>
        <v>8.107</v>
      </c>
      <c r="AA310" s="1" t="n">
        <f aca="false">MIN($J310)</f>
        <v>8.34</v>
      </c>
      <c r="AB310" s="1" t="n">
        <f aca="false">MIN($K310)</f>
        <v>0</v>
      </c>
      <c r="AC310" s="1" t="n">
        <f aca="false">MIN($M310)</f>
        <v>1974522</v>
      </c>
      <c r="AD310" s="1" t="n">
        <f aca="false">MIN($N310)</f>
        <v>0.06</v>
      </c>
      <c r="AE310" s="1" t="n">
        <f aca="false">MIN($P310)</f>
        <v>8.34</v>
      </c>
      <c r="AF310" s="1" t="n">
        <f aca="false">MIN($Q310)</f>
        <v>0</v>
      </c>
      <c r="AG310" s="1" t="n">
        <f aca="false">MIN($R310)</f>
        <v>597824</v>
      </c>
      <c r="AH310" s="1" t="n">
        <f aca="false">MEDIAN($B310)</f>
        <v>3305</v>
      </c>
      <c r="AI310" s="1" t="n">
        <f aca="false">MEDIAN($C310)</f>
        <v>0</v>
      </c>
      <c r="AJ310" s="1" t="n">
        <f aca="false">MEDIAN($D310)</f>
        <v>749592</v>
      </c>
      <c r="AK310" s="1" t="n">
        <f aca="false">MEDIAN($E310)</f>
        <v>0</v>
      </c>
      <c r="AL310" s="1" t="n">
        <f aca="false">MEDIAN($F310)</f>
        <v>596</v>
      </c>
      <c r="AM310" s="1" t="n">
        <f aca="false">MEDIAN($G310)</f>
        <v>0</v>
      </c>
      <c r="AN310" s="1" t="n">
        <f aca="false">MEDIAN($H310)</f>
        <v>1</v>
      </c>
      <c r="AO310" s="1" t="n">
        <f aca="false">MEDIAN($I310)</f>
        <v>8.107</v>
      </c>
      <c r="AP310" s="1" t="n">
        <f aca="false">MEDIAN($J310)</f>
        <v>8.34</v>
      </c>
      <c r="AQ310" s="1" t="n">
        <f aca="false">MEDIAN($K310)</f>
        <v>0</v>
      </c>
      <c r="AR310" s="1" t="n">
        <f aca="false">MEDIAN($M310)</f>
        <v>1974522</v>
      </c>
      <c r="AS310" s="1" t="n">
        <f aca="false">MEDIAN($N310)</f>
        <v>0.06</v>
      </c>
      <c r="AT310" s="1" t="n">
        <f aca="false">MEDIAN($P310)</f>
        <v>8.34</v>
      </c>
      <c r="AU310" s="1" t="n">
        <f aca="false">MEDIAN($Q310)</f>
        <v>0</v>
      </c>
      <c r="AV310" s="1" t="n">
        <f aca="false">MEDIAN($R310)</f>
        <v>597824</v>
      </c>
      <c r="AW310" s="1" t="n">
        <f aca="false">MAX($B310)</f>
        <v>3305</v>
      </c>
      <c r="AX310" s="1" t="n">
        <f aca="false">MAX($C310)</f>
        <v>0</v>
      </c>
      <c r="AY310" s="1" t="n">
        <f aca="false">MAX($D310)</f>
        <v>749592</v>
      </c>
      <c r="AZ310" s="1" t="n">
        <f aca="false">MAX($E310)</f>
        <v>0</v>
      </c>
      <c r="BA310" s="1" t="n">
        <f aca="false">MAX($F310)</f>
        <v>596</v>
      </c>
      <c r="BB310" s="1" t="n">
        <f aca="false">MAX($G310)</f>
        <v>0</v>
      </c>
      <c r="BC310" s="1" t="n">
        <f aca="false">MAX($H310)</f>
        <v>1</v>
      </c>
      <c r="BD310" s="1" t="n">
        <f aca="false">MAX($I310)</f>
        <v>8.107</v>
      </c>
      <c r="BE310" s="1" t="n">
        <f aca="false">MAX($J310)</f>
        <v>8.34</v>
      </c>
      <c r="BF310" s="1" t="n">
        <f aca="false">MAX($K310)</f>
        <v>0</v>
      </c>
      <c r="BG310" s="1" t="n">
        <f aca="false">MAX($M310)</f>
        <v>1974522</v>
      </c>
      <c r="BH310" s="1" t="n">
        <f aca="false">MAX($N310)</f>
        <v>0.06</v>
      </c>
      <c r="BI310" s="1" t="n">
        <f aca="false">MAX($P310)</f>
        <v>8.34</v>
      </c>
      <c r="BJ310" s="1" t="n">
        <f aca="false">MAX($Q310)</f>
        <v>0</v>
      </c>
      <c r="BK310" s="1" t="n">
        <f aca="false">MAX($R310)</f>
        <v>597824</v>
      </c>
    </row>
    <row r="311" customFormat="false" ht="15" hidden="false" customHeight="false" outlineLevel="0" collapsed="false">
      <c r="A311" s="1" t="s">
        <v>328</v>
      </c>
      <c r="B311" s="1" t="n">
        <f aca="false" t="array" ref="B311:B311">_xlfn.SWITCH($A$2,"average", AVERAGE(Instances!B311:B311),"median", MEDIAN(Instances!B311:B311),"min", MIN(Instances!B311:B311),"max", MAX(Instances!B311:B311),"diff", MAX(Instances!B311:B311)-MIN(Instances!B311:B311))</f>
        <v>5131</v>
      </c>
      <c r="C311" s="1" t="n">
        <f aca="false" t="array" ref="C311:C311">_xlfn.SWITCH($A$2,"average", AVERAGE(Instances!C311:C311),"median", MEDIAN(Instances!C311:C311),"min", MIN(Instances!C311:C311),"max", MAX(Instances!C311:C311),"diff", MAX(Instances!C311:C311)-MIN(Instances!C311:C311))</f>
        <v>1</v>
      </c>
      <c r="D311" s="1" t="n">
        <f aca="false" t="array" ref="D311:D311">_xlfn.SWITCH($A$2,"average", AVERAGE(Instances!D311:D311),"median", MEDIAN(Instances!D311:D311),"min", MIN(Instances!D311:D311),"max", MAX(Instances!D311:D311),"diff", MAX(Instances!D311:D311)-MIN(Instances!D311:D311))</f>
        <v>980430</v>
      </c>
      <c r="E311" s="1" t="n">
        <f aca="false" t="array" ref="E311:E311">_xlfn.SWITCH($A$2,"average", AVERAGE(Instances!E311:E311),"median", MEDIAN(Instances!E311:E311),"min", MIN(Instances!E311:E311),"max", MAX(Instances!E311:E311),"diff", MAX(Instances!E311:E311)-MIN(Instances!E311:E311))</f>
        <v>0</v>
      </c>
      <c r="F311" s="1" t="n">
        <f aca="false" t="array" ref="F311:F311">_xlfn.SWITCH($A$2,"average", AVERAGE(Instances!F311:F311),"median", MEDIAN(Instances!F311:F311),"min", MIN(Instances!F311:F311),"max", MAX(Instances!F311:F311),"diff", MAX(Instances!F311:F311)-MIN(Instances!F311:F311))</f>
        <v>783</v>
      </c>
      <c r="G311" s="1" t="n">
        <f aca="false" t="array" ref="G311:G311">_xlfn.SWITCH($A$2,"average", AVERAGE(Instances!G311:G311),"median", MEDIAN(Instances!G311:G311),"min", MIN(Instances!G311:G311),"max", MAX(Instances!G311:G311),"diff", MAX(Instances!G311:G311)-MIN(Instances!G311:G311))</f>
        <v>0</v>
      </c>
      <c r="H311" s="1" t="n">
        <f aca="false" t="array" ref="H311:H311">_xlfn.SWITCH($A$2,"average", AVERAGE(Instances!H311:H311),"median", MEDIAN(Instances!H311:H311),"min", MIN(Instances!H311:H311),"max", MAX(Instances!H311:H311),"diff", MAX(Instances!H311:H311)-MIN(Instances!H311:H311))</f>
        <v>1</v>
      </c>
      <c r="I311" s="1" t="n">
        <f aca="false" t="array" ref="I311:I311">_xlfn.SWITCH($A$2,"average", AVERAGE(Instances!I311:I311),"median", MEDIAN(Instances!I311:I311),"min", MIN(Instances!I311:I311),"max", MAX(Instances!I311:I311),"diff", MAX(Instances!I311:I311)-MIN(Instances!I311:I311))</f>
        <v>10.697</v>
      </c>
      <c r="J311" s="1" t="n">
        <f aca="false" t="array" ref="J311:J311">_xlfn.SWITCH($A$2,"average", AVERAGE(Instances!J311:J311),"median", MEDIAN(Instances!J311:J311),"min", MIN(Instances!J311:J311),"max", MAX(Instances!J311:J311),"diff", MAX(Instances!J311:J311)-MIN(Instances!J311:J311))</f>
        <v>10.97</v>
      </c>
      <c r="K311" s="1" t="n">
        <f aca="false" t="array" ref="K311:K311">_xlfn.SWITCH($A$2,"average", AVERAGE(Instances!K311:K311),"median", MEDIAN(Instances!K311:K311),"min", MIN(Instances!K311:K311),"max", MAX(Instances!K311:K311),"diff", MAX(Instances!K311:K311)-MIN(Instances!K311:K311))</f>
        <v>0</v>
      </c>
      <c r="L311" s="1"/>
      <c r="M311" s="1" t="n">
        <f aca="false" t="array" ref="M311:M311">_xlfn.SWITCH($A$2,"average", AVERAGE(Instances!M311:M311),"median", MEDIAN(Instances!M311:M311),"min", MIN(Instances!M311:M311),"max", MAX(Instances!M311:M311),"diff", MAX(Instances!M311:M311)-MIN(Instances!M311:M311))</f>
        <v>2540933</v>
      </c>
      <c r="N311" s="1" t="n">
        <f aca="false" t="array" ref="N311:N311">_xlfn.SWITCH($A$2,"average", AVERAGE(Instances!N311:N311),"median", MEDIAN(Instances!N311:N311),"min", MIN(Instances!N311:N311),"max", MAX(Instances!N311:N311),"diff", MAX(Instances!N311:N311)-MIN(Instances!N311:N311))</f>
        <v>0.08</v>
      </c>
      <c r="O311" s="1"/>
      <c r="P311" s="1" t="n">
        <f aca="false" t="array" ref="P311:P311">_xlfn.SWITCH($A$2,"average", AVERAGE(Instances!P311:P311),"median", MEDIAN(Instances!P311:P311),"min", MIN(Instances!P311:P311),"max", MAX(Instances!P311:P311),"diff", MAX(Instances!P311:P311)-MIN(Instances!P311:P311))</f>
        <v>10.97</v>
      </c>
      <c r="Q311" s="1" t="n">
        <f aca="false" t="array" ref="Q311:Q311">_xlfn.SWITCH($A$2,"average", AVERAGE(Instances!Q311:Q311),"median", MEDIAN(Instances!Q311:Q311),"min", MIN(Instances!Q311:Q311),"max", MAX(Instances!Q311:Q311),"diff", MAX(Instances!Q311:Q311)-MIN(Instances!Q311:Q311))</f>
        <v>0</v>
      </c>
      <c r="R311" s="1" t="n">
        <f aca="false" t="array" ref="R311:R311">_xlfn.SWITCH($A$2,"average", AVERAGE(Instances!R311:R311),"median", MEDIAN(Instances!R311:R311),"min", MIN(Instances!R311:R311),"max", MAX(Instances!R311:R311),"diff", MAX(Instances!R311:R311)-MIN(Instances!R311:R311))</f>
        <v>760236</v>
      </c>
      <c r="S311" s="1" t="n">
        <f aca="false">MIN($B311)</f>
        <v>5131</v>
      </c>
      <c r="T311" s="1" t="n">
        <f aca="false">MIN($C311)</f>
        <v>1</v>
      </c>
      <c r="U311" s="1" t="n">
        <f aca="false">MIN($D311)</f>
        <v>980430</v>
      </c>
      <c r="V311" s="1" t="n">
        <f aca="false">MIN($E311)</f>
        <v>0</v>
      </c>
      <c r="W311" s="1" t="n">
        <f aca="false">MIN($F311)</f>
        <v>783</v>
      </c>
      <c r="X311" s="1" t="n">
        <f aca="false">MIN($G311)</f>
        <v>0</v>
      </c>
      <c r="Y311" s="1" t="n">
        <f aca="false">MIN($H311)</f>
        <v>1</v>
      </c>
      <c r="Z311" s="1" t="n">
        <f aca="false">MIN($I311)</f>
        <v>10.697</v>
      </c>
      <c r="AA311" s="1" t="n">
        <f aca="false">MIN($J311)</f>
        <v>10.97</v>
      </c>
      <c r="AB311" s="1" t="n">
        <f aca="false">MIN($K311)</f>
        <v>0</v>
      </c>
      <c r="AC311" s="1" t="n">
        <f aca="false">MIN($M311)</f>
        <v>2540933</v>
      </c>
      <c r="AD311" s="1" t="n">
        <f aca="false">MIN($N311)</f>
        <v>0.08</v>
      </c>
      <c r="AE311" s="1" t="n">
        <f aca="false">MIN($P311)</f>
        <v>10.97</v>
      </c>
      <c r="AF311" s="1" t="n">
        <f aca="false">MIN($Q311)</f>
        <v>0</v>
      </c>
      <c r="AG311" s="1" t="n">
        <f aca="false">MIN($R311)</f>
        <v>760236</v>
      </c>
      <c r="AH311" s="1" t="n">
        <f aca="false">MEDIAN($B311)</f>
        <v>5131</v>
      </c>
      <c r="AI311" s="1" t="n">
        <f aca="false">MEDIAN($C311)</f>
        <v>1</v>
      </c>
      <c r="AJ311" s="1" t="n">
        <f aca="false">MEDIAN($D311)</f>
        <v>980430</v>
      </c>
      <c r="AK311" s="1" t="n">
        <f aca="false">MEDIAN($E311)</f>
        <v>0</v>
      </c>
      <c r="AL311" s="1" t="n">
        <f aca="false">MEDIAN($F311)</f>
        <v>783</v>
      </c>
      <c r="AM311" s="1" t="n">
        <f aca="false">MEDIAN($G311)</f>
        <v>0</v>
      </c>
      <c r="AN311" s="1" t="n">
        <f aca="false">MEDIAN($H311)</f>
        <v>1</v>
      </c>
      <c r="AO311" s="1" t="n">
        <f aca="false">MEDIAN($I311)</f>
        <v>10.697</v>
      </c>
      <c r="AP311" s="1" t="n">
        <f aca="false">MEDIAN($J311)</f>
        <v>10.97</v>
      </c>
      <c r="AQ311" s="1" t="n">
        <f aca="false">MEDIAN($K311)</f>
        <v>0</v>
      </c>
      <c r="AR311" s="1" t="n">
        <f aca="false">MEDIAN($M311)</f>
        <v>2540933</v>
      </c>
      <c r="AS311" s="1" t="n">
        <f aca="false">MEDIAN($N311)</f>
        <v>0.08</v>
      </c>
      <c r="AT311" s="1" t="n">
        <f aca="false">MEDIAN($P311)</f>
        <v>10.97</v>
      </c>
      <c r="AU311" s="1" t="n">
        <f aca="false">MEDIAN($Q311)</f>
        <v>0</v>
      </c>
      <c r="AV311" s="1" t="n">
        <f aca="false">MEDIAN($R311)</f>
        <v>760236</v>
      </c>
      <c r="AW311" s="1" t="n">
        <f aca="false">MAX($B311)</f>
        <v>5131</v>
      </c>
      <c r="AX311" s="1" t="n">
        <f aca="false">MAX($C311)</f>
        <v>1</v>
      </c>
      <c r="AY311" s="1" t="n">
        <f aca="false">MAX($D311)</f>
        <v>980430</v>
      </c>
      <c r="AZ311" s="1" t="n">
        <f aca="false">MAX($E311)</f>
        <v>0</v>
      </c>
      <c r="BA311" s="1" t="n">
        <f aca="false">MAX($F311)</f>
        <v>783</v>
      </c>
      <c r="BB311" s="1" t="n">
        <f aca="false">MAX($G311)</f>
        <v>0</v>
      </c>
      <c r="BC311" s="1" t="n">
        <f aca="false">MAX($H311)</f>
        <v>1</v>
      </c>
      <c r="BD311" s="1" t="n">
        <f aca="false">MAX($I311)</f>
        <v>10.697</v>
      </c>
      <c r="BE311" s="1" t="n">
        <f aca="false">MAX($J311)</f>
        <v>10.97</v>
      </c>
      <c r="BF311" s="1" t="n">
        <f aca="false">MAX($K311)</f>
        <v>0</v>
      </c>
      <c r="BG311" s="1" t="n">
        <f aca="false">MAX($M311)</f>
        <v>2540933</v>
      </c>
      <c r="BH311" s="1" t="n">
        <f aca="false">MAX($N311)</f>
        <v>0.08</v>
      </c>
      <c r="BI311" s="1" t="n">
        <f aca="false">MAX($P311)</f>
        <v>10.97</v>
      </c>
      <c r="BJ311" s="1" t="n">
        <f aca="false">MAX($Q311)</f>
        <v>0</v>
      </c>
      <c r="BK311" s="1" t="n">
        <f aca="false">MAX($R311)</f>
        <v>760236</v>
      </c>
    </row>
    <row r="312" customFormat="false" ht="15" hidden="false" customHeight="false" outlineLevel="0" collapsed="false">
      <c r="A312" s="1" t="s">
        <v>329</v>
      </c>
      <c r="B312" s="1" t="n">
        <f aca="false" t="array" ref="B312:B312">_xlfn.SWITCH($A$2,"average", AVERAGE(Instances!B312:B312),"median", MEDIAN(Instances!B312:B312),"min", MIN(Instances!B312:B312),"max", MAX(Instances!B312:B312),"diff", MAX(Instances!B312:B312)-MIN(Instances!B312:B312))</f>
        <v>130835</v>
      </c>
      <c r="C312" s="1" t="n">
        <f aca="false" t="array" ref="C312:C312">_xlfn.SWITCH($A$2,"average", AVERAGE(Instances!C312:C312),"median", MEDIAN(Instances!C312:C312),"min", MIN(Instances!C312:C312),"max", MAX(Instances!C312:C312),"diff", MAX(Instances!C312:C312)-MIN(Instances!C312:C312))</f>
        <v>123</v>
      </c>
      <c r="D312" s="1" t="n">
        <f aca="false" t="array" ref="D312:D312">_xlfn.SWITCH($A$2,"average", AVERAGE(Instances!D312:D312),"median", MEDIAN(Instances!D312:D312),"min", MIN(Instances!D312:D312),"max", MAX(Instances!D312:D312),"diff", MAX(Instances!D312:D312)-MIN(Instances!D312:D312))</f>
        <v>1257252</v>
      </c>
      <c r="E312" s="1" t="n">
        <f aca="false" t="array" ref="E312:E312">_xlfn.SWITCH($A$2,"average", AVERAGE(Instances!E312:E312),"median", MEDIAN(Instances!E312:E312),"min", MIN(Instances!E312:E312),"max", MAX(Instances!E312:E312),"diff", MAX(Instances!E312:E312)-MIN(Instances!E312:E312))</f>
        <v>0</v>
      </c>
      <c r="F312" s="1" t="n">
        <f aca="false" t="array" ref="F312:F312">_xlfn.SWITCH($A$2,"average", AVERAGE(Instances!F312:F312),"median", MEDIAN(Instances!F312:F312),"min", MIN(Instances!F312:F312),"max", MAX(Instances!F312:F312),"diff", MAX(Instances!F312:F312)-MIN(Instances!F312:F312))</f>
        <v>888</v>
      </c>
      <c r="G312" s="1" t="n">
        <f aca="false" t="array" ref="G312:G312">_xlfn.SWITCH($A$2,"average", AVERAGE(Instances!G312:G312),"median", MEDIAN(Instances!G312:G312),"min", MIN(Instances!G312:G312),"max", MAX(Instances!G312:G312),"diff", MAX(Instances!G312:G312)-MIN(Instances!G312:G312))</f>
        <v>0</v>
      </c>
      <c r="H312" s="1" t="n">
        <f aca="false" t="array" ref="H312:H312">_xlfn.SWITCH($A$2,"average", AVERAGE(Instances!H312:H312),"median", MEDIAN(Instances!H312:H312),"min", MIN(Instances!H312:H312),"max", MAX(Instances!H312:H312),"diff", MAX(Instances!H312:H312)-MIN(Instances!H312:H312))</f>
        <v>1</v>
      </c>
      <c r="I312" s="1" t="n">
        <f aca="false" t="array" ref="I312:I312">_xlfn.SWITCH($A$2,"average", AVERAGE(Instances!I312:I312),"median", MEDIAN(Instances!I312:I312),"min", MIN(Instances!I312:I312),"max", MAX(Instances!I312:I312),"diff", MAX(Instances!I312:I312)-MIN(Instances!I312:I312))</f>
        <v>14.222</v>
      </c>
      <c r="J312" s="1" t="n">
        <f aca="false" t="array" ref="J312:J312">_xlfn.SWITCH($A$2,"average", AVERAGE(Instances!J312:J312),"median", MEDIAN(Instances!J312:J312),"min", MIN(Instances!J312:J312),"max", MAX(Instances!J312:J312),"diff", MAX(Instances!J312:J312)-MIN(Instances!J312:J312))</f>
        <v>14.53</v>
      </c>
      <c r="K312" s="1" t="n">
        <f aca="false" t="array" ref="K312:K312">_xlfn.SWITCH($A$2,"average", AVERAGE(Instances!K312:K312),"median", MEDIAN(Instances!K312:K312),"min", MIN(Instances!K312:K312),"max", MAX(Instances!K312:K312),"diff", MAX(Instances!K312:K312)-MIN(Instances!K312:K312))</f>
        <v>2</v>
      </c>
      <c r="L312" s="1"/>
      <c r="M312" s="1" t="n">
        <f aca="false" t="array" ref="M312:M312">_xlfn.SWITCH($A$2,"average", AVERAGE(Instances!M312:M312),"median", MEDIAN(Instances!M312:M312),"min", MIN(Instances!M312:M312),"max", MAX(Instances!M312:M312),"diff", MAX(Instances!M312:M312)-MIN(Instances!M312:M312))</f>
        <v>3092171</v>
      </c>
      <c r="N312" s="1" t="n">
        <f aca="false" t="array" ref="N312:N312">_xlfn.SWITCH($A$2,"average", AVERAGE(Instances!N312:N312),"median", MEDIAN(Instances!N312:N312),"min", MIN(Instances!N312:N312),"max", MAX(Instances!N312:N312),"diff", MAX(Instances!N312:N312)-MIN(Instances!N312:N312))</f>
        <v>1.51</v>
      </c>
      <c r="O312" s="1"/>
      <c r="P312" s="1" t="n">
        <f aca="false" t="array" ref="P312:P312">_xlfn.SWITCH($A$2,"average", AVERAGE(Instances!P312:P312),"median", MEDIAN(Instances!P312:P312),"min", MIN(Instances!P312:P312),"max", MAX(Instances!P312:P312),"diff", MAX(Instances!P312:P312)-MIN(Instances!P312:P312))</f>
        <v>14.53</v>
      </c>
      <c r="Q312" s="1" t="n">
        <f aca="false" t="array" ref="Q312:Q312">_xlfn.SWITCH($A$2,"average", AVERAGE(Instances!Q312:Q312),"median", MEDIAN(Instances!Q312:Q312),"min", MIN(Instances!Q312:Q312),"max", MAX(Instances!Q312:Q312),"diff", MAX(Instances!Q312:Q312)-MIN(Instances!Q312:Q312))</f>
        <v>0</v>
      </c>
      <c r="R312" s="1" t="n">
        <f aca="false" t="array" ref="R312:R312">_xlfn.SWITCH($A$2,"average", AVERAGE(Instances!R312:R312),"median", MEDIAN(Instances!R312:R312),"min", MIN(Instances!R312:R312),"max", MAX(Instances!R312:R312),"diff", MAX(Instances!R312:R312)-MIN(Instances!R312:R312))</f>
        <v>862362</v>
      </c>
      <c r="S312" s="1" t="n">
        <f aca="false">MIN($B312)</f>
        <v>130835</v>
      </c>
      <c r="T312" s="1" t="n">
        <f aca="false">MIN($C312)</f>
        <v>123</v>
      </c>
      <c r="U312" s="1" t="n">
        <f aca="false">MIN($D312)</f>
        <v>1257252</v>
      </c>
      <c r="V312" s="1" t="n">
        <f aca="false">MIN($E312)</f>
        <v>0</v>
      </c>
      <c r="W312" s="1" t="n">
        <f aca="false">MIN($F312)</f>
        <v>888</v>
      </c>
      <c r="X312" s="1" t="n">
        <f aca="false">MIN($G312)</f>
        <v>0</v>
      </c>
      <c r="Y312" s="1" t="n">
        <f aca="false">MIN($H312)</f>
        <v>1</v>
      </c>
      <c r="Z312" s="1" t="n">
        <f aca="false">MIN($I312)</f>
        <v>14.222</v>
      </c>
      <c r="AA312" s="1" t="n">
        <f aca="false">MIN($J312)</f>
        <v>14.53</v>
      </c>
      <c r="AB312" s="1" t="n">
        <f aca="false">MIN($K312)</f>
        <v>2</v>
      </c>
      <c r="AC312" s="1" t="n">
        <f aca="false">MIN($M312)</f>
        <v>3092171</v>
      </c>
      <c r="AD312" s="1" t="n">
        <f aca="false">MIN($N312)</f>
        <v>1.51</v>
      </c>
      <c r="AE312" s="1" t="n">
        <f aca="false">MIN($P312)</f>
        <v>14.53</v>
      </c>
      <c r="AF312" s="1" t="n">
        <f aca="false">MIN($Q312)</f>
        <v>0</v>
      </c>
      <c r="AG312" s="1" t="n">
        <f aca="false">MIN($R312)</f>
        <v>862362</v>
      </c>
      <c r="AH312" s="1" t="n">
        <f aca="false">MEDIAN($B312)</f>
        <v>130835</v>
      </c>
      <c r="AI312" s="1" t="n">
        <f aca="false">MEDIAN($C312)</f>
        <v>123</v>
      </c>
      <c r="AJ312" s="1" t="n">
        <f aca="false">MEDIAN($D312)</f>
        <v>1257252</v>
      </c>
      <c r="AK312" s="1" t="n">
        <f aca="false">MEDIAN($E312)</f>
        <v>0</v>
      </c>
      <c r="AL312" s="1" t="n">
        <f aca="false">MEDIAN($F312)</f>
        <v>888</v>
      </c>
      <c r="AM312" s="1" t="n">
        <f aca="false">MEDIAN($G312)</f>
        <v>0</v>
      </c>
      <c r="AN312" s="1" t="n">
        <f aca="false">MEDIAN($H312)</f>
        <v>1</v>
      </c>
      <c r="AO312" s="1" t="n">
        <f aca="false">MEDIAN($I312)</f>
        <v>14.222</v>
      </c>
      <c r="AP312" s="1" t="n">
        <f aca="false">MEDIAN($J312)</f>
        <v>14.53</v>
      </c>
      <c r="AQ312" s="1" t="n">
        <f aca="false">MEDIAN($K312)</f>
        <v>2</v>
      </c>
      <c r="AR312" s="1" t="n">
        <f aca="false">MEDIAN($M312)</f>
        <v>3092171</v>
      </c>
      <c r="AS312" s="1" t="n">
        <f aca="false">MEDIAN($N312)</f>
        <v>1.51</v>
      </c>
      <c r="AT312" s="1" t="n">
        <f aca="false">MEDIAN($P312)</f>
        <v>14.53</v>
      </c>
      <c r="AU312" s="1" t="n">
        <f aca="false">MEDIAN($Q312)</f>
        <v>0</v>
      </c>
      <c r="AV312" s="1" t="n">
        <f aca="false">MEDIAN($R312)</f>
        <v>862362</v>
      </c>
      <c r="AW312" s="1" t="n">
        <f aca="false">MAX($B312)</f>
        <v>130835</v>
      </c>
      <c r="AX312" s="1" t="n">
        <f aca="false">MAX($C312)</f>
        <v>123</v>
      </c>
      <c r="AY312" s="1" t="n">
        <f aca="false">MAX($D312)</f>
        <v>1257252</v>
      </c>
      <c r="AZ312" s="1" t="n">
        <f aca="false">MAX($E312)</f>
        <v>0</v>
      </c>
      <c r="BA312" s="1" t="n">
        <f aca="false">MAX($F312)</f>
        <v>888</v>
      </c>
      <c r="BB312" s="1" t="n">
        <f aca="false">MAX($G312)</f>
        <v>0</v>
      </c>
      <c r="BC312" s="1" t="n">
        <f aca="false">MAX($H312)</f>
        <v>1</v>
      </c>
      <c r="BD312" s="1" t="n">
        <f aca="false">MAX($I312)</f>
        <v>14.222</v>
      </c>
      <c r="BE312" s="1" t="n">
        <f aca="false">MAX($J312)</f>
        <v>14.53</v>
      </c>
      <c r="BF312" s="1" t="n">
        <f aca="false">MAX($K312)</f>
        <v>2</v>
      </c>
      <c r="BG312" s="1" t="n">
        <f aca="false">MAX($M312)</f>
        <v>3092171</v>
      </c>
      <c r="BH312" s="1" t="n">
        <f aca="false">MAX($N312)</f>
        <v>1.51</v>
      </c>
      <c r="BI312" s="1" t="n">
        <f aca="false">MAX($P312)</f>
        <v>14.53</v>
      </c>
      <c r="BJ312" s="1" t="n">
        <f aca="false">MAX($Q312)</f>
        <v>0</v>
      </c>
      <c r="BK312" s="1" t="n">
        <f aca="false">MAX($R312)</f>
        <v>862362</v>
      </c>
    </row>
    <row r="313" customFormat="false" ht="15" hidden="false" customHeight="false" outlineLevel="0" collapsed="false">
      <c r="A313" s="1" t="s">
        <v>330</v>
      </c>
      <c r="B313" s="1" t="n">
        <f aca="false" t="array" ref="B313:B313">_xlfn.SWITCH($A$2,"average", AVERAGE(Instances!B313:B313),"median", MEDIAN(Instances!B313:B313),"min", MIN(Instances!B313:B313),"max", MAX(Instances!B313:B313),"diff", MAX(Instances!B313:B313)-MIN(Instances!B313:B313))</f>
        <v>3920</v>
      </c>
      <c r="C313" s="1" t="n">
        <f aca="false" t="array" ref="C313:C313">_xlfn.SWITCH($A$2,"average", AVERAGE(Instances!C313:C313),"median", MEDIAN(Instances!C313:C313),"min", MIN(Instances!C313:C313),"max", MAX(Instances!C313:C313),"diff", MAX(Instances!C313:C313)-MIN(Instances!C313:C313))</f>
        <v>2</v>
      </c>
      <c r="D313" s="1" t="n">
        <f aca="false" t="array" ref="D313:D313">_xlfn.SWITCH($A$2,"average", AVERAGE(Instances!D313:D313),"median", MEDIAN(Instances!D313:D313),"min", MIN(Instances!D313:D313),"max", MAX(Instances!D313:D313),"diff", MAX(Instances!D313:D313)-MIN(Instances!D313:D313))</f>
        <v>1028150</v>
      </c>
      <c r="E313" s="1" t="n">
        <f aca="false" t="array" ref="E313:E313">_xlfn.SWITCH($A$2,"average", AVERAGE(Instances!E313:E313),"median", MEDIAN(Instances!E313:E313),"min", MIN(Instances!E313:E313),"max", MAX(Instances!E313:E313),"diff", MAX(Instances!E313:E313)-MIN(Instances!E313:E313))</f>
        <v>0</v>
      </c>
      <c r="F313" s="1" t="n">
        <f aca="false" t="array" ref="F313:F313">_xlfn.SWITCH($A$2,"average", AVERAGE(Instances!F313:F313),"median", MEDIAN(Instances!F313:F313),"min", MIN(Instances!F313:F313),"max", MAX(Instances!F313:F313),"diff", MAX(Instances!F313:F313)-MIN(Instances!F313:F313))</f>
        <v>897</v>
      </c>
      <c r="G313" s="1" t="n">
        <f aca="false" t="array" ref="G313:G313">_xlfn.SWITCH($A$2,"average", AVERAGE(Instances!G313:G313),"median", MEDIAN(Instances!G313:G313),"min", MIN(Instances!G313:G313),"max", MAX(Instances!G313:G313),"diff", MAX(Instances!G313:G313)-MIN(Instances!G313:G313))</f>
        <v>0</v>
      </c>
      <c r="H313" s="1" t="n">
        <f aca="false" t="array" ref="H313:H313">_xlfn.SWITCH($A$2,"average", AVERAGE(Instances!H313:H313),"median", MEDIAN(Instances!H313:H313),"min", MIN(Instances!H313:H313),"max", MAX(Instances!H313:H313),"diff", MAX(Instances!H313:H313)-MIN(Instances!H313:H313))</f>
        <v>1</v>
      </c>
      <c r="I313" s="1" t="n">
        <f aca="false" t="array" ref="I313:I313">_xlfn.SWITCH($A$2,"average", AVERAGE(Instances!I313:I313),"median", MEDIAN(Instances!I313:I313),"min", MIN(Instances!I313:I313),"max", MAX(Instances!I313:I313),"diff", MAX(Instances!I313:I313)-MIN(Instances!I313:I313))</f>
        <v>12.825</v>
      </c>
      <c r="J313" s="1" t="n">
        <f aca="false" t="array" ref="J313:J313">_xlfn.SWITCH($A$2,"average", AVERAGE(Instances!J313:J313),"median", MEDIAN(Instances!J313:J313),"min", MIN(Instances!J313:J313),"max", MAX(Instances!J313:J313),"diff", MAX(Instances!J313:J313)-MIN(Instances!J313:J313))</f>
        <v>13.15</v>
      </c>
      <c r="K313" s="1" t="n">
        <f aca="false" t="array" ref="K313:K313">_xlfn.SWITCH($A$2,"average", AVERAGE(Instances!K313:K313),"median", MEDIAN(Instances!K313:K313),"min", MIN(Instances!K313:K313),"max", MAX(Instances!K313:K313),"diff", MAX(Instances!K313:K313)-MIN(Instances!K313:K313))</f>
        <v>0</v>
      </c>
      <c r="L313" s="1"/>
      <c r="M313" s="1" t="n">
        <f aca="false" t="array" ref="M313:M313">_xlfn.SWITCH($A$2,"average", AVERAGE(Instances!M313:M313),"median", MEDIAN(Instances!M313:M313),"min", MIN(Instances!M313:M313),"max", MAX(Instances!M313:M313),"diff", MAX(Instances!M313:M313)-MIN(Instances!M313:M313))</f>
        <v>3139711</v>
      </c>
      <c r="N313" s="1" t="n">
        <f aca="false" t="array" ref="N313:N313">_xlfn.SWITCH($A$2,"average", AVERAGE(Instances!N313:N313),"median", MEDIAN(Instances!N313:N313),"min", MIN(Instances!N313:N313),"max", MAX(Instances!N313:N313),"diff", MAX(Instances!N313:N313)-MIN(Instances!N313:N313))</f>
        <v>0.08</v>
      </c>
      <c r="O313" s="1"/>
      <c r="P313" s="1" t="n">
        <f aca="false" t="array" ref="P313:P313">_xlfn.SWITCH($A$2,"average", AVERAGE(Instances!P313:P313),"median", MEDIAN(Instances!P313:P313),"min", MIN(Instances!P313:P313),"max", MAX(Instances!P313:P313),"diff", MAX(Instances!P313:P313)-MIN(Instances!P313:P313))</f>
        <v>13.15</v>
      </c>
      <c r="Q313" s="1" t="n">
        <f aca="false" t="array" ref="Q313:Q313">_xlfn.SWITCH($A$2,"average", AVERAGE(Instances!Q313:Q313),"median", MEDIAN(Instances!Q313:Q313),"min", MIN(Instances!Q313:Q313),"max", MAX(Instances!Q313:Q313),"diff", MAX(Instances!Q313:Q313)-MIN(Instances!Q313:Q313))</f>
        <v>0</v>
      </c>
      <c r="R313" s="1" t="n">
        <f aca="false" t="array" ref="R313:R313">_xlfn.SWITCH($A$2,"average", AVERAGE(Instances!R313:R313),"median", MEDIAN(Instances!R313:R313),"min", MIN(Instances!R313:R313),"max", MAX(Instances!R313:R313),"diff", MAX(Instances!R313:R313)-MIN(Instances!R313:R313))</f>
        <v>874082</v>
      </c>
      <c r="S313" s="1" t="n">
        <f aca="false">MIN($B313)</f>
        <v>3920</v>
      </c>
      <c r="T313" s="1" t="n">
        <f aca="false">MIN($C313)</f>
        <v>2</v>
      </c>
      <c r="U313" s="1" t="n">
        <f aca="false">MIN($D313)</f>
        <v>1028150</v>
      </c>
      <c r="V313" s="1" t="n">
        <f aca="false">MIN($E313)</f>
        <v>0</v>
      </c>
      <c r="W313" s="1" t="n">
        <f aca="false">MIN($F313)</f>
        <v>897</v>
      </c>
      <c r="X313" s="1" t="n">
        <f aca="false">MIN($G313)</f>
        <v>0</v>
      </c>
      <c r="Y313" s="1" t="n">
        <f aca="false">MIN($H313)</f>
        <v>1</v>
      </c>
      <c r="Z313" s="1" t="n">
        <f aca="false">MIN($I313)</f>
        <v>12.825</v>
      </c>
      <c r="AA313" s="1" t="n">
        <f aca="false">MIN($J313)</f>
        <v>13.15</v>
      </c>
      <c r="AB313" s="1" t="n">
        <f aca="false">MIN($K313)</f>
        <v>0</v>
      </c>
      <c r="AC313" s="1" t="n">
        <f aca="false">MIN($M313)</f>
        <v>3139711</v>
      </c>
      <c r="AD313" s="1" t="n">
        <f aca="false">MIN($N313)</f>
        <v>0.08</v>
      </c>
      <c r="AE313" s="1" t="n">
        <f aca="false">MIN($P313)</f>
        <v>13.15</v>
      </c>
      <c r="AF313" s="1" t="n">
        <f aca="false">MIN($Q313)</f>
        <v>0</v>
      </c>
      <c r="AG313" s="1" t="n">
        <f aca="false">MIN($R313)</f>
        <v>874082</v>
      </c>
      <c r="AH313" s="1" t="n">
        <f aca="false">MEDIAN($B313)</f>
        <v>3920</v>
      </c>
      <c r="AI313" s="1" t="n">
        <f aca="false">MEDIAN($C313)</f>
        <v>2</v>
      </c>
      <c r="AJ313" s="1" t="n">
        <f aca="false">MEDIAN($D313)</f>
        <v>1028150</v>
      </c>
      <c r="AK313" s="1" t="n">
        <f aca="false">MEDIAN($E313)</f>
        <v>0</v>
      </c>
      <c r="AL313" s="1" t="n">
        <f aca="false">MEDIAN($F313)</f>
        <v>897</v>
      </c>
      <c r="AM313" s="1" t="n">
        <f aca="false">MEDIAN($G313)</f>
        <v>0</v>
      </c>
      <c r="AN313" s="1" t="n">
        <f aca="false">MEDIAN($H313)</f>
        <v>1</v>
      </c>
      <c r="AO313" s="1" t="n">
        <f aca="false">MEDIAN($I313)</f>
        <v>12.825</v>
      </c>
      <c r="AP313" s="1" t="n">
        <f aca="false">MEDIAN($J313)</f>
        <v>13.15</v>
      </c>
      <c r="AQ313" s="1" t="n">
        <f aca="false">MEDIAN($K313)</f>
        <v>0</v>
      </c>
      <c r="AR313" s="1" t="n">
        <f aca="false">MEDIAN($M313)</f>
        <v>3139711</v>
      </c>
      <c r="AS313" s="1" t="n">
        <f aca="false">MEDIAN($N313)</f>
        <v>0.08</v>
      </c>
      <c r="AT313" s="1" t="n">
        <f aca="false">MEDIAN($P313)</f>
        <v>13.15</v>
      </c>
      <c r="AU313" s="1" t="n">
        <f aca="false">MEDIAN($Q313)</f>
        <v>0</v>
      </c>
      <c r="AV313" s="1" t="n">
        <f aca="false">MEDIAN($R313)</f>
        <v>874082</v>
      </c>
      <c r="AW313" s="1" t="n">
        <f aca="false">MAX($B313)</f>
        <v>3920</v>
      </c>
      <c r="AX313" s="1" t="n">
        <f aca="false">MAX($C313)</f>
        <v>2</v>
      </c>
      <c r="AY313" s="1" t="n">
        <f aca="false">MAX($D313)</f>
        <v>1028150</v>
      </c>
      <c r="AZ313" s="1" t="n">
        <f aca="false">MAX($E313)</f>
        <v>0</v>
      </c>
      <c r="BA313" s="1" t="n">
        <f aca="false">MAX($F313)</f>
        <v>897</v>
      </c>
      <c r="BB313" s="1" t="n">
        <f aca="false">MAX($G313)</f>
        <v>0</v>
      </c>
      <c r="BC313" s="1" t="n">
        <f aca="false">MAX($H313)</f>
        <v>1</v>
      </c>
      <c r="BD313" s="1" t="n">
        <f aca="false">MAX($I313)</f>
        <v>12.825</v>
      </c>
      <c r="BE313" s="1" t="n">
        <f aca="false">MAX($J313)</f>
        <v>13.15</v>
      </c>
      <c r="BF313" s="1" t="n">
        <f aca="false">MAX($K313)</f>
        <v>0</v>
      </c>
      <c r="BG313" s="1" t="n">
        <f aca="false">MAX($M313)</f>
        <v>3139711</v>
      </c>
      <c r="BH313" s="1" t="n">
        <f aca="false">MAX($N313)</f>
        <v>0.08</v>
      </c>
      <c r="BI313" s="1" t="n">
        <f aca="false">MAX($P313)</f>
        <v>13.15</v>
      </c>
      <c r="BJ313" s="1" t="n">
        <f aca="false">MAX($Q313)</f>
        <v>0</v>
      </c>
      <c r="BK313" s="1" t="n">
        <f aca="false">MAX($R313)</f>
        <v>874082</v>
      </c>
    </row>
    <row r="314" customFormat="false" ht="15" hidden="false" customHeight="false" outlineLevel="0" collapsed="false">
      <c r="A314" s="1" t="s">
        <v>331</v>
      </c>
      <c r="B314" s="1" t="n">
        <f aca="false" t="array" ref="B314:B314">_xlfn.SWITCH($A$2,"average", AVERAGE(Instances!B314:B314),"median", MEDIAN(Instances!B314:B314),"min", MIN(Instances!B314:B314),"max", MAX(Instances!B314:B314),"diff", MAX(Instances!B314:B314)-MIN(Instances!B314:B314))</f>
        <v>4284</v>
      </c>
      <c r="C314" s="1" t="n">
        <f aca="false" t="array" ref="C314:C314">_xlfn.SWITCH($A$2,"average", AVERAGE(Instances!C314:C314),"median", MEDIAN(Instances!C314:C314),"min", MIN(Instances!C314:C314),"max", MAX(Instances!C314:C314),"diff", MAX(Instances!C314:C314)-MIN(Instances!C314:C314))</f>
        <v>1</v>
      </c>
      <c r="D314" s="1" t="n">
        <f aca="false" t="array" ref="D314:D314">_xlfn.SWITCH($A$2,"average", AVERAGE(Instances!D314:D314),"median", MEDIAN(Instances!D314:D314),"min", MIN(Instances!D314:D314),"max", MAX(Instances!D314:D314),"diff", MAX(Instances!D314:D314)-MIN(Instances!D314:D314))</f>
        <v>941482</v>
      </c>
      <c r="E314" s="1" t="n">
        <f aca="false" t="array" ref="E314:E314">_xlfn.SWITCH($A$2,"average", AVERAGE(Instances!E314:E314),"median", MEDIAN(Instances!E314:E314),"min", MIN(Instances!E314:E314),"max", MAX(Instances!E314:E314),"diff", MAX(Instances!E314:E314)-MIN(Instances!E314:E314))</f>
        <v>0</v>
      </c>
      <c r="F314" s="1" t="n">
        <f aca="false" t="array" ref="F314:F314">_xlfn.SWITCH($A$2,"average", AVERAGE(Instances!F314:F314),"median", MEDIAN(Instances!F314:F314),"min", MIN(Instances!F314:F314),"max", MAX(Instances!F314:F314),"diff", MAX(Instances!F314:F314)-MIN(Instances!F314:F314))</f>
        <v>829</v>
      </c>
      <c r="G314" s="1" t="n">
        <f aca="false" t="array" ref="G314:G314">_xlfn.SWITCH($A$2,"average", AVERAGE(Instances!G314:G314),"median", MEDIAN(Instances!G314:G314),"min", MIN(Instances!G314:G314),"max", MAX(Instances!G314:G314),"diff", MAX(Instances!G314:G314)-MIN(Instances!G314:G314))</f>
        <v>0</v>
      </c>
      <c r="H314" s="1" t="n">
        <f aca="false" t="array" ref="H314:H314">_xlfn.SWITCH($A$2,"average", AVERAGE(Instances!H314:H314),"median", MEDIAN(Instances!H314:H314),"min", MIN(Instances!H314:H314),"max", MAX(Instances!H314:H314),"diff", MAX(Instances!H314:H314)-MIN(Instances!H314:H314))</f>
        <v>1</v>
      </c>
      <c r="I314" s="1" t="n">
        <f aca="false" t="array" ref="I314:I314">_xlfn.SWITCH($A$2,"average", AVERAGE(Instances!I314:I314),"median", MEDIAN(Instances!I314:I314),"min", MIN(Instances!I314:I314),"max", MAX(Instances!I314:I314),"diff", MAX(Instances!I314:I314)-MIN(Instances!I314:I314))</f>
        <v>11.951</v>
      </c>
      <c r="J314" s="1" t="n">
        <f aca="false" t="array" ref="J314:J314">_xlfn.SWITCH($A$2,"average", AVERAGE(Instances!J314:J314),"median", MEDIAN(Instances!J314:J314),"min", MIN(Instances!J314:J314),"max", MAX(Instances!J314:J314),"diff", MAX(Instances!J314:J314)-MIN(Instances!J314:J314))</f>
        <v>12.22</v>
      </c>
      <c r="K314" s="1" t="n">
        <f aca="false" t="array" ref="K314:K314">_xlfn.SWITCH($A$2,"average", AVERAGE(Instances!K314:K314),"median", MEDIAN(Instances!K314:K314),"min", MIN(Instances!K314:K314),"max", MAX(Instances!K314:K314),"diff", MAX(Instances!K314:K314)-MIN(Instances!K314:K314))</f>
        <v>0</v>
      </c>
      <c r="L314" s="1"/>
      <c r="M314" s="1" t="n">
        <f aca="false" t="array" ref="M314:M314">_xlfn.SWITCH($A$2,"average", AVERAGE(Instances!M314:M314),"median", MEDIAN(Instances!M314:M314),"min", MIN(Instances!M314:M314),"max", MAX(Instances!M314:M314),"diff", MAX(Instances!M314:M314)-MIN(Instances!M314:M314))</f>
        <v>2846172</v>
      </c>
      <c r="N314" s="1" t="n">
        <f aca="false" t="array" ref="N314:N314">_xlfn.SWITCH($A$2,"average", AVERAGE(Instances!N314:N314),"median", MEDIAN(Instances!N314:N314),"min", MIN(Instances!N314:N314),"max", MAX(Instances!N314:N314),"diff", MAX(Instances!N314:N314)-MIN(Instances!N314:N314))</f>
        <v>0.07</v>
      </c>
      <c r="O314" s="1"/>
      <c r="P314" s="1" t="n">
        <f aca="false" t="array" ref="P314:P314">_xlfn.SWITCH($A$2,"average", AVERAGE(Instances!P314:P314),"median", MEDIAN(Instances!P314:P314),"min", MIN(Instances!P314:P314),"max", MAX(Instances!P314:P314),"diff", MAX(Instances!P314:P314)-MIN(Instances!P314:P314))</f>
        <v>12.22</v>
      </c>
      <c r="Q314" s="1" t="n">
        <f aca="false" t="array" ref="Q314:Q314">_xlfn.SWITCH($A$2,"average", AVERAGE(Instances!Q314:Q314),"median", MEDIAN(Instances!Q314:Q314),"min", MIN(Instances!Q314:Q314),"max", MAX(Instances!Q314:Q314),"diff", MAX(Instances!Q314:Q314)-MIN(Instances!Q314:Q314))</f>
        <v>0</v>
      </c>
      <c r="R314" s="1" t="n">
        <f aca="false" t="array" ref="R314:R314">_xlfn.SWITCH($A$2,"average", AVERAGE(Instances!R314:R314),"median", MEDIAN(Instances!R314:R314),"min", MIN(Instances!R314:R314),"max", MAX(Instances!R314:R314),"diff", MAX(Instances!R314:R314)-MIN(Instances!R314:R314))</f>
        <v>800014</v>
      </c>
      <c r="S314" s="1" t="n">
        <f aca="false">MIN($B314)</f>
        <v>4284</v>
      </c>
      <c r="T314" s="1" t="n">
        <f aca="false">MIN($C314)</f>
        <v>1</v>
      </c>
      <c r="U314" s="1" t="n">
        <f aca="false">MIN($D314)</f>
        <v>941482</v>
      </c>
      <c r="V314" s="1" t="n">
        <f aca="false">MIN($E314)</f>
        <v>0</v>
      </c>
      <c r="W314" s="1" t="n">
        <f aca="false">MIN($F314)</f>
        <v>829</v>
      </c>
      <c r="X314" s="1" t="n">
        <f aca="false">MIN($G314)</f>
        <v>0</v>
      </c>
      <c r="Y314" s="1" t="n">
        <f aca="false">MIN($H314)</f>
        <v>1</v>
      </c>
      <c r="Z314" s="1" t="n">
        <f aca="false">MIN($I314)</f>
        <v>11.951</v>
      </c>
      <c r="AA314" s="1" t="n">
        <f aca="false">MIN($J314)</f>
        <v>12.22</v>
      </c>
      <c r="AB314" s="1" t="n">
        <f aca="false">MIN($K314)</f>
        <v>0</v>
      </c>
      <c r="AC314" s="1" t="n">
        <f aca="false">MIN($M314)</f>
        <v>2846172</v>
      </c>
      <c r="AD314" s="1" t="n">
        <f aca="false">MIN($N314)</f>
        <v>0.07</v>
      </c>
      <c r="AE314" s="1" t="n">
        <f aca="false">MIN($P314)</f>
        <v>12.22</v>
      </c>
      <c r="AF314" s="1" t="n">
        <f aca="false">MIN($Q314)</f>
        <v>0</v>
      </c>
      <c r="AG314" s="1" t="n">
        <f aca="false">MIN($R314)</f>
        <v>800014</v>
      </c>
      <c r="AH314" s="1" t="n">
        <f aca="false">MEDIAN($B314)</f>
        <v>4284</v>
      </c>
      <c r="AI314" s="1" t="n">
        <f aca="false">MEDIAN($C314)</f>
        <v>1</v>
      </c>
      <c r="AJ314" s="1" t="n">
        <f aca="false">MEDIAN($D314)</f>
        <v>941482</v>
      </c>
      <c r="AK314" s="1" t="n">
        <f aca="false">MEDIAN($E314)</f>
        <v>0</v>
      </c>
      <c r="AL314" s="1" t="n">
        <f aca="false">MEDIAN($F314)</f>
        <v>829</v>
      </c>
      <c r="AM314" s="1" t="n">
        <f aca="false">MEDIAN($G314)</f>
        <v>0</v>
      </c>
      <c r="AN314" s="1" t="n">
        <f aca="false">MEDIAN($H314)</f>
        <v>1</v>
      </c>
      <c r="AO314" s="1" t="n">
        <f aca="false">MEDIAN($I314)</f>
        <v>11.951</v>
      </c>
      <c r="AP314" s="1" t="n">
        <f aca="false">MEDIAN($J314)</f>
        <v>12.22</v>
      </c>
      <c r="AQ314" s="1" t="n">
        <f aca="false">MEDIAN($K314)</f>
        <v>0</v>
      </c>
      <c r="AR314" s="1" t="n">
        <f aca="false">MEDIAN($M314)</f>
        <v>2846172</v>
      </c>
      <c r="AS314" s="1" t="n">
        <f aca="false">MEDIAN($N314)</f>
        <v>0.07</v>
      </c>
      <c r="AT314" s="1" t="n">
        <f aca="false">MEDIAN($P314)</f>
        <v>12.22</v>
      </c>
      <c r="AU314" s="1" t="n">
        <f aca="false">MEDIAN($Q314)</f>
        <v>0</v>
      </c>
      <c r="AV314" s="1" t="n">
        <f aca="false">MEDIAN($R314)</f>
        <v>800014</v>
      </c>
      <c r="AW314" s="1" t="n">
        <f aca="false">MAX($B314)</f>
        <v>4284</v>
      </c>
      <c r="AX314" s="1" t="n">
        <f aca="false">MAX($C314)</f>
        <v>1</v>
      </c>
      <c r="AY314" s="1" t="n">
        <f aca="false">MAX($D314)</f>
        <v>941482</v>
      </c>
      <c r="AZ314" s="1" t="n">
        <f aca="false">MAX($E314)</f>
        <v>0</v>
      </c>
      <c r="BA314" s="1" t="n">
        <f aca="false">MAX($F314)</f>
        <v>829</v>
      </c>
      <c r="BB314" s="1" t="n">
        <f aca="false">MAX($G314)</f>
        <v>0</v>
      </c>
      <c r="BC314" s="1" t="n">
        <f aca="false">MAX($H314)</f>
        <v>1</v>
      </c>
      <c r="BD314" s="1" t="n">
        <f aca="false">MAX($I314)</f>
        <v>11.951</v>
      </c>
      <c r="BE314" s="1" t="n">
        <f aca="false">MAX($J314)</f>
        <v>12.22</v>
      </c>
      <c r="BF314" s="1" t="n">
        <f aca="false">MAX($K314)</f>
        <v>0</v>
      </c>
      <c r="BG314" s="1" t="n">
        <f aca="false">MAX($M314)</f>
        <v>2846172</v>
      </c>
      <c r="BH314" s="1" t="n">
        <f aca="false">MAX($N314)</f>
        <v>0.07</v>
      </c>
      <c r="BI314" s="1" t="n">
        <f aca="false">MAX($P314)</f>
        <v>12.22</v>
      </c>
      <c r="BJ314" s="1" t="n">
        <f aca="false">MAX($Q314)</f>
        <v>0</v>
      </c>
      <c r="BK314" s="1" t="n">
        <f aca="false">MAX($R314)</f>
        <v>800014</v>
      </c>
    </row>
    <row r="315" customFormat="false" ht="15" hidden="false" customHeight="false" outlineLevel="0" collapsed="false">
      <c r="A315" s="1" t="s">
        <v>332</v>
      </c>
      <c r="B315" s="1" t="n">
        <f aca="false" t="array" ref="B315:B315">_xlfn.SWITCH($A$2,"average", AVERAGE(Instances!B315:B315),"median", MEDIAN(Instances!B315:B315),"min", MIN(Instances!B315:B315),"max", MAX(Instances!B315:B315),"diff", MAX(Instances!B315:B315)-MIN(Instances!B315:B315))</f>
        <v>5290</v>
      </c>
      <c r="C315" s="1" t="n">
        <f aca="false" t="array" ref="C315:C315">_xlfn.SWITCH($A$2,"average", AVERAGE(Instances!C315:C315),"median", MEDIAN(Instances!C315:C315),"min", MIN(Instances!C315:C315),"max", MAX(Instances!C315:C315),"diff", MAX(Instances!C315:C315)-MIN(Instances!C315:C315))</f>
        <v>1</v>
      </c>
      <c r="D315" s="1" t="n">
        <f aca="false" t="array" ref="D315:D315">_xlfn.SWITCH($A$2,"average", AVERAGE(Instances!D315:D315),"median", MEDIAN(Instances!D315:D315),"min", MIN(Instances!D315:D315),"max", MAX(Instances!D315:D315),"diff", MAX(Instances!D315:D315)-MIN(Instances!D315:D315))</f>
        <v>1181796</v>
      </c>
      <c r="E315" s="1" t="n">
        <f aca="false" t="array" ref="E315:E315">_xlfn.SWITCH($A$2,"average", AVERAGE(Instances!E315:E315),"median", MEDIAN(Instances!E315:E315),"min", MIN(Instances!E315:E315),"max", MAX(Instances!E315:E315),"diff", MAX(Instances!E315:E315)-MIN(Instances!E315:E315))</f>
        <v>0</v>
      </c>
      <c r="F315" s="1" t="n">
        <f aca="false" t="array" ref="F315:F315">_xlfn.SWITCH($A$2,"average", AVERAGE(Instances!F315:F315),"median", MEDIAN(Instances!F315:F315),"min", MIN(Instances!F315:F315),"max", MAX(Instances!F315:F315),"diff", MAX(Instances!F315:F315)-MIN(Instances!F315:F315))</f>
        <v>843</v>
      </c>
      <c r="G315" s="1" t="n">
        <f aca="false" t="array" ref="G315:G315">_xlfn.SWITCH($A$2,"average", AVERAGE(Instances!G315:G315),"median", MEDIAN(Instances!G315:G315),"min", MIN(Instances!G315:G315),"max", MAX(Instances!G315:G315),"diff", MAX(Instances!G315:G315)-MIN(Instances!G315:G315))</f>
        <v>0</v>
      </c>
      <c r="H315" s="1" t="n">
        <f aca="false" t="array" ref="H315:H315">_xlfn.SWITCH($A$2,"average", AVERAGE(Instances!H315:H315),"median", MEDIAN(Instances!H315:H315),"min", MIN(Instances!H315:H315),"max", MAX(Instances!H315:H315),"diff", MAX(Instances!H315:H315)-MIN(Instances!H315:H315))</f>
        <v>1</v>
      </c>
      <c r="I315" s="1" t="n">
        <f aca="false" t="array" ref="I315:I315">_xlfn.SWITCH($A$2,"average", AVERAGE(Instances!I315:I315),"median", MEDIAN(Instances!I315:I315),"min", MIN(Instances!I315:I315),"max", MAX(Instances!I315:I315),"diff", MAX(Instances!I315:I315)-MIN(Instances!I315:I315))</f>
        <v>11.854</v>
      </c>
      <c r="J315" s="1" t="n">
        <f aca="false" t="array" ref="J315:J315">_xlfn.SWITCH($A$2,"average", AVERAGE(Instances!J315:J315),"median", MEDIAN(Instances!J315:J315),"min", MIN(Instances!J315:J315),"max", MAX(Instances!J315:J315),"diff", MAX(Instances!J315:J315)-MIN(Instances!J315:J315))</f>
        <v>12.13</v>
      </c>
      <c r="K315" s="1" t="n">
        <f aca="false" t="array" ref="K315:K315">_xlfn.SWITCH($A$2,"average", AVERAGE(Instances!K315:K315),"median", MEDIAN(Instances!K315:K315),"min", MIN(Instances!K315:K315),"max", MAX(Instances!K315:K315),"diff", MAX(Instances!K315:K315)-MIN(Instances!K315:K315))</f>
        <v>0</v>
      </c>
      <c r="L315" s="1"/>
      <c r="M315" s="1" t="n">
        <f aca="false" t="array" ref="M315:M315">_xlfn.SWITCH($A$2,"average", AVERAGE(Instances!M315:M315),"median", MEDIAN(Instances!M315:M315),"min", MIN(Instances!M315:M315),"max", MAX(Instances!M315:M315),"diff", MAX(Instances!M315:M315)-MIN(Instances!M315:M315))</f>
        <v>2877348</v>
      </c>
      <c r="N315" s="1" t="n">
        <f aca="false" t="array" ref="N315:N315">_xlfn.SWITCH($A$2,"average", AVERAGE(Instances!N315:N315),"median", MEDIAN(Instances!N315:N315),"min", MIN(Instances!N315:N315),"max", MAX(Instances!N315:N315),"diff", MAX(Instances!N315:N315)-MIN(Instances!N315:N315))</f>
        <v>0.1</v>
      </c>
      <c r="O315" s="1"/>
      <c r="P315" s="1" t="n">
        <f aca="false" t="array" ref="P315:P315">_xlfn.SWITCH($A$2,"average", AVERAGE(Instances!P315:P315),"median", MEDIAN(Instances!P315:P315),"min", MIN(Instances!P315:P315),"max", MAX(Instances!P315:P315),"diff", MAX(Instances!P315:P315)-MIN(Instances!P315:P315))</f>
        <v>12.13</v>
      </c>
      <c r="Q315" s="1" t="n">
        <f aca="false" t="array" ref="Q315:Q315">_xlfn.SWITCH($A$2,"average", AVERAGE(Instances!Q315:Q315),"median", MEDIAN(Instances!Q315:Q315),"min", MIN(Instances!Q315:Q315),"max", MAX(Instances!Q315:Q315),"diff", MAX(Instances!Q315:Q315)-MIN(Instances!Q315:Q315))</f>
        <v>0</v>
      </c>
      <c r="R315" s="1" t="n">
        <f aca="false" t="array" ref="R315:R315">_xlfn.SWITCH($A$2,"average", AVERAGE(Instances!R315:R315),"median", MEDIAN(Instances!R315:R315),"min", MIN(Instances!R315:R315),"max", MAX(Instances!R315:R315),"diff", MAX(Instances!R315:R315)-MIN(Instances!R315:R315))</f>
        <v>809603</v>
      </c>
      <c r="S315" s="1" t="n">
        <f aca="false">MIN($B315)</f>
        <v>5290</v>
      </c>
      <c r="T315" s="1" t="n">
        <f aca="false">MIN($C315)</f>
        <v>1</v>
      </c>
      <c r="U315" s="1" t="n">
        <f aca="false">MIN($D315)</f>
        <v>1181796</v>
      </c>
      <c r="V315" s="1" t="n">
        <f aca="false">MIN($E315)</f>
        <v>0</v>
      </c>
      <c r="W315" s="1" t="n">
        <f aca="false">MIN($F315)</f>
        <v>843</v>
      </c>
      <c r="X315" s="1" t="n">
        <f aca="false">MIN($G315)</f>
        <v>0</v>
      </c>
      <c r="Y315" s="1" t="n">
        <f aca="false">MIN($H315)</f>
        <v>1</v>
      </c>
      <c r="Z315" s="1" t="n">
        <f aca="false">MIN($I315)</f>
        <v>11.854</v>
      </c>
      <c r="AA315" s="1" t="n">
        <f aca="false">MIN($J315)</f>
        <v>12.13</v>
      </c>
      <c r="AB315" s="1" t="n">
        <f aca="false">MIN($K315)</f>
        <v>0</v>
      </c>
      <c r="AC315" s="1" t="n">
        <f aca="false">MIN($M315)</f>
        <v>2877348</v>
      </c>
      <c r="AD315" s="1" t="n">
        <f aca="false">MIN($N315)</f>
        <v>0.1</v>
      </c>
      <c r="AE315" s="1" t="n">
        <f aca="false">MIN($P315)</f>
        <v>12.13</v>
      </c>
      <c r="AF315" s="1" t="n">
        <f aca="false">MIN($Q315)</f>
        <v>0</v>
      </c>
      <c r="AG315" s="1" t="n">
        <f aca="false">MIN($R315)</f>
        <v>809603</v>
      </c>
      <c r="AH315" s="1" t="n">
        <f aca="false">MEDIAN($B315)</f>
        <v>5290</v>
      </c>
      <c r="AI315" s="1" t="n">
        <f aca="false">MEDIAN($C315)</f>
        <v>1</v>
      </c>
      <c r="AJ315" s="1" t="n">
        <f aca="false">MEDIAN($D315)</f>
        <v>1181796</v>
      </c>
      <c r="AK315" s="1" t="n">
        <f aca="false">MEDIAN($E315)</f>
        <v>0</v>
      </c>
      <c r="AL315" s="1" t="n">
        <f aca="false">MEDIAN($F315)</f>
        <v>843</v>
      </c>
      <c r="AM315" s="1" t="n">
        <f aca="false">MEDIAN($G315)</f>
        <v>0</v>
      </c>
      <c r="AN315" s="1" t="n">
        <f aca="false">MEDIAN($H315)</f>
        <v>1</v>
      </c>
      <c r="AO315" s="1" t="n">
        <f aca="false">MEDIAN($I315)</f>
        <v>11.854</v>
      </c>
      <c r="AP315" s="1" t="n">
        <f aca="false">MEDIAN($J315)</f>
        <v>12.13</v>
      </c>
      <c r="AQ315" s="1" t="n">
        <f aca="false">MEDIAN($K315)</f>
        <v>0</v>
      </c>
      <c r="AR315" s="1" t="n">
        <f aca="false">MEDIAN($M315)</f>
        <v>2877348</v>
      </c>
      <c r="AS315" s="1" t="n">
        <f aca="false">MEDIAN($N315)</f>
        <v>0.1</v>
      </c>
      <c r="AT315" s="1" t="n">
        <f aca="false">MEDIAN($P315)</f>
        <v>12.13</v>
      </c>
      <c r="AU315" s="1" t="n">
        <f aca="false">MEDIAN($Q315)</f>
        <v>0</v>
      </c>
      <c r="AV315" s="1" t="n">
        <f aca="false">MEDIAN($R315)</f>
        <v>809603</v>
      </c>
      <c r="AW315" s="1" t="n">
        <f aca="false">MAX($B315)</f>
        <v>5290</v>
      </c>
      <c r="AX315" s="1" t="n">
        <f aca="false">MAX($C315)</f>
        <v>1</v>
      </c>
      <c r="AY315" s="1" t="n">
        <f aca="false">MAX($D315)</f>
        <v>1181796</v>
      </c>
      <c r="AZ315" s="1" t="n">
        <f aca="false">MAX($E315)</f>
        <v>0</v>
      </c>
      <c r="BA315" s="1" t="n">
        <f aca="false">MAX($F315)</f>
        <v>843</v>
      </c>
      <c r="BB315" s="1" t="n">
        <f aca="false">MAX($G315)</f>
        <v>0</v>
      </c>
      <c r="BC315" s="1" t="n">
        <f aca="false">MAX($H315)</f>
        <v>1</v>
      </c>
      <c r="BD315" s="1" t="n">
        <f aca="false">MAX($I315)</f>
        <v>11.854</v>
      </c>
      <c r="BE315" s="1" t="n">
        <f aca="false">MAX($J315)</f>
        <v>12.13</v>
      </c>
      <c r="BF315" s="1" t="n">
        <f aca="false">MAX($K315)</f>
        <v>0</v>
      </c>
      <c r="BG315" s="1" t="n">
        <f aca="false">MAX($M315)</f>
        <v>2877348</v>
      </c>
      <c r="BH315" s="1" t="n">
        <f aca="false">MAX($N315)</f>
        <v>0.1</v>
      </c>
      <c r="BI315" s="1" t="n">
        <f aca="false">MAX($P315)</f>
        <v>12.13</v>
      </c>
      <c r="BJ315" s="1" t="n">
        <f aca="false">MAX($Q315)</f>
        <v>0</v>
      </c>
      <c r="BK315" s="1" t="n">
        <f aca="false">MAX($R315)</f>
        <v>809603</v>
      </c>
    </row>
    <row r="316" customFormat="false" ht="15" hidden="false" customHeight="false" outlineLevel="0" collapsed="false">
      <c r="A316" s="1" t="s">
        <v>333</v>
      </c>
      <c r="B316" s="1" t="n">
        <f aca="false" t="array" ref="B316:B316">_xlfn.SWITCH($A$2,"average", AVERAGE(Instances!B316:B316),"median", MEDIAN(Instances!B316:B316),"min", MIN(Instances!B316:B316),"max", MAX(Instances!B316:B316),"diff", MAX(Instances!B316:B316)-MIN(Instances!B316:B316))</f>
        <v>4181</v>
      </c>
      <c r="C316" s="1" t="n">
        <f aca="false" t="array" ref="C316:C316">_xlfn.SWITCH($A$2,"average", AVERAGE(Instances!C316:C316),"median", MEDIAN(Instances!C316:C316),"min", MIN(Instances!C316:C316),"max", MAX(Instances!C316:C316),"diff", MAX(Instances!C316:C316)-MIN(Instances!C316:C316))</f>
        <v>1</v>
      </c>
      <c r="D316" s="1" t="n">
        <f aca="false" t="array" ref="D316:D316">_xlfn.SWITCH($A$2,"average", AVERAGE(Instances!D316:D316),"median", MEDIAN(Instances!D316:D316),"min", MIN(Instances!D316:D316),"max", MAX(Instances!D316:D316),"diff", MAX(Instances!D316:D316)-MIN(Instances!D316:D316))</f>
        <v>893697</v>
      </c>
      <c r="E316" s="1" t="n">
        <f aca="false" t="array" ref="E316:E316">_xlfn.SWITCH($A$2,"average", AVERAGE(Instances!E316:E316),"median", MEDIAN(Instances!E316:E316),"min", MIN(Instances!E316:E316),"max", MAX(Instances!E316:E316),"diff", MAX(Instances!E316:E316)-MIN(Instances!E316:E316))</f>
        <v>0</v>
      </c>
      <c r="F316" s="1" t="n">
        <f aca="false" t="array" ref="F316:F316">_xlfn.SWITCH($A$2,"average", AVERAGE(Instances!F316:F316),"median", MEDIAN(Instances!F316:F316),"min", MIN(Instances!F316:F316),"max", MAX(Instances!F316:F316),"diff", MAX(Instances!F316:F316)-MIN(Instances!F316:F316))</f>
        <v>813</v>
      </c>
      <c r="G316" s="1" t="n">
        <f aca="false" t="array" ref="G316:G316">_xlfn.SWITCH($A$2,"average", AVERAGE(Instances!G316:G316),"median", MEDIAN(Instances!G316:G316),"min", MIN(Instances!G316:G316),"max", MAX(Instances!G316:G316),"diff", MAX(Instances!G316:G316)-MIN(Instances!G316:G316))</f>
        <v>0</v>
      </c>
      <c r="H316" s="1" t="n">
        <f aca="false" t="array" ref="H316:H316">_xlfn.SWITCH($A$2,"average", AVERAGE(Instances!H316:H316),"median", MEDIAN(Instances!H316:H316),"min", MIN(Instances!H316:H316),"max", MAX(Instances!H316:H316),"diff", MAX(Instances!H316:H316)-MIN(Instances!H316:H316))</f>
        <v>1</v>
      </c>
      <c r="I316" s="1" t="n">
        <f aca="false" t="array" ref="I316:I316">_xlfn.SWITCH($A$2,"average", AVERAGE(Instances!I316:I316),"median", MEDIAN(Instances!I316:I316),"min", MIN(Instances!I316:I316),"max", MAX(Instances!I316:I316),"diff", MAX(Instances!I316:I316)-MIN(Instances!I316:I316))</f>
        <v>11.481</v>
      </c>
      <c r="J316" s="1" t="n">
        <f aca="false" t="array" ref="J316:J316">_xlfn.SWITCH($A$2,"average", AVERAGE(Instances!J316:J316),"median", MEDIAN(Instances!J316:J316),"min", MIN(Instances!J316:J316),"max", MAX(Instances!J316:J316),"diff", MAX(Instances!J316:J316)-MIN(Instances!J316:J316))</f>
        <v>11.77</v>
      </c>
      <c r="K316" s="1" t="n">
        <f aca="false" t="array" ref="K316:K316">_xlfn.SWITCH($A$2,"average", AVERAGE(Instances!K316:K316),"median", MEDIAN(Instances!K316:K316),"min", MIN(Instances!K316:K316),"max", MAX(Instances!K316:K316),"diff", MAX(Instances!K316:K316)-MIN(Instances!K316:K316))</f>
        <v>0</v>
      </c>
      <c r="L316" s="1"/>
      <c r="M316" s="1" t="n">
        <f aca="false" t="array" ref="M316:M316">_xlfn.SWITCH($A$2,"average", AVERAGE(Instances!M316:M316),"median", MEDIAN(Instances!M316:M316),"min", MIN(Instances!M316:M316),"max", MAX(Instances!M316:M316),"diff", MAX(Instances!M316:M316)-MIN(Instances!M316:M316))</f>
        <v>2800734</v>
      </c>
      <c r="N316" s="1" t="n">
        <f aca="false" t="array" ref="N316:N316">_xlfn.SWITCH($A$2,"average", AVERAGE(Instances!N316:N316),"median", MEDIAN(Instances!N316:N316),"min", MIN(Instances!N316:N316),"max", MAX(Instances!N316:N316),"diff", MAX(Instances!N316:N316)-MIN(Instances!N316:N316))</f>
        <v>0.07</v>
      </c>
      <c r="O316" s="1"/>
      <c r="P316" s="1" t="n">
        <f aca="false" t="array" ref="P316:P316">_xlfn.SWITCH($A$2,"average", AVERAGE(Instances!P316:P316),"median", MEDIAN(Instances!P316:P316),"min", MIN(Instances!P316:P316),"max", MAX(Instances!P316:P316),"diff", MAX(Instances!P316:P316)-MIN(Instances!P316:P316))</f>
        <v>11.77</v>
      </c>
      <c r="Q316" s="1" t="n">
        <f aca="false" t="array" ref="Q316:Q316">_xlfn.SWITCH($A$2,"average", AVERAGE(Instances!Q316:Q316),"median", MEDIAN(Instances!Q316:Q316),"min", MIN(Instances!Q316:Q316),"max", MAX(Instances!Q316:Q316),"diff", MAX(Instances!Q316:Q316)-MIN(Instances!Q316:Q316))</f>
        <v>0</v>
      </c>
      <c r="R316" s="1" t="n">
        <f aca="false" t="array" ref="R316:R316">_xlfn.SWITCH($A$2,"average", AVERAGE(Instances!R316:R316),"median", MEDIAN(Instances!R316:R316),"min", MIN(Instances!R316:R316),"max", MAX(Instances!R316:R316),"diff", MAX(Instances!R316:R316)-MIN(Instances!R316:R316))</f>
        <v>781267</v>
      </c>
      <c r="S316" s="1" t="n">
        <f aca="false">MIN($B316)</f>
        <v>4181</v>
      </c>
      <c r="T316" s="1" t="n">
        <f aca="false">MIN($C316)</f>
        <v>1</v>
      </c>
      <c r="U316" s="1" t="n">
        <f aca="false">MIN($D316)</f>
        <v>893697</v>
      </c>
      <c r="V316" s="1" t="n">
        <f aca="false">MIN($E316)</f>
        <v>0</v>
      </c>
      <c r="W316" s="1" t="n">
        <f aca="false">MIN($F316)</f>
        <v>813</v>
      </c>
      <c r="X316" s="1" t="n">
        <f aca="false">MIN($G316)</f>
        <v>0</v>
      </c>
      <c r="Y316" s="1" t="n">
        <f aca="false">MIN($H316)</f>
        <v>1</v>
      </c>
      <c r="Z316" s="1" t="n">
        <f aca="false">MIN($I316)</f>
        <v>11.481</v>
      </c>
      <c r="AA316" s="1" t="n">
        <f aca="false">MIN($J316)</f>
        <v>11.77</v>
      </c>
      <c r="AB316" s="1" t="n">
        <f aca="false">MIN($K316)</f>
        <v>0</v>
      </c>
      <c r="AC316" s="1" t="n">
        <f aca="false">MIN($M316)</f>
        <v>2800734</v>
      </c>
      <c r="AD316" s="1" t="n">
        <f aca="false">MIN($N316)</f>
        <v>0.07</v>
      </c>
      <c r="AE316" s="1" t="n">
        <f aca="false">MIN($P316)</f>
        <v>11.77</v>
      </c>
      <c r="AF316" s="1" t="n">
        <f aca="false">MIN($Q316)</f>
        <v>0</v>
      </c>
      <c r="AG316" s="1" t="n">
        <f aca="false">MIN($R316)</f>
        <v>781267</v>
      </c>
      <c r="AH316" s="1" t="n">
        <f aca="false">MEDIAN($B316)</f>
        <v>4181</v>
      </c>
      <c r="AI316" s="1" t="n">
        <f aca="false">MEDIAN($C316)</f>
        <v>1</v>
      </c>
      <c r="AJ316" s="1" t="n">
        <f aca="false">MEDIAN($D316)</f>
        <v>893697</v>
      </c>
      <c r="AK316" s="1" t="n">
        <f aca="false">MEDIAN($E316)</f>
        <v>0</v>
      </c>
      <c r="AL316" s="1" t="n">
        <f aca="false">MEDIAN($F316)</f>
        <v>813</v>
      </c>
      <c r="AM316" s="1" t="n">
        <f aca="false">MEDIAN($G316)</f>
        <v>0</v>
      </c>
      <c r="AN316" s="1" t="n">
        <f aca="false">MEDIAN($H316)</f>
        <v>1</v>
      </c>
      <c r="AO316" s="1" t="n">
        <f aca="false">MEDIAN($I316)</f>
        <v>11.481</v>
      </c>
      <c r="AP316" s="1" t="n">
        <f aca="false">MEDIAN($J316)</f>
        <v>11.77</v>
      </c>
      <c r="AQ316" s="1" t="n">
        <f aca="false">MEDIAN($K316)</f>
        <v>0</v>
      </c>
      <c r="AR316" s="1" t="n">
        <f aca="false">MEDIAN($M316)</f>
        <v>2800734</v>
      </c>
      <c r="AS316" s="1" t="n">
        <f aca="false">MEDIAN($N316)</f>
        <v>0.07</v>
      </c>
      <c r="AT316" s="1" t="n">
        <f aca="false">MEDIAN($P316)</f>
        <v>11.77</v>
      </c>
      <c r="AU316" s="1" t="n">
        <f aca="false">MEDIAN($Q316)</f>
        <v>0</v>
      </c>
      <c r="AV316" s="1" t="n">
        <f aca="false">MEDIAN($R316)</f>
        <v>781267</v>
      </c>
      <c r="AW316" s="1" t="n">
        <f aca="false">MAX($B316)</f>
        <v>4181</v>
      </c>
      <c r="AX316" s="1" t="n">
        <f aca="false">MAX($C316)</f>
        <v>1</v>
      </c>
      <c r="AY316" s="1" t="n">
        <f aca="false">MAX($D316)</f>
        <v>893697</v>
      </c>
      <c r="AZ316" s="1" t="n">
        <f aca="false">MAX($E316)</f>
        <v>0</v>
      </c>
      <c r="BA316" s="1" t="n">
        <f aca="false">MAX($F316)</f>
        <v>813</v>
      </c>
      <c r="BB316" s="1" t="n">
        <f aca="false">MAX($G316)</f>
        <v>0</v>
      </c>
      <c r="BC316" s="1" t="n">
        <f aca="false">MAX($H316)</f>
        <v>1</v>
      </c>
      <c r="BD316" s="1" t="n">
        <f aca="false">MAX($I316)</f>
        <v>11.481</v>
      </c>
      <c r="BE316" s="1" t="n">
        <f aca="false">MAX($J316)</f>
        <v>11.77</v>
      </c>
      <c r="BF316" s="1" t="n">
        <f aca="false">MAX($K316)</f>
        <v>0</v>
      </c>
      <c r="BG316" s="1" t="n">
        <f aca="false">MAX($M316)</f>
        <v>2800734</v>
      </c>
      <c r="BH316" s="1" t="n">
        <f aca="false">MAX($N316)</f>
        <v>0.07</v>
      </c>
      <c r="BI316" s="1" t="n">
        <f aca="false">MAX($P316)</f>
        <v>11.77</v>
      </c>
      <c r="BJ316" s="1" t="n">
        <f aca="false">MAX($Q316)</f>
        <v>0</v>
      </c>
      <c r="BK316" s="1" t="n">
        <f aca="false">MAX($R316)</f>
        <v>781267</v>
      </c>
    </row>
    <row r="317" customFormat="false" ht="15" hidden="false" customHeight="false" outlineLevel="0" collapsed="false">
      <c r="A317" s="1" t="s">
        <v>334</v>
      </c>
      <c r="B317" s="1" t="n">
        <f aca="false" t="array" ref="B317:B317">_xlfn.SWITCH($A$2,"average", AVERAGE(Instances!B317:B317),"median", MEDIAN(Instances!B317:B317),"min", MIN(Instances!B317:B317),"max", MAX(Instances!B317:B317),"diff", MAX(Instances!B317:B317)-MIN(Instances!B317:B317))</f>
        <v>4247</v>
      </c>
      <c r="C317" s="1" t="n">
        <f aca="false" t="array" ref="C317:C317">_xlfn.SWITCH($A$2,"average", AVERAGE(Instances!C317:C317),"median", MEDIAN(Instances!C317:C317),"min", MIN(Instances!C317:C317),"max", MAX(Instances!C317:C317),"diff", MAX(Instances!C317:C317)-MIN(Instances!C317:C317))</f>
        <v>1</v>
      </c>
      <c r="D317" s="1" t="n">
        <f aca="false" t="array" ref="D317:D317">_xlfn.SWITCH($A$2,"average", AVERAGE(Instances!D317:D317),"median", MEDIAN(Instances!D317:D317),"min", MIN(Instances!D317:D317),"max", MAX(Instances!D317:D317),"diff", MAX(Instances!D317:D317)-MIN(Instances!D317:D317))</f>
        <v>1223232</v>
      </c>
      <c r="E317" s="1" t="n">
        <f aca="false" t="array" ref="E317:E317">_xlfn.SWITCH($A$2,"average", AVERAGE(Instances!E317:E317),"median", MEDIAN(Instances!E317:E317),"min", MIN(Instances!E317:E317),"max", MAX(Instances!E317:E317),"diff", MAX(Instances!E317:E317)-MIN(Instances!E317:E317))</f>
        <v>0</v>
      </c>
      <c r="F317" s="1" t="n">
        <f aca="false" t="array" ref="F317:F317">_xlfn.SWITCH($A$2,"average", AVERAGE(Instances!F317:F317),"median", MEDIAN(Instances!F317:F317),"min", MIN(Instances!F317:F317),"max", MAX(Instances!F317:F317),"diff", MAX(Instances!F317:F317)-MIN(Instances!F317:F317))</f>
        <v>907</v>
      </c>
      <c r="G317" s="1" t="n">
        <f aca="false" t="array" ref="G317:G317">_xlfn.SWITCH($A$2,"average", AVERAGE(Instances!G317:G317),"median", MEDIAN(Instances!G317:G317),"min", MIN(Instances!G317:G317),"max", MAX(Instances!G317:G317),"diff", MAX(Instances!G317:G317)-MIN(Instances!G317:G317))</f>
        <v>0</v>
      </c>
      <c r="H317" s="1" t="n">
        <f aca="false" t="array" ref="H317:H317">_xlfn.SWITCH($A$2,"average", AVERAGE(Instances!H317:H317),"median", MEDIAN(Instances!H317:H317),"min", MIN(Instances!H317:H317),"max", MAX(Instances!H317:H317),"diff", MAX(Instances!H317:H317)-MIN(Instances!H317:H317))</f>
        <v>1</v>
      </c>
      <c r="I317" s="1" t="n">
        <f aca="false" t="array" ref="I317:I317">_xlfn.SWITCH($A$2,"average", AVERAGE(Instances!I317:I317),"median", MEDIAN(Instances!I317:I317),"min", MIN(Instances!I317:I317),"max", MAX(Instances!I317:I317),"diff", MAX(Instances!I317:I317)-MIN(Instances!I317:I317))</f>
        <v>13.023</v>
      </c>
      <c r="J317" s="1" t="n">
        <f aca="false" t="array" ref="J317:J317">_xlfn.SWITCH($A$2,"average", AVERAGE(Instances!J317:J317),"median", MEDIAN(Instances!J317:J317),"min", MIN(Instances!J317:J317),"max", MAX(Instances!J317:J317),"diff", MAX(Instances!J317:J317)-MIN(Instances!J317:J317))</f>
        <v>13.31</v>
      </c>
      <c r="K317" s="1" t="n">
        <f aca="false" t="array" ref="K317:K317">_xlfn.SWITCH($A$2,"average", AVERAGE(Instances!K317:K317),"median", MEDIAN(Instances!K317:K317),"min", MIN(Instances!K317:K317),"max", MAX(Instances!K317:K317),"diff", MAX(Instances!K317:K317)-MIN(Instances!K317:K317))</f>
        <v>0</v>
      </c>
      <c r="L317" s="1"/>
      <c r="M317" s="1" t="n">
        <f aca="false" t="array" ref="M317:M317">_xlfn.SWITCH($A$2,"average", AVERAGE(Instances!M317:M317),"median", MEDIAN(Instances!M317:M317),"min", MIN(Instances!M317:M317),"max", MAX(Instances!M317:M317),"diff", MAX(Instances!M317:M317)-MIN(Instances!M317:M317))</f>
        <v>3203905</v>
      </c>
      <c r="N317" s="1" t="n">
        <f aca="false" t="array" ref="N317:N317">_xlfn.SWITCH($A$2,"average", AVERAGE(Instances!N317:N317),"median", MEDIAN(Instances!N317:N317),"min", MIN(Instances!N317:N317),"max", MAX(Instances!N317:N317),"diff", MAX(Instances!N317:N317)-MIN(Instances!N317:N317))</f>
        <v>0.1</v>
      </c>
      <c r="O317" s="1"/>
      <c r="P317" s="1" t="n">
        <f aca="false" t="array" ref="P317:P317">_xlfn.SWITCH($A$2,"average", AVERAGE(Instances!P317:P317),"median", MEDIAN(Instances!P317:P317),"min", MIN(Instances!P317:P317),"max", MAX(Instances!P317:P317),"diff", MAX(Instances!P317:P317)-MIN(Instances!P317:P317))</f>
        <v>13.31</v>
      </c>
      <c r="Q317" s="1" t="n">
        <f aca="false" t="array" ref="Q317:Q317">_xlfn.SWITCH($A$2,"average", AVERAGE(Instances!Q317:Q317),"median", MEDIAN(Instances!Q317:Q317),"min", MIN(Instances!Q317:Q317),"max", MAX(Instances!Q317:Q317),"diff", MAX(Instances!Q317:Q317)-MIN(Instances!Q317:Q317))</f>
        <v>0</v>
      </c>
      <c r="R317" s="1" t="n">
        <f aca="false" t="array" ref="R317:R317">_xlfn.SWITCH($A$2,"average", AVERAGE(Instances!R317:R317),"median", MEDIAN(Instances!R317:R317),"min", MIN(Instances!R317:R317),"max", MAX(Instances!R317:R317),"diff", MAX(Instances!R317:R317)-MIN(Instances!R317:R317))</f>
        <v>884833</v>
      </c>
      <c r="S317" s="1" t="n">
        <f aca="false">MIN($B317)</f>
        <v>4247</v>
      </c>
      <c r="T317" s="1" t="n">
        <f aca="false">MIN($C317)</f>
        <v>1</v>
      </c>
      <c r="U317" s="1" t="n">
        <f aca="false">MIN($D317)</f>
        <v>1223232</v>
      </c>
      <c r="V317" s="1" t="n">
        <f aca="false">MIN($E317)</f>
        <v>0</v>
      </c>
      <c r="W317" s="1" t="n">
        <f aca="false">MIN($F317)</f>
        <v>907</v>
      </c>
      <c r="X317" s="1" t="n">
        <f aca="false">MIN($G317)</f>
        <v>0</v>
      </c>
      <c r="Y317" s="1" t="n">
        <f aca="false">MIN($H317)</f>
        <v>1</v>
      </c>
      <c r="Z317" s="1" t="n">
        <f aca="false">MIN($I317)</f>
        <v>13.023</v>
      </c>
      <c r="AA317" s="1" t="n">
        <f aca="false">MIN($J317)</f>
        <v>13.31</v>
      </c>
      <c r="AB317" s="1" t="n">
        <f aca="false">MIN($K317)</f>
        <v>0</v>
      </c>
      <c r="AC317" s="1" t="n">
        <f aca="false">MIN($M317)</f>
        <v>3203905</v>
      </c>
      <c r="AD317" s="1" t="n">
        <f aca="false">MIN($N317)</f>
        <v>0.1</v>
      </c>
      <c r="AE317" s="1" t="n">
        <f aca="false">MIN($P317)</f>
        <v>13.31</v>
      </c>
      <c r="AF317" s="1" t="n">
        <f aca="false">MIN($Q317)</f>
        <v>0</v>
      </c>
      <c r="AG317" s="1" t="n">
        <f aca="false">MIN($R317)</f>
        <v>884833</v>
      </c>
      <c r="AH317" s="1" t="n">
        <f aca="false">MEDIAN($B317)</f>
        <v>4247</v>
      </c>
      <c r="AI317" s="1" t="n">
        <f aca="false">MEDIAN($C317)</f>
        <v>1</v>
      </c>
      <c r="AJ317" s="1" t="n">
        <f aca="false">MEDIAN($D317)</f>
        <v>1223232</v>
      </c>
      <c r="AK317" s="1" t="n">
        <f aca="false">MEDIAN($E317)</f>
        <v>0</v>
      </c>
      <c r="AL317" s="1" t="n">
        <f aca="false">MEDIAN($F317)</f>
        <v>907</v>
      </c>
      <c r="AM317" s="1" t="n">
        <f aca="false">MEDIAN($G317)</f>
        <v>0</v>
      </c>
      <c r="AN317" s="1" t="n">
        <f aca="false">MEDIAN($H317)</f>
        <v>1</v>
      </c>
      <c r="AO317" s="1" t="n">
        <f aca="false">MEDIAN($I317)</f>
        <v>13.023</v>
      </c>
      <c r="AP317" s="1" t="n">
        <f aca="false">MEDIAN($J317)</f>
        <v>13.31</v>
      </c>
      <c r="AQ317" s="1" t="n">
        <f aca="false">MEDIAN($K317)</f>
        <v>0</v>
      </c>
      <c r="AR317" s="1" t="n">
        <f aca="false">MEDIAN($M317)</f>
        <v>3203905</v>
      </c>
      <c r="AS317" s="1" t="n">
        <f aca="false">MEDIAN($N317)</f>
        <v>0.1</v>
      </c>
      <c r="AT317" s="1" t="n">
        <f aca="false">MEDIAN($P317)</f>
        <v>13.31</v>
      </c>
      <c r="AU317" s="1" t="n">
        <f aca="false">MEDIAN($Q317)</f>
        <v>0</v>
      </c>
      <c r="AV317" s="1" t="n">
        <f aca="false">MEDIAN($R317)</f>
        <v>884833</v>
      </c>
      <c r="AW317" s="1" t="n">
        <f aca="false">MAX($B317)</f>
        <v>4247</v>
      </c>
      <c r="AX317" s="1" t="n">
        <f aca="false">MAX($C317)</f>
        <v>1</v>
      </c>
      <c r="AY317" s="1" t="n">
        <f aca="false">MAX($D317)</f>
        <v>1223232</v>
      </c>
      <c r="AZ317" s="1" t="n">
        <f aca="false">MAX($E317)</f>
        <v>0</v>
      </c>
      <c r="BA317" s="1" t="n">
        <f aca="false">MAX($F317)</f>
        <v>907</v>
      </c>
      <c r="BB317" s="1" t="n">
        <f aca="false">MAX($G317)</f>
        <v>0</v>
      </c>
      <c r="BC317" s="1" t="n">
        <f aca="false">MAX($H317)</f>
        <v>1</v>
      </c>
      <c r="BD317" s="1" t="n">
        <f aca="false">MAX($I317)</f>
        <v>13.023</v>
      </c>
      <c r="BE317" s="1" t="n">
        <f aca="false">MAX($J317)</f>
        <v>13.31</v>
      </c>
      <c r="BF317" s="1" t="n">
        <f aca="false">MAX($K317)</f>
        <v>0</v>
      </c>
      <c r="BG317" s="1" t="n">
        <f aca="false">MAX($M317)</f>
        <v>3203905</v>
      </c>
      <c r="BH317" s="1" t="n">
        <f aca="false">MAX($N317)</f>
        <v>0.1</v>
      </c>
      <c r="BI317" s="1" t="n">
        <f aca="false">MAX($P317)</f>
        <v>13.31</v>
      </c>
      <c r="BJ317" s="1" t="n">
        <f aca="false">MAX($Q317)</f>
        <v>0</v>
      </c>
      <c r="BK317" s="1" t="n">
        <f aca="false">MAX($R317)</f>
        <v>884833</v>
      </c>
    </row>
    <row r="318" customFormat="false" ht="15" hidden="false" customHeight="false" outlineLevel="0" collapsed="false">
      <c r="A318" s="1" t="s">
        <v>335</v>
      </c>
      <c r="B318" s="1" t="n">
        <f aca="false" t="array" ref="B318:B318">_xlfn.SWITCH($A$2,"average", AVERAGE(Instances!B318:B318),"median", MEDIAN(Instances!B318:B318),"min", MIN(Instances!B318:B318),"max", MAX(Instances!B318:B318),"diff", MAX(Instances!B318:B318)-MIN(Instances!B318:B318))</f>
        <v>59181</v>
      </c>
      <c r="C318" s="1" t="n">
        <f aca="false" t="array" ref="C318:C318">_xlfn.SWITCH($A$2,"average", AVERAGE(Instances!C318:C318),"median", MEDIAN(Instances!C318:C318),"min", MIN(Instances!C318:C318),"max", MAX(Instances!C318:C318),"diff", MAX(Instances!C318:C318)-MIN(Instances!C318:C318))</f>
        <v>170</v>
      </c>
      <c r="D318" s="1" t="n">
        <f aca="false" t="array" ref="D318:D318">_xlfn.SWITCH($A$2,"average", AVERAGE(Instances!D318:D318),"median", MEDIAN(Instances!D318:D318),"min", MIN(Instances!D318:D318),"max", MAX(Instances!D318:D318),"diff", MAX(Instances!D318:D318)-MIN(Instances!D318:D318))</f>
        <v>1136618</v>
      </c>
      <c r="E318" s="1" t="n">
        <f aca="false" t="array" ref="E318:E318">_xlfn.SWITCH($A$2,"average", AVERAGE(Instances!E318:E318),"median", MEDIAN(Instances!E318:E318),"min", MIN(Instances!E318:E318),"max", MAX(Instances!E318:E318),"diff", MAX(Instances!E318:E318)-MIN(Instances!E318:E318))</f>
        <v>0</v>
      </c>
      <c r="F318" s="1" t="n">
        <f aca="false" t="array" ref="F318:F318">_xlfn.SWITCH($A$2,"average", AVERAGE(Instances!F318:F318),"median", MEDIAN(Instances!F318:F318),"min", MIN(Instances!F318:F318),"max", MAX(Instances!F318:F318),"diff", MAX(Instances!F318:F318)-MIN(Instances!F318:F318))</f>
        <v>960</v>
      </c>
      <c r="G318" s="1" t="n">
        <f aca="false" t="array" ref="G318:G318">_xlfn.SWITCH($A$2,"average", AVERAGE(Instances!G318:G318),"median", MEDIAN(Instances!G318:G318),"min", MIN(Instances!G318:G318),"max", MAX(Instances!G318:G318),"diff", MAX(Instances!G318:G318)-MIN(Instances!G318:G318))</f>
        <v>0</v>
      </c>
      <c r="H318" s="1" t="n">
        <f aca="false" t="array" ref="H318:H318">_xlfn.SWITCH($A$2,"average", AVERAGE(Instances!H318:H318),"median", MEDIAN(Instances!H318:H318),"min", MIN(Instances!H318:H318),"max", MAX(Instances!H318:H318),"diff", MAX(Instances!H318:H318)-MIN(Instances!H318:H318))</f>
        <v>1</v>
      </c>
      <c r="I318" s="1" t="n">
        <f aca="false" t="array" ref="I318:I318">_xlfn.SWITCH($A$2,"average", AVERAGE(Instances!I318:I318),"median", MEDIAN(Instances!I318:I318),"min", MIN(Instances!I318:I318),"max", MAX(Instances!I318:I318),"diff", MAX(Instances!I318:I318)-MIN(Instances!I318:I318))</f>
        <v>15.036</v>
      </c>
      <c r="J318" s="1" t="n">
        <f aca="false" t="array" ref="J318:J318">_xlfn.SWITCH($A$2,"average", AVERAGE(Instances!J318:J318),"median", MEDIAN(Instances!J318:J318),"min", MIN(Instances!J318:J318),"max", MAX(Instances!J318:J318),"diff", MAX(Instances!J318:J318)-MIN(Instances!J318:J318))</f>
        <v>15.37</v>
      </c>
      <c r="K318" s="1" t="n">
        <f aca="false" t="array" ref="K318:K318">_xlfn.SWITCH($A$2,"average", AVERAGE(Instances!K318:K318),"median", MEDIAN(Instances!K318:K318),"min", MIN(Instances!K318:K318),"max", MAX(Instances!K318:K318),"diff", MAX(Instances!K318:K318)-MIN(Instances!K318:K318))</f>
        <v>2</v>
      </c>
      <c r="L318" s="1"/>
      <c r="M318" s="1" t="n">
        <f aca="false" t="array" ref="M318:M318">_xlfn.SWITCH($A$2,"average", AVERAGE(Instances!M318:M318),"median", MEDIAN(Instances!M318:M318),"min", MIN(Instances!M318:M318),"max", MAX(Instances!M318:M318),"diff", MAX(Instances!M318:M318)-MIN(Instances!M318:M318))</f>
        <v>3442322</v>
      </c>
      <c r="N318" s="1" t="n">
        <f aca="false" t="array" ref="N318:N318">_xlfn.SWITCH($A$2,"average", AVERAGE(Instances!N318:N318),"median", MEDIAN(Instances!N318:N318),"min", MIN(Instances!N318:N318),"max", MAX(Instances!N318:N318),"diff", MAX(Instances!N318:N318)-MIN(Instances!N318:N318))</f>
        <v>1.09</v>
      </c>
      <c r="O318" s="1"/>
      <c r="P318" s="1" t="n">
        <f aca="false" t="array" ref="P318:P318">_xlfn.SWITCH($A$2,"average", AVERAGE(Instances!P318:P318),"median", MEDIAN(Instances!P318:P318),"min", MIN(Instances!P318:P318),"max", MAX(Instances!P318:P318),"diff", MAX(Instances!P318:P318)-MIN(Instances!P318:P318))</f>
        <v>15.37</v>
      </c>
      <c r="Q318" s="1" t="n">
        <f aca="false" t="array" ref="Q318:Q318">_xlfn.SWITCH($A$2,"average", AVERAGE(Instances!Q318:Q318),"median", MEDIAN(Instances!Q318:Q318),"min", MIN(Instances!Q318:Q318),"max", MAX(Instances!Q318:Q318),"diff", MAX(Instances!Q318:Q318)-MIN(Instances!Q318:Q318))</f>
        <v>0</v>
      </c>
      <c r="R318" s="1" t="n">
        <f aca="false" t="array" ref="R318:R318">_xlfn.SWITCH($A$2,"average", AVERAGE(Instances!R318:R318),"median", MEDIAN(Instances!R318:R318),"min", MIN(Instances!R318:R318),"max", MAX(Instances!R318:R318),"diff", MAX(Instances!R318:R318)-MIN(Instances!R318:R318))</f>
        <v>947361</v>
      </c>
      <c r="S318" s="1" t="n">
        <f aca="false">MIN($B318)</f>
        <v>59181</v>
      </c>
      <c r="T318" s="1" t="n">
        <f aca="false">MIN($C318)</f>
        <v>170</v>
      </c>
      <c r="U318" s="1" t="n">
        <f aca="false">MIN($D318)</f>
        <v>1136618</v>
      </c>
      <c r="V318" s="1" t="n">
        <f aca="false">MIN($E318)</f>
        <v>0</v>
      </c>
      <c r="W318" s="1" t="n">
        <f aca="false">MIN($F318)</f>
        <v>960</v>
      </c>
      <c r="X318" s="1" t="n">
        <f aca="false">MIN($G318)</f>
        <v>0</v>
      </c>
      <c r="Y318" s="1" t="n">
        <f aca="false">MIN($H318)</f>
        <v>1</v>
      </c>
      <c r="Z318" s="1" t="n">
        <f aca="false">MIN($I318)</f>
        <v>15.036</v>
      </c>
      <c r="AA318" s="1" t="n">
        <f aca="false">MIN($J318)</f>
        <v>15.37</v>
      </c>
      <c r="AB318" s="1" t="n">
        <f aca="false">MIN($K318)</f>
        <v>2</v>
      </c>
      <c r="AC318" s="1" t="n">
        <f aca="false">MIN($M318)</f>
        <v>3442322</v>
      </c>
      <c r="AD318" s="1" t="n">
        <f aca="false">MIN($N318)</f>
        <v>1.09</v>
      </c>
      <c r="AE318" s="1" t="n">
        <f aca="false">MIN($P318)</f>
        <v>15.37</v>
      </c>
      <c r="AF318" s="1" t="n">
        <f aca="false">MIN($Q318)</f>
        <v>0</v>
      </c>
      <c r="AG318" s="1" t="n">
        <f aca="false">MIN($R318)</f>
        <v>947361</v>
      </c>
      <c r="AH318" s="1" t="n">
        <f aca="false">MEDIAN($B318)</f>
        <v>59181</v>
      </c>
      <c r="AI318" s="1" t="n">
        <f aca="false">MEDIAN($C318)</f>
        <v>170</v>
      </c>
      <c r="AJ318" s="1" t="n">
        <f aca="false">MEDIAN($D318)</f>
        <v>1136618</v>
      </c>
      <c r="AK318" s="1" t="n">
        <f aca="false">MEDIAN($E318)</f>
        <v>0</v>
      </c>
      <c r="AL318" s="1" t="n">
        <f aca="false">MEDIAN($F318)</f>
        <v>960</v>
      </c>
      <c r="AM318" s="1" t="n">
        <f aca="false">MEDIAN($G318)</f>
        <v>0</v>
      </c>
      <c r="AN318" s="1" t="n">
        <f aca="false">MEDIAN($H318)</f>
        <v>1</v>
      </c>
      <c r="AO318" s="1" t="n">
        <f aca="false">MEDIAN($I318)</f>
        <v>15.036</v>
      </c>
      <c r="AP318" s="1" t="n">
        <f aca="false">MEDIAN($J318)</f>
        <v>15.37</v>
      </c>
      <c r="AQ318" s="1" t="n">
        <f aca="false">MEDIAN($K318)</f>
        <v>2</v>
      </c>
      <c r="AR318" s="1" t="n">
        <f aca="false">MEDIAN($M318)</f>
        <v>3442322</v>
      </c>
      <c r="AS318" s="1" t="n">
        <f aca="false">MEDIAN($N318)</f>
        <v>1.09</v>
      </c>
      <c r="AT318" s="1" t="n">
        <f aca="false">MEDIAN($P318)</f>
        <v>15.37</v>
      </c>
      <c r="AU318" s="1" t="n">
        <f aca="false">MEDIAN($Q318)</f>
        <v>0</v>
      </c>
      <c r="AV318" s="1" t="n">
        <f aca="false">MEDIAN($R318)</f>
        <v>947361</v>
      </c>
      <c r="AW318" s="1" t="n">
        <f aca="false">MAX($B318)</f>
        <v>59181</v>
      </c>
      <c r="AX318" s="1" t="n">
        <f aca="false">MAX($C318)</f>
        <v>170</v>
      </c>
      <c r="AY318" s="1" t="n">
        <f aca="false">MAX($D318)</f>
        <v>1136618</v>
      </c>
      <c r="AZ318" s="1" t="n">
        <f aca="false">MAX($E318)</f>
        <v>0</v>
      </c>
      <c r="BA318" s="1" t="n">
        <f aca="false">MAX($F318)</f>
        <v>960</v>
      </c>
      <c r="BB318" s="1" t="n">
        <f aca="false">MAX($G318)</f>
        <v>0</v>
      </c>
      <c r="BC318" s="1" t="n">
        <f aca="false">MAX($H318)</f>
        <v>1</v>
      </c>
      <c r="BD318" s="1" t="n">
        <f aca="false">MAX($I318)</f>
        <v>15.036</v>
      </c>
      <c r="BE318" s="1" t="n">
        <f aca="false">MAX($J318)</f>
        <v>15.37</v>
      </c>
      <c r="BF318" s="1" t="n">
        <f aca="false">MAX($K318)</f>
        <v>2</v>
      </c>
      <c r="BG318" s="1" t="n">
        <f aca="false">MAX($M318)</f>
        <v>3442322</v>
      </c>
      <c r="BH318" s="1" t="n">
        <f aca="false">MAX($N318)</f>
        <v>1.09</v>
      </c>
      <c r="BI318" s="1" t="n">
        <f aca="false">MAX($P318)</f>
        <v>15.37</v>
      </c>
      <c r="BJ318" s="1" t="n">
        <f aca="false">MAX($Q318)</f>
        <v>0</v>
      </c>
      <c r="BK318" s="1" t="n">
        <f aca="false">MAX($R318)</f>
        <v>947361</v>
      </c>
    </row>
    <row r="319" customFormat="false" ht="15" hidden="false" customHeight="false" outlineLevel="0" collapsed="false">
      <c r="A319" s="1" t="s">
        <v>336</v>
      </c>
      <c r="B319" s="1" t="n">
        <f aca="false" t="array" ref="B319:B319">_xlfn.SWITCH($A$2,"average", AVERAGE(Instances!B319:B319),"median", MEDIAN(Instances!B319:B319),"min", MIN(Instances!B319:B319),"max", MAX(Instances!B319:B319),"diff", MAX(Instances!B319:B319)-MIN(Instances!B319:B319))</f>
        <v>10709</v>
      </c>
      <c r="C319" s="1" t="n">
        <f aca="false" t="array" ref="C319:C319">_xlfn.SWITCH($A$2,"average", AVERAGE(Instances!C319:C319),"median", MEDIAN(Instances!C319:C319),"min", MIN(Instances!C319:C319),"max", MAX(Instances!C319:C319),"diff", MAX(Instances!C319:C319)-MIN(Instances!C319:C319))</f>
        <v>62</v>
      </c>
      <c r="D319" s="1" t="n">
        <f aca="false" t="array" ref="D319:D319">_xlfn.SWITCH($A$2,"average", AVERAGE(Instances!D319:D319),"median", MEDIAN(Instances!D319:D319),"min", MIN(Instances!D319:D319),"max", MAX(Instances!D319:D319),"diff", MAX(Instances!D319:D319)-MIN(Instances!D319:D319))</f>
        <v>1505890</v>
      </c>
      <c r="E319" s="1" t="n">
        <f aca="false" t="array" ref="E319:E319">_xlfn.SWITCH($A$2,"average", AVERAGE(Instances!E319:E319),"median", MEDIAN(Instances!E319:E319),"min", MIN(Instances!E319:E319),"max", MAX(Instances!E319:E319),"diff", MAX(Instances!E319:E319)-MIN(Instances!E319:E319))</f>
        <v>0</v>
      </c>
      <c r="F319" s="1" t="n">
        <f aca="false" t="array" ref="F319:F319">_xlfn.SWITCH($A$2,"average", AVERAGE(Instances!F319:F319),"median", MEDIAN(Instances!F319:F319),"min", MIN(Instances!F319:F319),"max", MAX(Instances!F319:F319),"diff", MAX(Instances!F319:F319)-MIN(Instances!F319:F319))</f>
        <v>1099</v>
      </c>
      <c r="G319" s="1" t="n">
        <f aca="false" t="array" ref="G319:G319">_xlfn.SWITCH($A$2,"average", AVERAGE(Instances!G319:G319),"median", MEDIAN(Instances!G319:G319),"min", MIN(Instances!G319:G319),"max", MAX(Instances!G319:G319),"diff", MAX(Instances!G319:G319)-MIN(Instances!G319:G319))</f>
        <v>0</v>
      </c>
      <c r="H319" s="1" t="n">
        <f aca="false" t="array" ref="H319:H319">_xlfn.SWITCH($A$2,"average", AVERAGE(Instances!H319:H319),"median", MEDIAN(Instances!H319:H319),"min", MIN(Instances!H319:H319),"max", MAX(Instances!H319:H319),"diff", MAX(Instances!H319:H319)-MIN(Instances!H319:H319))</f>
        <v>1</v>
      </c>
      <c r="I319" s="1" t="n">
        <f aca="false" t="array" ref="I319:I319">_xlfn.SWITCH($A$2,"average", AVERAGE(Instances!I319:I319),"median", MEDIAN(Instances!I319:I319),"min", MIN(Instances!I319:I319),"max", MAX(Instances!I319:I319),"diff", MAX(Instances!I319:I319)-MIN(Instances!I319:I319))</f>
        <v>17.409</v>
      </c>
      <c r="J319" s="1" t="n">
        <f aca="false" t="array" ref="J319:J319">_xlfn.SWITCH($A$2,"average", AVERAGE(Instances!J319:J319),"median", MEDIAN(Instances!J319:J319),"min", MIN(Instances!J319:J319),"max", MAX(Instances!J319:J319),"diff", MAX(Instances!J319:J319)-MIN(Instances!J319:J319))</f>
        <v>17.77</v>
      </c>
      <c r="K319" s="1" t="n">
        <f aca="false" t="array" ref="K319:K319">_xlfn.SWITCH($A$2,"average", AVERAGE(Instances!K319:K319),"median", MEDIAN(Instances!K319:K319),"min", MIN(Instances!K319:K319),"max", MAX(Instances!K319:K319),"diff", MAX(Instances!K319:K319)-MIN(Instances!K319:K319))</f>
        <v>1</v>
      </c>
      <c r="L319" s="1"/>
      <c r="M319" s="1" t="n">
        <f aca="false" t="array" ref="M319:M319">_xlfn.SWITCH($A$2,"average", AVERAGE(Instances!M319:M319),"median", MEDIAN(Instances!M319:M319),"min", MIN(Instances!M319:M319),"max", MAX(Instances!M319:M319),"diff", MAX(Instances!M319:M319)-MIN(Instances!M319:M319))</f>
        <v>4228276</v>
      </c>
      <c r="N319" s="1" t="n">
        <f aca="false" t="array" ref="N319:N319">_xlfn.SWITCH($A$2,"average", AVERAGE(Instances!N319:N319),"median", MEDIAN(Instances!N319:N319),"min", MIN(Instances!N319:N319),"max", MAX(Instances!N319:N319),"diff", MAX(Instances!N319:N319)-MIN(Instances!N319:N319))</f>
        <v>0.22</v>
      </c>
      <c r="O319" s="1"/>
      <c r="P319" s="1" t="n">
        <f aca="false" t="array" ref="P319:P319">_xlfn.SWITCH($A$2,"average", AVERAGE(Instances!P319:P319),"median", MEDIAN(Instances!P319:P319),"min", MIN(Instances!P319:P319),"max", MAX(Instances!P319:P319),"diff", MAX(Instances!P319:P319)-MIN(Instances!P319:P319))</f>
        <v>17.77</v>
      </c>
      <c r="Q319" s="1" t="n">
        <f aca="false" t="array" ref="Q319:Q319">_xlfn.SWITCH($A$2,"average", AVERAGE(Instances!Q319:Q319),"median", MEDIAN(Instances!Q319:Q319),"min", MIN(Instances!Q319:Q319),"max", MAX(Instances!Q319:Q319),"diff", MAX(Instances!Q319:Q319)-MIN(Instances!Q319:Q319))</f>
        <v>0</v>
      </c>
      <c r="R319" s="1" t="n">
        <f aca="false" t="array" ref="R319:R319">_xlfn.SWITCH($A$2,"average", AVERAGE(Instances!R319:R319),"median", MEDIAN(Instances!R319:R319),"min", MIN(Instances!R319:R319),"max", MAX(Instances!R319:R319),"diff", MAX(Instances!R319:R319)-MIN(Instances!R319:R319))</f>
        <v>1091384</v>
      </c>
      <c r="S319" s="1" t="n">
        <f aca="false">MIN($B319)</f>
        <v>10709</v>
      </c>
      <c r="T319" s="1" t="n">
        <f aca="false">MIN($C319)</f>
        <v>62</v>
      </c>
      <c r="U319" s="1" t="n">
        <f aca="false">MIN($D319)</f>
        <v>1505890</v>
      </c>
      <c r="V319" s="1" t="n">
        <f aca="false">MIN($E319)</f>
        <v>0</v>
      </c>
      <c r="W319" s="1" t="n">
        <f aca="false">MIN($F319)</f>
        <v>1099</v>
      </c>
      <c r="X319" s="1" t="n">
        <f aca="false">MIN($G319)</f>
        <v>0</v>
      </c>
      <c r="Y319" s="1" t="n">
        <f aca="false">MIN($H319)</f>
        <v>1</v>
      </c>
      <c r="Z319" s="1" t="n">
        <f aca="false">MIN($I319)</f>
        <v>17.409</v>
      </c>
      <c r="AA319" s="1" t="n">
        <f aca="false">MIN($J319)</f>
        <v>17.77</v>
      </c>
      <c r="AB319" s="1" t="n">
        <f aca="false">MIN($K319)</f>
        <v>1</v>
      </c>
      <c r="AC319" s="1" t="n">
        <f aca="false">MIN($M319)</f>
        <v>4228276</v>
      </c>
      <c r="AD319" s="1" t="n">
        <f aca="false">MIN($N319)</f>
        <v>0.22</v>
      </c>
      <c r="AE319" s="1" t="n">
        <f aca="false">MIN($P319)</f>
        <v>17.77</v>
      </c>
      <c r="AF319" s="1" t="n">
        <f aca="false">MIN($Q319)</f>
        <v>0</v>
      </c>
      <c r="AG319" s="1" t="n">
        <f aca="false">MIN($R319)</f>
        <v>1091384</v>
      </c>
      <c r="AH319" s="1" t="n">
        <f aca="false">MEDIAN($B319)</f>
        <v>10709</v>
      </c>
      <c r="AI319" s="1" t="n">
        <f aca="false">MEDIAN($C319)</f>
        <v>62</v>
      </c>
      <c r="AJ319" s="1" t="n">
        <f aca="false">MEDIAN($D319)</f>
        <v>1505890</v>
      </c>
      <c r="AK319" s="1" t="n">
        <f aca="false">MEDIAN($E319)</f>
        <v>0</v>
      </c>
      <c r="AL319" s="1" t="n">
        <f aca="false">MEDIAN($F319)</f>
        <v>1099</v>
      </c>
      <c r="AM319" s="1" t="n">
        <f aca="false">MEDIAN($G319)</f>
        <v>0</v>
      </c>
      <c r="AN319" s="1" t="n">
        <f aca="false">MEDIAN($H319)</f>
        <v>1</v>
      </c>
      <c r="AO319" s="1" t="n">
        <f aca="false">MEDIAN($I319)</f>
        <v>17.409</v>
      </c>
      <c r="AP319" s="1" t="n">
        <f aca="false">MEDIAN($J319)</f>
        <v>17.77</v>
      </c>
      <c r="AQ319" s="1" t="n">
        <f aca="false">MEDIAN($K319)</f>
        <v>1</v>
      </c>
      <c r="AR319" s="1" t="n">
        <f aca="false">MEDIAN($M319)</f>
        <v>4228276</v>
      </c>
      <c r="AS319" s="1" t="n">
        <f aca="false">MEDIAN($N319)</f>
        <v>0.22</v>
      </c>
      <c r="AT319" s="1" t="n">
        <f aca="false">MEDIAN($P319)</f>
        <v>17.77</v>
      </c>
      <c r="AU319" s="1" t="n">
        <f aca="false">MEDIAN($Q319)</f>
        <v>0</v>
      </c>
      <c r="AV319" s="1" t="n">
        <f aca="false">MEDIAN($R319)</f>
        <v>1091384</v>
      </c>
      <c r="AW319" s="1" t="n">
        <f aca="false">MAX($B319)</f>
        <v>10709</v>
      </c>
      <c r="AX319" s="1" t="n">
        <f aca="false">MAX($C319)</f>
        <v>62</v>
      </c>
      <c r="AY319" s="1" t="n">
        <f aca="false">MAX($D319)</f>
        <v>1505890</v>
      </c>
      <c r="AZ319" s="1" t="n">
        <f aca="false">MAX($E319)</f>
        <v>0</v>
      </c>
      <c r="BA319" s="1" t="n">
        <f aca="false">MAX($F319)</f>
        <v>1099</v>
      </c>
      <c r="BB319" s="1" t="n">
        <f aca="false">MAX($G319)</f>
        <v>0</v>
      </c>
      <c r="BC319" s="1" t="n">
        <f aca="false">MAX($H319)</f>
        <v>1</v>
      </c>
      <c r="BD319" s="1" t="n">
        <f aca="false">MAX($I319)</f>
        <v>17.409</v>
      </c>
      <c r="BE319" s="1" t="n">
        <f aca="false">MAX($J319)</f>
        <v>17.77</v>
      </c>
      <c r="BF319" s="1" t="n">
        <f aca="false">MAX($K319)</f>
        <v>1</v>
      </c>
      <c r="BG319" s="1" t="n">
        <f aca="false">MAX($M319)</f>
        <v>4228276</v>
      </c>
      <c r="BH319" s="1" t="n">
        <f aca="false">MAX($N319)</f>
        <v>0.22</v>
      </c>
      <c r="BI319" s="1" t="n">
        <f aca="false">MAX($P319)</f>
        <v>17.77</v>
      </c>
      <c r="BJ319" s="1" t="n">
        <f aca="false">MAX($Q319)</f>
        <v>0</v>
      </c>
      <c r="BK319" s="1" t="n">
        <f aca="false">MAX($R319)</f>
        <v>1091384</v>
      </c>
    </row>
    <row r="320" customFormat="false" ht="15" hidden="false" customHeight="false" outlineLevel="0" collapsed="false">
      <c r="A320" s="1" t="s">
        <v>337</v>
      </c>
      <c r="B320" s="1" t="n">
        <f aca="false" t="array" ref="B320:B320">_xlfn.SWITCH($A$2,"average", AVERAGE(Instances!B320:B320),"median", MEDIAN(Instances!B320:B320),"min", MIN(Instances!B320:B320),"max", MAX(Instances!B320:B320),"diff", MAX(Instances!B320:B320)-MIN(Instances!B320:B320))</f>
        <v>310616</v>
      </c>
      <c r="C320" s="1" t="n">
        <f aca="false" t="array" ref="C320:C320">_xlfn.SWITCH($A$2,"average", AVERAGE(Instances!C320:C320),"median", MEDIAN(Instances!C320:C320),"min", MIN(Instances!C320:C320),"max", MAX(Instances!C320:C320),"diff", MAX(Instances!C320:C320)-MIN(Instances!C320:C320))</f>
        <v>4376</v>
      </c>
      <c r="D320" s="1" t="n">
        <f aca="false" t="array" ref="D320:D320">_xlfn.SWITCH($A$2,"average", AVERAGE(Instances!D320:D320),"median", MEDIAN(Instances!D320:D320),"min", MIN(Instances!D320:D320),"max", MAX(Instances!D320:D320),"diff", MAX(Instances!D320:D320)-MIN(Instances!D320:D320))</f>
        <v>1166039</v>
      </c>
      <c r="E320" s="1" t="n">
        <f aca="false" t="array" ref="E320:E320">_xlfn.SWITCH($A$2,"average", AVERAGE(Instances!E320:E320),"median", MEDIAN(Instances!E320:E320),"min", MIN(Instances!E320:E320),"max", MAX(Instances!E320:E320),"diff", MAX(Instances!E320:E320)-MIN(Instances!E320:E320))</f>
        <v>0</v>
      </c>
      <c r="F320" s="1" t="n">
        <f aca="false" t="array" ref="F320:F320">_xlfn.SWITCH($A$2,"average", AVERAGE(Instances!F320:F320),"median", MEDIAN(Instances!F320:F320),"min", MIN(Instances!F320:F320),"max", MAX(Instances!F320:F320),"diff", MAX(Instances!F320:F320)-MIN(Instances!F320:F320))</f>
        <v>1039</v>
      </c>
      <c r="G320" s="1" t="n">
        <f aca="false" t="array" ref="G320:G320">_xlfn.SWITCH($A$2,"average", AVERAGE(Instances!G320:G320),"median", MEDIAN(Instances!G320:G320),"min", MIN(Instances!G320:G320),"max", MAX(Instances!G320:G320),"diff", MAX(Instances!G320:G320)-MIN(Instances!G320:G320))</f>
        <v>0</v>
      </c>
      <c r="H320" s="1" t="n">
        <f aca="false" t="array" ref="H320:H320">_xlfn.SWITCH($A$2,"average", AVERAGE(Instances!H320:H320),"median", MEDIAN(Instances!H320:H320),"min", MIN(Instances!H320:H320),"max", MAX(Instances!H320:H320),"diff", MAX(Instances!H320:H320)-MIN(Instances!H320:H320))</f>
        <v>1</v>
      </c>
      <c r="I320" s="1" t="n">
        <f aca="false" t="array" ref="I320:I320">_xlfn.SWITCH($A$2,"average", AVERAGE(Instances!I320:I320),"median", MEDIAN(Instances!I320:I320),"min", MIN(Instances!I320:I320),"max", MAX(Instances!I320:I320),"diff", MAX(Instances!I320:I320)-MIN(Instances!I320:I320))</f>
        <v>24.227</v>
      </c>
      <c r="J320" s="1" t="n">
        <f aca="false" t="array" ref="J320:J320">_xlfn.SWITCH($A$2,"average", AVERAGE(Instances!J320:J320),"median", MEDIAN(Instances!J320:J320),"min", MIN(Instances!J320:J320),"max", MAX(Instances!J320:J320),"diff", MAX(Instances!J320:J320)-MIN(Instances!J320:J320))</f>
        <v>24.56</v>
      </c>
      <c r="K320" s="1" t="n">
        <f aca="false" t="array" ref="K320:K320">_xlfn.SWITCH($A$2,"average", AVERAGE(Instances!K320:K320),"median", MEDIAN(Instances!K320:K320),"min", MIN(Instances!K320:K320),"max", MAX(Instances!K320:K320),"diff", MAX(Instances!K320:K320)-MIN(Instances!K320:K320))</f>
        <v>22</v>
      </c>
      <c r="L320" s="1"/>
      <c r="M320" s="1" t="n">
        <f aca="false" t="array" ref="M320:M320">_xlfn.SWITCH($A$2,"average", AVERAGE(Instances!M320:M320),"median", MEDIAN(Instances!M320:M320),"min", MIN(Instances!M320:M320),"max", MAX(Instances!M320:M320),"diff", MAX(Instances!M320:M320)-MIN(Instances!M320:M320))</f>
        <v>3943255</v>
      </c>
      <c r="N320" s="1" t="n">
        <f aca="false" t="array" ref="N320:N320">_xlfn.SWITCH($A$2,"average", AVERAGE(Instances!N320:N320),"median", MEDIAN(Instances!N320:N320),"min", MIN(Instances!N320:N320),"max", MAX(Instances!N320:N320),"diff", MAX(Instances!N320:N320)-MIN(Instances!N320:N320))</f>
        <v>8.18</v>
      </c>
      <c r="O320" s="1"/>
      <c r="P320" s="1" t="n">
        <f aca="false" t="array" ref="P320:P320">_xlfn.SWITCH($A$2,"average", AVERAGE(Instances!P320:P320),"median", MEDIAN(Instances!P320:P320),"min", MIN(Instances!P320:P320),"max", MAX(Instances!P320:P320),"diff", MAX(Instances!P320:P320)-MIN(Instances!P320:P320))</f>
        <v>24.56</v>
      </c>
      <c r="Q320" s="1" t="n">
        <f aca="false" t="array" ref="Q320:Q320">_xlfn.SWITCH($A$2,"average", AVERAGE(Instances!Q320:Q320),"median", MEDIAN(Instances!Q320:Q320),"min", MIN(Instances!Q320:Q320),"max", MAX(Instances!Q320:Q320),"diff", MAX(Instances!Q320:Q320)-MIN(Instances!Q320:Q320))</f>
        <v>0</v>
      </c>
      <c r="R320" s="1" t="n">
        <f aca="false" t="array" ref="R320:R320">_xlfn.SWITCH($A$2,"average", AVERAGE(Instances!R320:R320),"median", MEDIAN(Instances!R320:R320),"min", MIN(Instances!R320:R320),"max", MAX(Instances!R320:R320),"diff", MAX(Instances!R320:R320)-MIN(Instances!R320:R320))</f>
        <v>1028602</v>
      </c>
      <c r="S320" s="1" t="n">
        <f aca="false">MIN($B320)</f>
        <v>310616</v>
      </c>
      <c r="T320" s="1" t="n">
        <f aca="false">MIN($C320)</f>
        <v>4376</v>
      </c>
      <c r="U320" s="1" t="n">
        <f aca="false">MIN($D320)</f>
        <v>1166039</v>
      </c>
      <c r="V320" s="1" t="n">
        <f aca="false">MIN($E320)</f>
        <v>0</v>
      </c>
      <c r="W320" s="1" t="n">
        <f aca="false">MIN($F320)</f>
        <v>1039</v>
      </c>
      <c r="X320" s="1" t="n">
        <f aca="false">MIN($G320)</f>
        <v>0</v>
      </c>
      <c r="Y320" s="1" t="n">
        <f aca="false">MIN($H320)</f>
        <v>1</v>
      </c>
      <c r="Z320" s="1" t="n">
        <f aca="false">MIN($I320)</f>
        <v>24.227</v>
      </c>
      <c r="AA320" s="1" t="n">
        <f aca="false">MIN($J320)</f>
        <v>24.56</v>
      </c>
      <c r="AB320" s="1" t="n">
        <f aca="false">MIN($K320)</f>
        <v>22</v>
      </c>
      <c r="AC320" s="1" t="n">
        <f aca="false">MIN($M320)</f>
        <v>3943255</v>
      </c>
      <c r="AD320" s="1" t="n">
        <f aca="false">MIN($N320)</f>
        <v>8.18</v>
      </c>
      <c r="AE320" s="1" t="n">
        <f aca="false">MIN($P320)</f>
        <v>24.56</v>
      </c>
      <c r="AF320" s="1" t="n">
        <f aca="false">MIN($Q320)</f>
        <v>0</v>
      </c>
      <c r="AG320" s="1" t="n">
        <f aca="false">MIN($R320)</f>
        <v>1028602</v>
      </c>
      <c r="AH320" s="1" t="n">
        <f aca="false">MEDIAN($B320)</f>
        <v>310616</v>
      </c>
      <c r="AI320" s="1" t="n">
        <f aca="false">MEDIAN($C320)</f>
        <v>4376</v>
      </c>
      <c r="AJ320" s="1" t="n">
        <f aca="false">MEDIAN($D320)</f>
        <v>1166039</v>
      </c>
      <c r="AK320" s="1" t="n">
        <f aca="false">MEDIAN($E320)</f>
        <v>0</v>
      </c>
      <c r="AL320" s="1" t="n">
        <f aca="false">MEDIAN($F320)</f>
        <v>1039</v>
      </c>
      <c r="AM320" s="1" t="n">
        <f aca="false">MEDIAN($G320)</f>
        <v>0</v>
      </c>
      <c r="AN320" s="1" t="n">
        <f aca="false">MEDIAN($H320)</f>
        <v>1</v>
      </c>
      <c r="AO320" s="1" t="n">
        <f aca="false">MEDIAN($I320)</f>
        <v>24.227</v>
      </c>
      <c r="AP320" s="1" t="n">
        <f aca="false">MEDIAN($J320)</f>
        <v>24.56</v>
      </c>
      <c r="AQ320" s="1" t="n">
        <f aca="false">MEDIAN($K320)</f>
        <v>22</v>
      </c>
      <c r="AR320" s="1" t="n">
        <f aca="false">MEDIAN($M320)</f>
        <v>3943255</v>
      </c>
      <c r="AS320" s="1" t="n">
        <f aca="false">MEDIAN($N320)</f>
        <v>8.18</v>
      </c>
      <c r="AT320" s="1" t="n">
        <f aca="false">MEDIAN($P320)</f>
        <v>24.56</v>
      </c>
      <c r="AU320" s="1" t="n">
        <f aca="false">MEDIAN($Q320)</f>
        <v>0</v>
      </c>
      <c r="AV320" s="1" t="n">
        <f aca="false">MEDIAN($R320)</f>
        <v>1028602</v>
      </c>
      <c r="AW320" s="1" t="n">
        <f aca="false">MAX($B320)</f>
        <v>310616</v>
      </c>
      <c r="AX320" s="1" t="n">
        <f aca="false">MAX($C320)</f>
        <v>4376</v>
      </c>
      <c r="AY320" s="1" t="n">
        <f aca="false">MAX($D320)</f>
        <v>1166039</v>
      </c>
      <c r="AZ320" s="1" t="n">
        <f aca="false">MAX($E320)</f>
        <v>0</v>
      </c>
      <c r="BA320" s="1" t="n">
        <f aca="false">MAX($F320)</f>
        <v>1039</v>
      </c>
      <c r="BB320" s="1" t="n">
        <f aca="false">MAX($G320)</f>
        <v>0</v>
      </c>
      <c r="BC320" s="1" t="n">
        <f aca="false">MAX($H320)</f>
        <v>1</v>
      </c>
      <c r="BD320" s="1" t="n">
        <f aca="false">MAX($I320)</f>
        <v>24.227</v>
      </c>
      <c r="BE320" s="1" t="n">
        <f aca="false">MAX($J320)</f>
        <v>24.56</v>
      </c>
      <c r="BF320" s="1" t="n">
        <f aca="false">MAX($K320)</f>
        <v>22</v>
      </c>
      <c r="BG320" s="1" t="n">
        <f aca="false">MAX($M320)</f>
        <v>3943255</v>
      </c>
      <c r="BH320" s="1" t="n">
        <f aca="false">MAX($N320)</f>
        <v>8.18</v>
      </c>
      <c r="BI320" s="1" t="n">
        <f aca="false">MAX($P320)</f>
        <v>24.56</v>
      </c>
      <c r="BJ320" s="1" t="n">
        <f aca="false">MAX($Q320)</f>
        <v>0</v>
      </c>
      <c r="BK320" s="1" t="n">
        <f aca="false">MAX($R320)</f>
        <v>1028602</v>
      </c>
    </row>
    <row r="321" customFormat="false" ht="15" hidden="false" customHeight="false" outlineLevel="0" collapsed="false">
      <c r="A321" s="1" t="s">
        <v>338</v>
      </c>
      <c r="B321" s="1" t="n">
        <f aca="false" t="array" ref="B321:B321">_xlfn.SWITCH($A$2,"average", AVERAGE(Instances!B321:B321),"median", MEDIAN(Instances!B321:B321),"min", MIN(Instances!B321:B321),"max", MAX(Instances!B321:B321),"diff", MAX(Instances!B321:B321)-MIN(Instances!B321:B321))</f>
        <v>6326</v>
      </c>
      <c r="C321" s="1" t="n">
        <f aca="false" t="array" ref="C321:C321">_xlfn.SWITCH($A$2,"average", AVERAGE(Instances!C321:C321),"median", MEDIAN(Instances!C321:C321),"min", MIN(Instances!C321:C321),"max", MAX(Instances!C321:C321),"diff", MAX(Instances!C321:C321)-MIN(Instances!C321:C321))</f>
        <v>1</v>
      </c>
      <c r="D321" s="1" t="n">
        <f aca="false" t="array" ref="D321:D321">_xlfn.SWITCH($A$2,"average", AVERAGE(Instances!D321:D321),"median", MEDIAN(Instances!D321:D321),"min", MIN(Instances!D321:D321),"max", MAX(Instances!D321:D321),"diff", MAX(Instances!D321:D321)-MIN(Instances!D321:D321))</f>
        <v>1426081</v>
      </c>
      <c r="E321" s="1" t="n">
        <f aca="false" t="array" ref="E321:E321">_xlfn.SWITCH($A$2,"average", AVERAGE(Instances!E321:E321),"median", MEDIAN(Instances!E321:E321),"min", MIN(Instances!E321:E321),"max", MAX(Instances!E321:E321),"diff", MAX(Instances!E321:E321)-MIN(Instances!E321:E321))</f>
        <v>0</v>
      </c>
      <c r="F321" s="1" t="n">
        <f aca="false" t="array" ref="F321:F321">_xlfn.SWITCH($A$2,"average", AVERAGE(Instances!F321:F321),"median", MEDIAN(Instances!F321:F321),"min", MIN(Instances!F321:F321),"max", MAX(Instances!F321:F321),"diff", MAX(Instances!F321:F321)-MIN(Instances!F321:F321))</f>
        <v>1051</v>
      </c>
      <c r="G321" s="1" t="n">
        <f aca="false" t="array" ref="G321:G321">_xlfn.SWITCH($A$2,"average", AVERAGE(Instances!G321:G321),"median", MEDIAN(Instances!G321:G321),"min", MIN(Instances!G321:G321),"max", MAX(Instances!G321:G321),"diff", MAX(Instances!G321:G321)-MIN(Instances!G321:G321))</f>
        <v>0</v>
      </c>
      <c r="H321" s="1" t="n">
        <f aca="false" t="array" ref="H321:H321">_xlfn.SWITCH($A$2,"average", AVERAGE(Instances!H321:H321),"median", MEDIAN(Instances!H321:H321),"min", MIN(Instances!H321:H321),"max", MAX(Instances!H321:H321),"diff", MAX(Instances!H321:H321)-MIN(Instances!H321:H321))</f>
        <v>1</v>
      </c>
      <c r="I321" s="1" t="n">
        <f aca="false" t="array" ref="I321:I321">_xlfn.SWITCH($A$2,"average", AVERAGE(Instances!I321:I321),"median", MEDIAN(Instances!I321:I321),"min", MIN(Instances!I321:I321),"max", MAX(Instances!I321:I321),"diff", MAX(Instances!I321:I321)-MIN(Instances!I321:I321))</f>
        <v>16.215</v>
      </c>
      <c r="J321" s="1" t="n">
        <f aca="false" t="array" ref="J321:J321">_xlfn.SWITCH($A$2,"average", AVERAGE(Instances!J321:J321),"median", MEDIAN(Instances!J321:J321),"min", MIN(Instances!J321:J321),"max", MAX(Instances!J321:J321),"diff", MAX(Instances!J321:J321)-MIN(Instances!J321:J321))</f>
        <v>16.56</v>
      </c>
      <c r="K321" s="1" t="n">
        <f aca="false" t="array" ref="K321:K321">_xlfn.SWITCH($A$2,"average", AVERAGE(Instances!K321:K321),"median", MEDIAN(Instances!K321:K321),"min", MIN(Instances!K321:K321),"max", MAX(Instances!K321:K321),"diff", MAX(Instances!K321:K321)-MIN(Instances!K321:K321))</f>
        <v>0</v>
      </c>
      <c r="L321" s="1"/>
      <c r="M321" s="1" t="n">
        <f aca="false" t="array" ref="M321:M321">_xlfn.SWITCH($A$2,"average", AVERAGE(Instances!M321:M321),"median", MEDIAN(Instances!M321:M321),"min", MIN(Instances!M321:M321),"max", MAX(Instances!M321:M321),"diff", MAX(Instances!M321:M321)-MIN(Instances!M321:M321))</f>
        <v>3979595</v>
      </c>
      <c r="N321" s="1" t="n">
        <f aca="false" t="array" ref="N321:N321">_xlfn.SWITCH($A$2,"average", AVERAGE(Instances!N321:N321),"median", MEDIAN(Instances!N321:N321),"min", MIN(Instances!N321:N321),"max", MAX(Instances!N321:N321),"diff", MAX(Instances!N321:N321)-MIN(Instances!N321:N321))</f>
        <v>0.13</v>
      </c>
      <c r="O321" s="1"/>
      <c r="P321" s="1" t="n">
        <f aca="false" t="array" ref="P321:P321">_xlfn.SWITCH($A$2,"average", AVERAGE(Instances!P321:P321),"median", MEDIAN(Instances!P321:P321),"min", MIN(Instances!P321:P321),"max", MAX(Instances!P321:P321),"diff", MAX(Instances!P321:P321)-MIN(Instances!P321:P321))</f>
        <v>16.56</v>
      </c>
      <c r="Q321" s="1" t="n">
        <f aca="false" t="array" ref="Q321:Q321">_xlfn.SWITCH($A$2,"average", AVERAGE(Instances!Q321:Q321),"median", MEDIAN(Instances!Q321:Q321),"min", MIN(Instances!Q321:Q321),"max", MAX(Instances!Q321:Q321),"diff", MAX(Instances!Q321:Q321)-MIN(Instances!Q321:Q321))</f>
        <v>0</v>
      </c>
      <c r="R321" s="1" t="n">
        <f aca="false" t="array" ref="R321:R321">_xlfn.SWITCH($A$2,"average", AVERAGE(Instances!R321:R321),"median", MEDIAN(Instances!R321:R321),"min", MIN(Instances!R321:R321),"max", MAX(Instances!R321:R321),"diff", MAX(Instances!R321:R321)-MIN(Instances!R321:R321))</f>
        <v>1038409</v>
      </c>
      <c r="S321" s="1" t="n">
        <f aca="false">MIN($B321)</f>
        <v>6326</v>
      </c>
      <c r="T321" s="1" t="n">
        <f aca="false">MIN($C321)</f>
        <v>1</v>
      </c>
      <c r="U321" s="1" t="n">
        <f aca="false">MIN($D321)</f>
        <v>1426081</v>
      </c>
      <c r="V321" s="1" t="n">
        <f aca="false">MIN($E321)</f>
        <v>0</v>
      </c>
      <c r="W321" s="1" t="n">
        <f aca="false">MIN($F321)</f>
        <v>1051</v>
      </c>
      <c r="X321" s="1" t="n">
        <f aca="false">MIN($G321)</f>
        <v>0</v>
      </c>
      <c r="Y321" s="1" t="n">
        <f aca="false">MIN($H321)</f>
        <v>1</v>
      </c>
      <c r="Z321" s="1" t="n">
        <f aca="false">MIN($I321)</f>
        <v>16.215</v>
      </c>
      <c r="AA321" s="1" t="n">
        <f aca="false">MIN($J321)</f>
        <v>16.56</v>
      </c>
      <c r="AB321" s="1" t="n">
        <f aca="false">MIN($K321)</f>
        <v>0</v>
      </c>
      <c r="AC321" s="1" t="n">
        <f aca="false">MIN($M321)</f>
        <v>3979595</v>
      </c>
      <c r="AD321" s="1" t="n">
        <f aca="false">MIN($N321)</f>
        <v>0.13</v>
      </c>
      <c r="AE321" s="1" t="n">
        <f aca="false">MIN($P321)</f>
        <v>16.56</v>
      </c>
      <c r="AF321" s="1" t="n">
        <f aca="false">MIN($Q321)</f>
        <v>0</v>
      </c>
      <c r="AG321" s="1" t="n">
        <f aca="false">MIN($R321)</f>
        <v>1038409</v>
      </c>
      <c r="AH321" s="1" t="n">
        <f aca="false">MEDIAN($B321)</f>
        <v>6326</v>
      </c>
      <c r="AI321" s="1" t="n">
        <f aca="false">MEDIAN($C321)</f>
        <v>1</v>
      </c>
      <c r="AJ321" s="1" t="n">
        <f aca="false">MEDIAN($D321)</f>
        <v>1426081</v>
      </c>
      <c r="AK321" s="1" t="n">
        <f aca="false">MEDIAN($E321)</f>
        <v>0</v>
      </c>
      <c r="AL321" s="1" t="n">
        <f aca="false">MEDIAN($F321)</f>
        <v>1051</v>
      </c>
      <c r="AM321" s="1" t="n">
        <f aca="false">MEDIAN($G321)</f>
        <v>0</v>
      </c>
      <c r="AN321" s="1" t="n">
        <f aca="false">MEDIAN($H321)</f>
        <v>1</v>
      </c>
      <c r="AO321" s="1" t="n">
        <f aca="false">MEDIAN($I321)</f>
        <v>16.215</v>
      </c>
      <c r="AP321" s="1" t="n">
        <f aca="false">MEDIAN($J321)</f>
        <v>16.56</v>
      </c>
      <c r="AQ321" s="1" t="n">
        <f aca="false">MEDIAN($K321)</f>
        <v>0</v>
      </c>
      <c r="AR321" s="1" t="n">
        <f aca="false">MEDIAN($M321)</f>
        <v>3979595</v>
      </c>
      <c r="AS321" s="1" t="n">
        <f aca="false">MEDIAN($N321)</f>
        <v>0.13</v>
      </c>
      <c r="AT321" s="1" t="n">
        <f aca="false">MEDIAN($P321)</f>
        <v>16.56</v>
      </c>
      <c r="AU321" s="1" t="n">
        <f aca="false">MEDIAN($Q321)</f>
        <v>0</v>
      </c>
      <c r="AV321" s="1" t="n">
        <f aca="false">MEDIAN($R321)</f>
        <v>1038409</v>
      </c>
      <c r="AW321" s="1" t="n">
        <f aca="false">MAX($B321)</f>
        <v>6326</v>
      </c>
      <c r="AX321" s="1" t="n">
        <f aca="false">MAX($C321)</f>
        <v>1</v>
      </c>
      <c r="AY321" s="1" t="n">
        <f aca="false">MAX($D321)</f>
        <v>1426081</v>
      </c>
      <c r="AZ321" s="1" t="n">
        <f aca="false">MAX($E321)</f>
        <v>0</v>
      </c>
      <c r="BA321" s="1" t="n">
        <f aca="false">MAX($F321)</f>
        <v>1051</v>
      </c>
      <c r="BB321" s="1" t="n">
        <f aca="false">MAX($G321)</f>
        <v>0</v>
      </c>
      <c r="BC321" s="1" t="n">
        <f aca="false">MAX($H321)</f>
        <v>1</v>
      </c>
      <c r="BD321" s="1" t="n">
        <f aca="false">MAX($I321)</f>
        <v>16.215</v>
      </c>
      <c r="BE321" s="1" t="n">
        <f aca="false">MAX($J321)</f>
        <v>16.56</v>
      </c>
      <c r="BF321" s="1" t="n">
        <f aca="false">MAX($K321)</f>
        <v>0</v>
      </c>
      <c r="BG321" s="1" t="n">
        <f aca="false">MAX($M321)</f>
        <v>3979595</v>
      </c>
      <c r="BH321" s="1" t="n">
        <f aca="false">MAX($N321)</f>
        <v>0.13</v>
      </c>
      <c r="BI321" s="1" t="n">
        <f aca="false">MAX($P321)</f>
        <v>16.56</v>
      </c>
      <c r="BJ321" s="1" t="n">
        <f aca="false">MAX($Q321)</f>
        <v>0</v>
      </c>
      <c r="BK321" s="1" t="n">
        <f aca="false">MAX($R321)</f>
        <v>1038409</v>
      </c>
    </row>
    <row r="322" customFormat="false" ht="15" hidden="false" customHeight="false" outlineLevel="0" collapsed="false">
      <c r="A322" s="1" t="s">
        <v>339</v>
      </c>
      <c r="B322" s="1" t="n">
        <f aca="false" t="array" ref="B322:B322">_xlfn.SWITCH($A$2,"average", AVERAGE(Instances!B322:B322),"median", MEDIAN(Instances!B322:B322),"min", MIN(Instances!B322:B322),"max", MAX(Instances!B322:B322),"diff", MAX(Instances!B322:B322)-MIN(Instances!B322:B322))</f>
        <v>5851</v>
      </c>
      <c r="C322" s="1" t="n">
        <f aca="false" t="array" ref="C322:C322">_xlfn.SWITCH($A$2,"average", AVERAGE(Instances!C322:C322),"median", MEDIAN(Instances!C322:C322),"min", MIN(Instances!C322:C322),"max", MAX(Instances!C322:C322),"diff", MAX(Instances!C322:C322)-MIN(Instances!C322:C322))</f>
        <v>1</v>
      </c>
      <c r="D322" s="1" t="n">
        <f aca="false" t="array" ref="D322:D322">_xlfn.SWITCH($A$2,"average", AVERAGE(Instances!D322:D322),"median", MEDIAN(Instances!D322:D322),"min", MIN(Instances!D322:D322),"max", MAX(Instances!D322:D322),"diff", MAX(Instances!D322:D322)-MIN(Instances!D322:D322))</f>
        <v>1346792</v>
      </c>
      <c r="E322" s="1" t="n">
        <f aca="false" t="array" ref="E322:E322">_xlfn.SWITCH($A$2,"average", AVERAGE(Instances!E322:E322),"median", MEDIAN(Instances!E322:E322),"min", MIN(Instances!E322:E322),"max", MAX(Instances!E322:E322),"diff", MAX(Instances!E322:E322)-MIN(Instances!E322:E322))</f>
        <v>0</v>
      </c>
      <c r="F322" s="1" t="n">
        <f aca="false" t="array" ref="F322:F322">_xlfn.SWITCH($A$2,"average", AVERAGE(Instances!F322:F322),"median", MEDIAN(Instances!F322:F322),"min", MIN(Instances!F322:F322),"max", MAX(Instances!F322:F322),"diff", MAX(Instances!F322:F322)-MIN(Instances!F322:F322))</f>
        <v>1013</v>
      </c>
      <c r="G322" s="1" t="n">
        <f aca="false" t="array" ref="G322:G322">_xlfn.SWITCH($A$2,"average", AVERAGE(Instances!G322:G322),"median", MEDIAN(Instances!G322:G322),"min", MIN(Instances!G322:G322),"max", MAX(Instances!G322:G322),"diff", MAX(Instances!G322:G322)-MIN(Instances!G322:G322))</f>
        <v>0</v>
      </c>
      <c r="H322" s="1" t="n">
        <f aca="false" t="array" ref="H322:H322">_xlfn.SWITCH($A$2,"average", AVERAGE(Instances!H322:H322),"median", MEDIAN(Instances!H322:H322),"min", MIN(Instances!H322:H322),"max", MAX(Instances!H322:H322),"diff", MAX(Instances!H322:H322)-MIN(Instances!H322:H322))</f>
        <v>1</v>
      </c>
      <c r="I322" s="1" t="n">
        <f aca="false" t="array" ref="I322:I322">_xlfn.SWITCH($A$2,"average", AVERAGE(Instances!I322:I322),"median", MEDIAN(Instances!I322:I322),"min", MIN(Instances!I322:I322),"max", MAX(Instances!I322:I322),"diff", MAX(Instances!I322:I322)-MIN(Instances!I322:I322))</f>
        <v>15.632</v>
      </c>
      <c r="J322" s="1" t="n">
        <f aca="false" t="array" ref="J322:J322">_xlfn.SWITCH($A$2,"average", AVERAGE(Instances!J322:J322),"median", MEDIAN(Instances!J322:J322),"min", MIN(Instances!J322:J322),"max", MAX(Instances!J322:J322),"diff", MAX(Instances!J322:J322)-MIN(Instances!J322:J322))</f>
        <v>16</v>
      </c>
      <c r="K322" s="1" t="n">
        <f aca="false" t="array" ref="K322:K322">_xlfn.SWITCH($A$2,"average", AVERAGE(Instances!K322:K322),"median", MEDIAN(Instances!K322:K322),"min", MIN(Instances!K322:K322),"max", MAX(Instances!K322:K322),"diff", MAX(Instances!K322:K322)-MIN(Instances!K322:K322))</f>
        <v>0</v>
      </c>
      <c r="L322" s="1"/>
      <c r="M322" s="1" t="n">
        <f aca="false" t="array" ref="M322:M322">_xlfn.SWITCH($A$2,"average", AVERAGE(Instances!M322:M322),"median", MEDIAN(Instances!M322:M322),"min", MIN(Instances!M322:M322),"max", MAX(Instances!M322:M322),"diff", MAX(Instances!M322:M322)-MIN(Instances!M322:M322))</f>
        <v>3821853</v>
      </c>
      <c r="N322" s="1" t="n">
        <f aca="false" t="array" ref="N322:N322">_xlfn.SWITCH($A$2,"average", AVERAGE(Instances!N322:N322),"median", MEDIAN(Instances!N322:N322),"min", MIN(Instances!N322:N322),"max", MAX(Instances!N322:N322),"diff", MAX(Instances!N322:N322)-MIN(Instances!N322:N322))</f>
        <v>0.11</v>
      </c>
      <c r="O322" s="1"/>
      <c r="P322" s="1" t="n">
        <f aca="false" t="array" ref="P322:P322">_xlfn.SWITCH($A$2,"average", AVERAGE(Instances!P322:P322),"median", MEDIAN(Instances!P322:P322),"min", MIN(Instances!P322:P322),"max", MAX(Instances!P322:P322),"diff", MAX(Instances!P322:P322)-MIN(Instances!P322:P322))</f>
        <v>16</v>
      </c>
      <c r="Q322" s="1" t="n">
        <f aca="false" t="array" ref="Q322:Q322">_xlfn.SWITCH($A$2,"average", AVERAGE(Instances!Q322:Q322),"median", MEDIAN(Instances!Q322:Q322),"min", MIN(Instances!Q322:Q322),"max", MAX(Instances!Q322:Q322),"diff", MAX(Instances!Q322:Q322)-MIN(Instances!Q322:Q322))</f>
        <v>0</v>
      </c>
      <c r="R322" s="1" t="n">
        <f aca="false" t="array" ref="R322:R322">_xlfn.SWITCH($A$2,"average", AVERAGE(Instances!R322:R322),"median", MEDIAN(Instances!R322:R322),"min", MIN(Instances!R322:R322),"max", MAX(Instances!R322:R322),"diff", MAX(Instances!R322:R322)-MIN(Instances!R322:R322))</f>
        <v>995248</v>
      </c>
      <c r="S322" s="1" t="n">
        <f aca="false">MIN($B322)</f>
        <v>5851</v>
      </c>
      <c r="T322" s="1" t="n">
        <f aca="false">MIN($C322)</f>
        <v>1</v>
      </c>
      <c r="U322" s="1" t="n">
        <f aca="false">MIN($D322)</f>
        <v>1346792</v>
      </c>
      <c r="V322" s="1" t="n">
        <f aca="false">MIN($E322)</f>
        <v>0</v>
      </c>
      <c r="W322" s="1" t="n">
        <f aca="false">MIN($F322)</f>
        <v>1013</v>
      </c>
      <c r="X322" s="1" t="n">
        <f aca="false">MIN($G322)</f>
        <v>0</v>
      </c>
      <c r="Y322" s="1" t="n">
        <f aca="false">MIN($H322)</f>
        <v>1</v>
      </c>
      <c r="Z322" s="1" t="n">
        <f aca="false">MIN($I322)</f>
        <v>15.632</v>
      </c>
      <c r="AA322" s="1" t="n">
        <f aca="false">MIN($J322)</f>
        <v>16</v>
      </c>
      <c r="AB322" s="1" t="n">
        <f aca="false">MIN($K322)</f>
        <v>0</v>
      </c>
      <c r="AC322" s="1" t="n">
        <f aca="false">MIN($M322)</f>
        <v>3821853</v>
      </c>
      <c r="AD322" s="1" t="n">
        <f aca="false">MIN($N322)</f>
        <v>0.11</v>
      </c>
      <c r="AE322" s="1" t="n">
        <f aca="false">MIN($P322)</f>
        <v>16</v>
      </c>
      <c r="AF322" s="1" t="n">
        <f aca="false">MIN($Q322)</f>
        <v>0</v>
      </c>
      <c r="AG322" s="1" t="n">
        <f aca="false">MIN($R322)</f>
        <v>995248</v>
      </c>
      <c r="AH322" s="1" t="n">
        <f aca="false">MEDIAN($B322)</f>
        <v>5851</v>
      </c>
      <c r="AI322" s="1" t="n">
        <f aca="false">MEDIAN($C322)</f>
        <v>1</v>
      </c>
      <c r="AJ322" s="1" t="n">
        <f aca="false">MEDIAN($D322)</f>
        <v>1346792</v>
      </c>
      <c r="AK322" s="1" t="n">
        <f aca="false">MEDIAN($E322)</f>
        <v>0</v>
      </c>
      <c r="AL322" s="1" t="n">
        <f aca="false">MEDIAN($F322)</f>
        <v>1013</v>
      </c>
      <c r="AM322" s="1" t="n">
        <f aca="false">MEDIAN($G322)</f>
        <v>0</v>
      </c>
      <c r="AN322" s="1" t="n">
        <f aca="false">MEDIAN($H322)</f>
        <v>1</v>
      </c>
      <c r="AO322" s="1" t="n">
        <f aca="false">MEDIAN($I322)</f>
        <v>15.632</v>
      </c>
      <c r="AP322" s="1" t="n">
        <f aca="false">MEDIAN($J322)</f>
        <v>16</v>
      </c>
      <c r="AQ322" s="1" t="n">
        <f aca="false">MEDIAN($K322)</f>
        <v>0</v>
      </c>
      <c r="AR322" s="1" t="n">
        <f aca="false">MEDIAN($M322)</f>
        <v>3821853</v>
      </c>
      <c r="AS322" s="1" t="n">
        <f aca="false">MEDIAN($N322)</f>
        <v>0.11</v>
      </c>
      <c r="AT322" s="1" t="n">
        <f aca="false">MEDIAN($P322)</f>
        <v>16</v>
      </c>
      <c r="AU322" s="1" t="n">
        <f aca="false">MEDIAN($Q322)</f>
        <v>0</v>
      </c>
      <c r="AV322" s="1" t="n">
        <f aca="false">MEDIAN($R322)</f>
        <v>995248</v>
      </c>
      <c r="AW322" s="1" t="n">
        <f aca="false">MAX($B322)</f>
        <v>5851</v>
      </c>
      <c r="AX322" s="1" t="n">
        <f aca="false">MAX($C322)</f>
        <v>1</v>
      </c>
      <c r="AY322" s="1" t="n">
        <f aca="false">MAX($D322)</f>
        <v>1346792</v>
      </c>
      <c r="AZ322" s="1" t="n">
        <f aca="false">MAX($E322)</f>
        <v>0</v>
      </c>
      <c r="BA322" s="1" t="n">
        <f aca="false">MAX($F322)</f>
        <v>1013</v>
      </c>
      <c r="BB322" s="1" t="n">
        <f aca="false">MAX($G322)</f>
        <v>0</v>
      </c>
      <c r="BC322" s="1" t="n">
        <f aca="false">MAX($H322)</f>
        <v>1</v>
      </c>
      <c r="BD322" s="1" t="n">
        <f aca="false">MAX($I322)</f>
        <v>15.632</v>
      </c>
      <c r="BE322" s="1" t="n">
        <f aca="false">MAX($J322)</f>
        <v>16</v>
      </c>
      <c r="BF322" s="1" t="n">
        <f aca="false">MAX($K322)</f>
        <v>0</v>
      </c>
      <c r="BG322" s="1" t="n">
        <f aca="false">MAX($M322)</f>
        <v>3821853</v>
      </c>
      <c r="BH322" s="1" t="n">
        <f aca="false">MAX($N322)</f>
        <v>0.11</v>
      </c>
      <c r="BI322" s="1" t="n">
        <f aca="false">MAX($P322)</f>
        <v>16</v>
      </c>
      <c r="BJ322" s="1" t="n">
        <f aca="false">MAX($Q322)</f>
        <v>0</v>
      </c>
      <c r="BK322" s="1" t="n">
        <f aca="false">MAX($R322)</f>
        <v>995248</v>
      </c>
    </row>
    <row r="323" customFormat="false" ht="15" hidden="false" customHeight="false" outlineLevel="0" collapsed="false">
      <c r="A323" s="1" t="s">
        <v>340</v>
      </c>
      <c r="B323" s="1" t="n">
        <f aca="false" t="array" ref="B323:B323">_xlfn.SWITCH($A$2,"average", AVERAGE(Instances!B323:B323),"median", MEDIAN(Instances!B323:B323),"min", MIN(Instances!B323:B323),"max", MAX(Instances!B323:B323),"diff", MAX(Instances!B323:B323)-MIN(Instances!B323:B323))</f>
        <v>5277</v>
      </c>
      <c r="C323" s="1" t="n">
        <f aca="false" t="array" ref="C323:C323">_xlfn.SWITCH($A$2,"average", AVERAGE(Instances!C323:C323),"median", MEDIAN(Instances!C323:C323),"min", MIN(Instances!C323:C323),"max", MAX(Instances!C323:C323),"diff", MAX(Instances!C323:C323)-MIN(Instances!C323:C323))</f>
        <v>1</v>
      </c>
      <c r="D323" s="1" t="n">
        <f aca="false" t="array" ref="D323:D323">_xlfn.SWITCH($A$2,"average", AVERAGE(Instances!D323:D323),"median", MEDIAN(Instances!D323:D323),"min", MIN(Instances!D323:D323),"max", MAX(Instances!D323:D323),"diff", MAX(Instances!D323:D323)-MIN(Instances!D323:D323))</f>
        <v>1116876</v>
      </c>
      <c r="E323" s="1" t="n">
        <f aca="false" t="array" ref="E323:E323">_xlfn.SWITCH($A$2,"average", AVERAGE(Instances!E323:E323),"median", MEDIAN(Instances!E323:E323),"min", MIN(Instances!E323:E323),"max", MAX(Instances!E323:E323),"diff", MAX(Instances!E323:E323)-MIN(Instances!E323:E323))</f>
        <v>0</v>
      </c>
      <c r="F323" s="1" t="n">
        <f aca="false" t="array" ref="F323:F323">_xlfn.SWITCH($A$2,"average", AVERAGE(Instances!F323:F323),"median", MEDIAN(Instances!F323:F323),"min", MIN(Instances!F323:F323),"max", MAX(Instances!F323:F323),"diff", MAX(Instances!F323:F323)-MIN(Instances!F323:F323))</f>
        <v>1021</v>
      </c>
      <c r="G323" s="1" t="n">
        <f aca="false" t="array" ref="G323:G323">_xlfn.SWITCH($A$2,"average", AVERAGE(Instances!G323:G323),"median", MEDIAN(Instances!G323:G323),"min", MIN(Instances!G323:G323),"max", MAX(Instances!G323:G323),"diff", MAX(Instances!G323:G323)-MIN(Instances!G323:G323))</f>
        <v>0</v>
      </c>
      <c r="H323" s="1" t="n">
        <f aca="false" t="array" ref="H323:H323">_xlfn.SWITCH($A$2,"average", AVERAGE(Instances!H323:H323),"median", MEDIAN(Instances!H323:H323),"min", MIN(Instances!H323:H323),"max", MAX(Instances!H323:H323),"diff", MAX(Instances!H323:H323)-MIN(Instances!H323:H323))</f>
        <v>1</v>
      </c>
      <c r="I323" s="1" t="n">
        <f aca="false" t="array" ref="I323:I323">_xlfn.SWITCH($A$2,"average", AVERAGE(Instances!I323:I323),"median", MEDIAN(Instances!I323:I323),"min", MIN(Instances!I323:I323),"max", MAX(Instances!I323:I323),"diff", MAX(Instances!I323:I323)-MIN(Instances!I323:I323))</f>
        <v>15.818</v>
      </c>
      <c r="J323" s="1" t="n">
        <f aca="false" t="array" ref="J323:J323">_xlfn.SWITCH($A$2,"average", AVERAGE(Instances!J323:J323),"median", MEDIAN(Instances!J323:J323),"min", MIN(Instances!J323:J323),"max", MAX(Instances!J323:J323),"diff", MAX(Instances!J323:J323)-MIN(Instances!J323:J323))</f>
        <v>16.2</v>
      </c>
      <c r="K323" s="1" t="n">
        <f aca="false" t="array" ref="K323:K323">_xlfn.SWITCH($A$2,"average", AVERAGE(Instances!K323:K323),"median", MEDIAN(Instances!K323:K323),"min", MIN(Instances!K323:K323),"max", MAX(Instances!K323:K323),"diff", MAX(Instances!K323:K323)-MIN(Instances!K323:K323))</f>
        <v>0</v>
      </c>
      <c r="L323" s="1"/>
      <c r="M323" s="1" t="n">
        <f aca="false" t="array" ref="M323:M323">_xlfn.SWITCH($A$2,"average", AVERAGE(Instances!M323:M323),"median", MEDIAN(Instances!M323:M323),"min", MIN(Instances!M323:M323),"max", MAX(Instances!M323:M323),"diff", MAX(Instances!M323:M323)-MIN(Instances!M323:M323))</f>
        <v>3885971</v>
      </c>
      <c r="N323" s="1" t="n">
        <f aca="false" t="array" ref="N323:N323">_xlfn.SWITCH($A$2,"average", AVERAGE(Instances!N323:N323),"median", MEDIAN(Instances!N323:N323),"min", MIN(Instances!N323:N323),"max", MAX(Instances!N323:N323),"diff", MAX(Instances!N323:N323)-MIN(Instances!N323:N323))</f>
        <v>0.11</v>
      </c>
      <c r="O323" s="1"/>
      <c r="P323" s="1" t="n">
        <f aca="false" t="array" ref="P323:P323">_xlfn.SWITCH($A$2,"average", AVERAGE(Instances!P323:P323),"median", MEDIAN(Instances!P323:P323),"min", MIN(Instances!P323:P323),"max", MAX(Instances!P323:P323),"diff", MAX(Instances!P323:P323)-MIN(Instances!P323:P323))</f>
        <v>16.2</v>
      </c>
      <c r="Q323" s="1" t="n">
        <f aca="false" t="array" ref="Q323:Q323">_xlfn.SWITCH($A$2,"average", AVERAGE(Instances!Q323:Q323),"median", MEDIAN(Instances!Q323:Q323),"min", MIN(Instances!Q323:Q323),"max", MAX(Instances!Q323:Q323),"diff", MAX(Instances!Q323:Q323)-MIN(Instances!Q323:Q323))</f>
        <v>0</v>
      </c>
      <c r="R323" s="1" t="n">
        <f aca="false" t="array" ref="R323:R323">_xlfn.SWITCH($A$2,"average", AVERAGE(Instances!R323:R323),"median", MEDIAN(Instances!R323:R323),"min", MIN(Instances!R323:R323),"max", MAX(Instances!R323:R323),"diff", MAX(Instances!R323:R323)-MIN(Instances!R323:R323))</f>
        <v>1009959</v>
      </c>
      <c r="S323" s="1" t="n">
        <f aca="false">MIN($B323)</f>
        <v>5277</v>
      </c>
      <c r="T323" s="1" t="n">
        <f aca="false">MIN($C323)</f>
        <v>1</v>
      </c>
      <c r="U323" s="1" t="n">
        <f aca="false">MIN($D323)</f>
        <v>1116876</v>
      </c>
      <c r="V323" s="1" t="n">
        <f aca="false">MIN($E323)</f>
        <v>0</v>
      </c>
      <c r="W323" s="1" t="n">
        <f aca="false">MIN($F323)</f>
        <v>1021</v>
      </c>
      <c r="X323" s="1" t="n">
        <f aca="false">MIN($G323)</f>
        <v>0</v>
      </c>
      <c r="Y323" s="1" t="n">
        <f aca="false">MIN($H323)</f>
        <v>1</v>
      </c>
      <c r="Z323" s="1" t="n">
        <f aca="false">MIN($I323)</f>
        <v>15.818</v>
      </c>
      <c r="AA323" s="1" t="n">
        <f aca="false">MIN($J323)</f>
        <v>16.2</v>
      </c>
      <c r="AB323" s="1" t="n">
        <f aca="false">MIN($K323)</f>
        <v>0</v>
      </c>
      <c r="AC323" s="1" t="n">
        <f aca="false">MIN($M323)</f>
        <v>3885971</v>
      </c>
      <c r="AD323" s="1" t="n">
        <f aca="false">MIN($N323)</f>
        <v>0.11</v>
      </c>
      <c r="AE323" s="1" t="n">
        <f aca="false">MIN($P323)</f>
        <v>16.2</v>
      </c>
      <c r="AF323" s="1" t="n">
        <f aca="false">MIN($Q323)</f>
        <v>0</v>
      </c>
      <c r="AG323" s="1" t="n">
        <f aca="false">MIN($R323)</f>
        <v>1009959</v>
      </c>
      <c r="AH323" s="1" t="n">
        <f aca="false">MEDIAN($B323)</f>
        <v>5277</v>
      </c>
      <c r="AI323" s="1" t="n">
        <f aca="false">MEDIAN($C323)</f>
        <v>1</v>
      </c>
      <c r="AJ323" s="1" t="n">
        <f aca="false">MEDIAN($D323)</f>
        <v>1116876</v>
      </c>
      <c r="AK323" s="1" t="n">
        <f aca="false">MEDIAN($E323)</f>
        <v>0</v>
      </c>
      <c r="AL323" s="1" t="n">
        <f aca="false">MEDIAN($F323)</f>
        <v>1021</v>
      </c>
      <c r="AM323" s="1" t="n">
        <f aca="false">MEDIAN($G323)</f>
        <v>0</v>
      </c>
      <c r="AN323" s="1" t="n">
        <f aca="false">MEDIAN($H323)</f>
        <v>1</v>
      </c>
      <c r="AO323" s="1" t="n">
        <f aca="false">MEDIAN($I323)</f>
        <v>15.818</v>
      </c>
      <c r="AP323" s="1" t="n">
        <f aca="false">MEDIAN($J323)</f>
        <v>16.2</v>
      </c>
      <c r="AQ323" s="1" t="n">
        <f aca="false">MEDIAN($K323)</f>
        <v>0</v>
      </c>
      <c r="AR323" s="1" t="n">
        <f aca="false">MEDIAN($M323)</f>
        <v>3885971</v>
      </c>
      <c r="AS323" s="1" t="n">
        <f aca="false">MEDIAN($N323)</f>
        <v>0.11</v>
      </c>
      <c r="AT323" s="1" t="n">
        <f aca="false">MEDIAN($P323)</f>
        <v>16.2</v>
      </c>
      <c r="AU323" s="1" t="n">
        <f aca="false">MEDIAN($Q323)</f>
        <v>0</v>
      </c>
      <c r="AV323" s="1" t="n">
        <f aca="false">MEDIAN($R323)</f>
        <v>1009959</v>
      </c>
      <c r="AW323" s="1" t="n">
        <f aca="false">MAX($B323)</f>
        <v>5277</v>
      </c>
      <c r="AX323" s="1" t="n">
        <f aca="false">MAX($C323)</f>
        <v>1</v>
      </c>
      <c r="AY323" s="1" t="n">
        <f aca="false">MAX($D323)</f>
        <v>1116876</v>
      </c>
      <c r="AZ323" s="1" t="n">
        <f aca="false">MAX($E323)</f>
        <v>0</v>
      </c>
      <c r="BA323" s="1" t="n">
        <f aca="false">MAX($F323)</f>
        <v>1021</v>
      </c>
      <c r="BB323" s="1" t="n">
        <f aca="false">MAX($G323)</f>
        <v>0</v>
      </c>
      <c r="BC323" s="1" t="n">
        <f aca="false">MAX($H323)</f>
        <v>1</v>
      </c>
      <c r="BD323" s="1" t="n">
        <f aca="false">MAX($I323)</f>
        <v>15.818</v>
      </c>
      <c r="BE323" s="1" t="n">
        <f aca="false">MAX($J323)</f>
        <v>16.2</v>
      </c>
      <c r="BF323" s="1" t="n">
        <f aca="false">MAX($K323)</f>
        <v>0</v>
      </c>
      <c r="BG323" s="1" t="n">
        <f aca="false">MAX($M323)</f>
        <v>3885971</v>
      </c>
      <c r="BH323" s="1" t="n">
        <f aca="false">MAX($N323)</f>
        <v>0.11</v>
      </c>
      <c r="BI323" s="1" t="n">
        <f aca="false">MAX($P323)</f>
        <v>16.2</v>
      </c>
      <c r="BJ323" s="1" t="n">
        <f aca="false">MAX($Q323)</f>
        <v>0</v>
      </c>
      <c r="BK323" s="1" t="n">
        <f aca="false">MAX($R323)</f>
        <v>1009959</v>
      </c>
    </row>
    <row r="324" customFormat="false" ht="15" hidden="false" customHeight="false" outlineLevel="0" collapsed="false">
      <c r="A324" s="1" t="s">
        <v>341</v>
      </c>
      <c r="B324" s="1" t="n">
        <f aca="false" t="array" ref="B324:B324">_xlfn.SWITCH($A$2,"average", AVERAGE(Instances!B324:B324),"median", MEDIAN(Instances!B324:B324),"min", MIN(Instances!B324:B324),"max", MAX(Instances!B324:B324),"diff", MAX(Instances!B324:B324)-MIN(Instances!B324:B324))</f>
        <v>306125</v>
      </c>
      <c r="C324" s="1" t="n">
        <f aca="false" t="array" ref="C324:C324">_xlfn.SWITCH($A$2,"average", AVERAGE(Instances!C324:C324),"median", MEDIAN(Instances!C324:C324),"min", MIN(Instances!C324:C324),"max", MAX(Instances!C324:C324),"diff", MAX(Instances!C324:C324)-MIN(Instances!C324:C324))</f>
        <v>1401</v>
      </c>
      <c r="D324" s="1" t="n">
        <f aca="false" t="array" ref="D324:D324">_xlfn.SWITCH($A$2,"average", AVERAGE(Instances!D324:D324),"median", MEDIAN(Instances!D324:D324),"min", MIN(Instances!D324:D324),"max", MAX(Instances!D324:D324),"diff", MAX(Instances!D324:D324)-MIN(Instances!D324:D324))</f>
        <v>1265364</v>
      </c>
      <c r="E324" s="1" t="n">
        <f aca="false" t="array" ref="E324:E324">_xlfn.SWITCH($A$2,"average", AVERAGE(Instances!E324:E324),"median", MEDIAN(Instances!E324:E324),"min", MIN(Instances!E324:E324),"max", MAX(Instances!E324:E324),"diff", MAX(Instances!E324:E324)-MIN(Instances!E324:E324))</f>
        <v>0</v>
      </c>
      <c r="F324" s="1" t="n">
        <f aca="false" t="array" ref="F324:F324">_xlfn.SWITCH($A$2,"average", AVERAGE(Instances!F324:F324),"median", MEDIAN(Instances!F324:F324),"min", MIN(Instances!F324:F324),"max", MAX(Instances!F324:F324),"diff", MAX(Instances!F324:F324)-MIN(Instances!F324:F324))</f>
        <v>1070</v>
      </c>
      <c r="G324" s="1" t="n">
        <f aca="false" t="array" ref="G324:G324">_xlfn.SWITCH($A$2,"average", AVERAGE(Instances!G324:G324),"median", MEDIAN(Instances!G324:G324),"min", MIN(Instances!G324:G324),"max", MAX(Instances!G324:G324),"diff", MAX(Instances!G324:G324)-MIN(Instances!G324:G324))</f>
        <v>0</v>
      </c>
      <c r="H324" s="1" t="n">
        <f aca="false" t="array" ref="H324:H324">_xlfn.SWITCH($A$2,"average", AVERAGE(Instances!H324:H324),"median", MEDIAN(Instances!H324:H324),"min", MIN(Instances!H324:H324),"max", MAX(Instances!H324:H324),"diff", MAX(Instances!H324:H324)-MIN(Instances!H324:H324))</f>
        <v>1</v>
      </c>
      <c r="I324" s="1" t="n">
        <f aca="false" t="array" ref="I324:I324">_xlfn.SWITCH($A$2,"average", AVERAGE(Instances!I324:I324),"median", MEDIAN(Instances!I324:I324),"min", MIN(Instances!I324:I324),"max", MAX(Instances!I324:I324),"diff", MAX(Instances!I324:I324)-MIN(Instances!I324:I324))</f>
        <v>21.55</v>
      </c>
      <c r="J324" s="1" t="n">
        <f aca="false" t="array" ref="J324:J324">_xlfn.SWITCH($A$2,"average", AVERAGE(Instances!J324:J324),"median", MEDIAN(Instances!J324:J324),"min", MIN(Instances!J324:J324),"max", MAX(Instances!J324:J324),"diff", MAX(Instances!J324:J324)-MIN(Instances!J324:J324))</f>
        <v>21.89</v>
      </c>
      <c r="K324" s="1" t="n">
        <f aca="false" t="array" ref="K324:K324">_xlfn.SWITCH($A$2,"average", AVERAGE(Instances!K324:K324),"median", MEDIAN(Instances!K324:K324),"min", MIN(Instances!K324:K324),"max", MAX(Instances!K324:K324),"diff", MAX(Instances!K324:K324)-MIN(Instances!K324:K324))</f>
        <v>9</v>
      </c>
      <c r="L324" s="1"/>
      <c r="M324" s="1" t="n">
        <f aca="false" t="array" ref="M324:M324">_xlfn.SWITCH($A$2,"average", AVERAGE(Instances!M324:M324),"median", MEDIAN(Instances!M324:M324),"min", MIN(Instances!M324:M324),"max", MAX(Instances!M324:M324),"diff", MAX(Instances!M324:M324)-MIN(Instances!M324:M324))</f>
        <v>4077368</v>
      </c>
      <c r="N324" s="1" t="n">
        <f aca="false" t="array" ref="N324:N324">_xlfn.SWITCH($A$2,"average", AVERAGE(Instances!N324:N324),"median", MEDIAN(Instances!N324:N324),"min", MIN(Instances!N324:N324),"max", MAX(Instances!N324:N324),"diff", MAX(Instances!N324:N324)-MIN(Instances!N324:N324))</f>
        <v>5.08</v>
      </c>
      <c r="O324" s="1"/>
      <c r="P324" s="1" t="n">
        <f aca="false" t="array" ref="P324:P324">_xlfn.SWITCH($A$2,"average", AVERAGE(Instances!P324:P324),"median", MEDIAN(Instances!P324:P324),"min", MIN(Instances!P324:P324),"max", MAX(Instances!P324:P324),"diff", MAX(Instances!P324:P324)-MIN(Instances!P324:P324))</f>
        <v>21.89</v>
      </c>
      <c r="Q324" s="1" t="n">
        <f aca="false" t="array" ref="Q324:Q324">_xlfn.SWITCH($A$2,"average", AVERAGE(Instances!Q324:Q324),"median", MEDIAN(Instances!Q324:Q324),"min", MIN(Instances!Q324:Q324),"max", MAX(Instances!Q324:Q324),"diff", MAX(Instances!Q324:Q324)-MIN(Instances!Q324:Q324))</f>
        <v>0</v>
      </c>
      <c r="R324" s="1" t="n">
        <f aca="false" t="array" ref="R324:R324">_xlfn.SWITCH($A$2,"average", AVERAGE(Instances!R324:R324),"median", MEDIAN(Instances!R324:R324),"min", MIN(Instances!R324:R324),"max", MAX(Instances!R324:R324),"diff", MAX(Instances!R324:R324)-MIN(Instances!R324:R324))</f>
        <v>1060975</v>
      </c>
      <c r="S324" s="1" t="n">
        <f aca="false">MIN($B324)</f>
        <v>306125</v>
      </c>
      <c r="T324" s="1" t="n">
        <f aca="false">MIN($C324)</f>
        <v>1401</v>
      </c>
      <c r="U324" s="1" t="n">
        <f aca="false">MIN($D324)</f>
        <v>1265364</v>
      </c>
      <c r="V324" s="1" t="n">
        <f aca="false">MIN($E324)</f>
        <v>0</v>
      </c>
      <c r="W324" s="1" t="n">
        <f aca="false">MIN($F324)</f>
        <v>1070</v>
      </c>
      <c r="X324" s="1" t="n">
        <f aca="false">MIN($G324)</f>
        <v>0</v>
      </c>
      <c r="Y324" s="1" t="n">
        <f aca="false">MIN($H324)</f>
        <v>1</v>
      </c>
      <c r="Z324" s="1" t="n">
        <f aca="false">MIN($I324)</f>
        <v>21.55</v>
      </c>
      <c r="AA324" s="1" t="n">
        <f aca="false">MIN($J324)</f>
        <v>21.89</v>
      </c>
      <c r="AB324" s="1" t="n">
        <f aca="false">MIN($K324)</f>
        <v>9</v>
      </c>
      <c r="AC324" s="1" t="n">
        <f aca="false">MIN($M324)</f>
        <v>4077368</v>
      </c>
      <c r="AD324" s="1" t="n">
        <f aca="false">MIN($N324)</f>
        <v>5.08</v>
      </c>
      <c r="AE324" s="1" t="n">
        <f aca="false">MIN($P324)</f>
        <v>21.89</v>
      </c>
      <c r="AF324" s="1" t="n">
        <f aca="false">MIN($Q324)</f>
        <v>0</v>
      </c>
      <c r="AG324" s="1" t="n">
        <f aca="false">MIN($R324)</f>
        <v>1060975</v>
      </c>
      <c r="AH324" s="1" t="n">
        <f aca="false">MEDIAN($B324)</f>
        <v>306125</v>
      </c>
      <c r="AI324" s="1" t="n">
        <f aca="false">MEDIAN($C324)</f>
        <v>1401</v>
      </c>
      <c r="AJ324" s="1" t="n">
        <f aca="false">MEDIAN($D324)</f>
        <v>1265364</v>
      </c>
      <c r="AK324" s="1" t="n">
        <f aca="false">MEDIAN($E324)</f>
        <v>0</v>
      </c>
      <c r="AL324" s="1" t="n">
        <f aca="false">MEDIAN($F324)</f>
        <v>1070</v>
      </c>
      <c r="AM324" s="1" t="n">
        <f aca="false">MEDIAN($G324)</f>
        <v>0</v>
      </c>
      <c r="AN324" s="1" t="n">
        <f aca="false">MEDIAN($H324)</f>
        <v>1</v>
      </c>
      <c r="AO324" s="1" t="n">
        <f aca="false">MEDIAN($I324)</f>
        <v>21.55</v>
      </c>
      <c r="AP324" s="1" t="n">
        <f aca="false">MEDIAN($J324)</f>
        <v>21.89</v>
      </c>
      <c r="AQ324" s="1" t="n">
        <f aca="false">MEDIAN($K324)</f>
        <v>9</v>
      </c>
      <c r="AR324" s="1" t="n">
        <f aca="false">MEDIAN($M324)</f>
        <v>4077368</v>
      </c>
      <c r="AS324" s="1" t="n">
        <f aca="false">MEDIAN($N324)</f>
        <v>5.08</v>
      </c>
      <c r="AT324" s="1" t="n">
        <f aca="false">MEDIAN($P324)</f>
        <v>21.89</v>
      </c>
      <c r="AU324" s="1" t="n">
        <f aca="false">MEDIAN($Q324)</f>
        <v>0</v>
      </c>
      <c r="AV324" s="1" t="n">
        <f aca="false">MEDIAN($R324)</f>
        <v>1060975</v>
      </c>
      <c r="AW324" s="1" t="n">
        <f aca="false">MAX($B324)</f>
        <v>306125</v>
      </c>
      <c r="AX324" s="1" t="n">
        <f aca="false">MAX($C324)</f>
        <v>1401</v>
      </c>
      <c r="AY324" s="1" t="n">
        <f aca="false">MAX($D324)</f>
        <v>1265364</v>
      </c>
      <c r="AZ324" s="1" t="n">
        <f aca="false">MAX($E324)</f>
        <v>0</v>
      </c>
      <c r="BA324" s="1" t="n">
        <f aca="false">MAX($F324)</f>
        <v>1070</v>
      </c>
      <c r="BB324" s="1" t="n">
        <f aca="false">MAX($G324)</f>
        <v>0</v>
      </c>
      <c r="BC324" s="1" t="n">
        <f aca="false">MAX($H324)</f>
        <v>1</v>
      </c>
      <c r="BD324" s="1" t="n">
        <f aca="false">MAX($I324)</f>
        <v>21.55</v>
      </c>
      <c r="BE324" s="1" t="n">
        <f aca="false">MAX($J324)</f>
        <v>21.89</v>
      </c>
      <c r="BF324" s="1" t="n">
        <f aca="false">MAX($K324)</f>
        <v>9</v>
      </c>
      <c r="BG324" s="1" t="n">
        <f aca="false">MAX($M324)</f>
        <v>4077368</v>
      </c>
      <c r="BH324" s="1" t="n">
        <f aca="false">MAX($N324)</f>
        <v>5.08</v>
      </c>
      <c r="BI324" s="1" t="n">
        <f aca="false">MAX($P324)</f>
        <v>21.89</v>
      </c>
      <c r="BJ324" s="1" t="n">
        <f aca="false">MAX($Q324)</f>
        <v>0</v>
      </c>
      <c r="BK324" s="1" t="n">
        <f aca="false">MAX($R324)</f>
        <v>1060975</v>
      </c>
    </row>
    <row r="325" customFormat="false" ht="15" hidden="false" customHeight="false" outlineLevel="0" collapsed="false">
      <c r="A325" s="1" t="s">
        <v>342</v>
      </c>
      <c r="B325" s="1" t="n">
        <f aca="false" t="array" ref="B325:B325">_xlfn.SWITCH($A$2,"average", AVERAGE(Instances!B325:B325),"median", MEDIAN(Instances!B325:B325),"min", MIN(Instances!B325:B325),"max", MAX(Instances!B325:B325),"diff", MAX(Instances!B325:B325)-MIN(Instances!B325:B325))</f>
        <v>141271</v>
      </c>
      <c r="C325" s="1" t="n">
        <f aca="false" t="array" ref="C325:C325">_xlfn.SWITCH($A$2,"average", AVERAGE(Instances!C325:C325),"median", MEDIAN(Instances!C325:C325),"min", MIN(Instances!C325:C325),"max", MAX(Instances!C325:C325),"diff", MAX(Instances!C325:C325)-MIN(Instances!C325:C325))</f>
        <v>1288</v>
      </c>
      <c r="D325" s="1" t="n">
        <f aca="false" t="array" ref="D325:D325">_xlfn.SWITCH($A$2,"average", AVERAGE(Instances!D325:D325),"median", MEDIAN(Instances!D325:D325),"min", MIN(Instances!D325:D325),"max", MAX(Instances!D325:D325),"diff", MAX(Instances!D325:D325)-MIN(Instances!D325:D325))</f>
        <v>1463209</v>
      </c>
      <c r="E325" s="1" t="n">
        <f aca="false" t="array" ref="E325:E325">_xlfn.SWITCH($A$2,"average", AVERAGE(Instances!E325:E325),"median", MEDIAN(Instances!E325:E325),"min", MIN(Instances!E325:E325),"max", MAX(Instances!E325:E325),"diff", MAX(Instances!E325:E325)-MIN(Instances!E325:E325))</f>
        <v>0</v>
      </c>
      <c r="F325" s="1" t="n">
        <f aca="false" t="array" ref="F325:F325">_xlfn.SWITCH($A$2,"average", AVERAGE(Instances!F325:F325),"median", MEDIAN(Instances!F325:F325),"min", MIN(Instances!F325:F325),"max", MAX(Instances!F325:F325),"diff", MAX(Instances!F325:F325)-MIN(Instances!F325:F325))</f>
        <v>1119</v>
      </c>
      <c r="G325" s="1" t="n">
        <f aca="false" t="array" ref="G325:G325">_xlfn.SWITCH($A$2,"average", AVERAGE(Instances!G325:G325),"median", MEDIAN(Instances!G325:G325),"min", MIN(Instances!G325:G325),"max", MAX(Instances!G325:G325),"diff", MAX(Instances!G325:G325)-MIN(Instances!G325:G325))</f>
        <v>0</v>
      </c>
      <c r="H325" s="1" t="n">
        <f aca="false" t="array" ref="H325:H325">_xlfn.SWITCH($A$2,"average", AVERAGE(Instances!H325:H325),"median", MEDIAN(Instances!H325:H325),"min", MIN(Instances!H325:H325),"max", MAX(Instances!H325:H325),"diff", MAX(Instances!H325:H325)-MIN(Instances!H325:H325))</f>
        <v>1</v>
      </c>
      <c r="I325" s="1" t="n">
        <f aca="false" t="array" ref="I325:I325">_xlfn.SWITCH($A$2,"average", AVERAGE(Instances!I325:I325),"median", MEDIAN(Instances!I325:I325),"min", MIN(Instances!I325:I325),"max", MAX(Instances!I325:I325),"diff", MAX(Instances!I325:I325)-MIN(Instances!I325:I325))</f>
        <v>20.094</v>
      </c>
      <c r="J325" s="1" t="n">
        <f aca="false" t="array" ref="J325:J325">_xlfn.SWITCH($A$2,"average", AVERAGE(Instances!J325:J325),"median", MEDIAN(Instances!J325:J325),"min", MIN(Instances!J325:J325),"max", MAX(Instances!J325:J325),"diff", MAX(Instances!J325:J325)-MIN(Instances!J325:J325))</f>
        <v>20.48</v>
      </c>
      <c r="K325" s="1" t="n">
        <f aca="false" t="array" ref="K325:K325">_xlfn.SWITCH($A$2,"average", AVERAGE(Instances!K325:K325),"median", MEDIAN(Instances!K325:K325),"min", MIN(Instances!K325:K325),"max", MAX(Instances!K325:K325),"diff", MAX(Instances!K325:K325)-MIN(Instances!K325:K325))</f>
        <v>9</v>
      </c>
      <c r="L325" s="1"/>
      <c r="M325" s="1" t="n">
        <f aca="false" t="array" ref="M325:M325">_xlfn.SWITCH($A$2,"average", AVERAGE(Instances!M325:M325),"median", MEDIAN(Instances!M325:M325),"min", MIN(Instances!M325:M325),"max", MAX(Instances!M325:M325),"diff", MAX(Instances!M325:M325)-MIN(Instances!M325:M325))</f>
        <v>4354431</v>
      </c>
      <c r="N325" s="1" t="n">
        <f aca="false" t="array" ref="N325:N325">_xlfn.SWITCH($A$2,"average", AVERAGE(Instances!N325:N325),"median", MEDIAN(Instances!N325:N325),"min", MIN(Instances!N325:N325),"max", MAX(Instances!N325:N325),"diff", MAX(Instances!N325:N325)-MIN(Instances!N325:N325))</f>
        <v>2.12</v>
      </c>
      <c r="O325" s="1"/>
      <c r="P325" s="1" t="n">
        <f aca="false" t="array" ref="P325:P325">_xlfn.SWITCH($A$2,"average", AVERAGE(Instances!P325:P325),"median", MEDIAN(Instances!P325:P325),"min", MIN(Instances!P325:P325),"max", MAX(Instances!P325:P325),"diff", MAX(Instances!P325:P325)-MIN(Instances!P325:P325))</f>
        <v>20.48</v>
      </c>
      <c r="Q325" s="1" t="n">
        <f aca="false" t="array" ref="Q325:Q325">_xlfn.SWITCH($A$2,"average", AVERAGE(Instances!Q325:Q325),"median", MEDIAN(Instances!Q325:Q325),"min", MIN(Instances!Q325:Q325),"max", MAX(Instances!Q325:Q325),"diff", MAX(Instances!Q325:Q325)-MIN(Instances!Q325:Q325))</f>
        <v>0</v>
      </c>
      <c r="R325" s="1" t="n">
        <f aca="false" t="array" ref="R325:R325">_xlfn.SWITCH($A$2,"average", AVERAGE(Instances!R325:R325),"median", MEDIAN(Instances!R325:R325),"min", MIN(Instances!R325:R325),"max", MAX(Instances!R325:R325),"diff", MAX(Instances!R325:R325)-MIN(Instances!R325:R325))</f>
        <v>1113947</v>
      </c>
      <c r="S325" s="1" t="n">
        <f aca="false">MIN($B325)</f>
        <v>141271</v>
      </c>
      <c r="T325" s="1" t="n">
        <f aca="false">MIN($C325)</f>
        <v>1288</v>
      </c>
      <c r="U325" s="1" t="n">
        <f aca="false">MIN($D325)</f>
        <v>1463209</v>
      </c>
      <c r="V325" s="1" t="n">
        <f aca="false">MIN($E325)</f>
        <v>0</v>
      </c>
      <c r="W325" s="1" t="n">
        <f aca="false">MIN($F325)</f>
        <v>1119</v>
      </c>
      <c r="X325" s="1" t="n">
        <f aca="false">MIN($G325)</f>
        <v>0</v>
      </c>
      <c r="Y325" s="1" t="n">
        <f aca="false">MIN($H325)</f>
        <v>1</v>
      </c>
      <c r="Z325" s="1" t="n">
        <f aca="false">MIN($I325)</f>
        <v>20.094</v>
      </c>
      <c r="AA325" s="1" t="n">
        <f aca="false">MIN($J325)</f>
        <v>20.48</v>
      </c>
      <c r="AB325" s="1" t="n">
        <f aca="false">MIN($K325)</f>
        <v>9</v>
      </c>
      <c r="AC325" s="1" t="n">
        <f aca="false">MIN($M325)</f>
        <v>4354431</v>
      </c>
      <c r="AD325" s="1" t="n">
        <f aca="false">MIN($N325)</f>
        <v>2.12</v>
      </c>
      <c r="AE325" s="1" t="n">
        <f aca="false">MIN($P325)</f>
        <v>20.48</v>
      </c>
      <c r="AF325" s="1" t="n">
        <f aca="false">MIN($Q325)</f>
        <v>0</v>
      </c>
      <c r="AG325" s="1" t="n">
        <f aca="false">MIN($R325)</f>
        <v>1113947</v>
      </c>
      <c r="AH325" s="1" t="n">
        <f aca="false">MEDIAN($B325)</f>
        <v>141271</v>
      </c>
      <c r="AI325" s="1" t="n">
        <f aca="false">MEDIAN($C325)</f>
        <v>1288</v>
      </c>
      <c r="AJ325" s="1" t="n">
        <f aca="false">MEDIAN($D325)</f>
        <v>1463209</v>
      </c>
      <c r="AK325" s="1" t="n">
        <f aca="false">MEDIAN($E325)</f>
        <v>0</v>
      </c>
      <c r="AL325" s="1" t="n">
        <f aca="false">MEDIAN($F325)</f>
        <v>1119</v>
      </c>
      <c r="AM325" s="1" t="n">
        <f aca="false">MEDIAN($G325)</f>
        <v>0</v>
      </c>
      <c r="AN325" s="1" t="n">
        <f aca="false">MEDIAN($H325)</f>
        <v>1</v>
      </c>
      <c r="AO325" s="1" t="n">
        <f aca="false">MEDIAN($I325)</f>
        <v>20.094</v>
      </c>
      <c r="AP325" s="1" t="n">
        <f aca="false">MEDIAN($J325)</f>
        <v>20.48</v>
      </c>
      <c r="AQ325" s="1" t="n">
        <f aca="false">MEDIAN($K325)</f>
        <v>9</v>
      </c>
      <c r="AR325" s="1" t="n">
        <f aca="false">MEDIAN($M325)</f>
        <v>4354431</v>
      </c>
      <c r="AS325" s="1" t="n">
        <f aca="false">MEDIAN($N325)</f>
        <v>2.12</v>
      </c>
      <c r="AT325" s="1" t="n">
        <f aca="false">MEDIAN($P325)</f>
        <v>20.48</v>
      </c>
      <c r="AU325" s="1" t="n">
        <f aca="false">MEDIAN($Q325)</f>
        <v>0</v>
      </c>
      <c r="AV325" s="1" t="n">
        <f aca="false">MEDIAN($R325)</f>
        <v>1113947</v>
      </c>
      <c r="AW325" s="1" t="n">
        <f aca="false">MAX($B325)</f>
        <v>141271</v>
      </c>
      <c r="AX325" s="1" t="n">
        <f aca="false">MAX($C325)</f>
        <v>1288</v>
      </c>
      <c r="AY325" s="1" t="n">
        <f aca="false">MAX($D325)</f>
        <v>1463209</v>
      </c>
      <c r="AZ325" s="1" t="n">
        <f aca="false">MAX($E325)</f>
        <v>0</v>
      </c>
      <c r="BA325" s="1" t="n">
        <f aca="false">MAX($F325)</f>
        <v>1119</v>
      </c>
      <c r="BB325" s="1" t="n">
        <f aca="false">MAX($G325)</f>
        <v>0</v>
      </c>
      <c r="BC325" s="1" t="n">
        <f aca="false">MAX($H325)</f>
        <v>1</v>
      </c>
      <c r="BD325" s="1" t="n">
        <f aca="false">MAX($I325)</f>
        <v>20.094</v>
      </c>
      <c r="BE325" s="1" t="n">
        <f aca="false">MAX($J325)</f>
        <v>20.48</v>
      </c>
      <c r="BF325" s="1" t="n">
        <f aca="false">MAX($K325)</f>
        <v>9</v>
      </c>
      <c r="BG325" s="1" t="n">
        <f aca="false">MAX($M325)</f>
        <v>4354431</v>
      </c>
      <c r="BH325" s="1" t="n">
        <f aca="false">MAX($N325)</f>
        <v>2.12</v>
      </c>
      <c r="BI325" s="1" t="n">
        <f aca="false">MAX($P325)</f>
        <v>20.48</v>
      </c>
      <c r="BJ325" s="1" t="n">
        <f aca="false">MAX($Q325)</f>
        <v>0</v>
      </c>
      <c r="BK325" s="1" t="n">
        <f aca="false">MAX($R325)</f>
        <v>1113947</v>
      </c>
    </row>
    <row r="326" customFormat="false" ht="15" hidden="false" customHeight="false" outlineLevel="0" collapsed="false">
      <c r="A326" s="1" t="s">
        <v>343</v>
      </c>
      <c r="B326" s="1" t="n">
        <f aca="false" t="array" ref="B326:B326">_xlfn.SWITCH($A$2,"average", AVERAGE(Instances!B326:B326),"median", MEDIAN(Instances!B326:B326),"min", MIN(Instances!B326:B326),"max", MAX(Instances!B326:B326),"diff", MAX(Instances!B326:B326)-MIN(Instances!B326:B326))</f>
        <v>145728</v>
      </c>
      <c r="C326" s="1" t="n">
        <f aca="false" t="array" ref="C326:C326">_xlfn.SWITCH($A$2,"average", AVERAGE(Instances!C326:C326),"median", MEDIAN(Instances!C326:C326),"min", MIN(Instances!C326:C326),"max", MAX(Instances!C326:C326),"diff", MAX(Instances!C326:C326)-MIN(Instances!C326:C326))</f>
        <v>655</v>
      </c>
      <c r="D326" s="1" t="n">
        <f aca="false" t="array" ref="D326:D326">_xlfn.SWITCH($A$2,"average", AVERAGE(Instances!D326:D326),"median", MEDIAN(Instances!D326:D326),"min", MIN(Instances!D326:D326),"max", MAX(Instances!D326:D326),"diff", MAX(Instances!D326:D326)-MIN(Instances!D326:D326))</f>
        <v>1493860</v>
      </c>
      <c r="E326" s="1" t="n">
        <f aca="false" t="array" ref="E326:E326">_xlfn.SWITCH($A$2,"average", AVERAGE(Instances!E326:E326),"median", MEDIAN(Instances!E326:E326),"min", MIN(Instances!E326:E326),"max", MAX(Instances!E326:E326),"diff", MAX(Instances!E326:E326)-MIN(Instances!E326:E326))</f>
        <v>0</v>
      </c>
      <c r="F326" s="1" t="n">
        <f aca="false" t="array" ref="F326:F326">_xlfn.SWITCH($A$2,"average", AVERAGE(Instances!F326:F326),"median", MEDIAN(Instances!F326:F326),"min", MIN(Instances!F326:F326),"max", MAX(Instances!F326:F326),"diff", MAX(Instances!F326:F326)-MIN(Instances!F326:F326))</f>
        <v>1224</v>
      </c>
      <c r="G326" s="1" t="n">
        <f aca="false" t="array" ref="G326:G326">_xlfn.SWITCH($A$2,"average", AVERAGE(Instances!G326:G326),"median", MEDIAN(Instances!G326:G326),"min", MIN(Instances!G326:G326),"max", MAX(Instances!G326:G326),"diff", MAX(Instances!G326:G326)-MIN(Instances!G326:G326))</f>
        <v>0</v>
      </c>
      <c r="H326" s="1" t="n">
        <f aca="false" t="array" ref="H326:H326">_xlfn.SWITCH($A$2,"average", AVERAGE(Instances!H326:H326),"median", MEDIAN(Instances!H326:H326),"min", MIN(Instances!H326:H326),"max", MAX(Instances!H326:H326),"diff", MAX(Instances!H326:H326)-MIN(Instances!H326:H326))</f>
        <v>1</v>
      </c>
      <c r="I326" s="1" t="n">
        <f aca="false" t="array" ref="I326:I326">_xlfn.SWITCH($A$2,"average", AVERAGE(Instances!I326:I326),"median", MEDIAN(Instances!I326:I326),"min", MIN(Instances!I326:I326),"max", MAX(Instances!I326:I326),"diff", MAX(Instances!I326:I326)-MIN(Instances!I326:I326))</f>
        <v>21.782</v>
      </c>
      <c r="J326" s="1" t="n">
        <f aca="false" t="array" ref="J326:J326">_xlfn.SWITCH($A$2,"average", AVERAGE(Instances!J326:J326),"median", MEDIAN(Instances!J326:J326),"min", MIN(Instances!J326:J326),"max", MAX(Instances!J326:J326),"diff", MAX(Instances!J326:J326)-MIN(Instances!J326:J326))</f>
        <v>22.23</v>
      </c>
      <c r="K326" s="1" t="n">
        <f aca="false" t="array" ref="K326:K326">_xlfn.SWITCH($A$2,"average", AVERAGE(Instances!K326:K326),"median", MEDIAN(Instances!K326:K326),"min", MIN(Instances!K326:K326),"max", MAX(Instances!K326:K326),"diff", MAX(Instances!K326:K326)-MIN(Instances!K326:K326))</f>
        <v>5</v>
      </c>
      <c r="L326" s="1"/>
      <c r="M326" s="1" t="n">
        <f aca="false" t="array" ref="M326:M326">_xlfn.SWITCH($A$2,"average", AVERAGE(Instances!M326:M326),"median", MEDIAN(Instances!M326:M326),"min", MIN(Instances!M326:M326),"max", MAX(Instances!M326:M326),"diff", MAX(Instances!M326:M326)-MIN(Instances!M326:M326))</f>
        <v>4804993</v>
      </c>
      <c r="N326" s="1" t="n">
        <f aca="false" t="array" ref="N326:N326">_xlfn.SWITCH($A$2,"average", AVERAGE(Instances!N326:N326),"median", MEDIAN(Instances!N326:N326),"min", MIN(Instances!N326:N326),"max", MAX(Instances!N326:N326),"diff", MAX(Instances!N326:N326)-MIN(Instances!N326:N326))</f>
        <v>2.03</v>
      </c>
      <c r="O326" s="1"/>
      <c r="P326" s="1" t="n">
        <f aca="false" t="array" ref="P326:P326">_xlfn.SWITCH($A$2,"average", AVERAGE(Instances!P326:P326),"median", MEDIAN(Instances!P326:P326),"min", MIN(Instances!P326:P326),"max", MAX(Instances!P326:P326),"diff", MAX(Instances!P326:P326)-MIN(Instances!P326:P326))</f>
        <v>22.23</v>
      </c>
      <c r="Q326" s="1" t="n">
        <f aca="false" t="array" ref="Q326:Q326">_xlfn.SWITCH($A$2,"average", AVERAGE(Instances!Q326:Q326),"median", MEDIAN(Instances!Q326:Q326),"min", MIN(Instances!Q326:Q326),"max", MAX(Instances!Q326:Q326),"diff", MAX(Instances!Q326:Q326)-MIN(Instances!Q326:Q326))</f>
        <v>0</v>
      </c>
      <c r="R326" s="1" t="n">
        <f aca="false" t="array" ref="R326:R326">_xlfn.SWITCH($A$2,"average", AVERAGE(Instances!R326:R326),"median", MEDIAN(Instances!R326:R326),"min", MIN(Instances!R326:R326),"max", MAX(Instances!R326:R326),"diff", MAX(Instances!R326:R326)-MIN(Instances!R326:R326))</f>
        <v>1228679</v>
      </c>
      <c r="S326" s="1" t="n">
        <f aca="false">MIN($B326)</f>
        <v>145728</v>
      </c>
      <c r="T326" s="1" t="n">
        <f aca="false">MIN($C326)</f>
        <v>655</v>
      </c>
      <c r="U326" s="1" t="n">
        <f aca="false">MIN($D326)</f>
        <v>1493860</v>
      </c>
      <c r="V326" s="1" t="n">
        <f aca="false">MIN($E326)</f>
        <v>0</v>
      </c>
      <c r="W326" s="1" t="n">
        <f aca="false">MIN($F326)</f>
        <v>1224</v>
      </c>
      <c r="X326" s="1" t="n">
        <f aca="false">MIN($G326)</f>
        <v>0</v>
      </c>
      <c r="Y326" s="1" t="n">
        <f aca="false">MIN($H326)</f>
        <v>1</v>
      </c>
      <c r="Z326" s="1" t="n">
        <f aca="false">MIN($I326)</f>
        <v>21.782</v>
      </c>
      <c r="AA326" s="1" t="n">
        <f aca="false">MIN($J326)</f>
        <v>22.23</v>
      </c>
      <c r="AB326" s="1" t="n">
        <f aca="false">MIN($K326)</f>
        <v>5</v>
      </c>
      <c r="AC326" s="1" t="n">
        <f aca="false">MIN($M326)</f>
        <v>4804993</v>
      </c>
      <c r="AD326" s="1" t="n">
        <f aca="false">MIN($N326)</f>
        <v>2.03</v>
      </c>
      <c r="AE326" s="1" t="n">
        <f aca="false">MIN($P326)</f>
        <v>22.23</v>
      </c>
      <c r="AF326" s="1" t="n">
        <f aca="false">MIN($Q326)</f>
        <v>0</v>
      </c>
      <c r="AG326" s="1" t="n">
        <f aca="false">MIN($R326)</f>
        <v>1228679</v>
      </c>
      <c r="AH326" s="1" t="n">
        <f aca="false">MEDIAN($B326)</f>
        <v>145728</v>
      </c>
      <c r="AI326" s="1" t="n">
        <f aca="false">MEDIAN($C326)</f>
        <v>655</v>
      </c>
      <c r="AJ326" s="1" t="n">
        <f aca="false">MEDIAN($D326)</f>
        <v>1493860</v>
      </c>
      <c r="AK326" s="1" t="n">
        <f aca="false">MEDIAN($E326)</f>
        <v>0</v>
      </c>
      <c r="AL326" s="1" t="n">
        <f aca="false">MEDIAN($F326)</f>
        <v>1224</v>
      </c>
      <c r="AM326" s="1" t="n">
        <f aca="false">MEDIAN($G326)</f>
        <v>0</v>
      </c>
      <c r="AN326" s="1" t="n">
        <f aca="false">MEDIAN($H326)</f>
        <v>1</v>
      </c>
      <c r="AO326" s="1" t="n">
        <f aca="false">MEDIAN($I326)</f>
        <v>21.782</v>
      </c>
      <c r="AP326" s="1" t="n">
        <f aca="false">MEDIAN($J326)</f>
        <v>22.23</v>
      </c>
      <c r="AQ326" s="1" t="n">
        <f aca="false">MEDIAN($K326)</f>
        <v>5</v>
      </c>
      <c r="AR326" s="1" t="n">
        <f aca="false">MEDIAN($M326)</f>
        <v>4804993</v>
      </c>
      <c r="AS326" s="1" t="n">
        <f aca="false">MEDIAN($N326)</f>
        <v>2.03</v>
      </c>
      <c r="AT326" s="1" t="n">
        <f aca="false">MEDIAN($P326)</f>
        <v>22.23</v>
      </c>
      <c r="AU326" s="1" t="n">
        <f aca="false">MEDIAN($Q326)</f>
        <v>0</v>
      </c>
      <c r="AV326" s="1" t="n">
        <f aca="false">MEDIAN($R326)</f>
        <v>1228679</v>
      </c>
      <c r="AW326" s="1" t="n">
        <f aca="false">MAX($B326)</f>
        <v>145728</v>
      </c>
      <c r="AX326" s="1" t="n">
        <f aca="false">MAX($C326)</f>
        <v>655</v>
      </c>
      <c r="AY326" s="1" t="n">
        <f aca="false">MAX($D326)</f>
        <v>1493860</v>
      </c>
      <c r="AZ326" s="1" t="n">
        <f aca="false">MAX($E326)</f>
        <v>0</v>
      </c>
      <c r="BA326" s="1" t="n">
        <f aca="false">MAX($F326)</f>
        <v>1224</v>
      </c>
      <c r="BB326" s="1" t="n">
        <f aca="false">MAX($G326)</f>
        <v>0</v>
      </c>
      <c r="BC326" s="1" t="n">
        <f aca="false">MAX($H326)</f>
        <v>1</v>
      </c>
      <c r="BD326" s="1" t="n">
        <f aca="false">MAX($I326)</f>
        <v>21.782</v>
      </c>
      <c r="BE326" s="1" t="n">
        <f aca="false">MAX($J326)</f>
        <v>22.23</v>
      </c>
      <c r="BF326" s="1" t="n">
        <f aca="false">MAX($K326)</f>
        <v>5</v>
      </c>
      <c r="BG326" s="1" t="n">
        <f aca="false">MAX($M326)</f>
        <v>4804993</v>
      </c>
      <c r="BH326" s="1" t="n">
        <f aca="false">MAX($N326)</f>
        <v>2.03</v>
      </c>
      <c r="BI326" s="1" t="n">
        <f aca="false">MAX($P326)</f>
        <v>22.23</v>
      </c>
      <c r="BJ326" s="1" t="n">
        <f aca="false">MAX($Q326)</f>
        <v>0</v>
      </c>
      <c r="BK326" s="1" t="n">
        <f aca="false">MAX($R326)</f>
        <v>1228679</v>
      </c>
    </row>
    <row r="327" customFormat="false" ht="15" hidden="false" customHeight="false" outlineLevel="0" collapsed="false">
      <c r="A327" s="1" t="s">
        <v>344</v>
      </c>
      <c r="B327" s="1" t="n">
        <f aca="false" t="array" ref="B327:B327">_xlfn.SWITCH($A$2,"average", AVERAGE(Instances!B327:B327),"median", MEDIAN(Instances!B327:B327),"min", MIN(Instances!B327:B327),"max", MAX(Instances!B327:B327),"diff", MAX(Instances!B327:B327)-MIN(Instances!B327:B327))</f>
        <v>1856</v>
      </c>
      <c r="C327" s="1" t="n">
        <f aca="false" t="array" ref="C327:C327">_xlfn.SWITCH($A$2,"average", AVERAGE(Instances!C327:C327),"median", MEDIAN(Instances!C327:C327),"min", MIN(Instances!C327:C327),"max", MAX(Instances!C327:C327),"diff", MAX(Instances!C327:C327)-MIN(Instances!C327:C327))</f>
        <v>0</v>
      </c>
      <c r="D327" s="1" t="n">
        <f aca="false" t="array" ref="D327:D327">_xlfn.SWITCH($A$2,"average", AVERAGE(Instances!D327:D327),"median", MEDIAN(Instances!D327:D327),"min", MIN(Instances!D327:D327),"max", MAX(Instances!D327:D327),"diff", MAX(Instances!D327:D327)-MIN(Instances!D327:D327))</f>
        <v>657556</v>
      </c>
      <c r="E327" s="1" t="n">
        <f aca="false" t="array" ref="E327:E327">_xlfn.SWITCH($A$2,"average", AVERAGE(Instances!E327:E327),"median", MEDIAN(Instances!E327:E327),"min", MIN(Instances!E327:E327),"max", MAX(Instances!E327:E327),"diff", MAX(Instances!E327:E327)-MIN(Instances!E327:E327))</f>
        <v>0</v>
      </c>
      <c r="F327" s="1" t="n">
        <f aca="false" t="array" ref="F327:F327">_xlfn.SWITCH($A$2,"average", AVERAGE(Instances!F327:F327),"median", MEDIAN(Instances!F327:F327),"min", MIN(Instances!F327:F327),"max", MAX(Instances!F327:F327),"diff", MAX(Instances!F327:F327)-MIN(Instances!F327:F327))</f>
        <v>410</v>
      </c>
      <c r="G327" s="1" t="n">
        <f aca="false" t="array" ref="G327:G327">_xlfn.SWITCH($A$2,"average", AVERAGE(Instances!G327:G327),"median", MEDIAN(Instances!G327:G327),"min", MIN(Instances!G327:G327),"max", MAX(Instances!G327:G327),"diff", MAX(Instances!G327:G327)-MIN(Instances!G327:G327))</f>
        <v>0</v>
      </c>
      <c r="H327" s="1" t="n">
        <f aca="false" t="array" ref="H327:H327">_xlfn.SWITCH($A$2,"average", AVERAGE(Instances!H327:H327),"median", MEDIAN(Instances!H327:H327),"min", MIN(Instances!H327:H327),"max", MAX(Instances!H327:H327),"diff", MAX(Instances!H327:H327)-MIN(Instances!H327:H327))</f>
        <v>1</v>
      </c>
      <c r="I327" s="1" t="n">
        <f aca="false" t="array" ref="I327:I327">_xlfn.SWITCH($A$2,"average", AVERAGE(Instances!I327:I327),"median", MEDIAN(Instances!I327:I327),"min", MIN(Instances!I327:I327),"max", MAX(Instances!I327:I327),"diff", MAX(Instances!I327:I327)-MIN(Instances!I327:I327))</f>
        <v>4.911</v>
      </c>
      <c r="J327" s="1" t="n">
        <f aca="false" t="array" ref="J327:J327">_xlfn.SWITCH($A$2,"average", AVERAGE(Instances!J327:J327),"median", MEDIAN(Instances!J327:J327),"min", MIN(Instances!J327:J327),"max", MAX(Instances!J327:J327),"diff", MAX(Instances!J327:J327)-MIN(Instances!J327:J327))</f>
        <v>5.06</v>
      </c>
      <c r="K327" s="1" t="n">
        <f aca="false" t="array" ref="K327:K327">_xlfn.SWITCH($A$2,"average", AVERAGE(Instances!K327:K327),"median", MEDIAN(Instances!K327:K327),"min", MIN(Instances!K327:K327),"max", MAX(Instances!K327:K327),"diff", MAX(Instances!K327:K327)-MIN(Instances!K327:K327))</f>
        <v>0</v>
      </c>
      <c r="L327" s="1"/>
      <c r="M327" s="1" t="n">
        <f aca="false" t="array" ref="M327:M327">_xlfn.SWITCH($A$2,"average", AVERAGE(Instances!M327:M327),"median", MEDIAN(Instances!M327:M327),"min", MIN(Instances!M327:M327),"max", MAX(Instances!M327:M327),"diff", MAX(Instances!M327:M327)-MIN(Instances!M327:M327))</f>
        <v>1112737</v>
      </c>
      <c r="N327" s="1" t="n">
        <f aca="false" t="array" ref="N327:N327">_xlfn.SWITCH($A$2,"average", AVERAGE(Instances!N327:N327),"median", MEDIAN(Instances!N327:N327),"min", MIN(Instances!N327:N327),"max", MAX(Instances!N327:N327),"diff", MAX(Instances!N327:N327)-MIN(Instances!N327:N327))</f>
        <v>0.05</v>
      </c>
      <c r="O327" s="1"/>
      <c r="P327" s="1" t="n">
        <f aca="false" t="array" ref="P327:P327">_xlfn.SWITCH($A$2,"average", AVERAGE(Instances!P327:P327),"median", MEDIAN(Instances!P327:P327),"min", MIN(Instances!P327:P327),"max", MAX(Instances!P327:P327),"diff", MAX(Instances!P327:P327)-MIN(Instances!P327:P327))</f>
        <v>5.06</v>
      </c>
      <c r="Q327" s="1" t="n">
        <f aca="false" t="array" ref="Q327:Q327">_xlfn.SWITCH($A$2,"average", AVERAGE(Instances!Q327:Q327),"median", MEDIAN(Instances!Q327:Q327),"min", MIN(Instances!Q327:Q327),"max", MAX(Instances!Q327:Q327),"diff", MAX(Instances!Q327:Q327)-MIN(Instances!Q327:Q327))</f>
        <v>0</v>
      </c>
      <c r="R327" s="1" t="n">
        <f aca="false" t="array" ref="R327:R327">_xlfn.SWITCH($A$2,"average", AVERAGE(Instances!R327:R327),"median", MEDIAN(Instances!R327:R327),"min", MIN(Instances!R327:R327),"max", MAX(Instances!R327:R327),"diff", MAX(Instances!R327:R327)-MIN(Instances!R327:R327))</f>
        <v>407355</v>
      </c>
      <c r="S327" s="1" t="n">
        <f aca="false">MIN($B327)</f>
        <v>1856</v>
      </c>
      <c r="T327" s="1" t="n">
        <f aca="false">MIN($C327)</f>
        <v>0</v>
      </c>
      <c r="U327" s="1" t="n">
        <f aca="false">MIN($D327)</f>
        <v>657556</v>
      </c>
      <c r="V327" s="1" t="n">
        <f aca="false">MIN($E327)</f>
        <v>0</v>
      </c>
      <c r="W327" s="1" t="n">
        <f aca="false">MIN($F327)</f>
        <v>410</v>
      </c>
      <c r="X327" s="1" t="n">
        <f aca="false">MIN($G327)</f>
        <v>0</v>
      </c>
      <c r="Y327" s="1" t="n">
        <f aca="false">MIN($H327)</f>
        <v>1</v>
      </c>
      <c r="Z327" s="1" t="n">
        <f aca="false">MIN($I327)</f>
        <v>4.911</v>
      </c>
      <c r="AA327" s="1" t="n">
        <f aca="false">MIN($J327)</f>
        <v>5.06</v>
      </c>
      <c r="AB327" s="1" t="n">
        <f aca="false">MIN($K327)</f>
        <v>0</v>
      </c>
      <c r="AC327" s="1" t="n">
        <f aca="false">MIN($M327)</f>
        <v>1112737</v>
      </c>
      <c r="AD327" s="1" t="n">
        <f aca="false">MIN($N327)</f>
        <v>0.05</v>
      </c>
      <c r="AE327" s="1" t="n">
        <f aca="false">MIN($P327)</f>
        <v>5.06</v>
      </c>
      <c r="AF327" s="1" t="n">
        <f aca="false">MIN($Q327)</f>
        <v>0</v>
      </c>
      <c r="AG327" s="1" t="n">
        <f aca="false">MIN($R327)</f>
        <v>407355</v>
      </c>
      <c r="AH327" s="1" t="n">
        <f aca="false">MEDIAN($B327)</f>
        <v>1856</v>
      </c>
      <c r="AI327" s="1" t="n">
        <f aca="false">MEDIAN($C327)</f>
        <v>0</v>
      </c>
      <c r="AJ327" s="1" t="n">
        <f aca="false">MEDIAN($D327)</f>
        <v>657556</v>
      </c>
      <c r="AK327" s="1" t="n">
        <f aca="false">MEDIAN($E327)</f>
        <v>0</v>
      </c>
      <c r="AL327" s="1" t="n">
        <f aca="false">MEDIAN($F327)</f>
        <v>410</v>
      </c>
      <c r="AM327" s="1" t="n">
        <f aca="false">MEDIAN($G327)</f>
        <v>0</v>
      </c>
      <c r="AN327" s="1" t="n">
        <f aca="false">MEDIAN($H327)</f>
        <v>1</v>
      </c>
      <c r="AO327" s="1" t="n">
        <f aca="false">MEDIAN($I327)</f>
        <v>4.911</v>
      </c>
      <c r="AP327" s="1" t="n">
        <f aca="false">MEDIAN($J327)</f>
        <v>5.06</v>
      </c>
      <c r="AQ327" s="1" t="n">
        <f aca="false">MEDIAN($K327)</f>
        <v>0</v>
      </c>
      <c r="AR327" s="1" t="n">
        <f aca="false">MEDIAN($M327)</f>
        <v>1112737</v>
      </c>
      <c r="AS327" s="1" t="n">
        <f aca="false">MEDIAN($N327)</f>
        <v>0.05</v>
      </c>
      <c r="AT327" s="1" t="n">
        <f aca="false">MEDIAN($P327)</f>
        <v>5.06</v>
      </c>
      <c r="AU327" s="1" t="n">
        <f aca="false">MEDIAN($Q327)</f>
        <v>0</v>
      </c>
      <c r="AV327" s="1" t="n">
        <f aca="false">MEDIAN($R327)</f>
        <v>407355</v>
      </c>
      <c r="AW327" s="1" t="n">
        <f aca="false">MAX($B327)</f>
        <v>1856</v>
      </c>
      <c r="AX327" s="1" t="n">
        <f aca="false">MAX($C327)</f>
        <v>0</v>
      </c>
      <c r="AY327" s="1" t="n">
        <f aca="false">MAX($D327)</f>
        <v>657556</v>
      </c>
      <c r="AZ327" s="1" t="n">
        <f aca="false">MAX($E327)</f>
        <v>0</v>
      </c>
      <c r="BA327" s="1" t="n">
        <f aca="false">MAX($F327)</f>
        <v>410</v>
      </c>
      <c r="BB327" s="1" t="n">
        <f aca="false">MAX($G327)</f>
        <v>0</v>
      </c>
      <c r="BC327" s="1" t="n">
        <f aca="false">MAX($H327)</f>
        <v>1</v>
      </c>
      <c r="BD327" s="1" t="n">
        <f aca="false">MAX($I327)</f>
        <v>4.911</v>
      </c>
      <c r="BE327" s="1" t="n">
        <f aca="false">MAX($J327)</f>
        <v>5.06</v>
      </c>
      <c r="BF327" s="1" t="n">
        <f aca="false">MAX($K327)</f>
        <v>0</v>
      </c>
      <c r="BG327" s="1" t="n">
        <f aca="false">MAX($M327)</f>
        <v>1112737</v>
      </c>
      <c r="BH327" s="1" t="n">
        <f aca="false">MAX($N327)</f>
        <v>0.05</v>
      </c>
      <c r="BI327" s="1" t="n">
        <f aca="false">MAX($P327)</f>
        <v>5.06</v>
      </c>
      <c r="BJ327" s="1" t="n">
        <f aca="false">MAX($Q327)</f>
        <v>0</v>
      </c>
      <c r="BK327" s="1" t="n">
        <f aca="false">MAX($R327)</f>
        <v>407355</v>
      </c>
    </row>
    <row r="328" customFormat="false" ht="15" hidden="false" customHeight="false" outlineLevel="0" collapsed="false">
      <c r="A328" s="1" t="s">
        <v>345</v>
      </c>
      <c r="B328" s="1" t="n">
        <f aca="false" t="array" ref="B328:B328">_xlfn.SWITCH($A$2,"average", AVERAGE(Instances!B328:B328),"median", MEDIAN(Instances!B328:B328),"min", MIN(Instances!B328:B328),"max", MAX(Instances!B328:B328),"diff", MAX(Instances!B328:B328)-MIN(Instances!B328:B328))</f>
        <v>1840</v>
      </c>
      <c r="C328" s="1" t="n">
        <f aca="false" t="array" ref="C328:C328">_xlfn.SWITCH($A$2,"average", AVERAGE(Instances!C328:C328),"median", MEDIAN(Instances!C328:C328),"min", MIN(Instances!C328:C328),"max", MAX(Instances!C328:C328),"diff", MAX(Instances!C328:C328)-MIN(Instances!C328:C328))</f>
        <v>0</v>
      </c>
      <c r="D328" s="1" t="n">
        <f aca="false" t="array" ref="D328:D328">_xlfn.SWITCH($A$2,"average", AVERAGE(Instances!D328:D328),"median", MEDIAN(Instances!D328:D328),"min", MIN(Instances!D328:D328),"max", MAX(Instances!D328:D328),"diff", MAX(Instances!D328:D328)-MIN(Instances!D328:D328))</f>
        <v>663338</v>
      </c>
      <c r="E328" s="1" t="n">
        <f aca="false" t="array" ref="E328:E328">_xlfn.SWITCH($A$2,"average", AVERAGE(Instances!E328:E328),"median", MEDIAN(Instances!E328:E328),"min", MIN(Instances!E328:E328),"max", MAX(Instances!E328:E328),"diff", MAX(Instances!E328:E328)-MIN(Instances!E328:E328))</f>
        <v>0</v>
      </c>
      <c r="F328" s="1" t="n">
        <f aca="false" t="array" ref="F328:F328">_xlfn.SWITCH($A$2,"average", AVERAGE(Instances!F328:F328),"median", MEDIAN(Instances!F328:F328),"min", MIN(Instances!F328:F328),"max", MAX(Instances!F328:F328),"diff", MAX(Instances!F328:F328)-MIN(Instances!F328:F328))</f>
        <v>412</v>
      </c>
      <c r="G328" s="1" t="n">
        <f aca="false" t="array" ref="G328:G328">_xlfn.SWITCH($A$2,"average", AVERAGE(Instances!G328:G328),"median", MEDIAN(Instances!G328:G328),"min", MIN(Instances!G328:G328),"max", MAX(Instances!G328:G328),"diff", MAX(Instances!G328:G328)-MIN(Instances!G328:G328))</f>
        <v>0</v>
      </c>
      <c r="H328" s="1" t="n">
        <f aca="false" t="array" ref="H328:H328">_xlfn.SWITCH($A$2,"average", AVERAGE(Instances!H328:H328),"median", MEDIAN(Instances!H328:H328),"min", MIN(Instances!H328:H328),"max", MAX(Instances!H328:H328),"diff", MAX(Instances!H328:H328)-MIN(Instances!H328:H328))</f>
        <v>1</v>
      </c>
      <c r="I328" s="1" t="n">
        <f aca="false" t="array" ref="I328:I328">_xlfn.SWITCH($A$2,"average", AVERAGE(Instances!I328:I328),"median", MEDIAN(Instances!I328:I328),"min", MIN(Instances!I328:I328),"max", MAX(Instances!I328:I328),"diff", MAX(Instances!I328:I328)-MIN(Instances!I328:I328))</f>
        <v>4.923</v>
      </c>
      <c r="J328" s="1" t="n">
        <f aca="false" t="array" ref="J328:J328">_xlfn.SWITCH($A$2,"average", AVERAGE(Instances!J328:J328),"median", MEDIAN(Instances!J328:J328),"min", MIN(Instances!J328:J328),"max", MAX(Instances!J328:J328),"diff", MAX(Instances!J328:J328)-MIN(Instances!J328:J328))</f>
        <v>5.05</v>
      </c>
      <c r="K328" s="1" t="n">
        <f aca="false" t="array" ref="K328:K328">_xlfn.SWITCH($A$2,"average", AVERAGE(Instances!K328:K328),"median", MEDIAN(Instances!K328:K328),"min", MIN(Instances!K328:K328),"max", MAX(Instances!K328:K328),"diff", MAX(Instances!K328:K328)-MIN(Instances!K328:K328))</f>
        <v>0</v>
      </c>
      <c r="L328" s="1"/>
      <c r="M328" s="1" t="n">
        <f aca="false" t="array" ref="M328:M328">_xlfn.SWITCH($A$2,"average", AVERAGE(Instances!M328:M328),"median", MEDIAN(Instances!M328:M328),"min", MIN(Instances!M328:M328),"max", MAX(Instances!M328:M328),"diff", MAX(Instances!M328:M328)-MIN(Instances!M328:M328))</f>
        <v>1110577</v>
      </c>
      <c r="N328" s="1" t="n">
        <f aca="false" t="array" ref="N328:N328">_xlfn.SWITCH($A$2,"average", AVERAGE(Instances!N328:N328),"median", MEDIAN(Instances!N328:N328),"min", MIN(Instances!N328:N328),"max", MAX(Instances!N328:N328),"diff", MAX(Instances!N328:N328)-MIN(Instances!N328:N328))</f>
        <v>0.05</v>
      </c>
      <c r="O328" s="1"/>
      <c r="P328" s="1" t="n">
        <f aca="false" t="array" ref="P328:P328">_xlfn.SWITCH($A$2,"average", AVERAGE(Instances!P328:P328),"median", MEDIAN(Instances!P328:P328),"min", MIN(Instances!P328:P328),"max", MAX(Instances!P328:P328),"diff", MAX(Instances!P328:P328)-MIN(Instances!P328:P328))</f>
        <v>5.05</v>
      </c>
      <c r="Q328" s="1" t="n">
        <f aca="false" t="array" ref="Q328:Q328">_xlfn.SWITCH($A$2,"average", AVERAGE(Instances!Q328:Q328),"median", MEDIAN(Instances!Q328:Q328),"min", MIN(Instances!Q328:Q328),"max", MAX(Instances!Q328:Q328),"diff", MAX(Instances!Q328:Q328)-MIN(Instances!Q328:Q328))</f>
        <v>0</v>
      </c>
      <c r="R328" s="1" t="n">
        <f aca="false" t="array" ref="R328:R328">_xlfn.SWITCH($A$2,"average", AVERAGE(Instances!R328:R328),"median", MEDIAN(Instances!R328:R328),"min", MIN(Instances!R328:R328),"max", MAX(Instances!R328:R328),"diff", MAX(Instances!R328:R328)-MIN(Instances!R328:R328))</f>
        <v>407349</v>
      </c>
      <c r="S328" s="1" t="n">
        <f aca="false">MIN($B328)</f>
        <v>1840</v>
      </c>
      <c r="T328" s="1" t="n">
        <f aca="false">MIN($C328)</f>
        <v>0</v>
      </c>
      <c r="U328" s="1" t="n">
        <f aca="false">MIN($D328)</f>
        <v>663338</v>
      </c>
      <c r="V328" s="1" t="n">
        <f aca="false">MIN($E328)</f>
        <v>0</v>
      </c>
      <c r="W328" s="1" t="n">
        <f aca="false">MIN($F328)</f>
        <v>412</v>
      </c>
      <c r="X328" s="1" t="n">
        <f aca="false">MIN($G328)</f>
        <v>0</v>
      </c>
      <c r="Y328" s="1" t="n">
        <f aca="false">MIN($H328)</f>
        <v>1</v>
      </c>
      <c r="Z328" s="1" t="n">
        <f aca="false">MIN($I328)</f>
        <v>4.923</v>
      </c>
      <c r="AA328" s="1" t="n">
        <f aca="false">MIN($J328)</f>
        <v>5.05</v>
      </c>
      <c r="AB328" s="1" t="n">
        <f aca="false">MIN($K328)</f>
        <v>0</v>
      </c>
      <c r="AC328" s="1" t="n">
        <f aca="false">MIN($M328)</f>
        <v>1110577</v>
      </c>
      <c r="AD328" s="1" t="n">
        <f aca="false">MIN($N328)</f>
        <v>0.05</v>
      </c>
      <c r="AE328" s="1" t="n">
        <f aca="false">MIN($P328)</f>
        <v>5.05</v>
      </c>
      <c r="AF328" s="1" t="n">
        <f aca="false">MIN($Q328)</f>
        <v>0</v>
      </c>
      <c r="AG328" s="1" t="n">
        <f aca="false">MIN($R328)</f>
        <v>407349</v>
      </c>
      <c r="AH328" s="1" t="n">
        <f aca="false">MEDIAN($B328)</f>
        <v>1840</v>
      </c>
      <c r="AI328" s="1" t="n">
        <f aca="false">MEDIAN($C328)</f>
        <v>0</v>
      </c>
      <c r="AJ328" s="1" t="n">
        <f aca="false">MEDIAN($D328)</f>
        <v>663338</v>
      </c>
      <c r="AK328" s="1" t="n">
        <f aca="false">MEDIAN($E328)</f>
        <v>0</v>
      </c>
      <c r="AL328" s="1" t="n">
        <f aca="false">MEDIAN($F328)</f>
        <v>412</v>
      </c>
      <c r="AM328" s="1" t="n">
        <f aca="false">MEDIAN($G328)</f>
        <v>0</v>
      </c>
      <c r="AN328" s="1" t="n">
        <f aca="false">MEDIAN($H328)</f>
        <v>1</v>
      </c>
      <c r="AO328" s="1" t="n">
        <f aca="false">MEDIAN($I328)</f>
        <v>4.923</v>
      </c>
      <c r="AP328" s="1" t="n">
        <f aca="false">MEDIAN($J328)</f>
        <v>5.05</v>
      </c>
      <c r="AQ328" s="1" t="n">
        <f aca="false">MEDIAN($K328)</f>
        <v>0</v>
      </c>
      <c r="AR328" s="1" t="n">
        <f aca="false">MEDIAN($M328)</f>
        <v>1110577</v>
      </c>
      <c r="AS328" s="1" t="n">
        <f aca="false">MEDIAN($N328)</f>
        <v>0.05</v>
      </c>
      <c r="AT328" s="1" t="n">
        <f aca="false">MEDIAN($P328)</f>
        <v>5.05</v>
      </c>
      <c r="AU328" s="1" t="n">
        <f aca="false">MEDIAN($Q328)</f>
        <v>0</v>
      </c>
      <c r="AV328" s="1" t="n">
        <f aca="false">MEDIAN($R328)</f>
        <v>407349</v>
      </c>
      <c r="AW328" s="1" t="n">
        <f aca="false">MAX($B328)</f>
        <v>1840</v>
      </c>
      <c r="AX328" s="1" t="n">
        <f aca="false">MAX($C328)</f>
        <v>0</v>
      </c>
      <c r="AY328" s="1" t="n">
        <f aca="false">MAX($D328)</f>
        <v>663338</v>
      </c>
      <c r="AZ328" s="1" t="n">
        <f aca="false">MAX($E328)</f>
        <v>0</v>
      </c>
      <c r="BA328" s="1" t="n">
        <f aca="false">MAX($F328)</f>
        <v>412</v>
      </c>
      <c r="BB328" s="1" t="n">
        <f aca="false">MAX($G328)</f>
        <v>0</v>
      </c>
      <c r="BC328" s="1" t="n">
        <f aca="false">MAX($H328)</f>
        <v>1</v>
      </c>
      <c r="BD328" s="1" t="n">
        <f aca="false">MAX($I328)</f>
        <v>4.923</v>
      </c>
      <c r="BE328" s="1" t="n">
        <f aca="false">MAX($J328)</f>
        <v>5.05</v>
      </c>
      <c r="BF328" s="1" t="n">
        <f aca="false">MAX($K328)</f>
        <v>0</v>
      </c>
      <c r="BG328" s="1" t="n">
        <f aca="false">MAX($M328)</f>
        <v>1110577</v>
      </c>
      <c r="BH328" s="1" t="n">
        <f aca="false">MAX($N328)</f>
        <v>0.05</v>
      </c>
      <c r="BI328" s="1" t="n">
        <f aca="false">MAX($P328)</f>
        <v>5.05</v>
      </c>
      <c r="BJ328" s="1" t="n">
        <f aca="false">MAX($Q328)</f>
        <v>0</v>
      </c>
      <c r="BK328" s="1" t="n">
        <f aca="false">MAX($R328)</f>
        <v>407349</v>
      </c>
    </row>
    <row r="329" customFormat="false" ht="15" hidden="false" customHeight="false" outlineLevel="0" collapsed="false">
      <c r="A329" s="1" t="s">
        <v>346</v>
      </c>
      <c r="B329" s="1" t="n">
        <f aca="false" t="array" ref="B329:B329">_xlfn.SWITCH($A$2,"average", AVERAGE(Instances!B329:B329),"median", MEDIAN(Instances!B329:B329),"min", MIN(Instances!B329:B329),"max", MAX(Instances!B329:B329),"diff", MAX(Instances!B329:B329)-MIN(Instances!B329:B329))</f>
        <v>1941</v>
      </c>
      <c r="C329" s="1" t="n">
        <f aca="false" t="array" ref="C329:C329">_xlfn.SWITCH($A$2,"average", AVERAGE(Instances!C329:C329),"median", MEDIAN(Instances!C329:C329),"min", MIN(Instances!C329:C329),"max", MAX(Instances!C329:C329),"diff", MAX(Instances!C329:C329)-MIN(Instances!C329:C329))</f>
        <v>0</v>
      </c>
      <c r="D329" s="1" t="n">
        <f aca="false" t="array" ref="D329:D329">_xlfn.SWITCH($A$2,"average", AVERAGE(Instances!D329:D329),"median", MEDIAN(Instances!D329:D329),"min", MIN(Instances!D329:D329),"max", MAX(Instances!D329:D329),"diff", MAX(Instances!D329:D329)-MIN(Instances!D329:D329))</f>
        <v>654703</v>
      </c>
      <c r="E329" s="1" t="n">
        <f aca="false" t="array" ref="E329:E329">_xlfn.SWITCH($A$2,"average", AVERAGE(Instances!E329:E329),"median", MEDIAN(Instances!E329:E329),"min", MIN(Instances!E329:E329),"max", MAX(Instances!E329:E329),"diff", MAX(Instances!E329:E329)-MIN(Instances!E329:E329))</f>
        <v>0</v>
      </c>
      <c r="F329" s="1" t="n">
        <f aca="false" t="array" ref="F329:F329">_xlfn.SWITCH($A$2,"average", AVERAGE(Instances!F329:F329),"median", MEDIAN(Instances!F329:F329),"min", MIN(Instances!F329:F329),"max", MAX(Instances!F329:F329),"diff", MAX(Instances!F329:F329)-MIN(Instances!F329:F329))</f>
        <v>407</v>
      </c>
      <c r="G329" s="1" t="n">
        <f aca="false" t="array" ref="G329:G329">_xlfn.SWITCH($A$2,"average", AVERAGE(Instances!G329:G329),"median", MEDIAN(Instances!G329:G329),"min", MIN(Instances!G329:G329),"max", MAX(Instances!G329:G329),"diff", MAX(Instances!G329:G329)-MIN(Instances!G329:G329))</f>
        <v>0</v>
      </c>
      <c r="H329" s="1" t="n">
        <f aca="false" t="array" ref="H329:H329">_xlfn.SWITCH($A$2,"average", AVERAGE(Instances!H329:H329),"median", MEDIAN(Instances!H329:H329),"min", MIN(Instances!H329:H329),"max", MAX(Instances!H329:H329),"diff", MAX(Instances!H329:H329)-MIN(Instances!H329:H329))</f>
        <v>1</v>
      </c>
      <c r="I329" s="1" t="n">
        <f aca="false" t="array" ref="I329:I329">_xlfn.SWITCH($A$2,"average", AVERAGE(Instances!I329:I329),"median", MEDIAN(Instances!I329:I329),"min", MIN(Instances!I329:I329),"max", MAX(Instances!I329:I329),"diff", MAX(Instances!I329:I329)-MIN(Instances!I329:I329))</f>
        <v>4.661</v>
      </c>
      <c r="J329" s="1" t="n">
        <f aca="false" t="array" ref="J329:J329">_xlfn.SWITCH($A$2,"average", AVERAGE(Instances!J329:J329),"median", MEDIAN(Instances!J329:J329),"min", MIN(Instances!J329:J329),"max", MAX(Instances!J329:J329),"diff", MAX(Instances!J329:J329)-MIN(Instances!J329:J329))</f>
        <v>4.81</v>
      </c>
      <c r="K329" s="1" t="n">
        <f aca="false" t="array" ref="K329:K329">_xlfn.SWITCH($A$2,"average", AVERAGE(Instances!K329:K329),"median", MEDIAN(Instances!K329:K329),"min", MIN(Instances!K329:K329),"max", MAX(Instances!K329:K329),"diff", MAX(Instances!K329:K329)-MIN(Instances!K329:K329))</f>
        <v>0</v>
      </c>
      <c r="L329" s="1"/>
      <c r="M329" s="1" t="n">
        <f aca="false" t="array" ref="M329:M329">_xlfn.SWITCH($A$2,"average", AVERAGE(Instances!M329:M329),"median", MEDIAN(Instances!M329:M329),"min", MIN(Instances!M329:M329),"max", MAX(Instances!M329:M329),"diff", MAX(Instances!M329:M329)-MIN(Instances!M329:M329))</f>
        <v>1109669</v>
      </c>
      <c r="N329" s="1" t="n">
        <f aca="false" t="array" ref="N329:N329">_xlfn.SWITCH($A$2,"average", AVERAGE(Instances!N329:N329),"median", MEDIAN(Instances!N329:N329),"min", MIN(Instances!N329:N329),"max", MAX(Instances!N329:N329),"diff", MAX(Instances!N329:N329)-MIN(Instances!N329:N329))</f>
        <v>0.05</v>
      </c>
      <c r="O329" s="1"/>
      <c r="P329" s="1" t="n">
        <f aca="false" t="array" ref="P329:P329">_xlfn.SWITCH($A$2,"average", AVERAGE(Instances!P329:P329),"median", MEDIAN(Instances!P329:P329),"min", MIN(Instances!P329:P329),"max", MAX(Instances!P329:P329),"diff", MAX(Instances!P329:P329)-MIN(Instances!P329:P329))</f>
        <v>4.81</v>
      </c>
      <c r="Q329" s="1" t="n">
        <f aca="false" t="array" ref="Q329:Q329">_xlfn.SWITCH($A$2,"average", AVERAGE(Instances!Q329:Q329),"median", MEDIAN(Instances!Q329:Q329),"min", MIN(Instances!Q329:Q329),"max", MAX(Instances!Q329:Q329),"diff", MAX(Instances!Q329:Q329)-MIN(Instances!Q329:Q329))</f>
        <v>0</v>
      </c>
      <c r="R329" s="1" t="n">
        <f aca="false" t="array" ref="R329:R329">_xlfn.SWITCH($A$2,"average", AVERAGE(Instances!R329:R329),"median", MEDIAN(Instances!R329:R329),"min", MIN(Instances!R329:R329),"max", MAX(Instances!R329:R329),"diff", MAX(Instances!R329:R329)-MIN(Instances!R329:R329))</f>
        <v>406372</v>
      </c>
      <c r="S329" s="1" t="n">
        <f aca="false">MIN($B329)</f>
        <v>1941</v>
      </c>
      <c r="T329" s="1" t="n">
        <f aca="false">MIN($C329)</f>
        <v>0</v>
      </c>
      <c r="U329" s="1" t="n">
        <f aca="false">MIN($D329)</f>
        <v>654703</v>
      </c>
      <c r="V329" s="1" t="n">
        <f aca="false">MIN($E329)</f>
        <v>0</v>
      </c>
      <c r="W329" s="1" t="n">
        <f aca="false">MIN($F329)</f>
        <v>407</v>
      </c>
      <c r="X329" s="1" t="n">
        <f aca="false">MIN($G329)</f>
        <v>0</v>
      </c>
      <c r="Y329" s="1" t="n">
        <f aca="false">MIN($H329)</f>
        <v>1</v>
      </c>
      <c r="Z329" s="1" t="n">
        <f aca="false">MIN($I329)</f>
        <v>4.661</v>
      </c>
      <c r="AA329" s="1" t="n">
        <f aca="false">MIN($J329)</f>
        <v>4.81</v>
      </c>
      <c r="AB329" s="1" t="n">
        <f aca="false">MIN($K329)</f>
        <v>0</v>
      </c>
      <c r="AC329" s="1" t="n">
        <f aca="false">MIN($M329)</f>
        <v>1109669</v>
      </c>
      <c r="AD329" s="1" t="n">
        <f aca="false">MIN($N329)</f>
        <v>0.05</v>
      </c>
      <c r="AE329" s="1" t="n">
        <f aca="false">MIN($P329)</f>
        <v>4.81</v>
      </c>
      <c r="AF329" s="1" t="n">
        <f aca="false">MIN($Q329)</f>
        <v>0</v>
      </c>
      <c r="AG329" s="1" t="n">
        <f aca="false">MIN($R329)</f>
        <v>406372</v>
      </c>
      <c r="AH329" s="1" t="n">
        <f aca="false">MEDIAN($B329)</f>
        <v>1941</v>
      </c>
      <c r="AI329" s="1" t="n">
        <f aca="false">MEDIAN($C329)</f>
        <v>0</v>
      </c>
      <c r="AJ329" s="1" t="n">
        <f aca="false">MEDIAN($D329)</f>
        <v>654703</v>
      </c>
      <c r="AK329" s="1" t="n">
        <f aca="false">MEDIAN($E329)</f>
        <v>0</v>
      </c>
      <c r="AL329" s="1" t="n">
        <f aca="false">MEDIAN($F329)</f>
        <v>407</v>
      </c>
      <c r="AM329" s="1" t="n">
        <f aca="false">MEDIAN($G329)</f>
        <v>0</v>
      </c>
      <c r="AN329" s="1" t="n">
        <f aca="false">MEDIAN($H329)</f>
        <v>1</v>
      </c>
      <c r="AO329" s="1" t="n">
        <f aca="false">MEDIAN($I329)</f>
        <v>4.661</v>
      </c>
      <c r="AP329" s="1" t="n">
        <f aca="false">MEDIAN($J329)</f>
        <v>4.81</v>
      </c>
      <c r="AQ329" s="1" t="n">
        <f aca="false">MEDIAN($K329)</f>
        <v>0</v>
      </c>
      <c r="AR329" s="1" t="n">
        <f aca="false">MEDIAN($M329)</f>
        <v>1109669</v>
      </c>
      <c r="AS329" s="1" t="n">
        <f aca="false">MEDIAN($N329)</f>
        <v>0.05</v>
      </c>
      <c r="AT329" s="1" t="n">
        <f aca="false">MEDIAN($P329)</f>
        <v>4.81</v>
      </c>
      <c r="AU329" s="1" t="n">
        <f aca="false">MEDIAN($Q329)</f>
        <v>0</v>
      </c>
      <c r="AV329" s="1" t="n">
        <f aca="false">MEDIAN($R329)</f>
        <v>406372</v>
      </c>
      <c r="AW329" s="1" t="n">
        <f aca="false">MAX($B329)</f>
        <v>1941</v>
      </c>
      <c r="AX329" s="1" t="n">
        <f aca="false">MAX($C329)</f>
        <v>0</v>
      </c>
      <c r="AY329" s="1" t="n">
        <f aca="false">MAX($D329)</f>
        <v>654703</v>
      </c>
      <c r="AZ329" s="1" t="n">
        <f aca="false">MAX($E329)</f>
        <v>0</v>
      </c>
      <c r="BA329" s="1" t="n">
        <f aca="false">MAX($F329)</f>
        <v>407</v>
      </c>
      <c r="BB329" s="1" t="n">
        <f aca="false">MAX($G329)</f>
        <v>0</v>
      </c>
      <c r="BC329" s="1" t="n">
        <f aca="false">MAX($H329)</f>
        <v>1</v>
      </c>
      <c r="BD329" s="1" t="n">
        <f aca="false">MAX($I329)</f>
        <v>4.661</v>
      </c>
      <c r="BE329" s="1" t="n">
        <f aca="false">MAX($J329)</f>
        <v>4.81</v>
      </c>
      <c r="BF329" s="1" t="n">
        <f aca="false">MAX($K329)</f>
        <v>0</v>
      </c>
      <c r="BG329" s="1" t="n">
        <f aca="false">MAX($M329)</f>
        <v>1109669</v>
      </c>
      <c r="BH329" s="1" t="n">
        <f aca="false">MAX($N329)</f>
        <v>0.05</v>
      </c>
      <c r="BI329" s="1" t="n">
        <f aca="false">MAX($P329)</f>
        <v>4.81</v>
      </c>
      <c r="BJ329" s="1" t="n">
        <f aca="false">MAX($Q329)</f>
        <v>0</v>
      </c>
      <c r="BK329" s="1" t="n">
        <f aca="false">MAX($R329)</f>
        <v>406372</v>
      </c>
    </row>
    <row r="330" customFormat="false" ht="15" hidden="false" customHeight="false" outlineLevel="0" collapsed="false">
      <c r="A330" s="1" t="s">
        <v>347</v>
      </c>
      <c r="B330" s="1" t="n">
        <f aca="false" t="array" ref="B330:B330">_xlfn.SWITCH($A$2,"average", AVERAGE(Instances!B330:B330),"median", MEDIAN(Instances!B330:B330),"min", MIN(Instances!B330:B330),"max", MAX(Instances!B330:B330),"diff", MAX(Instances!B330:B330)-MIN(Instances!B330:B330))</f>
        <v>1844</v>
      </c>
      <c r="C330" s="1" t="n">
        <f aca="false" t="array" ref="C330:C330">_xlfn.SWITCH($A$2,"average", AVERAGE(Instances!C330:C330),"median", MEDIAN(Instances!C330:C330),"min", MIN(Instances!C330:C330),"max", MAX(Instances!C330:C330),"diff", MAX(Instances!C330:C330)-MIN(Instances!C330:C330))</f>
        <v>0</v>
      </c>
      <c r="D330" s="1" t="n">
        <f aca="false" t="array" ref="D330:D330">_xlfn.SWITCH($A$2,"average", AVERAGE(Instances!D330:D330),"median", MEDIAN(Instances!D330:D330),"min", MIN(Instances!D330:D330),"max", MAX(Instances!D330:D330),"diff", MAX(Instances!D330:D330)-MIN(Instances!D330:D330))</f>
        <v>824465</v>
      </c>
      <c r="E330" s="1" t="n">
        <f aca="false" t="array" ref="E330:E330">_xlfn.SWITCH($A$2,"average", AVERAGE(Instances!E330:E330),"median", MEDIAN(Instances!E330:E330),"min", MIN(Instances!E330:E330),"max", MAX(Instances!E330:E330),"diff", MAX(Instances!E330:E330)-MIN(Instances!E330:E330))</f>
        <v>0</v>
      </c>
      <c r="F330" s="1" t="n">
        <f aca="false" t="array" ref="F330:F330">_xlfn.SWITCH($A$2,"average", AVERAGE(Instances!F330:F330),"median", MEDIAN(Instances!F330:F330),"min", MIN(Instances!F330:F330),"max", MAX(Instances!F330:F330),"diff", MAX(Instances!F330:F330)-MIN(Instances!F330:F330))</f>
        <v>461</v>
      </c>
      <c r="G330" s="1" t="n">
        <f aca="false" t="array" ref="G330:G330">_xlfn.SWITCH($A$2,"average", AVERAGE(Instances!G330:G330),"median", MEDIAN(Instances!G330:G330),"min", MIN(Instances!G330:G330),"max", MAX(Instances!G330:G330),"diff", MAX(Instances!G330:G330)-MIN(Instances!G330:G330))</f>
        <v>0</v>
      </c>
      <c r="H330" s="1" t="n">
        <f aca="false" t="array" ref="H330:H330">_xlfn.SWITCH($A$2,"average", AVERAGE(Instances!H330:H330),"median", MEDIAN(Instances!H330:H330),"min", MIN(Instances!H330:H330),"max", MAX(Instances!H330:H330),"diff", MAX(Instances!H330:H330)-MIN(Instances!H330:H330))</f>
        <v>1</v>
      </c>
      <c r="I330" s="1" t="n">
        <f aca="false" t="array" ref="I330:I330">_xlfn.SWITCH($A$2,"average", AVERAGE(Instances!I330:I330),"median", MEDIAN(Instances!I330:I330),"min", MIN(Instances!I330:I330),"max", MAX(Instances!I330:I330),"diff", MAX(Instances!I330:I330)-MIN(Instances!I330:I330))</f>
        <v>5.29</v>
      </c>
      <c r="J330" s="1" t="n">
        <f aca="false" t="array" ref="J330:J330">_xlfn.SWITCH($A$2,"average", AVERAGE(Instances!J330:J330),"median", MEDIAN(Instances!J330:J330),"min", MIN(Instances!J330:J330),"max", MAX(Instances!J330:J330),"diff", MAX(Instances!J330:J330)-MIN(Instances!J330:J330))</f>
        <v>5.45</v>
      </c>
      <c r="K330" s="1" t="n">
        <f aca="false" t="array" ref="K330:K330">_xlfn.SWITCH($A$2,"average", AVERAGE(Instances!K330:K330),"median", MEDIAN(Instances!K330:K330),"min", MIN(Instances!K330:K330),"max", MAX(Instances!K330:K330),"diff", MAX(Instances!K330:K330)-MIN(Instances!K330:K330))</f>
        <v>0</v>
      </c>
      <c r="L330" s="1"/>
      <c r="M330" s="1" t="n">
        <f aca="false" t="array" ref="M330:M330">_xlfn.SWITCH($A$2,"average", AVERAGE(Instances!M330:M330),"median", MEDIAN(Instances!M330:M330),"min", MIN(Instances!M330:M330),"max", MAX(Instances!M330:M330),"diff", MAX(Instances!M330:M330)-MIN(Instances!M330:M330))</f>
        <v>1265730</v>
      </c>
      <c r="N330" s="1" t="n">
        <f aca="false" t="array" ref="N330:N330">_xlfn.SWITCH($A$2,"average", AVERAGE(Instances!N330:N330),"median", MEDIAN(Instances!N330:N330),"min", MIN(Instances!N330:N330),"max", MAX(Instances!N330:N330),"diff", MAX(Instances!N330:N330)-MIN(Instances!N330:N330))</f>
        <v>0.05</v>
      </c>
      <c r="O330" s="1"/>
      <c r="P330" s="1" t="n">
        <f aca="false" t="array" ref="P330:P330">_xlfn.SWITCH($A$2,"average", AVERAGE(Instances!P330:P330),"median", MEDIAN(Instances!P330:P330),"min", MIN(Instances!P330:P330),"max", MAX(Instances!P330:P330),"diff", MAX(Instances!P330:P330)-MIN(Instances!P330:P330))</f>
        <v>5.45</v>
      </c>
      <c r="Q330" s="1" t="n">
        <f aca="false" t="array" ref="Q330:Q330">_xlfn.SWITCH($A$2,"average", AVERAGE(Instances!Q330:Q330),"median", MEDIAN(Instances!Q330:Q330),"min", MIN(Instances!Q330:Q330),"max", MAX(Instances!Q330:Q330),"diff", MAX(Instances!Q330:Q330)-MIN(Instances!Q330:Q330))</f>
        <v>0</v>
      </c>
      <c r="R330" s="1" t="n">
        <f aca="false" t="array" ref="R330:R330">_xlfn.SWITCH($A$2,"average", AVERAGE(Instances!R330:R330),"median", MEDIAN(Instances!R330:R330),"min", MIN(Instances!R330:R330),"max", MAX(Instances!R330:R330),"diff", MAX(Instances!R330:R330)-MIN(Instances!R330:R330))</f>
        <v>457438</v>
      </c>
      <c r="S330" s="1" t="n">
        <f aca="false">MIN($B330)</f>
        <v>1844</v>
      </c>
      <c r="T330" s="1" t="n">
        <f aca="false">MIN($C330)</f>
        <v>0</v>
      </c>
      <c r="U330" s="1" t="n">
        <f aca="false">MIN($D330)</f>
        <v>824465</v>
      </c>
      <c r="V330" s="1" t="n">
        <f aca="false">MIN($E330)</f>
        <v>0</v>
      </c>
      <c r="W330" s="1" t="n">
        <f aca="false">MIN($F330)</f>
        <v>461</v>
      </c>
      <c r="X330" s="1" t="n">
        <f aca="false">MIN($G330)</f>
        <v>0</v>
      </c>
      <c r="Y330" s="1" t="n">
        <f aca="false">MIN($H330)</f>
        <v>1</v>
      </c>
      <c r="Z330" s="1" t="n">
        <f aca="false">MIN($I330)</f>
        <v>5.29</v>
      </c>
      <c r="AA330" s="1" t="n">
        <f aca="false">MIN($J330)</f>
        <v>5.45</v>
      </c>
      <c r="AB330" s="1" t="n">
        <f aca="false">MIN($K330)</f>
        <v>0</v>
      </c>
      <c r="AC330" s="1" t="n">
        <f aca="false">MIN($M330)</f>
        <v>1265730</v>
      </c>
      <c r="AD330" s="1" t="n">
        <f aca="false">MIN($N330)</f>
        <v>0.05</v>
      </c>
      <c r="AE330" s="1" t="n">
        <f aca="false">MIN($P330)</f>
        <v>5.45</v>
      </c>
      <c r="AF330" s="1" t="n">
        <f aca="false">MIN($Q330)</f>
        <v>0</v>
      </c>
      <c r="AG330" s="1" t="n">
        <f aca="false">MIN($R330)</f>
        <v>457438</v>
      </c>
      <c r="AH330" s="1" t="n">
        <f aca="false">MEDIAN($B330)</f>
        <v>1844</v>
      </c>
      <c r="AI330" s="1" t="n">
        <f aca="false">MEDIAN($C330)</f>
        <v>0</v>
      </c>
      <c r="AJ330" s="1" t="n">
        <f aca="false">MEDIAN($D330)</f>
        <v>824465</v>
      </c>
      <c r="AK330" s="1" t="n">
        <f aca="false">MEDIAN($E330)</f>
        <v>0</v>
      </c>
      <c r="AL330" s="1" t="n">
        <f aca="false">MEDIAN($F330)</f>
        <v>461</v>
      </c>
      <c r="AM330" s="1" t="n">
        <f aca="false">MEDIAN($G330)</f>
        <v>0</v>
      </c>
      <c r="AN330" s="1" t="n">
        <f aca="false">MEDIAN($H330)</f>
        <v>1</v>
      </c>
      <c r="AO330" s="1" t="n">
        <f aca="false">MEDIAN($I330)</f>
        <v>5.29</v>
      </c>
      <c r="AP330" s="1" t="n">
        <f aca="false">MEDIAN($J330)</f>
        <v>5.45</v>
      </c>
      <c r="AQ330" s="1" t="n">
        <f aca="false">MEDIAN($K330)</f>
        <v>0</v>
      </c>
      <c r="AR330" s="1" t="n">
        <f aca="false">MEDIAN($M330)</f>
        <v>1265730</v>
      </c>
      <c r="AS330" s="1" t="n">
        <f aca="false">MEDIAN($N330)</f>
        <v>0.05</v>
      </c>
      <c r="AT330" s="1" t="n">
        <f aca="false">MEDIAN($P330)</f>
        <v>5.45</v>
      </c>
      <c r="AU330" s="1" t="n">
        <f aca="false">MEDIAN($Q330)</f>
        <v>0</v>
      </c>
      <c r="AV330" s="1" t="n">
        <f aca="false">MEDIAN($R330)</f>
        <v>457438</v>
      </c>
      <c r="AW330" s="1" t="n">
        <f aca="false">MAX($B330)</f>
        <v>1844</v>
      </c>
      <c r="AX330" s="1" t="n">
        <f aca="false">MAX($C330)</f>
        <v>0</v>
      </c>
      <c r="AY330" s="1" t="n">
        <f aca="false">MAX($D330)</f>
        <v>824465</v>
      </c>
      <c r="AZ330" s="1" t="n">
        <f aca="false">MAX($E330)</f>
        <v>0</v>
      </c>
      <c r="BA330" s="1" t="n">
        <f aca="false">MAX($F330)</f>
        <v>461</v>
      </c>
      <c r="BB330" s="1" t="n">
        <f aca="false">MAX($G330)</f>
        <v>0</v>
      </c>
      <c r="BC330" s="1" t="n">
        <f aca="false">MAX($H330)</f>
        <v>1</v>
      </c>
      <c r="BD330" s="1" t="n">
        <f aca="false">MAX($I330)</f>
        <v>5.29</v>
      </c>
      <c r="BE330" s="1" t="n">
        <f aca="false">MAX($J330)</f>
        <v>5.45</v>
      </c>
      <c r="BF330" s="1" t="n">
        <f aca="false">MAX($K330)</f>
        <v>0</v>
      </c>
      <c r="BG330" s="1" t="n">
        <f aca="false">MAX($M330)</f>
        <v>1265730</v>
      </c>
      <c r="BH330" s="1" t="n">
        <f aca="false">MAX($N330)</f>
        <v>0.05</v>
      </c>
      <c r="BI330" s="1" t="n">
        <f aca="false">MAX($P330)</f>
        <v>5.45</v>
      </c>
      <c r="BJ330" s="1" t="n">
        <f aca="false">MAX($Q330)</f>
        <v>0</v>
      </c>
      <c r="BK330" s="1" t="n">
        <f aca="false">MAX($R330)</f>
        <v>457438</v>
      </c>
    </row>
    <row r="331" customFormat="false" ht="15" hidden="false" customHeight="false" outlineLevel="0" collapsed="false">
      <c r="A331" s="1" t="s">
        <v>348</v>
      </c>
      <c r="B331" s="1" t="n">
        <f aca="false" t="array" ref="B331:B331">_xlfn.SWITCH($A$2,"average", AVERAGE(Instances!B331:B331),"median", MEDIAN(Instances!B331:B331),"min", MIN(Instances!B331:B331),"max", MAX(Instances!B331:B331),"diff", MAX(Instances!B331:B331)-MIN(Instances!B331:B331))</f>
        <v>1175</v>
      </c>
      <c r="C331" s="1" t="n">
        <f aca="false" t="array" ref="C331:C331">_xlfn.SWITCH($A$2,"average", AVERAGE(Instances!C331:C331),"median", MEDIAN(Instances!C331:C331),"min", MIN(Instances!C331:C331),"max", MAX(Instances!C331:C331),"diff", MAX(Instances!C331:C331)-MIN(Instances!C331:C331))</f>
        <v>0</v>
      </c>
      <c r="D331" s="1" t="n">
        <f aca="false" t="array" ref="D331:D331">_xlfn.SWITCH($A$2,"average", AVERAGE(Instances!D331:D331),"median", MEDIAN(Instances!D331:D331),"min", MIN(Instances!D331:D331),"max", MAX(Instances!D331:D331),"diff", MAX(Instances!D331:D331)-MIN(Instances!D331:D331))</f>
        <v>283221</v>
      </c>
      <c r="E331" s="1" t="n">
        <f aca="false" t="array" ref="E331:E331">_xlfn.SWITCH($A$2,"average", AVERAGE(Instances!E331:E331),"median", MEDIAN(Instances!E331:E331),"min", MIN(Instances!E331:E331),"max", MAX(Instances!E331:E331),"diff", MAX(Instances!E331:E331)-MIN(Instances!E331:E331))</f>
        <v>0</v>
      </c>
      <c r="F331" s="1" t="n">
        <f aca="false" t="array" ref="F331:F331">_xlfn.SWITCH($A$2,"average", AVERAGE(Instances!F331:F331),"median", MEDIAN(Instances!F331:F331),"min", MIN(Instances!F331:F331),"max", MAX(Instances!F331:F331),"diff", MAX(Instances!F331:F331)-MIN(Instances!F331:F331))</f>
        <v>254</v>
      </c>
      <c r="G331" s="1" t="n">
        <f aca="false" t="array" ref="G331:G331">_xlfn.SWITCH($A$2,"average", AVERAGE(Instances!G331:G331),"median", MEDIAN(Instances!G331:G331),"min", MIN(Instances!G331:G331),"max", MAX(Instances!G331:G331),"diff", MAX(Instances!G331:G331)-MIN(Instances!G331:G331))</f>
        <v>0</v>
      </c>
      <c r="H331" s="1" t="n">
        <f aca="false" t="array" ref="H331:H331">_xlfn.SWITCH($A$2,"average", AVERAGE(Instances!H331:H331),"median", MEDIAN(Instances!H331:H331),"min", MIN(Instances!H331:H331),"max", MAX(Instances!H331:H331),"diff", MAX(Instances!H331:H331)-MIN(Instances!H331:H331))</f>
        <v>1</v>
      </c>
      <c r="I331" s="1" t="n">
        <f aca="false" t="array" ref="I331:I331">_xlfn.SWITCH($A$2,"average", AVERAGE(Instances!I331:I331),"median", MEDIAN(Instances!I331:I331),"min", MIN(Instances!I331:I331),"max", MAX(Instances!I331:I331),"diff", MAX(Instances!I331:I331)-MIN(Instances!I331:I331))</f>
        <v>2.911</v>
      </c>
      <c r="J331" s="1" t="n">
        <f aca="false" t="array" ref="J331:J331">_xlfn.SWITCH($A$2,"average", AVERAGE(Instances!J331:J331),"median", MEDIAN(Instances!J331:J331),"min", MIN(Instances!J331:J331),"max", MAX(Instances!J331:J331),"diff", MAX(Instances!J331:J331)-MIN(Instances!J331:J331))</f>
        <v>3</v>
      </c>
      <c r="K331" s="1" t="n">
        <f aca="false" t="array" ref="K331:K331">_xlfn.SWITCH($A$2,"average", AVERAGE(Instances!K331:K331),"median", MEDIAN(Instances!K331:K331),"min", MIN(Instances!K331:K331),"max", MAX(Instances!K331:K331),"diff", MAX(Instances!K331:K331)-MIN(Instances!K331:K331))</f>
        <v>0</v>
      </c>
      <c r="L331" s="1"/>
      <c r="M331" s="1" t="n">
        <f aca="false" t="array" ref="M331:M331">_xlfn.SWITCH($A$2,"average", AVERAGE(Instances!M331:M331),"median", MEDIAN(Instances!M331:M331),"min", MIN(Instances!M331:M331),"max", MAX(Instances!M331:M331),"diff", MAX(Instances!M331:M331)-MIN(Instances!M331:M331))</f>
        <v>651209</v>
      </c>
      <c r="N331" s="1" t="n">
        <f aca="false" t="array" ref="N331:N331">_xlfn.SWITCH($A$2,"average", AVERAGE(Instances!N331:N331),"median", MEDIAN(Instances!N331:N331),"min", MIN(Instances!N331:N331),"max", MAX(Instances!N331:N331),"diff", MAX(Instances!N331:N331)-MIN(Instances!N331:N331))</f>
        <v>0.02</v>
      </c>
      <c r="O331" s="1"/>
      <c r="P331" s="1" t="n">
        <f aca="false" t="array" ref="P331:P331">_xlfn.SWITCH($A$2,"average", AVERAGE(Instances!P331:P331),"median", MEDIAN(Instances!P331:P331),"min", MIN(Instances!P331:P331),"max", MAX(Instances!P331:P331),"diff", MAX(Instances!P331:P331)-MIN(Instances!P331:P331))</f>
        <v>3</v>
      </c>
      <c r="Q331" s="1" t="n">
        <f aca="false" t="array" ref="Q331:Q331">_xlfn.SWITCH($A$2,"average", AVERAGE(Instances!Q331:Q331),"median", MEDIAN(Instances!Q331:Q331),"min", MIN(Instances!Q331:Q331),"max", MAX(Instances!Q331:Q331),"diff", MAX(Instances!Q331:Q331)-MIN(Instances!Q331:Q331))</f>
        <v>0</v>
      </c>
      <c r="R331" s="1" t="n">
        <f aca="false" t="array" ref="R331:R331">_xlfn.SWITCH($A$2,"average", AVERAGE(Instances!R331:R331),"median", MEDIAN(Instances!R331:R331),"min", MIN(Instances!R331:R331),"max", MAX(Instances!R331:R331),"diff", MAX(Instances!R331:R331)-MIN(Instances!R331:R331))</f>
        <v>247605</v>
      </c>
      <c r="S331" s="1" t="n">
        <f aca="false">MIN($B331)</f>
        <v>1175</v>
      </c>
      <c r="T331" s="1" t="n">
        <f aca="false">MIN($C331)</f>
        <v>0</v>
      </c>
      <c r="U331" s="1" t="n">
        <f aca="false">MIN($D331)</f>
        <v>283221</v>
      </c>
      <c r="V331" s="1" t="n">
        <f aca="false">MIN($E331)</f>
        <v>0</v>
      </c>
      <c r="W331" s="1" t="n">
        <f aca="false">MIN($F331)</f>
        <v>254</v>
      </c>
      <c r="X331" s="1" t="n">
        <f aca="false">MIN($G331)</f>
        <v>0</v>
      </c>
      <c r="Y331" s="1" t="n">
        <f aca="false">MIN($H331)</f>
        <v>1</v>
      </c>
      <c r="Z331" s="1" t="n">
        <f aca="false">MIN($I331)</f>
        <v>2.911</v>
      </c>
      <c r="AA331" s="1" t="n">
        <f aca="false">MIN($J331)</f>
        <v>3</v>
      </c>
      <c r="AB331" s="1" t="n">
        <f aca="false">MIN($K331)</f>
        <v>0</v>
      </c>
      <c r="AC331" s="1" t="n">
        <f aca="false">MIN($M331)</f>
        <v>651209</v>
      </c>
      <c r="AD331" s="1" t="n">
        <f aca="false">MIN($N331)</f>
        <v>0.02</v>
      </c>
      <c r="AE331" s="1" t="n">
        <f aca="false">MIN($P331)</f>
        <v>3</v>
      </c>
      <c r="AF331" s="1" t="n">
        <f aca="false">MIN($Q331)</f>
        <v>0</v>
      </c>
      <c r="AG331" s="1" t="n">
        <f aca="false">MIN($R331)</f>
        <v>247605</v>
      </c>
      <c r="AH331" s="1" t="n">
        <f aca="false">MEDIAN($B331)</f>
        <v>1175</v>
      </c>
      <c r="AI331" s="1" t="n">
        <f aca="false">MEDIAN($C331)</f>
        <v>0</v>
      </c>
      <c r="AJ331" s="1" t="n">
        <f aca="false">MEDIAN($D331)</f>
        <v>283221</v>
      </c>
      <c r="AK331" s="1" t="n">
        <f aca="false">MEDIAN($E331)</f>
        <v>0</v>
      </c>
      <c r="AL331" s="1" t="n">
        <f aca="false">MEDIAN($F331)</f>
        <v>254</v>
      </c>
      <c r="AM331" s="1" t="n">
        <f aca="false">MEDIAN($G331)</f>
        <v>0</v>
      </c>
      <c r="AN331" s="1" t="n">
        <f aca="false">MEDIAN($H331)</f>
        <v>1</v>
      </c>
      <c r="AO331" s="1" t="n">
        <f aca="false">MEDIAN($I331)</f>
        <v>2.911</v>
      </c>
      <c r="AP331" s="1" t="n">
        <f aca="false">MEDIAN($J331)</f>
        <v>3</v>
      </c>
      <c r="AQ331" s="1" t="n">
        <f aca="false">MEDIAN($K331)</f>
        <v>0</v>
      </c>
      <c r="AR331" s="1" t="n">
        <f aca="false">MEDIAN($M331)</f>
        <v>651209</v>
      </c>
      <c r="AS331" s="1" t="n">
        <f aca="false">MEDIAN($N331)</f>
        <v>0.02</v>
      </c>
      <c r="AT331" s="1" t="n">
        <f aca="false">MEDIAN($P331)</f>
        <v>3</v>
      </c>
      <c r="AU331" s="1" t="n">
        <f aca="false">MEDIAN($Q331)</f>
        <v>0</v>
      </c>
      <c r="AV331" s="1" t="n">
        <f aca="false">MEDIAN($R331)</f>
        <v>247605</v>
      </c>
      <c r="AW331" s="1" t="n">
        <f aca="false">MAX($B331)</f>
        <v>1175</v>
      </c>
      <c r="AX331" s="1" t="n">
        <f aca="false">MAX($C331)</f>
        <v>0</v>
      </c>
      <c r="AY331" s="1" t="n">
        <f aca="false">MAX($D331)</f>
        <v>283221</v>
      </c>
      <c r="AZ331" s="1" t="n">
        <f aca="false">MAX($E331)</f>
        <v>0</v>
      </c>
      <c r="BA331" s="1" t="n">
        <f aca="false">MAX($F331)</f>
        <v>254</v>
      </c>
      <c r="BB331" s="1" t="n">
        <f aca="false">MAX($G331)</f>
        <v>0</v>
      </c>
      <c r="BC331" s="1" t="n">
        <f aca="false">MAX($H331)</f>
        <v>1</v>
      </c>
      <c r="BD331" s="1" t="n">
        <f aca="false">MAX($I331)</f>
        <v>2.911</v>
      </c>
      <c r="BE331" s="1" t="n">
        <f aca="false">MAX($J331)</f>
        <v>3</v>
      </c>
      <c r="BF331" s="1" t="n">
        <f aca="false">MAX($K331)</f>
        <v>0</v>
      </c>
      <c r="BG331" s="1" t="n">
        <f aca="false">MAX($M331)</f>
        <v>651209</v>
      </c>
      <c r="BH331" s="1" t="n">
        <f aca="false">MAX($N331)</f>
        <v>0.02</v>
      </c>
      <c r="BI331" s="1" t="n">
        <f aca="false">MAX($P331)</f>
        <v>3</v>
      </c>
      <c r="BJ331" s="1" t="n">
        <f aca="false">MAX($Q331)</f>
        <v>0</v>
      </c>
      <c r="BK331" s="1" t="n">
        <f aca="false">MAX($R331)</f>
        <v>247605</v>
      </c>
    </row>
    <row r="332" customFormat="false" ht="15" hidden="false" customHeight="false" outlineLevel="0" collapsed="false">
      <c r="A332" s="1" t="s">
        <v>349</v>
      </c>
      <c r="B332" s="1" t="n">
        <f aca="false" t="array" ref="B332:B332">_xlfn.SWITCH($A$2,"average", AVERAGE(Instances!B332:B332),"median", MEDIAN(Instances!B332:B332),"min", MIN(Instances!B332:B332),"max", MAX(Instances!B332:B332),"diff", MAX(Instances!B332:B332)-MIN(Instances!B332:B332))</f>
        <v>1128</v>
      </c>
      <c r="C332" s="1" t="n">
        <f aca="false" t="array" ref="C332:C332">_xlfn.SWITCH($A$2,"average", AVERAGE(Instances!C332:C332),"median", MEDIAN(Instances!C332:C332),"min", MIN(Instances!C332:C332),"max", MAX(Instances!C332:C332),"diff", MAX(Instances!C332:C332)-MIN(Instances!C332:C332))</f>
        <v>0</v>
      </c>
      <c r="D332" s="1" t="n">
        <f aca="false" t="array" ref="D332:D332">_xlfn.SWITCH($A$2,"average", AVERAGE(Instances!D332:D332),"median", MEDIAN(Instances!D332:D332),"min", MIN(Instances!D332:D332),"max", MAX(Instances!D332:D332),"diff", MAX(Instances!D332:D332)-MIN(Instances!D332:D332))</f>
        <v>313922</v>
      </c>
      <c r="E332" s="1" t="n">
        <f aca="false" t="array" ref="E332:E332">_xlfn.SWITCH($A$2,"average", AVERAGE(Instances!E332:E332),"median", MEDIAN(Instances!E332:E332),"min", MIN(Instances!E332:E332),"max", MAX(Instances!E332:E332),"diff", MAX(Instances!E332:E332)-MIN(Instances!E332:E332))</f>
        <v>0</v>
      </c>
      <c r="F332" s="1" t="n">
        <f aca="false" t="array" ref="F332:F332">_xlfn.SWITCH($A$2,"average", AVERAGE(Instances!F332:F332),"median", MEDIAN(Instances!F332:F332),"min", MIN(Instances!F332:F332),"max", MAX(Instances!F332:F332),"diff", MAX(Instances!F332:F332)-MIN(Instances!F332:F332))</f>
        <v>237</v>
      </c>
      <c r="G332" s="1" t="n">
        <f aca="false" t="array" ref="G332:G332">_xlfn.SWITCH($A$2,"average", AVERAGE(Instances!G332:G332),"median", MEDIAN(Instances!G332:G332),"min", MIN(Instances!G332:G332),"max", MAX(Instances!G332:G332),"diff", MAX(Instances!G332:G332)-MIN(Instances!G332:G332))</f>
        <v>0</v>
      </c>
      <c r="H332" s="1" t="n">
        <f aca="false" t="array" ref="H332:H332">_xlfn.SWITCH($A$2,"average", AVERAGE(Instances!H332:H332),"median", MEDIAN(Instances!H332:H332),"min", MIN(Instances!H332:H332),"max", MAX(Instances!H332:H332),"diff", MAX(Instances!H332:H332)-MIN(Instances!H332:H332))</f>
        <v>1</v>
      </c>
      <c r="I332" s="1" t="n">
        <f aca="false" t="array" ref="I332:I332">_xlfn.SWITCH($A$2,"average", AVERAGE(Instances!I332:I332),"median", MEDIAN(Instances!I332:I332),"min", MIN(Instances!I332:I332),"max", MAX(Instances!I332:I332),"diff", MAX(Instances!I332:I332)-MIN(Instances!I332:I332))</f>
        <v>2.732</v>
      </c>
      <c r="J332" s="1" t="n">
        <f aca="false" t="array" ref="J332:J332">_xlfn.SWITCH($A$2,"average", AVERAGE(Instances!J332:J332),"median", MEDIAN(Instances!J332:J332),"min", MIN(Instances!J332:J332),"max", MAX(Instances!J332:J332),"diff", MAX(Instances!J332:J332)-MIN(Instances!J332:J332))</f>
        <v>2.82</v>
      </c>
      <c r="K332" s="1" t="n">
        <f aca="false" t="array" ref="K332:K332">_xlfn.SWITCH($A$2,"average", AVERAGE(Instances!K332:K332),"median", MEDIAN(Instances!K332:K332),"min", MIN(Instances!K332:K332),"max", MAX(Instances!K332:K332),"diff", MAX(Instances!K332:K332)-MIN(Instances!K332:K332))</f>
        <v>0</v>
      </c>
      <c r="L332" s="1"/>
      <c r="M332" s="1" t="n">
        <f aca="false" t="array" ref="M332:M332">_xlfn.SWITCH($A$2,"average", AVERAGE(Instances!M332:M332),"median", MEDIAN(Instances!M332:M332),"min", MIN(Instances!M332:M332),"max", MAX(Instances!M332:M332),"diff", MAX(Instances!M332:M332)-MIN(Instances!M332:M332))</f>
        <v>595265</v>
      </c>
      <c r="N332" s="1" t="n">
        <f aca="false" t="array" ref="N332:N332">_xlfn.SWITCH($A$2,"average", AVERAGE(Instances!N332:N332),"median", MEDIAN(Instances!N332:N332),"min", MIN(Instances!N332:N332),"max", MAX(Instances!N332:N332),"diff", MAX(Instances!N332:N332)-MIN(Instances!N332:N332))</f>
        <v>0.03</v>
      </c>
      <c r="O332" s="1"/>
      <c r="P332" s="1" t="n">
        <f aca="false" t="array" ref="P332:P332">_xlfn.SWITCH($A$2,"average", AVERAGE(Instances!P332:P332),"median", MEDIAN(Instances!P332:P332),"min", MIN(Instances!P332:P332),"max", MAX(Instances!P332:P332),"diff", MAX(Instances!P332:P332)-MIN(Instances!P332:P332))</f>
        <v>2.82</v>
      </c>
      <c r="Q332" s="1" t="n">
        <f aca="false" t="array" ref="Q332:Q332">_xlfn.SWITCH($A$2,"average", AVERAGE(Instances!Q332:Q332),"median", MEDIAN(Instances!Q332:Q332),"min", MIN(Instances!Q332:Q332),"max", MAX(Instances!Q332:Q332),"diff", MAX(Instances!Q332:Q332)-MIN(Instances!Q332:Q332))</f>
        <v>0</v>
      </c>
      <c r="R332" s="1" t="n">
        <f aca="false" t="array" ref="R332:R332">_xlfn.SWITCH($A$2,"average", AVERAGE(Instances!R332:R332),"median", MEDIAN(Instances!R332:R332),"min", MIN(Instances!R332:R332),"max", MAX(Instances!R332:R332),"diff", MAX(Instances!R332:R332)-MIN(Instances!R332:R332))</f>
        <v>229948</v>
      </c>
      <c r="S332" s="1" t="n">
        <f aca="false">MIN($B332)</f>
        <v>1128</v>
      </c>
      <c r="T332" s="1" t="n">
        <f aca="false">MIN($C332)</f>
        <v>0</v>
      </c>
      <c r="U332" s="1" t="n">
        <f aca="false">MIN($D332)</f>
        <v>313922</v>
      </c>
      <c r="V332" s="1" t="n">
        <f aca="false">MIN($E332)</f>
        <v>0</v>
      </c>
      <c r="W332" s="1" t="n">
        <f aca="false">MIN($F332)</f>
        <v>237</v>
      </c>
      <c r="X332" s="1" t="n">
        <f aca="false">MIN($G332)</f>
        <v>0</v>
      </c>
      <c r="Y332" s="1" t="n">
        <f aca="false">MIN($H332)</f>
        <v>1</v>
      </c>
      <c r="Z332" s="1" t="n">
        <f aca="false">MIN($I332)</f>
        <v>2.732</v>
      </c>
      <c r="AA332" s="1" t="n">
        <f aca="false">MIN($J332)</f>
        <v>2.82</v>
      </c>
      <c r="AB332" s="1" t="n">
        <f aca="false">MIN($K332)</f>
        <v>0</v>
      </c>
      <c r="AC332" s="1" t="n">
        <f aca="false">MIN($M332)</f>
        <v>595265</v>
      </c>
      <c r="AD332" s="1" t="n">
        <f aca="false">MIN($N332)</f>
        <v>0.03</v>
      </c>
      <c r="AE332" s="1" t="n">
        <f aca="false">MIN($P332)</f>
        <v>2.82</v>
      </c>
      <c r="AF332" s="1" t="n">
        <f aca="false">MIN($Q332)</f>
        <v>0</v>
      </c>
      <c r="AG332" s="1" t="n">
        <f aca="false">MIN($R332)</f>
        <v>229948</v>
      </c>
      <c r="AH332" s="1" t="n">
        <f aca="false">MEDIAN($B332)</f>
        <v>1128</v>
      </c>
      <c r="AI332" s="1" t="n">
        <f aca="false">MEDIAN($C332)</f>
        <v>0</v>
      </c>
      <c r="AJ332" s="1" t="n">
        <f aca="false">MEDIAN($D332)</f>
        <v>313922</v>
      </c>
      <c r="AK332" s="1" t="n">
        <f aca="false">MEDIAN($E332)</f>
        <v>0</v>
      </c>
      <c r="AL332" s="1" t="n">
        <f aca="false">MEDIAN($F332)</f>
        <v>237</v>
      </c>
      <c r="AM332" s="1" t="n">
        <f aca="false">MEDIAN($G332)</f>
        <v>0</v>
      </c>
      <c r="AN332" s="1" t="n">
        <f aca="false">MEDIAN($H332)</f>
        <v>1</v>
      </c>
      <c r="AO332" s="1" t="n">
        <f aca="false">MEDIAN($I332)</f>
        <v>2.732</v>
      </c>
      <c r="AP332" s="1" t="n">
        <f aca="false">MEDIAN($J332)</f>
        <v>2.82</v>
      </c>
      <c r="AQ332" s="1" t="n">
        <f aca="false">MEDIAN($K332)</f>
        <v>0</v>
      </c>
      <c r="AR332" s="1" t="n">
        <f aca="false">MEDIAN($M332)</f>
        <v>595265</v>
      </c>
      <c r="AS332" s="1" t="n">
        <f aca="false">MEDIAN($N332)</f>
        <v>0.03</v>
      </c>
      <c r="AT332" s="1" t="n">
        <f aca="false">MEDIAN($P332)</f>
        <v>2.82</v>
      </c>
      <c r="AU332" s="1" t="n">
        <f aca="false">MEDIAN($Q332)</f>
        <v>0</v>
      </c>
      <c r="AV332" s="1" t="n">
        <f aca="false">MEDIAN($R332)</f>
        <v>229948</v>
      </c>
      <c r="AW332" s="1" t="n">
        <f aca="false">MAX($B332)</f>
        <v>1128</v>
      </c>
      <c r="AX332" s="1" t="n">
        <f aca="false">MAX($C332)</f>
        <v>0</v>
      </c>
      <c r="AY332" s="1" t="n">
        <f aca="false">MAX($D332)</f>
        <v>313922</v>
      </c>
      <c r="AZ332" s="1" t="n">
        <f aca="false">MAX($E332)</f>
        <v>0</v>
      </c>
      <c r="BA332" s="1" t="n">
        <f aca="false">MAX($F332)</f>
        <v>237</v>
      </c>
      <c r="BB332" s="1" t="n">
        <f aca="false">MAX($G332)</f>
        <v>0</v>
      </c>
      <c r="BC332" s="1" t="n">
        <f aca="false">MAX($H332)</f>
        <v>1</v>
      </c>
      <c r="BD332" s="1" t="n">
        <f aca="false">MAX($I332)</f>
        <v>2.732</v>
      </c>
      <c r="BE332" s="1" t="n">
        <f aca="false">MAX($J332)</f>
        <v>2.82</v>
      </c>
      <c r="BF332" s="1" t="n">
        <f aca="false">MAX($K332)</f>
        <v>0</v>
      </c>
      <c r="BG332" s="1" t="n">
        <f aca="false">MAX($M332)</f>
        <v>595265</v>
      </c>
      <c r="BH332" s="1" t="n">
        <f aca="false">MAX($N332)</f>
        <v>0.03</v>
      </c>
      <c r="BI332" s="1" t="n">
        <f aca="false">MAX($P332)</f>
        <v>2.82</v>
      </c>
      <c r="BJ332" s="1" t="n">
        <f aca="false">MAX($Q332)</f>
        <v>0</v>
      </c>
      <c r="BK332" s="1" t="n">
        <f aca="false">MAX($R332)</f>
        <v>229948</v>
      </c>
    </row>
    <row r="333" customFormat="false" ht="15" hidden="false" customHeight="false" outlineLevel="0" collapsed="false">
      <c r="A333" s="1" t="s">
        <v>350</v>
      </c>
      <c r="B333" s="1" t="n">
        <f aca="false" t="array" ref="B333:B333">_xlfn.SWITCH($A$2,"average", AVERAGE(Instances!B333:B333),"median", MEDIAN(Instances!B333:B333),"min", MIN(Instances!B333:B333),"max", MAX(Instances!B333:B333),"diff", MAX(Instances!B333:B333)-MIN(Instances!B333:B333))</f>
        <v>608</v>
      </c>
      <c r="C333" s="1" t="n">
        <f aca="false" t="array" ref="C333:C333">_xlfn.SWITCH($A$2,"average", AVERAGE(Instances!C333:C333),"median", MEDIAN(Instances!C333:C333),"min", MIN(Instances!C333:C333),"max", MAX(Instances!C333:C333),"diff", MAX(Instances!C333:C333)-MIN(Instances!C333:C333))</f>
        <v>0</v>
      </c>
      <c r="D333" s="1" t="n">
        <f aca="false" t="array" ref="D333:D333">_xlfn.SWITCH($A$2,"average", AVERAGE(Instances!D333:D333),"median", MEDIAN(Instances!D333:D333),"min", MIN(Instances!D333:D333),"max", MAX(Instances!D333:D333),"diff", MAX(Instances!D333:D333)-MIN(Instances!D333:D333))</f>
        <v>424819</v>
      </c>
      <c r="E333" s="1" t="n">
        <f aca="false" t="array" ref="E333:E333">_xlfn.SWITCH($A$2,"average", AVERAGE(Instances!E333:E333),"median", MEDIAN(Instances!E333:E333),"min", MIN(Instances!E333:E333),"max", MAX(Instances!E333:E333),"diff", MAX(Instances!E333:E333)-MIN(Instances!E333:E333))</f>
        <v>0</v>
      </c>
      <c r="F333" s="1" t="n">
        <f aca="false" t="array" ref="F333:F333">_xlfn.SWITCH($A$2,"average", AVERAGE(Instances!F333:F333),"median", MEDIAN(Instances!F333:F333),"min", MIN(Instances!F333:F333),"max", MAX(Instances!F333:F333),"diff", MAX(Instances!F333:F333)-MIN(Instances!F333:F333))</f>
        <v>298</v>
      </c>
      <c r="G333" s="1" t="n">
        <f aca="false" t="array" ref="G333:G333">_xlfn.SWITCH($A$2,"average", AVERAGE(Instances!G333:G333),"median", MEDIAN(Instances!G333:G333),"min", MIN(Instances!G333:G333),"max", MAX(Instances!G333:G333),"diff", MAX(Instances!G333:G333)-MIN(Instances!G333:G333))</f>
        <v>0</v>
      </c>
      <c r="H333" s="1" t="n">
        <f aca="false" t="array" ref="H333:H333">_xlfn.SWITCH($A$2,"average", AVERAGE(Instances!H333:H333),"median", MEDIAN(Instances!H333:H333),"min", MIN(Instances!H333:H333),"max", MAX(Instances!H333:H333),"diff", MAX(Instances!H333:H333)-MIN(Instances!H333:H333))</f>
        <v>1</v>
      </c>
      <c r="I333" s="1" t="n">
        <f aca="false" t="array" ref="I333:I333">_xlfn.SWITCH($A$2,"average", AVERAGE(Instances!I333:I333),"median", MEDIAN(Instances!I333:I333),"min", MIN(Instances!I333:I333),"max", MAX(Instances!I333:I333),"diff", MAX(Instances!I333:I333)-MIN(Instances!I333:I333))</f>
        <v>3.503</v>
      </c>
      <c r="J333" s="1" t="n">
        <f aca="false" t="array" ref="J333:J333">_xlfn.SWITCH($A$2,"average", AVERAGE(Instances!J333:J333),"median", MEDIAN(Instances!J333:J333),"min", MIN(Instances!J333:J333),"max", MAX(Instances!J333:J333),"diff", MAX(Instances!J333:J333)-MIN(Instances!J333:J333))</f>
        <v>3.62</v>
      </c>
      <c r="K333" s="1" t="n">
        <f aca="false" t="array" ref="K333:K333">_xlfn.SWITCH($A$2,"average", AVERAGE(Instances!K333:K333),"median", MEDIAN(Instances!K333:K333),"min", MIN(Instances!K333:K333),"max", MAX(Instances!K333:K333),"diff", MAX(Instances!K333:K333)-MIN(Instances!K333:K333))</f>
        <v>0</v>
      </c>
      <c r="L333" s="1"/>
      <c r="M333" s="1" t="n">
        <f aca="false" t="array" ref="M333:M333">_xlfn.SWITCH($A$2,"average", AVERAGE(Instances!M333:M333),"median", MEDIAN(Instances!M333:M333),"min", MIN(Instances!M333:M333),"max", MAX(Instances!M333:M333),"diff", MAX(Instances!M333:M333)-MIN(Instances!M333:M333))</f>
        <v>772409</v>
      </c>
      <c r="N333" s="1" t="n">
        <f aca="false" t="array" ref="N333:N333">_xlfn.SWITCH($A$2,"average", AVERAGE(Instances!N333:N333),"median", MEDIAN(Instances!N333:N333),"min", MIN(Instances!N333:N333),"max", MAX(Instances!N333:N333),"diff", MAX(Instances!N333:N333)-MIN(Instances!N333:N333))</f>
        <v>0.03</v>
      </c>
      <c r="O333" s="1"/>
      <c r="P333" s="1" t="n">
        <f aca="false" t="array" ref="P333:P333">_xlfn.SWITCH($A$2,"average", AVERAGE(Instances!P333:P333),"median", MEDIAN(Instances!P333:P333),"min", MIN(Instances!P333:P333),"max", MAX(Instances!P333:P333),"diff", MAX(Instances!P333:P333)-MIN(Instances!P333:P333))</f>
        <v>3.62</v>
      </c>
      <c r="Q333" s="1" t="n">
        <f aca="false" t="array" ref="Q333:Q333">_xlfn.SWITCH($A$2,"average", AVERAGE(Instances!Q333:Q333),"median", MEDIAN(Instances!Q333:Q333),"min", MIN(Instances!Q333:Q333),"max", MAX(Instances!Q333:Q333),"diff", MAX(Instances!Q333:Q333)-MIN(Instances!Q333:Q333))</f>
        <v>0</v>
      </c>
      <c r="R333" s="1" t="n">
        <f aca="false" t="array" ref="R333:R333">_xlfn.SWITCH($A$2,"average", AVERAGE(Instances!R333:R333),"median", MEDIAN(Instances!R333:R333),"min", MIN(Instances!R333:R333),"max", MAX(Instances!R333:R333),"diff", MAX(Instances!R333:R333)-MIN(Instances!R333:R333))</f>
        <v>298241</v>
      </c>
      <c r="S333" s="1" t="n">
        <f aca="false">MIN($B333)</f>
        <v>608</v>
      </c>
      <c r="T333" s="1" t="n">
        <f aca="false">MIN($C333)</f>
        <v>0</v>
      </c>
      <c r="U333" s="1" t="n">
        <f aca="false">MIN($D333)</f>
        <v>424819</v>
      </c>
      <c r="V333" s="1" t="n">
        <f aca="false">MIN($E333)</f>
        <v>0</v>
      </c>
      <c r="W333" s="1" t="n">
        <f aca="false">MIN($F333)</f>
        <v>298</v>
      </c>
      <c r="X333" s="1" t="n">
        <f aca="false">MIN($G333)</f>
        <v>0</v>
      </c>
      <c r="Y333" s="1" t="n">
        <f aca="false">MIN($H333)</f>
        <v>1</v>
      </c>
      <c r="Z333" s="1" t="n">
        <f aca="false">MIN($I333)</f>
        <v>3.503</v>
      </c>
      <c r="AA333" s="1" t="n">
        <f aca="false">MIN($J333)</f>
        <v>3.62</v>
      </c>
      <c r="AB333" s="1" t="n">
        <f aca="false">MIN($K333)</f>
        <v>0</v>
      </c>
      <c r="AC333" s="1" t="n">
        <f aca="false">MIN($M333)</f>
        <v>772409</v>
      </c>
      <c r="AD333" s="1" t="n">
        <f aca="false">MIN($N333)</f>
        <v>0.03</v>
      </c>
      <c r="AE333" s="1" t="n">
        <f aca="false">MIN($P333)</f>
        <v>3.62</v>
      </c>
      <c r="AF333" s="1" t="n">
        <f aca="false">MIN($Q333)</f>
        <v>0</v>
      </c>
      <c r="AG333" s="1" t="n">
        <f aca="false">MIN($R333)</f>
        <v>298241</v>
      </c>
      <c r="AH333" s="1" t="n">
        <f aca="false">MEDIAN($B333)</f>
        <v>608</v>
      </c>
      <c r="AI333" s="1" t="n">
        <f aca="false">MEDIAN($C333)</f>
        <v>0</v>
      </c>
      <c r="AJ333" s="1" t="n">
        <f aca="false">MEDIAN($D333)</f>
        <v>424819</v>
      </c>
      <c r="AK333" s="1" t="n">
        <f aca="false">MEDIAN($E333)</f>
        <v>0</v>
      </c>
      <c r="AL333" s="1" t="n">
        <f aca="false">MEDIAN($F333)</f>
        <v>298</v>
      </c>
      <c r="AM333" s="1" t="n">
        <f aca="false">MEDIAN($G333)</f>
        <v>0</v>
      </c>
      <c r="AN333" s="1" t="n">
        <f aca="false">MEDIAN($H333)</f>
        <v>1</v>
      </c>
      <c r="AO333" s="1" t="n">
        <f aca="false">MEDIAN($I333)</f>
        <v>3.503</v>
      </c>
      <c r="AP333" s="1" t="n">
        <f aca="false">MEDIAN($J333)</f>
        <v>3.62</v>
      </c>
      <c r="AQ333" s="1" t="n">
        <f aca="false">MEDIAN($K333)</f>
        <v>0</v>
      </c>
      <c r="AR333" s="1" t="n">
        <f aca="false">MEDIAN($M333)</f>
        <v>772409</v>
      </c>
      <c r="AS333" s="1" t="n">
        <f aca="false">MEDIAN($N333)</f>
        <v>0.03</v>
      </c>
      <c r="AT333" s="1" t="n">
        <f aca="false">MEDIAN($P333)</f>
        <v>3.62</v>
      </c>
      <c r="AU333" s="1" t="n">
        <f aca="false">MEDIAN($Q333)</f>
        <v>0</v>
      </c>
      <c r="AV333" s="1" t="n">
        <f aca="false">MEDIAN($R333)</f>
        <v>298241</v>
      </c>
      <c r="AW333" s="1" t="n">
        <f aca="false">MAX($B333)</f>
        <v>608</v>
      </c>
      <c r="AX333" s="1" t="n">
        <f aca="false">MAX($C333)</f>
        <v>0</v>
      </c>
      <c r="AY333" s="1" t="n">
        <f aca="false">MAX($D333)</f>
        <v>424819</v>
      </c>
      <c r="AZ333" s="1" t="n">
        <f aca="false">MAX($E333)</f>
        <v>0</v>
      </c>
      <c r="BA333" s="1" t="n">
        <f aca="false">MAX($F333)</f>
        <v>298</v>
      </c>
      <c r="BB333" s="1" t="n">
        <f aca="false">MAX($G333)</f>
        <v>0</v>
      </c>
      <c r="BC333" s="1" t="n">
        <f aca="false">MAX($H333)</f>
        <v>1</v>
      </c>
      <c r="BD333" s="1" t="n">
        <f aca="false">MAX($I333)</f>
        <v>3.503</v>
      </c>
      <c r="BE333" s="1" t="n">
        <f aca="false">MAX($J333)</f>
        <v>3.62</v>
      </c>
      <c r="BF333" s="1" t="n">
        <f aca="false">MAX($K333)</f>
        <v>0</v>
      </c>
      <c r="BG333" s="1" t="n">
        <f aca="false">MAX($M333)</f>
        <v>772409</v>
      </c>
      <c r="BH333" s="1" t="n">
        <f aca="false">MAX($N333)</f>
        <v>0.03</v>
      </c>
      <c r="BI333" s="1" t="n">
        <f aca="false">MAX($P333)</f>
        <v>3.62</v>
      </c>
      <c r="BJ333" s="1" t="n">
        <f aca="false">MAX($Q333)</f>
        <v>0</v>
      </c>
      <c r="BK333" s="1" t="n">
        <f aca="false">MAX($R333)</f>
        <v>298241</v>
      </c>
    </row>
    <row r="334" customFormat="false" ht="15" hidden="false" customHeight="false" outlineLevel="0" collapsed="false">
      <c r="A334" s="1" t="s">
        <v>351</v>
      </c>
      <c r="B334" s="1" t="n">
        <f aca="false" t="array" ref="B334:B334">_xlfn.SWITCH($A$2,"average", AVERAGE(Instances!B334:B334),"median", MEDIAN(Instances!B334:B334),"min", MIN(Instances!B334:B334),"max", MAX(Instances!B334:B334),"diff", MAX(Instances!B334:B334)-MIN(Instances!B334:B334))</f>
        <v>2175</v>
      </c>
      <c r="C334" s="1" t="n">
        <f aca="false" t="array" ref="C334:C334">_xlfn.SWITCH($A$2,"average", AVERAGE(Instances!C334:C334),"median", MEDIAN(Instances!C334:C334),"min", MIN(Instances!C334:C334),"max", MAX(Instances!C334:C334),"diff", MAX(Instances!C334:C334)-MIN(Instances!C334:C334))</f>
        <v>1</v>
      </c>
      <c r="D334" s="1" t="n">
        <f aca="false" t="array" ref="D334:D334">_xlfn.SWITCH($A$2,"average", AVERAGE(Instances!D334:D334),"median", MEDIAN(Instances!D334:D334),"min", MIN(Instances!D334:D334),"max", MAX(Instances!D334:D334),"diff", MAX(Instances!D334:D334)-MIN(Instances!D334:D334))</f>
        <v>1055535</v>
      </c>
      <c r="E334" s="1" t="n">
        <f aca="false" t="array" ref="E334:E334">_xlfn.SWITCH($A$2,"average", AVERAGE(Instances!E334:E334),"median", MEDIAN(Instances!E334:E334),"min", MIN(Instances!E334:E334),"max", MAX(Instances!E334:E334),"diff", MAX(Instances!E334:E334)-MIN(Instances!E334:E334))</f>
        <v>0</v>
      </c>
      <c r="F334" s="1" t="n">
        <f aca="false" t="array" ref="F334:F334">_xlfn.SWITCH($A$2,"average", AVERAGE(Instances!F334:F334),"median", MEDIAN(Instances!F334:F334),"min", MIN(Instances!F334:F334),"max", MAX(Instances!F334:F334),"diff", MAX(Instances!F334:F334)-MIN(Instances!F334:F334))</f>
        <v>584</v>
      </c>
      <c r="G334" s="1" t="n">
        <f aca="false" t="array" ref="G334:G334">_xlfn.SWITCH($A$2,"average", AVERAGE(Instances!G334:G334),"median", MEDIAN(Instances!G334:G334),"min", MIN(Instances!G334:G334),"max", MAX(Instances!G334:G334),"diff", MAX(Instances!G334:G334)-MIN(Instances!G334:G334))</f>
        <v>0</v>
      </c>
      <c r="H334" s="1" t="n">
        <f aca="false" t="array" ref="H334:H334">_xlfn.SWITCH($A$2,"average", AVERAGE(Instances!H334:H334),"median", MEDIAN(Instances!H334:H334),"min", MIN(Instances!H334:H334),"max", MAX(Instances!H334:H334),"diff", MAX(Instances!H334:H334)-MIN(Instances!H334:H334))</f>
        <v>1</v>
      </c>
      <c r="I334" s="1" t="n">
        <f aca="false" t="array" ref="I334:I334">_xlfn.SWITCH($A$2,"average", AVERAGE(Instances!I334:I334),"median", MEDIAN(Instances!I334:I334),"min", MIN(Instances!I334:I334),"max", MAX(Instances!I334:I334),"diff", MAX(Instances!I334:I334)-MIN(Instances!I334:I334))</f>
        <v>7.601</v>
      </c>
      <c r="J334" s="1" t="n">
        <f aca="false" t="array" ref="J334:J334">_xlfn.SWITCH($A$2,"average", AVERAGE(Instances!J334:J334),"median", MEDIAN(Instances!J334:J334),"min", MIN(Instances!J334:J334),"max", MAX(Instances!J334:J334),"diff", MAX(Instances!J334:J334)-MIN(Instances!J334:J334))</f>
        <v>7.79</v>
      </c>
      <c r="K334" s="1" t="n">
        <f aca="false" t="array" ref="K334:K334">_xlfn.SWITCH($A$2,"average", AVERAGE(Instances!K334:K334),"median", MEDIAN(Instances!K334:K334),"min", MIN(Instances!K334:K334),"max", MAX(Instances!K334:K334),"diff", MAX(Instances!K334:K334)-MIN(Instances!K334:K334))</f>
        <v>0</v>
      </c>
      <c r="L334" s="1"/>
      <c r="M334" s="1" t="n">
        <f aca="false" t="array" ref="M334:M334">_xlfn.SWITCH($A$2,"average", AVERAGE(Instances!M334:M334),"median", MEDIAN(Instances!M334:M334),"min", MIN(Instances!M334:M334),"max", MAX(Instances!M334:M334),"diff", MAX(Instances!M334:M334)-MIN(Instances!M334:M334))</f>
        <v>1804919</v>
      </c>
      <c r="N334" s="1" t="n">
        <f aca="false" t="array" ref="N334:N334">_xlfn.SWITCH($A$2,"average", AVERAGE(Instances!N334:N334),"median", MEDIAN(Instances!N334:N334),"min", MIN(Instances!N334:N334),"max", MAX(Instances!N334:N334),"diff", MAX(Instances!N334:N334)-MIN(Instances!N334:N334))</f>
        <v>0.08</v>
      </c>
      <c r="O334" s="1"/>
      <c r="P334" s="1" t="n">
        <f aca="false" t="array" ref="P334:P334">_xlfn.SWITCH($A$2,"average", AVERAGE(Instances!P334:P334),"median", MEDIAN(Instances!P334:P334),"min", MIN(Instances!P334:P334),"max", MAX(Instances!P334:P334),"diff", MAX(Instances!P334:P334)-MIN(Instances!P334:P334))</f>
        <v>7.79</v>
      </c>
      <c r="Q334" s="1" t="n">
        <f aca="false" t="array" ref="Q334:Q334">_xlfn.SWITCH($A$2,"average", AVERAGE(Instances!Q334:Q334),"median", MEDIAN(Instances!Q334:Q334),"min", MIN(Instances!Q334:Q334),"max", MAX(Instances!Q334:Q334),"diff", MAX(Instances!Q334:Q334)-MIN(Instances!Q334:Q334))</f>
        <v>0</v>
      </c>
      <c r="R334" s="1" t="n">
        <f aca="false" t="array" ref="R334:R334">_xlfn.SWITCH($A$2,"average", AVERAGE(Instances!R334:R334),"median", MEDIAN(Instances!R334:R334),"min", MIN(Instances!R334:R334),"max", MAX(Instances!R334:R334),"diff", MAX(Instances!R334:R334)-MIN(Instances!R334:R334))</f>
        <v>600389</v>
      </c>
      <c r="S334" s="1" t="n">
        <f aca="false">MIN($B334)</f>
        <v>2175</v>
      </c>
      <c r="T334" s="1" t="n">
        <f aca="false">MIN($C334)</f>
        <v>1</v>
      </c>
      <c r="U334" s="1" t="n">
        <f aca="false">MIN($D334)</f>
        <v>1055535</v>
      </c>
      <c r="V334" s="1" t="n">
        <f aca="false">MIN($E334)</f>
        <v>0</v>
      </c>
      <c r="W334" s="1" t="n">
        <f aca="false">MIN($F334)</f>
        <v>584</v>
      </c>
      <c r="X334" s="1" t="n">
        <f aca="false">MIN($G334)</f>
        <v>0</v>
      </c>
      <c r="Y334" s="1" t="n">
        <f aca="false">MIN($H334)</f>
        <v>1</v>
      </c>
      <c r="Z334" s="1" t="n">
        <f aca="false">MIN($I334)</f>
        <v>7.601</v>
      </c>
      <c r="AA334" s="1" t="n">
        <f aca="false">MIN($J334)</f>
        <v>7.79</v>
      </c>
      <c r="AB334" s="1" t="n">
        <f aca="false">MIN($K334)</f>
        <v>0</v>
      </c>
      <c r="AC334" s="1" t="n">
        <f aca="false">MIN($M334)</f>
        <v>1804919</v>
      </c>
      <c r="AD334" s="1" t="n">
        <f aca="false">MIN($N334)</f>
        <v>0.08</v>
      </c>
      <c r="AE334" s="1" t="n">
        <f aca="false">MIN($P334)</f>
        <v>7.79</v>
      </c>
      <c r="AF334" s="1" t="n">
        <f aca="false">MIN($Q334)</f>
        <v>0</v>
      </c>
      <c r="AG334" s="1" t="n">
        <f aca="false">MIN($R334)</f>
        <v>600389</v>
      </c>
      <c r="AH334" s="1" t="n">
        <f aca="false">MEDIAN($B334)</f>
        <v>2175</v>
      </c>
      <c r="AI334" s="1" t="n">
        <f aca="false">MEDIAN($C334)</f>
        <v>1</v>
      </c>
      <c r="AJ334" s="1" t="n">
        <f aca="false">MEDIAN($D334)</f>
        <v>1055535</v>
      </c>
      <c r="AK334" s="1" t="n">
        <f aca="false">MEDIAN($E334)</f>
        <v>0</v>
      </c>
      <c r="AL334" s="1" t="n">
        <f aca="false">MEDIAN($F334)</f>
        <v>584</v>
      </c>
      <c r="AM334" s="1" t="n">
        <f aca="false">MEDIAN($G334)</f>
        <v>0</v>
      </c>
      <c r="AN334" s="1" t="n">
        <f aca="false">MEDIAN($H334)</f>
        <v>1</v>
      </c>
      <c r="AO334" s="1" t="n">
        <f aca="false">MEDIAN($I334)</f>
        <v>7.601</v>
      </c>
      <c r="AP334" s="1" t="n">
        <f aca="false">MEDIAN($J334)</f>
        <v>7.79</v>
      </c>
      <c r="AQ334" s="1" t="n">
        <f aca="false">MEDIAN($K334)</f>
        <v>0</v>
      </c>
      <c r="AR334" s="1" t="n">
        <f aca="false">MEDIAN($M334)</f>
        <v>1804919</v>
      </c>
      <c r="AS334" s="1" t="n">
        <f aca="false">MEDIAN($N334)</f>
        <v>0.08</v>
      </c>
      <c r="AT334" s="1" t="n">
        <f aca="false">MEDIAN($P334)</f>
        <v>7.79</v>
      </c>
      <c r="AU334" s="1" t="n">
        <f aca="false">MEDIAN($Q334)</f>
        <v>0</v>
      </c>
      <c r="AV334" s="1" t="n">
        <f aca="false">MEDIAN($R334)</f>
        <v>600389</v>
      </c>
      <c r="AW334" s="1" t="n">
        <f aca="false">MAX($B334)</f>
        <v>2175</v>
      </c>
      <c r="AX334" s="1" t="n">
        <f aca="false">MAX($C334)</f>
        <v>1</v>
      </c>
      <c r="AY334" s="1" t="n">
        <f aca="false">MAX($D334)</f>
        <v>1055535</v>
      </c>
      <c r="AZ334" s="1" t="n">
        <f aca="false">MAX($E334)</f>
        <v>0</v>
      </c>
      <c r="BA334" s="1" t="n">
        <f aca="false">MAX($F334)</f>
        <v>584</v>
      </c>
      <c r="BB334" s="1" t="n">
        <f aca="false">MAX($G334)</f>
        <v>0</v>
      </c>
      <c r="BC334" s="1" t="n">
        <f aca="false">MAX($H334)</f>
        <v>1</v>
      </c>
      <c r="BD334" s="1" t="n">
        <f aca="false">MAX($I334)</f>
        <v>7.601</v>
      </c>
      <c r="BE334" s="1" t="n">
        <f aca="false">MAX($J334)</f>
        <v>7.79</v>
      </c>
      <c r="BF334" s="1" t="n">
        <f aca="false">MAX($K334)</f>
        <v>0</v>
      </c>
      <c r="BG334" s="1" t="n">
        <f aca="false">MAX($M334)</f>
        <v>1804919</v>
      </c>
      <c r="BH334" s="1" t="n">
        <f aca="false">MAX($N334)</f>
        <v>0.08</v>
      </c>
      <c r="BI334" s="1" t="n">
        <f aca="false">MAX($P334)</f>
        <v>7.79</v>
      </c>
      <c r="BJ334" s="1" t="n">
        <f aca="false">MAX($Q334)</f>
        <v>0</v>
      </c>
      <c r="BK334" s="1" t="n">
        <f aca="false">MAX($R334)</f>
        <v>600389</v>
      </c>
    </row>
    <row r="335" customFormat="false" ht="15" hidden="false" customHeight="false" outlineLevel="0" collapsed="false">
      <c r="A335" s="1" t="s">
        <v>352</v>
      </c>
      <c r="B335" s="1" t="n">
        <f aca="false" t="array" ref="B335:B335">_xlfn.SWITCH($A$2,"average", AVERAGE(Instances!B335:B335),"median", MEDIAN(Instances!B335:B335),"min", MIN(Instances!B335:B335),"max", MAX(Instances!B335:B335),"diff", MAX(Instances!B335:B335)-MIN(Instances!B335:B335))</f>
        <v>3451</v>
      </c>
      <c r="C335" s="1" t="n">
        <f aca="false" t="array" ref="C335:C335">_xlfn.SWITCH($A$2,"average", AVERAGE(Instances!C335:C335),"median", MEDIAN(Instances!C335:C335),"min", MIN(Instances!C335:C335),"max", MAX(Instances!C335:C335),"diff", MAX(Instances!C335:C335)-MIN(Instances!C335:C335))</f>
        <v>72</v>
      </c>
      <c r="D335" s="1" t="n">
        <f aca="false" t="array" ref="D335:D335">_xlfn.SWITCH($A$2,"average", AVERAGE(Instances!D335:D335),"median", MEDIAN(Instances!D335:D335),"min", MIN(Instances!D335:D335),"max", MAX(Instances!D335:D335),"diff", MAX(Instances!D335:D335)-MIN(Instances!D335:D335))</f>
        <v>1019202</v>
      </c>
      <c r="E335" s="1" t="n">
        <f aca="false" t="array" ref="E335:E335">_xlfn.SWITCH($A$2,"average", AVERAGE(Instances!E335:E335),"median", MEDIAN(Instances!E335:E335),"min", MIN(Instances!E335:E335),"max", MAX(Instances!E335:E335),"diff", MAX(Instances!E335:E335)-MIN(Instances!E335:E335))</f>
        <v>0</v>
      </c>
      <c r="F335" s="1" t="n">
        <f aca="false" t="array" ref="F335:F335">_xlfn.SWITCH($A$2,"average", AVERAGE(Instances!F335:F335),"median", MEDIAN(Instances!F335:F335),"min", MIN(Instances!F335:F335),"max", MAX(Instances!F335:F335),"diff", MAX(Instances!F335:F335)-MIN(Instances!F335:F335))</f>
        <v>589</v>
      </c>
      <c r="G335" s="1" t="n">
        <f aca="false" t="array" ref="G335:G335">_xlfn.SWITCH($A$2,"average", AVERAGE(Instances!G335:G335),"median", MEDIAN(Instances!G335:G335),"min", MIN(Instances!G335:G335),"max", MAX(Instances!G335:G335),"diff", MAX(Instances!G335:G335)-MIN(Instances!G335:G335))</f>
        <v>0</v>
      </c>
      <c r="H335" s="1" t="n">
        <f aca="false" t="array" ref="H335:H335">_xlfn.SWITCH($A$2,"average", AVERAGE(Instances!H335:H335),"median", MEDIAN(Instances!H335:H335),"min", MIN(Instances!H335:H335),"max", MAX(Instances!H335:H335),"diff", MAX(Instances!H335:H335)-MIN(Instances!H335:H335))</f>
        <v>1</v>
      </c>
      <c r="I335" s="1" t="n">
        <f aca="false" t="array" ref="I335:I335">_xlfn.SWITCH($A$2,"average", AVERAGE(Instances!I335:I335),"median", MEDIAN(Instances!I335:I335),"min", MIN(Instances!I335:I335),"max", MAX(Instances!I335:I335),"diff", MAX(Instances!I335:I335)-MIN(Instances!I335:I335))</f>
        <v>7.692</v>
      </c>
      <c r="J335" s="1" t="n">
        <f aca="false" t="array" ref="J335:J335">_xlfn.SWITCH($A$2,"average", AVERAGE(Instances!J335:J335),"median", MEDIAN(Instances!J335:J335),"min", MIN(Instances!J335:J335),"max", MAX(Instances!J335:J335),"diff", MAX(Instances!J335:J335)-MIN(Instances!J335:J335))</f>
        <v>7.91</v>
      </c>
      <c r="K335" s="1" t="n">
        <f aca="false" t="array" ref="K335:K335">_xlfn.SWITCH($A$2,"average", AVERAGE(Instances!K335:K335),"median", MEDIAN(Instances!K335:K335),"min", MIN(Instances!K335:K335),"max", MAX(Instances!K335:K335),"diff", MAX(Instances!K335:K335)-MIN(Instances!K335:K335))</f>
        <v>1</v>
      </c>
      <c r="L335" s="1"/>
      <c r="M335" s="1" t="n">
        <f aca="false" t="array" ref="M335:M335">_xlfn.SWITCH($A$2,"average", AVERAGE(Instances!M335:M335),"median", MEDIAN(Instances!M335:M335),"min", MIN(Instances!M335:M335),"max", MAX(Instances!M335:M335),"diff", MAX(Instances!M335:M335)-MIN(Instances!M335:M335))</f>
        <v>1814370</v>
      </c>
      <c r="N335" s="1" t="n">
        <f aca="false" t="array" ref="N335:N335">_xlfn.SWITCH($A$2,"average", AVERAGE(Instances!N335:N335),"median", MEDIAN(Instances!N335:N335),"min", MIN(Instances!N335:N335),"max", MAX(Instances!N335:N335),"diff", MAX(Instances!N335:N335)-MIN(Instances!N335:N335))</f>
        <v>0.16</v>
      </c>
      <c r="O335" s="1"/>
      <c r="P335" s="1" t="n">
        <f aca="false" t="array" ref="P335:P335">_xlfn.SWITCH($A$2,"average", AVERAGE(Instances!P335:P335),"median", MEDIAN(Instances!P335:P335),"min", MIN(Instances!P335:P335),"max", MAX(Instances!P335:P335),"diff", MAX(Instances!P335:P335)-MIN(Instances!P335:P335))</f>
        <v>7.91</v>
      </c>
      <c r="Q335" s="1" t="n">
        <f aca="false" t="array" ref="Q335:Q335">_xlfn.SWITCH($A$2,"average", AVERAGE(Instances!Q335:Q335),"median", MEDIAN(Instances!Q335:Q335),"min", MIN(Instances!Q335:Q335),"max", MAX(Instances!Q335:Q335),"diff", MAX(Instances!Q335:Q335)-MIN(Instances!Q335:Q335))</f>
        <v>0</v>
      </c>
      <c r="R335" s="1" t="n">
        <f aca="false" t="array" ref="R335:R335">_xlfn.SWITCH($A$2,"average", AVERAGE(Instances!R335:R335),"median", MEDIAN(Instances!R335:R335),"min", MIN(Instances!R335:R335),"max", MAX(Instances!R335:R335),"diff", MAX(Instances!R335:R335)-MIN(Instances!R335:R335))</f>
        <v>603461</v>
      </c>
      <c r="S335" s="1" t="n">
        <f aca="false">MIN($B335)</f>
        <v>3451</v>
      </c>
      <c r="T335" s="1" t="n">
        <f aca="false">MIN($C335)</f>
        <v>72</v>
      </c>
      <c r="U335" s="1" t="n">
        <f aca="false">MIN($D335)</f>
        <v>1019202</v>
      </c>
      <c r="V335" s="1" t="n">
        <f aca="false">MIN($E335)</f>
        <v>0</v>
      </c>
      <c r="W335" s="1" t="n">
        <f aca="false">MIN($F335)</f>
        <v>589</v>
      </c>
      <c r="X335" s="1" t="n">
        <f aca="false">MIN($G335)</f>
        <v>0</v>
      </c>
      <c r="Y335" s="1" t="n">
        <f aca="false">MIN($H335)</f>
        <v>1</v>
      </c>
      <c r="Z335" s="1" t="n">
        <f aca="false">MIN($I335)</f>
        <v>7.692</v>
      </c>
      <c r="AA335" s="1" t="n">
        <f aca="false">MIN($J335)</f>
        <v>7.91</v>
      </c>
      <c r="AB335" s="1" t="n">
        <f aca="false">MIN($K335)</f>
        <v>1</v>
      </c>
      <c r="AC335" s="1" t="n">
        <f aca="false">MIN($M335)</f>
        <v>1814370</v>
      </c>
      <c r="AD335" s="1" t="n">
        <f aca="false">MIN($N335)</f>
        <v>0.16</v>
      </c>
      <c r="AE335" s="1" t="n">
        <f aca="false">MIN($P335)</f>
        <v>7.91</v>
      </c>
      <c r="AF335" s="1" t="n">
        <f aca="false">MIN($Q335)</f>
        <v>0</v>
      </c>
      <c r="AG335" s="1" t="n">
        <f aca="false">MIN($R335)</f>
        <v>603461</v>
      </c>
      <c r="AH335" s="1" t="n">
        <f aca="false">MEDIAN($B335)</f>
        <v>3451</v>
      </c>
      <c r="AI335" s="1" t="n">
        <f aca="false">MEDIAN($C335)</f>
        <v>72</v>
      </c>
      <c r="AJ335" s="1" t="n">
        <f aca="false">MEDIAN($D335)</f>
        <v>1019202</v>
      </c>
      <c r="AK335" s="1" t="n">
        <f aca="false">MEDIAN($E335)</f>
        <v>0</v>
      </c>
      <c r="AL335" s="1" t="n">
        <f aca="false">MEDIAN($F335)</f>
        <v>589</v>
      </c>
      <c r="AM335" s="1" t="n">
        <f aca="false">MEDIAN($G335)</f>
        <v>0</v>
      </c>
      <c r="AN335" s="1" t="n">
        <f aca="false">MEDIAN($H335)</f>
        <v>1</v>
      </c>
      <c r="AO335" s="1" t="n">
        <f aca="false">MEDIAN($I335)</f>
        <v>7.692</v>
      </c>
      <c r="AP335" s="1" t="n">
        <f aca="false">MEDIAN($J335)</f>
        <v>7.91</v>
      </c>
      <c r="AQ335" s="1" t="n">
        <f aca="false">MEDIAN($K335)</f>
        <v>1</v>
      </c>
      <c r="AR335" s="1" t="n">
        <f aca="false">MEDIAN($M335)</f>
        <v>1814370</v>
      </c>
      <c r="AS335" s="1" t="n">
        <f aca="false">MEDIAN($N335)</f>
        <v>0.16</v>
      </c>
      <c r="AT335" s="1" t="n">
        <f aca="false">MEDIAN($P335)</f>
        <v>7.91</v>
      </c>
      <c r="AU335" s="1" t="n">
        <f aca="false">MEDIAN($Q335)</f>
        <v>0</v>
      </c>
      <c r="AV335" s="1" t="n">
        <f aca="false">MEDIAN($R335)</f>
        <v>603461</v>
      </c>
      <c r="AW335" s="1" t="n">
        <f aca="false">MAX($B335)</f>
        <v>3451</v>
      </c>
      <c r="AX335" s="1" t="n">
        <f aca="false">MAX($C335)</f>
        <v>72</v>
      </c>
      <c r="AY335" s="1" t="n">
        <f aca="false">MAX($D335)</f>
        <v>1019202</v>
      </c>
      <c r="AZ335" s="1" t="n">
        <f aca="false">MAX($E335)</f>
        <v>0</v>
      </c>
      <c r="BA335" s="1" t="n">
        <f aca="false">MAX($F335)</f>
        <v>589</v>
      </c>
      <c r="BB335" s="1" t="n">
        <f aca="false">MAX($G335)</f>
        <v>0</v>
      </c>
      <c r="BC335" s="1" t="n">
        <f aca="false">MAX($H335)</f>
        <v>1</v>
      </c>
      <c r="BD335" s="1" t="n">
        <f aca="false">MAX($I335)</f>
        <v>7.692</v>
      </c>
      <c r="BE335" s="1" t="n">
        <f aca="false">MAX($J335)</f>
        <v>7.91</v>
      </c>
      <c r="BF335" s="1" t="n">
        <f aca="false">MAX($K335)</f>
        <v>1</v>
      </c>
      <c r="BG335" s="1" t="n">
        <f aca="false">MAX($M335)</f>
        <v>1814370</v>
      </c>
      <c r="BH335" s="1" t="n">
        <f aca="false">MAX($N335)</f>
        <v>0.16</v>
      </c>
      <c r="BI335" s="1" t="n">
        <f aca="false">MAX($P335)</f>
        <v>7.91</v>
      </c>
      <c r="BJ335" s="1" t="n">
        <f aca="false">MAX($Q335)</f>
        <v>0</v>
      </c>
      <c r="BK335" s="1" t="n">
        <f aca="false">MAX($R335)</f>
        <v>603461</v>
      </c>
    </row>
    <row r="336" customFormat="false" ht="15" hidden="false" customHeight="false" outlineLevel="0" collapsed="false">
      <c r="A336" s="1" t="s">
        <v>353</v>
      </c>
      <c r="B336" s="1" t="n">
        <f aca="false" t="array" ref="B336:B336">_xlfn.SWITCH($A$2,"average", AVERAGE(Instances!B336:B336),"median", MEDIAN(Instances!B336:B336),"min", MIN(Instances!B336:B336),"max", MAX(Instances!B336:B336),"diff", MAX(Instances!B336:B336)-MIN(Instances!B336:B336))</f>
        <v>2220</v>
      </c>
      <c r="C336" s="1" t="n">
        <f aca="false" t="array" ref="C336:C336">_xlfn.SWITCH($A$2,"average", AVERAGE(Instances!C336:C336),"median", MEDIAN(Instances!C336:C336),"min", MIN(Instances!C336:C336),"max", MAX(Instances!C336:C336),"diff", MAX(Instances!C336:C336)-MIN(Instances!C336:C336))</f>
        <v>0</v>
      </c>
      <c r="D336" s="1" t="n">
        <f aca="false" t="array" ref="D336:D336">_xlfn.SWITCH($A$2,"average", AVERAGE(Instances!D336:D336),"median", MEDIAN(Instances!D336:D336),"min", MIN(Instances!D336:D336),"max", MAX(Instances!D336:D336),"diff", MAX(Instances!D336:D336)-MIN(Instances!D336:D336))</f>
        <v>797783</v>
      </c>
      <c r="E336" s="1" t="n">
        <f aca="false" t="array" ref="E336:E336">_xlfn.SWITCH($A$2,"average", AVERAGE(Instances!E336:E336),"median", MEDIAN(Instances!E336:E336),"min", MIN(Instances!E336:E336),"max", MAX(Instances!E336:E336),"diff", MAX(Instances!E336:E336)-MIN(Instances!E336:E336))</f>
        <v>0</v>
      </c>
      <c r="F336" s="1" t="n">
        <f aca="false" t="array" ref="F336:F336">_xlfn.SWITCH($A$2,"average", AVERAGE(Instances!F336:F336),"median", MEDIAN(Instances!F336:F336),"min", MIN(Instances!F336:F336),"max", MAX(Instances!F336:F336),"diff", MAX(Instances!F336:F336)-MIN(Instances!F336:F336))</f>
        <v>497</v>
      </c>
      <c r="G336" s="1" t="n">
        <f aca="false" t="array" ref="G336:G336">_xlfn.SWITCH($A$2,"average", AVERAGE(Instances!G336:G336),"median", MEDIAN(Instances!G336:G336),"min", MIN(Instances!G336:G336),"max", MAX(Instances!G336:G336),"diff", MAX(Instances!G336:G336)-MIN(Instances!G336:G336))</f>
        <v>0</v>
      </c>
      <c r="H336" s="1" t="n">
        <f aca="false" t="array" ref="H336:H336">_xlfn.SWITCH($A$2,"average", AVERAGE(Instances!H336:H336),"median", MEDIAN(Instances!H336:H336),"min", MIN(Instances!H336:H336),"max", MAX(Instances!H336:H336),"diff", MAX(Instances!H336:H336)-MIN(Instances!H336:H336))</f>
        <v>1</v>
      </c>
      <c r="I336" s="1" t="n">
        <f aca="false" t="array" ref="I336:I336">_xlfn.SWITCH($A$2,"average", AVERAGE(Instances!I336:I336),"median", MEDIAN(Instances!I336:I336),"min", MIN(Instances!I336:I336),"max", MAX(Instances!I336:I336),"diff", MAX(Instances!I336:I336)-MIN(Instances!I336:I336))</f>
        <v>6.223</v>
      </c>
      <c r="J336" s="1" t="n">
        <f aca="false" t="array" ref="J336:J336">_xlfn.SWITCH($A$2,"average", AVERAGE(Instances!J336:J336),"median", MEDIAN(Instances!J336:J336),"min", MIN(Instances!J336:J336),"max", MAX(Instances!J336:J336),"diff", MAX(Instances!J336:J336)-MIN(Instances!J336:J336))</f>
        <v>6.38</v>
      </c>
      <c r="K336" s="1" t="n">
        <f aca="false" t="array" ref="K336:K336">_xlfn.SWITCH($A$2,"average", AVERAGE(Instances!K336:K336),"median", MEDIAN(Instances!K336:K336),"min", MIN(Instances!K336:K336),"max", MAX(Instances!K336:K336),"diff", MAX(Instances!K336:K336)-MIN(Instances!K336:K336))</f>
        <v>0</v>
      </c>
      <c r="L336" s="1"/>
      <c r="M336" s="1" t="n">
        <f aca="false" t="array" ref="M336:M336">_xlfn.SWITCH($A$2,"average", AVERAGE(Instances!M336:M336),"median", MEDIAN(Instances!M336:M336),"min", MIN(Instances!M336:M336),"max", MAX(Instances!M336:M336),"diff", MAX(Instances!M336:M336)-MIN(Instances!M336:M336))</f>
        <v>1425089</v>
      </c>
      <c r="N336" s="1" t="n">
        <f aca="false" t="array" ref="N336:N336">_xlfn.SWITCH($A$2,"average", AVERAGE(Instances!N336:N336),"median", MEDIAN(Instances!N336:N336),"min", MIN(Instances!N336:N336),"max", MAX(Instances!N336:N336),"diff", MAX(Instances!N336:N336)-MIN(Instances!N336:N336))</f>
        <v>0.06</v>
      </c>
      <c r="O336" s="1"/>
      <c r="P336" s="1" t="n">
        <f aca="false" t="array" ref="P336:P336">_xlfn.SWITCH($A$2,"average", AVERAGE(Instances!P336:P336),"median", MEDIAN(Instances!P336:P336),"min", MIN(Instances!P336:P336),"max", MAX(Instances!P336:P336),"diff", MAX(Instances!P336:P336)-MIN(Instances!P336:P336))</f>
        <v>6.38</v>
      </c>
      <c r="Q336" s="1" t="n">
        <f aca="false" t="array" ref="Q336:Q336">_xlfn.SWITCH($A$2,"average", AVERAGE(Instances!Q336:Q336),"median", MEDIAN(Instances!Q336:Q336),"min", MIN(Instances!Q336:Q336),"max", MAX(Instances!Q336:Q336),"diff", MAX(Instances!Q336:Q336)-MIN(Instances!Q336:Q336))</f>
        <v>0</v>
      </c>
      <c r="R336" s="1" t="n">
        <f aca="false" t="array" ref="R336:R336">_xlfn.SWITCH($A$2,"average", AVERAGE(Instances!R336:R336),"median", MEDIAN(Instances!R336:R336),"min", MIN(Instances!R336:R336),"max", MAX(Instances!R336:R336),"diff", MAX(Instances!R336:R336)-MIN(Instances!R336:R336))</f>
        <v>494744</v>
      </c>
      <c r="S336" s="1" t="n">
        <f aca="false">MIN($B336)</f>
        <v>2220</v>
      </c>
      <c r="T336" s="1" t="n">
        <f aca="false">MIN($C336)</f>
        <v>0</v>
      </c>
      <c r="U336" s="1" t="n">
        <f aca="false">MIN($D336)</f>
        <v>797783</v>
      </c>
      <c r="V336" s="1" t="n">
        <f aca="false">MIN($E336)</f>
        <v>0</v>
      </c>
      <c r="W336" s="1" t="n">
        <f aca="false">MIN($F336)</f>
        <v>497</v>
      </c>
      <c r="X336" s="1" t="n">
        <f aca="false">MIN($G336)</f>
        <v>0</v>
      </c>
      <c r="Y336" s="1" t="n">
        <f aca="false">MIN($H336)</f>
        <v>1</v>
      </c>
      <c r="Z336" s="1" t="n">
        <f aca="false">MIN($I336)</f>
        <v>6.223</v>
      </c>
      <c r="AA336" s="1" t="n">
        <f aca="false">MIN($J336)</f>
        <v>6.38</v>
      </c>
      <c r="AB336" s="1" t="n">
        <f aca="false">MIN($K336)</f>
        <v>0</v>
      </c>
      <c r="AC336" s="1" t="n">
        <f aca="false">MIN($M336)</f>
        <v>1425089</v>
      </c>
      <c r="AD336" s="1" t="n">
        <f aca="false">MIN($N336)</f>
        <v>0.06</v>
      </c>
      <c r="AE336" s="1" t="n">
        <f aca="false">MIN($P336)</f>
        <v>6.38</v>
      </c>
      <c r="AF336" s="1" t="n">
        <f aca="false">MIN($Q336)</f>
        <v>0</v>
      </c>
      <c r="AG336" s="1" t="n">
        <f aca="false">MIN($R336)</f>
        <v>494744</v>
      </c>
      <c r="AH336" s="1" t="n">
        <f aca="false">MEDIAN($B336)</f>
        <v>2220</v>
      </c>
      <c r="AI336" s="1" t="n">
        <f aca="false">MEDIAN($C336)</f>
        <v>0</v>
      </c>
      <c r="AJ336" s="1" t="n">
        <f aca="false">MEDIAN($D336)</f>
        <v>797783</v>
      </c>
      <c r="AK336" s="1" t="n">
        <f aca="false">MEDIAN($E336)</f>
        <v>0</v>
      </c>
      <c r="AL336" s="1" t="n">
        <f aca="false">MEDIAN($F336)</f>
        <v>497</v>
      </c>
      <c r="AM336" s="1" t="n">
        <f aca="false">MEDIAN($G336)</f>
        <v>0</v>
      </c>
      <c r="AN336" s="1" t="n">
        <f aca="false">MEDIAN($H336)</f>
        <v>1</v>
      </c>
      <c r="AO336" s="1" t="n">
        <f aca="false">MEDIAN($I336)</f>
        <v>6.223</v>
      </c>
      <c r="AP336" s="1" t="n">
        <f aca="false">MEDIAN($J336)</f>
        <v>6.38</v>
      </c>
      <c r="AQ336" s="1" t="n">
        <f aca="false">MEDIAN($K336)</f>
        <v>0</v>
      </c>
      <c r="AR336" s="1" t="n">
        <f aca="false">MEDIAN($M336)</f>
        <v>1425089</v>
      </c>
      <c r="AS336" s="1" t="n">
        <f aca="false">MEDIAN($N336)</f>
        <v>0.06</v>
      </c>
      <c r="AT336" s="1" t="n">
        <f aca="false">MEDIAN($P336)</f>
        <v>6.38</v>
      </c>
      <c r="AU336" s="1" t="n">
        <f aca="false">MEDIAN($Q336)</f>
        <v>0</v>
      </c>
      <c r="AV336" s="1" t="n">
        <f aca="false">MEDIAN($R336)</f>
        <v>494744</v>
      </c>
      <c r="AW336" s="1" t="n">
        <f aca="false">MAX($B336)</f>
        <v>2220</v>
      </c>
      <c r="AX336" s="1" t="n">
        <f aca="false">MAX($C336)</f>
        <v>0</v>
      </c>
      <c r="AY336" s="1" t="n">
        <f aca="false">MAX($D336)</f>
        <v>797783</v>
      </c>
      <c r="AZ336" s="1" t="n">
        <f aca="false">MAX($E336)</f>
        <v>0</v>
      </c>
      <c r="BA336" s="1" t="n">
        <f aca="false">MAX($F336)</f>
        <v>497</v>
      </c>
      <c r="BB336" s="1" t="n">
        <f aca="false">MAX($G336)</f>
        <v>0</v>
      </c>
      <c r="BC336" s="1" t="n">
        <f aca="false">MAX($H336)</f>
        <v>1</v>
      </c>
      <c r="BD336" s="1" t="n">
        <f aca="false">MAX($I336)</f>
        <v>6.223</v>
      </c>
      <c r="BE336" s="1" t="n">
        <f aca="false">MAX($J336)</f>
        <v>6.38</v>
      </c>
      <c r="BF336" s="1" t="n">
        <f aca="false">MAX($K336)</f>
        <v>0</v>
      </c>
      <c r="BG336" s="1" t="n">
        <f aca="false">MAX($M336)</f>
        <v>1425089</v>
      </c>
      <c r="BH336" s="1" t="n">
        <f aca="false">MAX($N336)</f>
        <v>0.06</v>
      </c>
      <c r="BI336" s="1" t="n">
        <f aca="false">MAX($P336)</f>
        <v>6.38</v>
      </c>
      <c r="BJ336" s="1" t="n">
        <f aca="false">MAX($Q336)</f>
        <v>0</v>
      </c>
      <c r="BK336" s="1" t="n">
        <f aca="false">MAX($R336)</f>
        <v>494744</v>
      </c>
    </row>
    <row r="337" customFormat="false" ht="15" hidden="false" customHeight="false" outlineLevel="0" collapsed="false">
      <c r="A337" s="1" t="s">
        <v>354</v>
      </c>
      <c r="B337" s="1" t="n">
        <f aca="false" t="array" ref="B337:B337">_xlfn.SWITCH($A$2,"average", AVERAGE(Instances!B337:B337),"median", MEDIAN(Instances!B337:B337),"min", MIN(Instances!B337:B337),"max", MAX(Instances!B337:B337),"diff", MAX(Instances!B337:B337)-MIN(Instances!B337:B337))</f>
        <v>2092</v>
      </c>
      <c r="C337" s="1" t="n">
        <f aca="false" t="array" ref="C337:C337">_xlfn.SWITCH($A$2,"average", AVERAGE(Instances!C337:C337),"median", MEDIAN(Instances!C337:C337),"min", MIN(Instances!C337:C337),"max", MAX(Instances!C337:C337),"diff", MAX(Instances!C337:C337)-MIN(Instances!C337:C337))</f>
        <v>0</v>
      </c>
      <c r="D337" s="1" t="n">
        <f aca="false" t="array" ref="D337:D337">_xlfn.SWITCH($A$2,"average", AVERAGE(Instances!D337:D337),"median", MEDIAN(Instances!D337:D337),"min", MIN(Instances!D337:D337),"max", MAX(Instances!D337:D337),"diff", MAX(Instances!D337:D337)-MIN(Instances!D337:D337))</f>
        <v>761197</v>
      </c>
      <c r="E337" s="1" t="n">
        <f aca="false" t="array" ref="E337:E337">_xlfn.SWITCH($A$2,"average", AVERAGE(Instances!E337:E337),"median", MEDIAN(Instances!E337:E337),"min", MIN(Instances!E337:E337),"max", MAX(Instances!E337:E337),"diff", MAX(Instances!E337:E337)-MIN(Instances!E337:E337))</f>
        <v>0</v>
      </c>
      <c r="F337" s="1" t="n">
        <f aca="false" t="array" ref="F337:F337">_xlfn.SWITCH($A$2,"average", AVERAGE(Instances!F337:F337),"median", MEDIAN(Instances!F337:F337),"min", MIN(Instances!F337:F337),"max", MAX(Instances!F337:F337),"diff", MAX(Instances!F337:F337)-MIN(Instances!F337:F337))</f>
        <v>495</v>
      </c>
      <c r="G337" s="1" t="n">
        <f aca="false" t="array" ref="G337:G337">_xlfn.SWITCH($A$2,"average", AVERAGE(Instances!G337:G337),"median", MEDIAN(Instances!G337:G337),"min", MIN(Instances!G337:G337),"max", MAX(Instances!G337:G337),"diff", MAX(Instances!G337:G337)-MIN(Instances!G337:G337))</f>
        <v>0</v>
      </c>
      <c r="H337" s="1" t="n">
        <f aca="false" t="array" ref="H337:H337">_xlfn.SWITCH($A$2,"average", AVERAGE(Instances!H337:H337),"median", MEDIAN(Instances!H337:H337),"min", MIN(Instances!H337:H337),"max", MAX(Instances!H337:H337),"diff", MAX(Instances!H337:H337)-MIN(Instances!H337:H337))</f>
        <v>1</v>
      </c>
      <c r="I337" s="1" t="n">
        <f aca="false" t="array" ref="I337:I337">_xlfn.SWITCH($A$2,"average", AVERAGE(Instances!I337:I337),"median", MEDIAN(Instances!I337:I337),"min", MIN(Instances!I337:I337),"max", MAX(Instances!I337:I337),"diff", MAX(Instances!I337:I337)-MIN(Instances!I337:I337))</f>
        <v>6.252</v>
      </c>
      <c r="J337" s="1" t="n">
        <f aca="false" t="array" ref="J337:J337">_xlfn.SWITCH($A$2,"average", AVERAGE(Instances!J337:J337),"median", MEDIAN(Instances!J337:J337),"min", MIN(Instances!J337:J337),"max", MAX(Instances!J337:J337),"diff", MAX(Instances!J337:J337)-MIN(Instances!J337:J337))</f>
        <v>6.44</v>
      </c>
      <c r="K337" s="1" t="n">
        <f aca="false" t="array" ref="K337:K337">_xlfn.SWITCH($A$2,"average", AVERAGE(Instances!K337:K337),"median", MEDIAN(Instances!K337:K337),"min", MIN(Instances!K337:K337),"max", MAX(Instances!K337:K337),"diff", MAX(Instances!K337:K337)-MIN(Instances!K337:K337))</f>
        <v>0</v>
      </c>
      <c r="L337" s="1"/>
      <c r="M337" s="1" t="n">
        <f aca="false" t="array" ref="M337:M337">_xlfn.SWITCH($A$2,"average", AVERAGE(Instances!M337:M337),"median", MEDIAN(Instances!M337:M337),"min", MIN(Instances!M337:M337),"max", MAX(Instances!M337:M337),"diff", MAX(Instances!M337:M337)-MIN(Instances!M337:M337))</f>
        <v>1434317</v>
      </c>
      <c r="N337" s="1" t="n">
        <f aca="false" t="array" ref="N337:N337">_xlfn.SWITCH($A$2,"average", AVERAGE(Instances!N337:N337),"median", MEDIAN(Instances!N337:N337),"min", MIN(Instances!N337:N337),"max", MAX(Instances!N337:N337),"diff", MAX(Instances!N337:N337)-MIN(Instances!N337:N337))</f>
        <v>0.05</v>
      </c>
      <c r="O337" s="1"/>
      <c r="P337" s="1" t="n">
        <f aca="false" t="array" ref="P337:P337">_xlfn.SWITCH($A$2,"average", AVERAGE(Instances!P337:P337),"median", MEDIAN(Instances!P337:P337),"min", MIN(Instances!P337:P337),"max", MAX(Instances!P337:P337),"diff", MAX(Instances!P337:P337)-MIN(Instances!P337:P337))</f>
        <v>6.44</v>
      </c>
      <c r="Q337" s="1" t="n">
        <f aca="false" t="array" ref="Q337:Q337">_xlfn.SWITCH($A$2,"average", AVERAGE(Instances!Q337:Q337),"median", MEDIAN(Instances!Q337:Q337),"min", MIN(Instances!Q337:Q337),"max", MAX(Instances!Q337:Q337),"diff", MAX(Instances!Q337:Q337)-MIN(Instances!Q337:Q337))</f>
        <v>0</v>
      </c>
      <c r="R337" s="1" t="n">
        <f aca="false" t="array" ref="R337:R337">_xlfn.SWITCH($A$2,"average", AVERAGE(Instances!R337:R337),"median", MEDIAN(Instances!R337:R337),"min", MIN(Instances!R337:R337),"max", MAX(Instances!R337:R337),"diff", MAX(Instances!R337:R337)-MIN(Instances!R337:R337))</f>
        <v>497705</v>
      </c>
      <c r="S337" s="1" t="n">
        <f aca="false">MIN($B337)</f>
        <v>2092</v>
      </c>
      <c r="T337" s="1" t="n">
        <f aca="false">MIN($C337)</f>
        <v>0</v>
      </c>
      <c r="U337" s="1" t="n">
        <f aca="false">MIN($D337)</f>
        <v>761197</v>
      </c>
      <c r="V337" s="1" t="n">
        <f aca="false">MIN($E337)</f>
        <v>0</v>
      </c>
      <c r="W337" s="1" t="n">
        <f aca="false">MIN($F337)</f>
        <v>495</v>
      </c>
      <c r="X337" s="1" t="n">
        <f aca="false">MIN($G337)</f>
        <v>0</v>
      </c>
      <c r="Y337" s="1" t="n">
        <f aca="false">MIN($H337)</f>
        <v>1</v>
      </c>
      <c r="Z337" s="1" t="n">
        <f aca="false">MIN($I337)</f>
        <v>6.252</v>
      </c>
      <c r="AA337" s="1" t="n">
        <f aca="false">MIN($J337)</f>
        <v>6.44</v>
      </c>
      <c r="AB337" s="1" t="n">
        <f aca="false">MIN($K337)</f>
        <v>0</v>
      </c>
      <c r="AC337" s="1" t="n">
        <f aca="false">MIN($M337)</f>
        <v>1434317</v>
      </c>
      <c r="AD337" s="1" t="n">
        <f aca="false">MIN($N337)</f>
        <v>0.05</v>
      </c>
      <c r="AE337" s="1" t="n">
        <f aca="false">MIN($P337)</f>
        <v>6.44</v>
      </c>
      <c r="AF337" s="1" t="n">
        <f aca="false">MIN($Q337)</f>
        <v>0</v>
      </c>
      <c r="AG337" s="1" t="n">
        <f aca="false">MIN($R337)</f>
        <v>497705</v>
      </c>
      <c r="AH337" s="1" t="n">
        <f aca="false">MEDIAN($B337)</f>
        <v>2092</v>
      </c>
      <c r="AI337" s="1" t="n">
        <f aca="false">MEDIAN($C337)</f>
        <v>0</v>
      </c>
      <c r="AJ337" s="1" t="n">
        <f aca="false">MEDIAN($D337)</f>
        <v>761197</v>
      </c>
      <c r="AK337" s="1" t="n">
        <f aca="false">MEDIAN($E337)</f>
        <v>0</v>
      </c>
      <c r="AL337" s="1" t="n">
        <f aca="false">MEDIAN($F337)</f>
        <v>495</v>
      </c>
      <c r="AM337" s="1" t="n">
        <f aca="false">MEDIAN($G337)</f>
        <v>0</v>
      </c>
      <c r="AN337" s="1" t="n">
        <f aca="false">MEDIAN($H337)</f>
        <v>1</v>
      </c>
      <c r="AO337" s="1" t="n">
        <f aca="false">MEDIAN($I337)</f>
        <v>6.252</v>
      </c>
      <c r="AP337" s="1" t="n">
        <f aca="false">MEDIAN($J337)</f>
        <v>6.44</v>
      </c>
      <c r="AQ337" s="1" t="n">
        <f aca="false">MEDIAN($K337)</f>
        <v>0</v>
      </c>
      <c r="AR337" s="1" t="n">
        <f aca="false">MEDIAN($M337)</f>
        <v>1434317</v>
      </c>
      <c r="AS337" s="1" t="n">
        <f aca="false">MEDIAN($N337)</f>
        <v>0.05</v>
      </c>
      <c r="AT337" s="1" t="n">
        <f aca="false">MEDIAN($P337)</f>
        <v>6.44</v>
      </c>
      <c r="AU337" s="1" t="n">
        <f aca="false">MEDIAN($Q337)</f>
        <v>0</v>
      </c>
      <c r="AV337" s="1" t="n">
        <f aca="false">MEDIAN($R337)</f>
        <v>497705</v>
      </c>
      <c r="AW337" s="1" t="n">
        <f aca="false">MAX($B337)</f>
        <v>2092</v>
      </c>
      <c r="AX337" s="1" t="n">
        <f aca="false">MAX($C337)</f>
        <v>0</v>
      </c>
      <c r="AY337" s="1" t="n">
        <f aca="false">MAX($D337)</f>
        <v>761197</v>
      </c>
      <c r="AZ337" s="1" t="n">
        <f aca="false">MAX($E337)</f>
        <v>0</v>
      </c>
      <c r="BA337" s="1" t="n">
        <f aca="false">MAX($F337)</f>
        <v>495</v>
      </c>
      <c r="BB337" s="1" t="n">
        <f aca="false">MAX($G337)</f>
        <v>0</v>
      </c>
      <c r="BC337" s="1" t="n">
        <f aca="false">MAX($H337)</f>
        <v>1</v>
      </c>
      <c r="BD337" s="1" t="n">
        <f aca="false">MAX($I337)</f>
        <v>6.252</v>
      </c>
      <c r="BE337" s="1" t="n">
        <f aca="false">MAX($J337)</f>
        <v>6.44</v>
      </c>
      <c r="BF337" s="1" t="n">
        <f aca="false">MAX($K337)</f>
        <v>0</v>
      </c>
      <c r="BG337" s="1" t="n">
        <f aca="false">MAX($M337)</f>
        <v>1434317</v>
      </c>
      <c r="BH337" s="1" t="n">
        <f aca="false">MAX($N337)</f>
        <v>0.05</v>
      </c>
      <c r="BI337" s="1" t="n">
        <f aca="false">MAX($P337)</f>
        <v>6.44</v>
      </c>
      <c r="BJ337" s="1" t="n">
        <f aca="false">MAX($Q337)</f>
        <v>0</v>
      </c>
      <c r="BK337" s="1" t="n">
        <f aca="false">MAX($R337)</f>
        <v>497705</v>
      </c>
    </row>
    <row r="338" customFormat="false" ht="15" hidden="false" customHeight="false" outlineLevel="0" collapsed="false">
      <c r="A338" s="1" t="s">
        <v>355</v>
      </c>
      <c r="B338" s="1" t="n">
        <f aca="false" t="array" ref="B338:B338">_xlfn.SWITCH($A$2,"average", AVERAGE(Instances!B338:B338),"median", MEDIAN(Instances!B338:B338),"min", MIN(Instances!B338:B338),"max", MAX(Instances!B338:B338),"diff", MAX(Instances!B338:B338)-MIN(Instances!B338:B338))</f>
        <v>1855</v>
      </c>
      <c r="C338" s="1" t="n">
        <f aca="false" t="array" ref="C338:C338">_xlfn.SWITCH($A$2,"average", AVERAGE(Instances!C338:C338),"median", MEDIAN(Instances!C338:C338),"min", MIN(Instances!C338:C338),"max", MAX(Instances!C338:C338),"diff", MAX(Instances!C338:C338)-MIN(Instances!C338:C338))</f>
        <v>0</v>
      </c>
      <c r="D338" s="1" t="n">
        <f aca="false" t="array" ref="D338:D338">_xlfn.SWITCH($A$2,"average", AVERAGE(Instances!D338:D338),"median", MEDIAN(Instances!D338:D338),"min", MIN(Instances!D338:D338),"max", MAX(Instances!D338:D338),"diff", MAX(Instances!D338:D338)-MIN(Instances!D338:D338))</f>
        <v>582038</v>
      </c>
      <c r="E338" s="1" t="n">
        <f aca="false" t="array" ref="E338:E338">_xlfn.SWITCH($A$2,"average", AVERAGE(Instances!E338:E338),"median", MEDIAN(Instances!E338:E338),"min", MIN(Instances!E338:E338),"max", MAX(Instances!E338:E338),"diff", MAX(Instances!E338:E338)-MIN(Instances!E338:E338))</f>
        <v>0</v>
      </c>
      <c r="F338" s="1" t="n">
        <f aca="false" t="array" ref="F338:F338">_xlfn.SWITCH($A$2,"average", AVERAGE(Instances!F338:F338),"median", MEDIAN(Instances!F338:F338),"min", MIN(Instances!F338:F338),"max", MAX(Instances!F338:F338),"diff", MAX(Instances!F338:F338)-MIN(Instances!F338:F338))</f>
        <v>408</v>
      </c>
      <c r="G338" s="1" t="n">
        <f aca="false" t="array" ref="G338:G338">_xlfn.SWITCH($A$2,"average", AVERAGE(Instances!G338:G338),"median", MEDIAN(Instances!G338:G338),"min", MIN(Instances!G338:G338),"max", MAX(Instances!G338:G338),"diff", MAX(Instances!G338:G338)-MIN(Instances!G338:G338))</f>
        <v>0</v>
      </c>
      <c r="H338" s="1" t="n">
        <f aca="false" t="array" ref="H338:H338">_xlfn.SWITCH($A$2,"average", AVERAGE(Instances!H338:H338),"median", MEDIAN(Instances!H338:H338),"min", MIN(Instances!H338:H338),"max", MAX(Instances!H338:H338),"diff", MAX(Instances!H338:H338)-MIN(Instances!H338:H338))</f>
        <v>1</v>
      </c>
      <c r="I338" s="1" t="n">
        <f aca="false" t="array" ref="I338:I338">_xlfn.SWITCH($A$2,"average", AVERAGE(Instances!I338:I338),"median", MEDIAN(Instances!I338:I338),"min", MIN(Instances!I338:I338),"max", MAX(Instances!I338:I338),"diff", MAX(Instances!I338:I338)-MIN(Instances!I338:I338))</f>
        <v>4.848</v>
      </c>
      <c r="J338" s="1" t="n">
        <f aca="false" t="array" ref="J338:J338">_xlfn.SWITCH($A$2,"average", AVERAGE(Instances!J338:J338),"median", MEDIAN(Instances!J338:J338),"min", MIN(Instances!J338:J338),"max", MAX(Instances!J338:J338),"diff", MAX(Instances!J338:J338)-MIN(Instances!J338:J338))</f>
        <v>4.98</v>
      </c>
      <c r="K338" s="1" t="n">
        <f aca="false" t="array" ref="K338:K338">_xlfn.SWITCH($A$2,"average", AVERAGE(Instances!K338:K338),"median", MEDIAN(Instances!K338:K338),"min", MIN(Instances!K338:K338),"max", MAX(Instances!K338:K338),"diff", MAX(Instances!K338:K338)-MIN(Instances!K338:K338))</f>
        <v>0</v>
      </c>
      <c r="L338" s="1"/>
      <c r="M338" s="1" t="n">
        <f aca="false" t="array" ref="M338:M338">_xlfn.SWITCH($A$2,"average", AVERAGE(Instances!M338:M338),"median", MEDIAN(Instances!M338:M338),"min", MIN(Instances!M338:M338),"max", MAX(Instances!M338:M338),"diff", MAX(Instances!M338:M338)-MIN(Instances!M338:M338))</f>
        <v>1172629</v>
      </c>
      <c r="N338" s="1" t="n">
        <f aca="false" t="array" ref="N338:N338">_xlfn.SWITCH($A$2,"average", AVERAGE(Instances!N338:N338),"median", MEDIAN(Instances!N338:N338),"min", MIN(Instances!N338:N338),"max", MAX(Instances!N338:N338),"diff", MAX(Instances!N338:N338)-MIN(Instances!N338:N338))</f>
        <v>0.05</v>
      </c>
      <c r="O338" s="1"/>
      <c r="P338" s="1" t="n">
        <f aca="false" t="array" ref="P338:P338">_xlfn.SWITCH($A$2,"average", AVERAGE(Instances!P338:P338),"median", MEDIAN(Instances!P338:P338),"min", MIN(Instances!P338:P338),"max", MAX(Instances!P338:P338),"diff", MAX(Instances!P338:P338)-MIN(Instances!P338:P338))</f>
        <v>4.98</v>
      </c>
      <c r="Q338" s="1" t="n">
        <f aca="false" t="array" ref="Q338:Q338">_xlfn.SWITCH($A$2,"average", AVERAGE(Instances!Q338:Q338),"median", MEDIAN(Instances!Q338:Q338),"min", MIN(Instances!Q338:Q338),"max", MAX(Instances!Q338:Q338),"diff", MAX(Instances!Q338:Q338)-MIN(Instances!Q338:Q338))</f>
        <v>0</v>
      </c>
      <c r="R338" s="1" t="n">
        <f aca="false" t="array" ref="R338:R338">_xlfn.SWITCH($A$2,"average", AVERAGE(Instances!R338:R338),"median", MEDIAN(Instances!R338:R338),"min", MIN(Instances!R338:R338),"max", MAX(Instances!R338:R338),"diff", MAX(Instances!R338:R338)-MIN(Instances!R338:R338))</f>
        <v>406059</v>
      </c>
      <c r="S338" s="1" t="n">
        <f aca="false">MIN($B338)</f>
        <v>1855</v>
      </c>
      <c r="T338" s="1" t="n">
        <f aca="false">MIN($C338)</f>
        <v>0</v>
      </c>
      <c r="U338" s="1" t="n">
        <f aca="false">MIN($D338)</f>
        <v>582038</v>
      </c>
      <c r="V338" s="1" t="n">
        <f aca="false">MIN($E338)</f>
        <v>0</v>
      </c>
      <c r="W338" s="1" t="n">
        <f aca="false">MIN($F338)</f>
        <v>408</v>
      </c>
      <c r="X338" s="1" t="n">
        <f aca="false">MIN($G338)</f>
        <v>0</v>
      </c>
      <c r="Y338" s="1" t="n">
        <f aca="false">MIN($H338)</f>
        <v>1</v>
      </c>
      <c r="Z338" s="1" t="n">
        <f aca="false">MIN($I338)</f>
        <v>4.848</v>
      </c>
      <c r="AA338" s="1" t="n">
        <f aca="false">MIN($J338)</f>
        <v>4.98</v>
      </c>
      <c r="AB338" s="1" t="n">
        <f aca="false">MIN($K338)</f>
        <v>0</v>
      </c>
      <c r="AC338" s="1" t="n">
        <f aca="false">MIN($M338)</f>
        <v>1172629</v>
      </c>
      <c r="AD338" s="1" t="n">
        <f aca="false">MIN($N338)</f>
        <v>0.05</v>
      </c>
      <c r="AE338" s="1" t="n">
        <f aca="false">MIN($P338)</f>
        <v>4.98</v>
      </c>
      <c r="AF338" s="1" t="n">
        <f aca="false">MIN($Q338)</f>
        <v>0</v>
      </c>
      <c r="AG338" s="1" t="n">
        <f aca="false">MIN($R338)</f>
        <v>406059</v>
      </c>
      <c r="AH338" s="1" t="n">
        <f aca="false">MEDIAN($B338)</f>
        <v>1855</v>
      </c>
      <c r="AI338" s="1" t="n">
        <f aca="false">MEDIAN($C338)</f>
        <v>0</v>
      </c>
      <c r="AJ338" s="1" t="n">
        <f aca="false">MEDIAN($D338)</f>
        <v>582038</v>
      </c>
      <c r="AK338" s="1" t="n">
        <f aca="false">MEDIAN($E338)</f>
        <v>0</v>
      </c>
      <c r="AL338" s="1" t="n">
        <f aca="false">MEDIAN($F338)</f>
        <v>408</v>
      </c>
      <c r="AM338" s="1" t="n">
        <f aca="false">MEDIAN($G338)</f>
        <v>0</v>
      </c>
      <c r="AN338" s="1" t="n">
        <f aca="false">MEDIAN($H338)</f>
        <v>1</v>
      </c>
      <c r="AO338" s="1" t="n">
        <f aca="false">MEDIAN($I338)</f>
        <v>4.848</v>
      </c>
      <c r="AP338" s="1" t="n">
        <f aca="false">MEDIAN($J338)</f>
        <v>4.98</v>
      </c>
      <c r="AQ338" s="1" t="n">
        <f aca="false">MEDIAN($K338)</f>
        <v>0</v>
      </c>
      <c r="AR338" s="1" t="n">
        <f aca="false">MEDIAN($M338)</f>
        <v>1172629</v>
      </c>
      <c r="AS338" s="1" t="n">
        <f aca="false">MEDIAN($N338)</f>
        <v>0.05</v>
      </c>
      <c r="AT338" s="1" t="n">
        <f aca="false">MEDIAN($P338)</f>
        <v>4.98</v>
      </c>
      <c r="AU338" s="1" t="n">
        <f aca="false">MEDIAN($Q338)</f>
        <v>0</v>
      </c>
      <c r="AV338" s="1" t="n">
        <f aca="false">MEDIAN($R338)</f>
        <v>406059</v>
      </c>
      <c r="AW338" s="1" t="n">
        <f aca="false">MAX($B338)</f>
        <v>1855</v>
      </c>
      <c r="AX338" s="1" t="n">
        <f aca="false">MAX($C338)</f>
        <v>0</v>
      </c>
      <c r="AY338" s="1" t="n">
        <f aca="false">MAX($D338)</f>
        <v>582038</v>
      </c>
      <c r="AZ338" s="1" t="n">
        <f aca="false">MAX($E338)</f>
        <v>0</v>
      </c>
      <c r="BA338" s="1" t="n">
        <f aca="false">MAX($F338)</f>
        <v>408</v>
      </c>
      <c r="BB338" s="1" t="n">
        <f aca="false">MAX($G338)</f>
        <v>0</v>
      </c>
      <c r="BC338" s="1" t="n">
        <f aca="false">MAX($H338)</f>
        <v>1</v>
      </c>
      <c r="BD338" s="1" t="n">
        <f aca="false">MAX($I338)</f>
        <v>4.848</v>
      </c>
      <c r="BE338" s="1" t="n">
        <f aca="false">MAX($J338)</f>
        <v>4.98</v>
      </c>
      <c r="BF338" s="1" t="n">
        <f aca="false">MAX($K338)</f>
        <v>0</v>
      </c>
      <c r="BG338" s="1" t="n">
        <f aca="false">MAX($M338)</f>
        <v>1172629</v>
      </c>
      <c r="BH338" s="1" t="n">
        <f aca="false">MAX($N338)</f>
        <v>0.05</v>
      </c>
      <c r="BI338" s="1" t="n">
        <f aca="false">MAX($P338)</f>
        <v>4.98</v>
      </c>
      <c r="BJ338" s="1" t="n">
        <f aca="false">MAX($Q338)</f>
        <v>0</v>
      </c>
      <c r="BK338" s="1" t="n">
        <f aca="false">MAX($R338)</f>
        <v>406059</v>
      </c>
    </row>
    <row r="339" customFormat="false" ht="15" hidden="false" customHeight="false" outlineLevel="0" collapsed="false">
      <c r="A339" s="1" t="s">
        <v>356</v>
      </c>
      <c r="B339" s="1" t="n">
        <f aca="false" t="array" ref="B339:B339">_xlfn.SWITCH($A$2,"average", AVERAGE(Instances!B339:B339),"median", MEDIAN(Instances!B339:B339),"min", MIN(Instances!B339:B339),"max", MAX(Instances!B339:B339),"diff", MAX(Instances!B339:B339)-MIN(Instances!B339:B339))</f>
        <v>1730</v>
      </c>
      <c r="C339" s="1" t="n">
        <f aca="false" t="array" ref="C339:C339">_xlfn.SWITCH($A$2,"average", AVERAGE(Instances!C339:C339),"median", MEDIAN(Instances!C339:C339),"min", MIN(Instances!C339:C339),"max", MAX(Instances!C339:C339),"diff", MAX(Instances!C339:C339)-MIN(Instances!C339:C339))</f>
        <v>0</v>
      </c>
      <c r="D339" s="1" t="n">
        <f aca="false" t="array" ref="D339:D339">_xlfn.SWITCH($A$2,"average", AVERAGE(Instances!D339:D339),"median", MEDIAN(Instances!D339:D339),"min", MIN(Instances!D339:D339),"max", MAX(Instances!D339:D339),"diff", MAX(Instances!D339:D339)-MIN(Instances!D339:D339))</f>
        <v>844009</v>
      </c>
      <c r="E339" s="1" t="n">
        <f aca="false" t="array" ref="E339:E339">_xlfn.SWITCH($A$2,"average", AVERAGE(Instances!E339:E339),"median", MEDIAN(Instances!E339:E339),"min", MIN(Instances!E339:E339),"max", MAX(Instances!E339:E339),"diff", MAX(Instances!E339:E339)-MIN(Instances!E339:E339))</f>
        <v>0</v>
      </c>
      <c r="F339" s="1" t="n">
        <f aca="false" t="array" ref="F339:F339">_xlfn.SWITCH($A$2,"average", AVERAGE(Instances!F339:F339),"median", MEDIAN(Instances!F339:F339),"min", MIN(Instances!F339:F339),"max", MAX(Instances!F339:F339),"diff", MAX(Instances!F339:F339)-MIN(Instances!F339:F339))</f>
        <v>519</v>
      </c>
      <c r="G339" s="1" t="n">
        <f aca="false" t="array" ref="G339:G339">_xlfn.SWITCH($A$2,"average", AVERAGE(Instances!G339:G339),"median", MEDIAN(Instances!G339:G339),"min", MIN(Instances!G339:G339),"max", MAX(Instances!G339:G339),"diff", MAX(Instances!G339:G339)-MIN(Instances!G339:G339))</f>
        <v>0</v>
      </c>
      <c r="H339" s="1" t="n">
        <f aca="false" t="array" ref="H339:H339">_xlfn.SWITCH($A$2,"average", AVERAGE(Instances!H339:H339),"median", MEDIAN(Instances!H339:H339),"min", MIN(Instances!H339:H339),"max", MAX(Instances!H339:H339),"diff", MAX(Instances!H339:H339)-MIN(Instances!H339:H339))</f>
        <v>1</v>
      </c>
      <c r="I339" s="1" t="n">
        <f aca="false" t="array" ref="I339:I339">_xlfn.SWITCH($A$2,"average", AVERAGE(Instances!I339:I339),"median", MEDIAN(Instances!I339:I339),"min", MIN(Instances!I339:I339),"max", MAX(Instances!I339:I339),"diff", MAX(Instances!I339:I339)-MIN(Instances!I339:I339))</f>
        <v>6.442</v>
      </c>
      <c r="J339" s="1" t="n">
        <f aca="false" t="array" ref="J339:J339">_xlfn.SWITCH($A$2,"average", AVERAGE(Instances!J339:J339),"median", MEDIAN(Instances!J339:J339),"min", MIN(Instances!J339:J339),"max", MAX(Instances!J339:J339),"diff", MAX(Instances!J339:J339)-MIN(Instances!J339:J339))</f>
        <v>6.61</v>
      </c>
      <c r="K339" s="1" t="n">
        <f aca="false" t="array" ref="K339:K339">_xlfn.SWITCH($A$2,"average", AVERAGE(Instances!K339:K339),"median", MEDIAN(Instances!K339:K339),"min", MIN(Instances!K339:K339),"max", MAX(Instances!K339:K339),"diff", MAX(Instances!K339:K339)-MIN(Instances!K339:K339))</f>
        <v>0</v>
      </c>
      <c r="L339" s="1"/>
      <c r="M339" s="1" t="n">
        <f aca="false" t="array" ref="M339:M339">_xlfn.SWITCH($A$2,"average", AVERAGE(Instances!M339:M339),"median", MEDIAN(Instances!M339:M339),"min", MIN(Instances!M339:M339),"max", MAX(Instances!M339:M339),"diff", MAX(Instances!M339:M339)-MIN(Instances!M339:M339))</f>
        <v>1507419</v>
      </c>
      <c r="N339" s="1" t="n">
        <f aca="false" t="array" ref="N339:N339">_xlfn.SWITCH($A$2,"average", AVERAGE(Instances!N339:N339),"median", MEDIAN(Instances!N339:N339),"min", MIN(Instances!N339:N339),"max", MAX(Instances!N339:N339),"diff", MAX(Instances!N339:N339)-MIN(Instances!N339:N339))</f>
        <v>0.05</v>
      </c>
      <c r="O339" s="1"/>
      <c r="P339" s="1" t="n">
        <f aca="false" t="array" ref="P339:P339">_xlfn.SWITCH($A$2,"average", AVERAGE(Instances!P339:P339),"median", MEDIAN(Instances!P339:P339),"min", MIN(Instances!P339:P339),"max", MAX(Instances!P339:P339),"diff", MAX(Instances!P339:P339)-MIN(Instances!P339:P339))</f>
        <v>6.61</v>
      </c>
      <c r="Q339" s="1" t="n">
        <f aca="false" t="array" ref="Q339:Q339">_xlfn.SWITCH($A$2,"average", AVERAGE(Instances!Q339:Q339),"median", MEDIAN(Instances!Q339:Q339),"min", MIN(Instances!Q339:Q339),"max", MAX(Instances!Q339:Q339),"diff", MAX(Instances!Q339:Q339)-MIN(Instances!Q339:Q339))</f>
        <v>0</v>
      </c>
      <c r="R339" s="1" t="n">
        <f aca="false" t="array" ref="R339:R339">_xlfn.SWITCH($A$2,"average", AVERAGE(Instances!R339:R339),"median", MEDIAN(Instances!R339:R339),"min", MIN(Instances!R339:R339),"max", MAX(Instances!R339:R339),"diff", MAX(Instances!R339:R339)-MIN(Instances!R339:R339))</f>
        <v>521389</v>
      </c>
      <c r="S339" s="1" t="n">
        <f aca="false">MIN($B339)</f>
        <v>1730</v>
      </c>
      <c r="T339" s="1" t="n">
        <f aca="false">MIN($C339)</f>
        <v>0</v>
      </c>
      <c r="U339" s="1" t="n">
        <f aca="false">MIN($D339)</f>
        <v>844009</v>
      </c>
      <c r="V339" s="1" t="n">
        <f aca="false">MIN($E339)</f>
        <v>0</v>
      </c>
      <c r="W339" s="1" t="n">
        <f aca="false">MIN($F339)</f>
        <v>519</v>
      </c>
      <c r="X339" s="1" t="n">
        <f aca="false">MIN($G339)</f>
        <v>0</v>
      </c>
      <c r="Y339" s="1" t="n">
        <f aca="false">MIN($H339)</f>
        <v>1</v>
      </c>
      <c r="Z339" s="1" t="n">
        <f aca="false">MIN($I339)</f>
        <v>6.442</v>
      </c>
      <c r="AA339" s="1" t="n">
        <f aca="false">MIN($J339)</f>
        <v>6.61</v>
      </c>
      <c r="AB339" s="1" t="n">
        <f aca="false">MIN($K339)</f>
        <v>0</v>
      </c>
      <c r="AC339" s="1" t="n">
        <f aca="false">MIN($M339)</f>
        <v>1507419</v>
      </c>
      <c r="AD339" s="1" t="n">
        <f aca="false">MIN($N339)</f>
        <v>0.05</v>
      </c>
      <c r="AE339" s="1" t="n">
        <f aca="false">MIN($P339)</f>
        <v>6.61</v>
      </c>
      <c r="AF339" s="1" t="n">
        <f aca="false">MIN($Q339)</f>
        <v>0</v>
      </c>
      <c r="AG339" s="1" t="n">
        <f aca="false">MIN($R339)</f>
        <v>521389</v>
      </c>
      <c r="AH339" s="1" t="n">
        <f aca="false">MEDIAN($B339)</f>
        <v>1730</v>
      </c>
      <c r="AI339" s="1" t="n">
        <f aca="false">MEDIAN($C339)</f>
        <v>0</v>
      </c>
      <c r="AJ339" s="1" t="n">
        <f aca="false">MEDIAN($D339)</f>
        <v>844009</v>
      </c>
      <c r="AK339" s="1" t="n">
        <f aca="false">MEDIAN($E339)</f>
        <v>0</v>
      </c>
      <c r="AL339" s="1" t="n">
        <f aca="false">MEDIAN($F339)</f>
        <v>519</v>
      </c>
      <c r="AM339" s="1" t="n">
        <f aca="false">MEDIAN($G339)</f>
        <v>0</v>
      </c>
      <c r="AN339" s="1" t="n">
        <f aca="false">MEDIAN($H339)</f>
        <v>1</v>
      </c>
      <c r="AO339" s="1" t="n">
        <f aca="false">MEDIAN($I339)</f>
        <v>6.442</v>
      </c>
      <c r="AP339" s="1" t="n">
        <f aca="false">MEDIAN($J339)</f>
        <v>6.61</v>
      </c>
      <c r="AQ339" s="1" t="n">
        <f aca="false">MEDIAN($K339)</f>
        <v>0</v>
      </c>
      <c r="AR339" s="1" t="n">
        <f aca="false">MEDIAN($M339)</f>
        <v>1507419</v>
      </c>
      <c r="AS339" s="1" t="n">
        <f aca="false">MEDIAN($N339)</f>
        <v>0.05</v>
      </c>
      <c r="AT339" s="1" t="n">
        <f aca="false">MEDIAN($P339)</f>
        <v>6.61</v>
      </c>
      <c r="AU339" s="1" t="n">
        <f aca="false">MEDIAN($Q339)</f>
        <v>0</v>
      </c>
      <c r="AV339" s="1" t="n">
        <f aca="false">MEDIAN($R339)</f>
        <v>521389</v>
      </c>
      <c r="AW339" s="1" t="n">
        <f aca="false">MAX($B339)</f>
        <v>1730</v>
      </c>
      <c r="AX339" s="1" t="n">
        <f aca="false">MAX($C339)</f>
        <v>0</v>
      </c>
      <c r="AY339" s="1" t="n">
        <f aca="false">MAX($D339)</f>
        <v>844009</v>
      </c>
      <c r="AZ339" s="1" t="n">
        <f aca="false">MAX($E339)</f>
        <v>0</v>
      </c>
      <c r="BA339" s="1" t="n">
        <f aca="false">MAX($F339)</f>
        <v>519</v>
      </c>
      <c r="BB339" s="1" t="n">
        <f aca="false">MAX($G339)</f>
        <v>0</v>
      </c>
      <c r="BC339" s="1" t="n">
        <f aca="false">MAX($H339)</f>
        <v>1</v>
      </c>
      <c r="BD339" s="1" t="n">
        <f aca="false">MAX($I339)</f>
        <v>6.442</v>
      </c>
      <c r="BE339" s="1" t="n">
        <f aca="false">MAX($J339)</f>
        <v>6.61</v>
      </c>
      <c r="BF339" s="1" t="n">
        <f aca="false">MAX($K339)</f>
        <v>0</v>
      </c>
      <c r="BG339" s="1" t="n">
        <f aca="false">MAX($M339)</f>
        <v>1507419</v>
      </c>
      <c r="BH339" s="1" t="n">
        <f aca="false">MAX($N339)</f>
        <v>0.05</v>
      </c>
      <c r="BI339" s="1" t="n">
        <f aca="false">MAX($P339)</f>
        <v>6.61</v>
      </c>
      <c r="BJ339" s="1" t="n">
        <f aca="false">MAX($Q339)</f>
        <v>0</v>
      </c>
      <c r="BK339" s="1" t="n">
        <f aca="false">MAX($R339)</f>
        <v>521389</v>
      </c>
    </row>
    <row r="340" customFormat="false" ht="15" hidden="false" customHeight="false" outlineLevel="0" collapsed="false">
      <c r="A340" s="1" t="s">
        <v>357</v>
      </c>
      <c r="B340" s="1" t="n">
        <f aca="false" t="array" ref="B340:B340">_xlfn.SWITCH($A$2,"average", AVERAGE(Instances!B340:B340),"median", MEDIAN(Instances!B340:B340),"min", MIN(Instances!B340:B340),"max", MAX(Instances!B340:B340),"diff", MAX(Instances!B340:B340)-MIN(Instances!B340:B340))</f>
        <v>1451</v>
      </c>
      <c r="C340" s="1" t="n">
        <f aca="false" t="array" ref="C340:C340">_xlfn.SWITCH($A$2,"average", AVERAGE(Instances!C340:C340),"median", MEDIAN(Instances!C340:C340),"min", MIN(Instances!C340:C340),"max", MAX(Instances!C340:C340),"diff", MAX(Instances!C340:C340)-MIN(Instances!C340:C340))</f>
        <v>0</v>
      </c>
      <c r="D340" s="1" t="n">
        <f aca="false" t="array" ref="D340:D340">_xlfn.SWITCH($A$2,"average", AVERAGE(Instances!D340:D340),"median", MEDIAN(Instances!D340:D340),"min", MIN(Instances!D340:D340),"max", MAX(Instances!D340:D340),"diff", MAX(Instances!D340:D340)-MIN(Instances!D340:D340))</f>
        <v>860777</v>
      </c>
      <c r="E340" s="1" t="n">
        <f aca="false" t="array" ref="E340:E340">_xlfn.SWITCH($A$2,"average", AVERAGE(Instances!E340:E340),"median", MEDIAN(Instances!E340:E340),"min", MIN(Instances!E340:E340),"max", MAX(Instances!E340:E340),"diff", MAX(Instances!E340:E340)-MIN(Instances!E340:E340))</f>
        <v>0</v>
      </c>
      <c r="F340" s="1" t="n">
        <f aca="false" t="array" ref="F340:F340">_xlfn.SWITCH($A$2,"average", AVERAGE(Instances!F340:F340),"median", MEDIAN(Instances!F340:F340),"min", MIN(Instances!F340:F340),"max", MAX(Instances!F340:F340),"diff", MAX(Instances!F340:F340)-MIN(Instances!F340:F340))</f>
        <v>520</v>
      </c>
      <c r="G340" s="1" t="n">
        <f aca="false" t="array" ref="G340:G340">_xlfn.SWITCH($A$2,"average", AVERAGE(Instances!G340:G340),"median", MEDIAN(Instances!G340:G340),"min", MIN(Instances!G340:G340),"max", MAX(Instances!G340:G340),"diff", MAX(Instances!G340:G340)-MIN(Instances!G340:G340))</f>
        <v>0</v>
      </c>
      <c r="H340" s="1" t="n">
        <f aca="false" t="array" ref="H340:H340">_xlfn.SWITCH($A$2,"average", AVERAGE(Instances!H340:H340),"median", MEDIAN(Instances!H340:H340),"min", MIN(Instances!H340:H340),"max", MAX(Instances!H340:H340),"diff", MAX(Instances!H340:H340)-MIN(Instances!H340:H340))</f>
        <v>1</v>
      </c>
      <c r="I340" s="1" t="n">
        <f aca="false" t="array" ref="I340:I340">_xlfn.SWITCH($A$2,"average", AVERAGE(Instances!I340:I340),"median", MEDIAN(Instances!I340:I340),"min", MIN(Instances!I340:I340),"max", MAX(Instances!I340:I340),"diff", MAX(Instances!I340:I340)-MIN(Instances!I340:I340))</f>
        <v>6.466</v>
      </c>
      <c r="J340" s="1" t="n">
        <f aca="false" t="array" ref="J340:J340">_xlfn.SWITCH($A$2,"average", AVERAGE(Instances!J340:J340),"median", MEDIAN(Instances!J340:J340),"min", MIN(Instances!J340:J340),"max", MAX(Instances!J340:J340),"diff", MAX(Instances!J340:J340)-MIN(Instances!J340:J340))</f>
        <v>6.66</v>
      </c>
      <c r="K340" s="1" t="n">
        <f aca="false" t="array" ref="K340:K340">_xlfn.SWITCH($A$2,"average", AVERAGE(Instances!K340:K340),"median", MEDIAN(Instances!K340:K340),"min", MIN(Instances!K340:K340),"max", MAX(Instances!K340:K340),"diff", MAX(Instances!K340:K340)-MIN(Instances!K340:K340))</f>
        <v>0</v>
      </c>
      <c r="L340" s="1"/>
      <c r="M340" s="1" t="n">
        <f aca="false" t="array" ref="M340:M340">_xlfn.SWITCH($A$2,"average", AVERAGE(Instances!M340:M340),"median", MEDIAN(Instances!M340:M340),"min", MIN(Instances!M340:M340),"max", MAX(Instances!M340:M340),"diff", MAX(Instances!M340:M340)-MIN(Instances!M340:M340))</f>
        <v>1513308</v>
      </c>
      <c r="N340" s="1" t="n">
        <f aca="false" t="array" ref="N340:N340">_xlfn.SWITCH($A$2,"average", AVERAGE(Instances!N340:N340),"median", MEDIAN(Instances!N340:N340),"min", MIN(Instances!N340:N340),"max", MAX(Instances!N340:N340),"diff", MAX(Instances!N340:N340)-MIN(Instances!N340:N340))</f>
        <v>0.06</v>
      </c>
      <c r="O340" s="1"/>
      <c r="P340" s="1" t="n">
        <f aca="false" t="array" ref="P340:P340">_xlfn.SWITCH($A$2,"average", AVERAGE(Instances!P340:P340),"median", MEDIAN(Instances!P340:P340),"min", MIN(Instances!P340:P340),"max", MAX(Instances!P340:P340),"diff", MAX(Instances!P340:P340)-MIN(Instances!P340:P340))</f>
        <v>6.66</v>
      </c>
      <c r="Q340" s="1" t="n">
        <f aca="false" t="array" ref="Q340:Q340">_xlfn.SWITCH($A$2,"average", AVERAGE(Instances!Q340:Q340),"median", MEDIAN(Instances!Q340:Q340),"min", MIN(Instances!Q340:Q340),"max", MAX(Instances!Q340:Q340),"diff", MAX(Instances!Q340:Q340)-MIN(Instances!Q340:Q340))</f>
        <v>0</v>
      </c>
      <c r="R340" s="1" t="n">
        <f aca="false" t="array" ref="R340:R340">_xlfn.SWITCH($A$2,"average", AVERAGE(Instances!R340:R340),"median", MEDIAN(Instances!R340:R340),"min", MIN(Instances!R340:R340),"max", MAX(Instances!R340:R340),"diff", MAX(Instances!R340:R340)-MIN(Instances!R340:R340))</f>
        <v>525424</v>
      </c>
      <c r="S340" s="1" t="n">
        <f aca="false">MIN($B340)</f>
        <v>1451</v>
      </c>
      <c r="T340" s="1" t="n">
        <f aca="false">MIN($C340)</f>
        <v>0</v>
      </c>
      <c r="U340" s="1" t="n">
        <f aca="false">MIN($D340)</f>
        <v>860777</v>
      </c>
      <c r="V340" s="1" t="n">
        <f aca="false">MIN($E340)</f>
        <v>0</v>
      </c>
      <c r="W340" s="1" t="n">
        <f aca="false">MIN($F340)</f>
        <v>520</v>
      </c>
      <c r="X340" s="1" t="n">
        <f aca="false">MIN($G340)</f>
        <v>0</v>
      </c>
      <c r="Y340" s="1" t="n">
        <f aca="false">MIN($H340)</f>
        <v>1</v>
      </c>
      <c r="Z340" s="1" t="n">
        <f aca="false">MIN($I340)</f>
        <v>6.466</v>
      </c>
      <c r="AA340" s="1" t="n">
        <f aca="false">MIN($J340)</f>
        <v>6.66</v>
      </c>
      <c r="AB340" s="1" t="n">
        <f aca="false">MIN($K340)</f>
        <v>0</v>
      </c>
      <c r="AC340" s="1" t="n">
        <f aca="false">MIN($M340)</f>
        <v>1513308</v>
      </c>
      <c r="AD340" s="1" t="n">
        <f aca="false">MIN($N340)</f>
        <v>0.06</v>
      </c>
      <c r="AE340" s="1" t="n">
        <f aca="false">MIN($P340)</f>
        <v>6.66</v>
      </c>
      <c r="AF340" s="1" t="n">
        <f aca="false">MIN($Q340)</f>
        <v>0</v>
      </c>
      <c r="AG340" s="1" t="n">
        <f aca="false">MIN($R340)</f>
        <v>525424</v>
      </c>
      <c r="AH340" s="1" t="n">
        <f aca="false">MEDIAN($B340)</f>
        <v>1451</v>
      </c>
      <c r="AI340" s="1" t="n">
        <f aca="false">MEDIAN($C340)</f>
        <v>0</v>
      </c>
      <c r="AJ340" s="1" t="n">
        <f aca="false">MEDIAN($D340)</f>
        <v>860777</v>
      </c>
      <c r="AK340" s="1" t="n">
        <f aca="false">MEDIAN($E340)</f>
        <v>0</v>
      </c>
      <c r="AL340" s="1" t="n">
        <f aca="false">MEDIAN($F340)</f>
        <v>520</v>
      </c>
      <c r="AM340" s="1" t="n">
        <f aca="false">MEDIAN($G340)</f>
        <v>0</v>
      </c>
      <c r="AN340" s="1" t="n">
        <f aca="false">MEDIAN($H340)</f>
        <v>1</v>
      </c>
      <c r="AO340" s="1" t="n">
        <f aca="false">MEDIAN($I340)</f>
        <v>6.466</v>
      </c>
      <c r="AP340" s="1" t="n">
        <f aca="false">MEDIAN($J340)</f>
        <v>6.66</v>
      </c>
      <c r="AQ340" s="1" t="n">
        <f aca="false">MEDIAN($K340)</f>
        <v>0</v>
      </c>
      <c r="AR340" s="1" t="n">
        <f aca="false">MEDIAN($M340)</f>
        <v>1513308</v>
      </c>
      <c r="AS340" s="1" t="n">
        <f aca="false">MEDIAN($N340)</f>
        <v>0.06</v>
      </c>
      <c r="AT340" s="1" t="n">
        <f aca="false">MEDIAN($P340)</f>
        <v>6.66</v>
      </c>
      <c r="AU340" s="1" t="n">
        <f aca="false">MEDIAN($Q340)</f>
        <v>0</v>
      </c>
      <c r="AV340" s="1" t="n">
        <f aca="false">MEDIAN($R340)</f>
        <v>525424</v>
      </c>
      <c r="AW340" s="1" t="n">
        <f aca="false">MAX($B340)</f>
        <v>1451</v>
      </c>
      <c r="AX340" s="1" t="n">
        <f aca="false">MAX($C340)</f>
        <v>0</v>
      </c>
      <c r="AY340" s="1" t="n">
        <f aca="false">MAX($D340)</f>
        <v>860777</v>
      </c>
      <c r="AZ340" s="1" t="n">
        <f aca="false">MAX($E340)</f>
        <v>0</v>
      </c>
      <c r="BA340" s="1" t="n">
        <f aca="false">MAX($F340)</f>
        <v>520</v>
      </c>
      <c r="BB340" s="1" t="n">
        <f aca="false">MAX($G340)</f>
        <v>0</v>
      </c>
      <c r="BC340" s="1" t="n">
        <f aca="false">MAX($H340)</f>
        <v>1</v>
      </c>
      <c r="BD340" s="1" t="n">
        <f aca="false">MAX($I340)</f>
        <v>6.466</v>
      </c>
      <c r="BE340" s="1" t="n">
        <f aca="false">MAX($J340)</f>
        <v>6.66</v>
      </c>
      <c r="BF340" s="1" t="n">
        <f aca="false">MAX($K340)</f>
        <v>0</v>
      </c>
      <c r="BG340" s="1" t="n">
        <f aca="false">MAX($M340)</f>
        <v>1513308</v>
      </c>
      <c r="BH340" s="1" t="n">
        <f aca="false">MAX($N340)</f>
        <v>0.06</v>
      </c>
      <c r="BI340" s="1" t="n">
        <f aca="false">MAX($P340)</f>
        <v>6.66</v>
      </c>
      <c r="BJ340" s="1" t="n">
        <f aca="false">MAX($Q340)</f>
        <v>0</v>
      </c>
      <c r="BK340" s="1" t="n">
        <f aca="false">MAX($R340)</f>
        <v>525424</v>
      </c>
    </row>
    <row r="341" customFormat="false" ht="15" hidden="false" customHeight="false" outlineLevel="0" collapsed="false">
      <c r="A341" s="1" t="s">
        <v>358</v>
      </c>
      <c r="B341" s="1" t="n">
        <f aca="false" t="array" ref="B341:B341">_xlfn.SWITCH($A$2,"average", AVERAGE(Instances!B341:B341),"median", MEDIAN(Instances!B341:B341),"min", MIN(Instances!B341:B341),"max", MAX(Instances!B341:B341),"diff", MAX(Instances!B341:B341)-MIN(Instances!B341:B341))</f>
        <v>4014</v>
      </c>
      <c r="C341" s="1" t="n">
        <f aca="false" t="array" ref="C341:C341">_xlfn.SWITCH($A$2,"average", AVERAGE(Instances!C341:C341),"median", MEDIAN(Instances!C341:C341),"min", MIN(Instances!C341:C341),"max", MAX(Instances!C341:C341),"diff", MAX(Instances!C341:C341)-MIN(Instances!C341:C341))</f>
        <v>9</v>
      </c>
      <c r="D341" s="1" t="n">
        <f aca="false" t="array" ref="D341:D341">_xlfn.SWITCH($A$2,"average", AVERAGE(Instances!D341:D341),"median", MEDIAN(Instances!D341:D341),"min", MIN(Instances!D341:D341),"max", MAX(Instances!D341:D341),"diff", MAX(Instances!D341:D341)-MIN(Instances!D341:D341))</f>
        <v>1560772</v>
      </c>
      <c r="E341" s="1" t="n">
        <f aca="false" t="array" ref="E341:E341">_xlfn.SWITCH($A$2,"average", AVERAGE(Instances!E341:E341),"median", MEDIAN(Instances!E341:E341),"min", MIN(Instances!E341:E341),"max", MAX(Instances!E341:E341),"diff", MAX(Instances!E341:E341)-MIN(Instances!E341:E341))</f>
        <v>0</v>
      </c>
      <c r="F341" s="1" t="n">
        <f aca="false" t="array" ref="F341:F341">_xlfn.SWITCH($A$2,"average", AVERAGE(Instances!F341:F341),"median", MEDIAN(Instances!F341:F341),"min", MIN(Instances!F341:F341),"max", MAX(Instances!F341:F341),"diff", MAX(Instances!F341:F341)-MIN(Instances!F341:F341))</f>
        <v>840</v>
      </c>
      <c r="G341" s="1" t="n">
        <f aca="false" t="array" ref="G341:G341">_xlfn.SWITCH($A$2,"average", AVERAGE(Instances!G341:G341),"median", MEDIAN(Instances!G341:G341),"min", MIN(Instances!G341:G341),"max", MAX(Instances!G341:G341),"diff", MAX(Instances!G341:G341)-MIN(Instances!G341:G341))</f>
        <v>0</v>
      </c>
      <c r="H341" s="1" t="n">
        <f aca="false" t="array" ref="H341:H341">_xlfn.SWITCH($A$2,"average", AVERAGE(Instances!H341:H341),"median", MEDIAN(Instances!H341:H341),"min", MIN(Instances!H341:H341),"max", MAX(Instances!H341:H341),"diff", MAX(Instances!H341:H341)-MIN(Instances!H341:H341))</f>
        <v>1</v>
      </c>
      <c r="I341" s="1" t="n">
        <f aca="false" t="array" ref="I341:I341">_xlfn.SWITCH($A$2,"average", AVERAGE(Instances!I341:I341),"median", MEDIAN(Instances!I341:I341),"min", MIN(Instances!I341:I341),"max", MAX(Instances!I341:I341),"diff", MAX(Instances!I341:I341)-MIN(Instances!I341:I341))</f>
        <v>11.436</v>
      </c>
      <c r="J341" s="1" t="n">
        <f aca="false" t="array" ref="J341:J341">_xlfn.SWITCH($A$2,"average", AVERAGE(Instances!J341:J341),"median", MEDIAN(Instances!J341:J341),"min", MIN(Instances!J341:J341),"max", MAX(Instances!J341:J341),"diff", MAX(Instances!J341:J341)-MIN(Instances!J341:J341))</f>
        <v>11.71</v>
      </c>
      <c r="K341" s="1" t="n">
        <f aca="false" t="array" ref="K341:K341">_xlfn.SWITCH($A$2,"average", AVERAGE(Instances!K341:K341),"median", MEDIAN(Instances!K341:K341),"min", MIN(Instances!K341:K341),"max", MAX(Instances!K341:K341),"diff", MAX(Instances!K341:K341)-MIN(Instances!K341:K341))</f>
        <v>0</v>
      </c>
      <c r="L341" s="1"/>
      <c r="M341" s="1" t="n">
        <f aca="false" t="array" ref="M341:M341">_xlfn.SWITCH($A$2,"average", AVERAGE(Instances!M341:M341),"median", MEDIAN(Instances!M341:M341),"min", MIN(Instances!M341:M341),"max", MAX(Instances!M341:M341),"diff", MAX(Instances!M341:M341)-MIN(Instances!M341:M341))</f>
        <v>2729954</v>
      </c>
      <c r="N341" s="1" t="n">
        <f aca="false" t="array" ref="N341:N341">_xlfn.SWITCH($A$2,"average", AVERAGE(Instances!N341:N341),"median", MEDIAN(Instances!N341:N341),"min", MIN(Instances!N341:N341),"max", MAX(Instances!N341:N341),"diff", MAX(Instances!N341:N341)-MIN(Instances!N341:N341))</f>
        <v>0.12</v>
      </c>
      <c r="O341" s="1"/>
      <c r="P341" s="1" t="n">
        <f aca="false" t="array" ref="P341:P341">_xlfn.SWITCH($A$2,"average", AVERAGE(Instances!P341:P341),"median", MEDIAN(Instances!P341:P341),"min", MIN(Instances!P341:P341),"max", MAX(Instances!P341:P341),"diff", MAX(Instances!P341:P341)-MIN(Instances!P341:P341))</f>
        <v>11.71</v>
      </c>
      <c r="Q341" s="1" t="n">
        <f aca="false" t="array" ref="Q341:Q341">_xlfn.SWITCH($A$2,"average", AVERAGE(Instances!Q341:Q341),"median", MEDIAN(Instances!Q341:Q341),"min", MIN(Instances!Q341:Q341),"max", MAX(Instances!Q341:Q341),"diff", MAX(Instances!Q341:Q341)-MIN(Instances!Q341:Q341))</f>
        <v>0</v>
      </c>
      <c r="R341" s="1" t="n">
        <f aca="false" t="array" ref="R341:R341">_xlfn.SWITCH($A$2,"average", AVERAGE(Instances!R341:R341),"median", MEDIAN(Instances!R341:R341),"min", MIN(Instances!R341:R341),"max", MAX(Instances!R341:R341),"diff", MAX(Instances!R341:R341)-MIN(Instances!R341:R341))</f>
        <v>831331</v>
      </c>
      <c r="S341" s="1" t="n">
        <f aca="false">MIN($B341)</f>
        <v>4014</v>
      </c>
      <c r="T341" s="1" t="n">
        <f aca="false">MIN($C341)</f>
        <v>9</v>
      </c>
      <c r="U341" s="1" t="n">
        <f aca="false">MIN($D341)</f>
        <v>1560772</v>
      </c>
      <c r="V341" s="1" t="n">
        <f aca="false">MIN($E341)</f>
        <v>0</v>
      </c>
      <c r="W341" s="1" t="n">
        <f aca="false">MIN($F341)</f>
        <v>840</v>
      </c>
      <c r="X341" s="1" t="n">
        <f aca="false">MIN($G341)</f>
        <v>0</v>
      </c>
      <c r="Y341" s="1" t="n">
        <f aca="false">MIN($H341)</f>
        <v>1</v>
      </c>
      <c r="Z341" s="1" t="n">
        <f aca="false">MIN($I341)</f>
        <v>11.436</v>
      </c>
      <c r="AA341" s="1" t="n">
        <f aca="false">MIN($J341)</f>
        <v>11.71</v>
      </c>
      <c r="AB341" s="1" t="n">
        <f aca="false">MIN($K341)</f>
        <v>0</v>
      </c>
      <c r="AC341" s="1" t="n">
        <f aca="false">MIN($M341)</f>
        <v>2729954</v>
      </c>
      <c r="AD341" s="1" t="n">
        <f aca="false">MIN($N341)</f>
        <v>0.12</v>
      </c>
      <c r="AE341" s="1" t="n">
        <f aca="false">MIN($P341)</f>
        <v>11.71</v>
      </c>
      <c r="AF341" s="1" t="n">
        <f aca="false">MIN($Q341)</f>
        <v>0</v>
      </c>
      <c r="AG341" s="1" t="n">
        <f aca="false">MIN($R341)</f>
        <v>831331</v>
      </c>
      <c r="AH341" s="1" t="n">
        <f aca="false">MEDIAN($B341)</f>
        <v>4014</v>
      </c>
      <c r="AI341" s="1" t="n">
        <f aca="false">MEDIAN($C341)</f>
        <v>9</v>
      </c>
      <c r="AJ341" s="1" t="n">
        <f aca="false">MEDIAN($D341)</f>
        <v>1560772</v>
      </c>
      <c r="AK341" s="1" t="n">
        <f aca="false">MEDIAN($E341)</f>
        <v>0</v>
      </c>
      <c r="AL341" s="1" t="n">
        <f aca="false">MEDIAN($F341)</f>
        <v>840</v>
      </c>
      <c r="AM341" s="1" t="n">
        <f aca="false">MEDIAN($G341)</f>
        <v>0</v>
      </c>
      <c r="AN341" s="1" t="n">
        <f aca="false">MEDIAN($H341)</f>
        <v>1</v>
      </c>
      <c r="AO341" s="1" t="n">
        <f aca="false">MEDIAN($I341)</f>
        <v>11.436</v>
      </c>
      <c r="AP341" s="1" t="n">
        <f aca="false">MEDIAN($J341)</f>
        <v>11.71</v>
      </c>
      <c r="AQ341" s="1" t="n">
        <f aca="false">MEDIAN($K341)</f>
        <v>0</v>
      </c>
      <c r="AR341" s="1" t="n">
        <f aca="false">MEDIAN($M341)</f>
        <v>2729954</v>
      </c>
      <c r="AS341" s="1" t="n">
        <f aca="false">MEDIAN($N341)</f>
        <v>0.12</v>
      </c>
      <c r="AT341" s="1" t="n">
        <f aca="false">MEDIAN($P341)</f>
        <v>11.71</v>
      </c>
      <c r="AU341" s="1" t="n">
        <f aca="false">MEDIAN($Q341)</f>
        <v>0</v>
      </c>
      <c r="AV341" s="1" t="n">
        <f aca="false">MEDIAN($R341)</f>
        <v>831331</v>
      </c>
      <c r="AW341" s="1" t="n">
        <f aca="false">MAX($B341)</f>
        <v>4014</v>
      </c>
      <c r="AX341" s="1" t="n">
        <f aca="false">MAX($C341)</f>
        <v>9</v>
      </c>
      <c r="AY341" s="1" t="n">
        <f aca="false">MAX($D341)</f>
        <v>1560772</v>
      </c>
      <c r="AZ341" s="1" t="n">
        <f aca="false">MAX($E341)</f>
        <v>0</v>
      </c>
      <c r="BA341" s="1" t="n">
        <f aca="false">MAX($F341)</f>
        <v>840</v>
      </c>
      <c r="BB341" s="1" t="n">
        <f aca="false">MAX($G341)</f>
        <v>0</v>
      </c>
      <c r="BC341" s="1" t="n">
        <f aca="false">MAX($H341)</f>
        <v>1</v>
      </c>
      <c r="BD341" s="1" t="n">
        <f aca="false">MAX($I341)</f>
        <v>11.436</v>
      </c>
      <c r="BE341" s="1" t="n">
        <f aca="false">MAX($J341)</f>
        <v>11.71</v>
      </c>
      <c r="BF341" s="1" t="n">
        <f aca="false">MAX($K341)</f>
        <v>0</v>
      </c>
      <c r="BG341" s="1" t="n">
        <f aca="false">MAX($M341)</f>
        <v>2729954</v>
      </c>
      <c r="BH341" s="1" t="n">
        <f aca="false">MAX($N341)</f>
        <v>0.12</v>
      </c>
      <c r="BI341" s="1" t="n">
        <f aca="false">MAX($P341)</f>
        <v>11.71</v>
      </c>
      <c r="BJ341" s="1" t="n">
        <f aca="false">MAX($Q341)</f>
        <v>0</v>
      </c>
      <c r="BK341" s="1" t="n">
        <f aca="false">MAX($R341)</f>
        <v>831331</v>
      </c>
    </row>
    <row r="342" customFormat="false" ht="15" hidden="false" customHeight="false" outlineLevel="0" collapsed="false">
      <c r="A342" s="1" t="s">
        <v>359</v>
      </c>
      <c r="B342" s="1" t="n">
        <f aca="false" t="array" ref="B342:B342">_xlfn.SWITCH($A$2,"average", AVERAGE(Instances!B342:B342),"median", MEDIAN(Instances!B342:B342),"min", MIN(Instances!B342:B342),"max", MAX(Instances!B342:B342),"diff", MAX(Instances!B342:B342)-MIN(Instances!B342:B342))</f>
        <v>69904</v>
      </c>
      <c r="C342" s="1" t="n">
        <f aca="false" t="array" ref="C342:C342">_xlfn.SWITCH($A$2,"average", AVERAGE(Instances!C342:C342),"median", MEDIAN(Instances!C342:C342),"min", MIN(Instances!C342:C342),"max", MAX(Instances!C342:C342),"diff", MAX(Instances!C342:C342)-MIN(Instances!C342:C342))</f>
        <v>507</v>
      </c>
      <c r="D342" s="1" t="n">
        <f aca="false" t="array" ref="D342:D342">_xlfn.SWITCH($A$2,"average", AVERAGE(Instances!D342:D342),"median", MEDIAN(Instances!D342:D342),"min", MIN(Instances!D342:D342),"max", MAX(Instances!D342:D342),"diff", MAX(Instances!D342:D342)-MIN(Instances!D342:D342))</f>
        <v>1749623</v>
      </c>
      <c r="E342" s="1" t="n">
        <f aca="false" t="array" ref="E342:E342">_xlfn.SWITCH($A$2,"average", AVERAGE(Instances!E342:E342),"median", MEDIAN(Instances!E342:E342),"min", MIN(Instances!E342:E342),"max", MAX(Instances!E342:E342),"diff", MAX(Instances!E342:E342)-MIN(Instances!E342:E342))</f>
        <v>0</v>
      </c>
      <c r="F342" s="1" t="n">
        <f aca="false" t="array" ref="F342:F342">_xlfn.SWITCH($A$2,"average", AVERAGE(Instances!F342:F342),"median", MEDIAN(Instances!F342:F342),"min", MIN(Instances!F342:F342),"max", MAX(Instances!F342:F342),"diff", MAX(Instances!F342:F342)-MIN(Instances!F342:F342))</f>
        <v>876</v>
      </c>
      <c r="G342" s="1" t="n">
        <f aca="false" t="array" ref="G342:G342">_xlfn.SWITCH($A$2,"average", AVERAGE(Instances!G342:G342),"median", MEDIAN(Instances!G342:G342),"min", MIN(Instances!G342:G342),"max", MAX(Instances!G342:G342),"diff", MAX(Instances!G342:G342)-MIN(Instances!G342:G342))</f>
        <v>0</v>
      </c>
      <c r="H342" s="1" t="n">
        <f aca="false" t="array" ref="H342:H342">_xlfn.SWITCH($A$2,"average", AVERAGE(Instances!H342:H342),"median", MEDIAN(Instances!H342:H342),"min", MIN(Instances!H342:H342),"max", MAX(Instances!H342:H342),"diff", MAX(Instances!H342:H342)-MIN(Instances!H342:H342))</f>
        <v>1</v>
      </c>
      <c r="I342" s="1" t="n">
        <f aca="false" t="array" ref="I342:I342">_xlfn.SWITCH($A$2,"average", AVERAGE(Instances!I342:I342),"median", MEDIAN(Instances!I342:I342),"min", MIN(Instances!I342:I342),"max", MAX(Instances!I342:I342),"diff", MAX(Instances!I342:I342)-MIN(Instances!I342:I342))</f>
        <v>14.473</v>
      </c>
      <c r="J342" s="1" t="n">
        <f aca="false" t="array" ref="J342:J342">_xlfn.SWITCH($A$2,"average", AVERAGE(Instances!J342:J342),"median", MEDIAN(Instances!J342:J342),"min", MIN(Instances!J342:J342),"max", MAX(Instances!J342:J342),"diff", MAX(Instances!J342:J342)-MIN(Instances!J342:J342))</f>
        <v>14.86</v>
      </c>
      <c r="K342" s="1" t="n">
        <f aca="false" t="array" ref="K342:K342">_xlfn.SWITCH($A$2,"average", AVERAGE(Instances!K342:K342),"median", MEDIAN(Instances!K342:K342),"min", MIN(Instances!K342:K342),"max", MAX(Instances!K342:K342),"diff", MAX(Instances!K342:K342)-MIN(Instances!K342:K342))</f>
        <v>5</v>
      </c>
      <c r="L342" s="1"/>
      <c r="M342" s="1" t="n">
        <f aca="false" t="array" ref="M342:M342">_xlfn.SWITCH($A$2,"average", AVERAGE(Instances!M342:M342),"median", MEDIAN(Instances!M342:M342),"min", MIN(Instances!M342:M342),"max", MAX(Instances!M342:M342),"diff", MAX(Instances!M342:M342)-MIN(Instances!M342:M342))</f>
        <v>2920322</v>
      </c>
      <c r="N342" s="1" t="n">
        <f aca="false" t="array" ref="N342:N342">_xlfn.SWITCH($A$2,"average", AVERAGE(Instances!N342:N342),"median", MEDIAN(Instances!N342:N342),"min", MIN(Instances!N342:N342),"max", MAX(Instances!N342:N342),"diff", MAX(Instances!N342:N342)-MIN(Instances!N342:N342))</f>
        <v>2.52</v>
      </c>
      <c r="O342" s="1"/>
      <c r="P342" s="1" t="n">
        <f aca="false" t="array" ref="P342:P342">_xlfn.SWITCH($A$2,"average", AVERAGE(Instances!P342:P342),"median", MEDIAN(Instances!P342:P342),"min", MIN(Instances!P342:P342),"max", MAX(Instances!P342:P342),"diff", MAX(Instances!P342:P342)-MIN(Instances!P342:P342))</f>
        <v>14.86</v>
      </c>
      <c r="Q342" s="1" t="n">
        <f aca="false" t="array" ref="Q342:Q342">_xlfn.SWITCH($A$2,"average", AVERAGE(Instances!Q342:Q342),"median", MEDIAN(Instances!Q342:Q342),"min", MIN(Instances!Q342:Q342),"max", MAX(Instances!Q342:Q342),"diff", MAX(Instances!Q342:Q342)-MIN(Instances!Q342:Q342))</f>
        <v>0</v>
      </c>
      <c r="R342" s="1" t="n">
        <f aca="false" t="array" ref="R342:R342">_xlfn.SWITCH($A$2,"average", AVERAGE(Instances!R342:R342),"median", MEDIAN(Instances!R342:R342),"min", MIN(Instances!R342:R342),"max", MAX(Instances!R342:R342),"diff", MAX(Instances!R342:R342)-MIN(Instances!R342:R342))</f>
        <v>880943</v>
      </c>
      <c r="S342" s="1" t="n">
        <f aca="false">MIN($B342)</f>
        <v>69904</v>
      </c>
      <c r="T342" s="1" t="n">
        <f aca="false">MIN($C342)</f>
        <v>507</v>
      </c>
      <c r="U342" s="1" t="n">
        <f aca="false">MIN($D342)</f>
        <v>1749623</v>
      </c>
      <c r="V342" s="1" t="n">
        <f aca="false">MIN($E342)</f>
        <v>0</v>
      </c>
      <c r="W342" s="1" t="n">
        <f aca="false">MIN($F342)</f>
        <v>876</v>
      </c>
      <c r="X342" s="1" t="n">
        <f aca="false">MIN($G342)</f>
        <v>0</v>
      </c>
      <c r="Y342" s="1" t="n">
        <f aca="false">MIN($H342)</f>
        <v>1</v>
      </c>
      <c r="Z342" s="1" t="n">
        <f aca="false">MIN($I342)</f>
        <v>14.473</v>
      </c>
      <c r="AA342" s="1" t="n">
        <f aca="false">MIN($J342)</f>
        <v>14.86</v>
      </c>
      <c r="AB342" s="1" t="n">
        <f aca="false">MIN($K342)</f>
        <v>5</v>
      </c>
      <c r="AC342" s="1" t="n">
        <f aca="false">MIN($M342)</f>
        <v>2920322</v>
      </c>
      <c r="AD342" s="1" t="n">
        <f aca="false">MIN($N342)</f>
        <v>2.52</v>
      </c>
      <c r="AE342" s="1" t="n">
        <f aca="false">MIN($P342)</f>
        <v>14.86</v>
      </c>
      <c r="AF342" s="1" t="n">
        <f aca="false">MIN($Q342)</f>
        <v>0</v>
      </c>
      <c r="AG342" s="1" t="n">
        <f aca="false">MIN($R342)</f>
        <v>880943</v>
      </c>
      <c r="AH342" s="1" t="n">
        <f aca="false">MEDIAN($B342)</f>
        <v>69904</v>
      </c>
      <c r="AI342" s="1" t="n">
        <f aca="false">MEDIAN($C342)</f>
        <v>507</v>
      </c>
      <c r="AJ342" s="1" t="n">
        <f aca="false">MEDIAN($D342)</f>
        <v>1749623</v>
      </c>
      <c r="AK342" s="1" t="n">
        <f aca="false">MEDIAN($E342)</f>
        <v>0</v>
      </c>
      <c r="AL342" s="1" t="n">
        <f aca="false">MEDIAN($F342)</f>
        <v>876</v>
      </c>
      <c r="AM342" s="1" t="n">
        <f aca="false">MEDIAN($G342)</f>
        <v>0</v>
      </c>
      <c r="AN342" s="1" t="n">
        <f aca="false">MEDIAN($H342)</f>
        <v>1</v>
      </c>
      <c r="AO342" s="1" t="n">
        <f aca="false">MEDIAN($I342)</f>
        <v>14.473</v>
      </c>
      <c r="AP342" s="1" t="n">
        <f aca="false">MEDIAN($J342)</f>
        <v>14.86</v>
      </c>
      <c r="AQ342" s="1" t="n">
        <f aca="false">MEDIAN($K342)</f>
        <v>5</v>
      </c>
      <c r="AR342" s="1" t="n">
        <f aca="false">MEDIAN($M342)</f>
        <v>2920322</v>
      </c>
      <c r="AS342" s="1" t="n">
        <f aca="false">MEDIAN($N342)</f>
        <v>2.52</v>
      </c>
      <c r="AT342" s="1" t="n">
        <f aca="false">MEDIAN($P342)</f>
        <v>14.86</v>
      </c>
      <c r="AU342" s="1" t="n">
        <f aca="false">MEDIAN($Q342)</f>
        <v>0</v>
      </c>
      <c r="AV342" s="1" t="n">
        <f aca="false">MEDIAN($R342)</f>
        <v>880943</v>
      </c>
      <c r="AW342" s="1" t="n">
        <f aca="false">MAX($B342)</f>
        <v>69904</v>
      </c>
      <c r="AX342" s="1" t="n">
        <f aca="false">MAX($C342)</f>
        <v>507</v>
      </c>
      <c r="AY342" s="1" t="n">
        <f aca="false">MAX($D342)</f>
        <v>1749623</v>
      </c>
      <c r="AZ342" s="1" t="n">
        <f aca="false">MAX($E342)</f>
        <v>0</v>
      </c>
      <c r="BA342" s="1" t="n">
        <f aca="false">MAX($F342)</f>
        <v>876</v>
      </c>
      <c r="BB342" s="1" t="n">
        <f aca="false">MAX($G342)</f>
        <v>0</v>
      </c>
      <c r="BC342" s="1" t="n">
        <f aca="false">MAX($H342)</f>
        <v>1</v>
      </c>
      <c r="BD342" s="1" t="n">
        <f aca="false">MAX($I342)</f>
        <v>14.473</v>
      </c>
      <c r="BE342" s="1" t="n">
        <f aca="false">MAX($J342)</f>
        <v>14.86</v>
      </c>
      <c r="BF342" s="1" t="n">
        <f aca="false">MAX($K342)</f>
        <v>5</v>
      </c>
      <c r="BG342" s="1" t="n">
        <f aca="false">MAX($M342)</f>
        <v>2920322</v>
      </c>
      <c r="BH342" s="1" t="n">
        <f aca="false">MAX($N342)</f>
        <v>2.52</v>
      </c>
      <c r="BI342" s="1" t="n">
        <f aca="false">MAX($P342)</f>
        <v>14.86</v>
      </c>
      <c r="BJ342" s="1" t="n">
        <f aca="false">MAX($Q342)</f>
        <v>0</v>
      </c>
      <c r="BK342" s="1" t="n">
        <f aca="false">MAX($R342)</f>
        <v>880943</v>
      </c>
    </row>
    <row r="343" customFormat="false" ht="15" hidden="false" customHeight="false" outlineLevel="0" collapsed="false">
      <c r="A343" s="1" t="s">
        <v>360</v>
      </c>
      <c r="B343" s="1" t="n">
        <f aca="false" t="array" ref="B343:B343">_xlfn.SWITCH($A$2,"average", AVERAGE(Instances!B343:B343),"median", MEDIAN(Instances!B343:B343),"min", MIN(Instances!B343:B343),"max", MAX(Instances!B343:B343),"diff", MAX(Instances!B343:B343)-MIN(Instances!B343:B343))</f>
        <v>6342</v>
      </c>
      <c r="C343" s="1" t="n">
        <f aca="false" t="array" ref="C343:C343">_xlfn.SWITCH($A$2,"average", AVERAGE(Instances!C343:C343),"median", MEDIAN(Instances!C343:C343),"min", MIN(Instances!C343:C343),"max", MAX(Instances!C343:C343),"diff", MAX(Instances!C343:C343)-MIN(Instances!C343:C343))</f>
        <v>62</v>
      </c>
      <c r="D343" s="1" t="n">
        <f aca="false" t="array" ref="D343:D343">_xlfn.SWITCH($A$2,"average", AVERAGE(Instances!D343:D343),"median", MEDIAN(Instances!D343:D343),"min", MIN(Instances!D343:D343),"max", MAX(Instances!D343:D343),"diff", MAX(Instances!D343:D343)-MIN(Instances!D343:D343))</f>
        <v>1520462</v>
      </c>
      <c r="E343" s="1" t="n">
        <f aca="false" t="array" ref="E343:E343">_xlfn.SWITCH($A$2,"average", AVERAGE(Instances!E343:E343),"median", MEDIAN(Instances!E343:E343),"min", MIN(Instances!E343:E343),"max", MAX(Instances!E343:E343),"diff", MAX(Instances!E343:E343)-MIN(Instances!E343:E343))</f>
        <v>0</v>
      </c>
      <c r="F343" s="1" t="n">
        <f aca="false" t="array" ref="F343:F343">_xlfn.SWITCH($A$2,"average", AVERAGE(Instances!F343:F343),"median", MEDIAN(Instances!F343:F343),"min", MIN(Instances!F343:F343),"max", MAX(Instances!F343:F343),"diff", MAX(Instances!F343:F343)-MIN(Instances!F343:F343))</f>
        <v>838</v>
      </c>
      <c r="G343" s="1" t="n">
        <f aca="false" t="array" ref="G343:G343">_xlfn.SWITCH($A$2,"average", AVERAGE(Instances!G343:G343),"median", MEDIAN(Instances!G343:G343),"min", MIN(Instances!G343:G343),"max", MAX(Instances!G343:G343),"diff", MAX(Instances!G343:G343)-MIN(Instances!G343:G343))</f>
        <v>0</v>
      </c>
      <c r="H343" s="1" t="n">
        <f aca="false" t="array" ref="H343:H343">_xlfn.SWITCH($A$2,"average", AVERAGE(Instances!H343:H343),"median", MEDIAN(Instances!H343:H343),"min", MIN(Instances!H343:H343),"max", MAX(Instances!H343:H343),"diff", MAX(Instances!H343:H343)-MIN(Instances!H343:H343))</f>
        <v>1</v>
      </c>
      <c r="I343" s="1" t="n">
        <f aca="false" t="array" ref="I343:I343">_xlfn.SWITCH($A$2,"average", AVERAGE(Instances!I343:I343),"median", MEDIAN(Instances!I343:I343),"min", MIN(Instances!I343:I343),"max", MAX(Instances!I343:I343),"diff", MAX(Instances!I343:I343)-MIN(Instances!I343:I343))</f>
        <v>11.554</v>
      </c>
      <c r="J343" s="1" t="n">
        <f aca="false" t="array" ref="J343:J343">_xlfn.SWITCH($A$2,"average", AVERAGE(Instances!J343:J343),"median", MEDIAN(Instances!J343:J343),"min", MIN(Instances!J343:J343),"max", MAX(Instances!J343:J343),"diff", MAX(Instances!J343:J343)-MIN(Instances!J343:J343))</f>
        <v>11.86</v>
      </c>
      <c r="K343" s="1" t="n">
        <f aca="false" t="array" ref="K343:K343">_xlfn.SWITCH($A$2,"average", AVERAGE(Instances!K343:K343),"median", MEDIAN(Instances!K343:K343),"min", MIN(Instances!K343:K343),"max", MAX(Instances!K343:K343),"diff", MAX(Instances!K343:K343)-MIN(Instances!K343:K343))</f>
        <v>1</v>
      </c>
      <c r="L343" s="1"/>
      <c r="M343" s="1" t="n">
        <f aca="false" t="array" ref="M343:M343">_xlfn.SWITCH($A$2,"average", AVERAGE(Instances!M343:M343),"median", MEDIAN(Instances!M343:M343),"min", MIN(Instances!M343:M343),"max", MAX(Instances!M343:M343),"diff", MAX(Instances!M343:M343)-MIN(Instances!M343:M343))</f>
        <v>2740700</v>
      </c>
      <c r="N343" s="1" t="n">
        <f aca="false" t="array" ref="N343:N343">_xlfn.SWITCH($A$2,"average", AVERAGE(Instances!N343:N343),"median", MEDIAN(Instances!N343:N343),"min", MIN(Instances!N343:N343),"max", MAX(Instances!N343:N343),"diff", MAX(Instances!N343:N343)-MIN(Instances!N343:N343))</f>
        <v>0.21</v>
      </c>
      <c r="O343" s="1"/>
      <c r="P343" s="1" t="n">
        <f aca="false" t="array" ref="P343:P343">_xlfn.SWITCH($A$2,"average", AVERAGE(Instances!P343:P343),"median", MEDIAN(Instances!P343:P343),"min", MIN(Instances!P343:P343),"max", MAX(Instances!P343:P343),"diff", MAX(Instances!P343:P343)-MIN(Instances!P343:P343))</f>
        <v>11.86</v>
      </c>
      <c r="Q343" s="1" t="n">
        <f aca="false" t="array" ref="Q343:Q343">_xlfn.SWITCH($A$2,"average", AVERAGE(Instances!Q343:Q343),"median", MEDIAN(Instances!Q343:Q343),"min", MIN(Instances!Q343:Q343),"max", MAX(Instances!Q343:Q343),"diff", MAX(Instances!Q343:Q343)-MIN(Instances!Q343:Q343))</f>
        <v>0</v>
      </c>
      <c r="R343" s="1" t="n">
        <f aca="false" t="array" ref="R343:R343">_xlfn.SWITCH($A$2,"average", AVERAGE(Instances!R343:R343),"median", MEDIAN(Instances!R343:R343),"min", MIN(Instances!R343:R343),"max", MAX(Instances!R343:R343),"diff", MAX(Instances!R343:R343)-MIN(Instances!R343:R343))</f>
        <v>834310</v>
      </c>
      <c r="S343" s="1" t="n">
        <f aca="false">MIN($B343)</f>
        <v>6342</v>
      </c>
      <c r="T343" s="1" t="n">
        <f aca="false">MIN($C343)</f>
        <v>62</v>
      </c>
      <c r="U343" s="1" t="n">
        <f aca="false">MIN($D343)</f>
        <v>1520462</v>
      </c>
      <c r="V343" s="1" t="n">
        <f aca="false">MIN($E343)</f>
        <v>0</v>
      </c>
      <c r="W343" s="1" t="n">
        <f aca="false">MIN($F343)</f>
        <v>838</v>
      </c>
      <c r="X343" s="1" t="n">
        <f aca="false">MIN($G343)</f>
        <v>0</v>
      </c>
      <c r="Y343" s="1" t="n">
        <f aca="false">MIN($H343)</f>
        <v>1</v>
      </c>
      <c r="Z343" s="1" t="n">
        <f aca="false">MIN($I343)</f>
        <v>11.554</v>
      </c>
      <c r="AA343" s="1" t="n">
        <f aca="false">MIN($J343)</f>
        <v>11.86</v>
      </c>
      <c r="AB343" s="1" t="n">
        <f aca="false">MIN($K343)</f>
        <v>1</v>
      </c>
      <c r="AC343" s="1" t="n">
        <f aca="false">MIN($M343)</f>
        <v>2740700</v>
      </c>
      <c r="AD343" s="1" t="n">
        <f aca="false">MIN($N343)</f>
        <v>0.21</v>
      </c>
      <c r="AE343" s="1" t="n">
        <f aca="false">MIN($P343)</f>
        <v>11.86</v>
      </c>
      <c r="AF343" s="1" t="n">
        <f aca="false">MIN($Q343)</f>
        <v>0</v>
      </c>
      <c r="AG343" s="1" t="n">
        <f aca="false">MIN($R343)</f>
        <v>834310</v>
      </c>
      <c r="AH343" s="1" t="n">
        <f aca="false">MEDIAN($B343)</f>
        <v>6342</v>
      </c>
      <c r="AI343" s="1" t="n">
        <f aca="false">MEDIAN($C343)</f>
        <v>62</v>
      </c>
      <c r="AJ343" s="1" t="n">
        <f aca="false">MEDIAN($D343)</f>
        <v>1520462</v>
      </c>
      <c r="AK343" s="1" t="n">
        <f aca="false">MEDIAN($E343)</f>
        <v>0</v>
      </c>
      <c r="AL343" s="1" t="n">
        <f aca="false">MEDIAN($F343)</f>
        <v>838</v>
      </c>
      <c r="AM343" s="1" t="n">
        <f aca="false">MEDIAN($G343)</f>
        <v>0</v>
      </c>
      <c r="AN343" s="1" t="n">
        <f aca="false">MEDIAN($H343)</f>
        <v>1</v>
      </c>
      <c r="AO343" s="1" t="n">
        <f aca="false">MEDIAN($I343)</f>
        <v>11.554</v>
      </c>
      <c r="AP343" s="1" t="n">
        <f aca="false">MEDIAN($J343)</f>
        <v>11.86</v>
      </c>
      <c r="AQ343" s="1" t="n">
        <f aca="false">MEDIAN($K343)</f>
        <v>1</v>
      </c>
      <c r="AR343" s="1" t="n">
        <f aca="false">MEDIAN($M343)</f>
        <v>2740700</v>
      </c>
      <c r="AS343" s="1" t="n">
        <f aca="false">MEDIAN($N343)</f>
        <v>0.21</v>
      </c>
      <c r="AT343" s="1" t="n">
        <f aca="false">MEDIAN($P343)</f>
        <v>11.86</v>
      </c>
      <c r="AU343" s="1" t="n">
        <f aca="false">MEDIAN($Q343)</f>
        <v>0</v>
      </c>
      <c r="AV343" s="1" t="n">
        <f aca="false">MEDIAN($R343)</f>
        <v>834310</v>
      </c>
      <c r="AW343" s="1" t="n">
        <f aca="false">MAX($B343)</f>
        <v>6342</v>
      </c>
      <c r="AX343" s="1" t="n">
        <f aca="false">MAX($C343)</f>
        <v>62</v>
      </c>
      <c r="AY343" s="1" t="n">
        <f aca="false">MAX($D343)</f>
        <v>1520462</v>
      </c>
      <c r="AZ343" s="1" t="n">
        <f aca="false">MAX($E343)</f>
        <v>0</v>
      </c>
      <c r="BA343" s="1" t="n">
        <f aca="false">MAX($F343)</f>
        <v>838</v>
      </c>
      <c r="BB343" s="1" t="n">
        <f aca="false">MAX($G343)</f>
        <v>0</v>
      </c>
      <c r="BC343" s="1" t="n">
        <f aca="false">MAX($H343)</f>
        <v>1</v>
      </c>
      <c r="BD343" s="1" t="n">
        <f aca="false">MAX($I343)</f>
        <v>11.554</v>
      </c>
      <c r="BE343" s="1" t="n">
        <f aca="false">MAX($J343)</f>
        <v>11.86</v>
      </c>
      <c r="BF343" s="1" t="n">
        <f aca="false">MAX($K343)</f>
        <v>1</v>
      </c>
      <c r="BG343" s="1" t="n">
        <f aca="false">MAX($M343)</f>
        <v>2740700</v>
      </c>
      <c r="BH343" s="1" t="n">
        <f aca="false">MAX($N343)</f>
        <v>0.21</v>
      </c>
      <c r="BI343" s="1" t="n">
        <f aca="false">MAX($P343)</f>
        <v>11.86</v>
      </c>
      <c r="BJ343" s="1" t="n">
        <f aca="false">MAX($Q343)</f>
        <v>0</v>
      </c>
      <c r="BK343" s="1" t="n">
        <f aca="false">MAX($R343)</f>
        <v>834310</v>
      </c>
    </row>
    <row r="344" customFormat="false" ht="15" hidden="false" customHeight="false" outlineLevel="0" collapsed="false">
      <c r="A344" s="1" t="s">
        <v>361</v>
      </c>
      <c r="B344" s="1" t="n">
        <f aca="false" t="array" ref="B344:B344">_xlfn.SWITCH($A$2,"average", AVERAGE(Instances!B344:B344),"median", MEDIAN(Instances!B344:B344),"min", MIN(Instances!B344:B344),"max", MAX(Instances!B344:B344),"diff", MAX(Instances!B344:B344)-MIN(Instances!B344:B344))</f>
        <v>6402</v>
      </c>
      <c r="C344" s="1" t="n">
        <f aca="false" t="array" ref="C344:C344">_xlfn.SWITCH($A$2,"average", AVERAGE(Instances!C344:C344),"median", MEDIAN(Instances!C344:C344),"min", MIN(Instances!C344:C344),"max", MAX(Instances!C344:C344),"diff", MAX(Instances!C344:C344)-MIN(Instances!C344:C344))</f>
        <v>104</v>
      </c>
      <c r="D344" s="1" t="n">
        <f aca="false" t="array" ref="D344:D344">_xlfn.SWITCH($A$2,"average", AVERAGE(Instances!D344:D344),"median", MEDIAN(Instances!D344:D344),"min", MIN(Instances!D344:D344),"max", MAX(Instances!D344:D344),"diff", MAX(Instances!D344:D344)-MIN(Instances!D344:D344))</f>
        <v>1091229</v>
      </c>
      <c r="E344" s="1" t="n">
        <f aca="false" t="array" ref="E344:E344">_xlfn.SWITCH($A$2,"average", AVERAGE(Instances!E344:E344),"median", MEDIAN(Instances!E344:E344),"min", MIN(Instances!E344:E344),"max", MAX(Instances!E344:E344),"diff", MAX(Instances!E344:E344)-MIN(Instances!E344:E344))</f>
        <v>0</v>
      </c>
      <c r="F344" s="1" t="n">
        <f aca="false" t="array" ref="F344:F344">_xlfn.SWITCH($A$2,"average", AVERAGE(Instances!F344:F344),"median", MEDIAN(Instances!F344:F344),"min", MIN(Instances!F344:F344),"max", MAX(Instances!F344:F344),"diff", MAX(Instances!F344:F344)-MIN(Instances!F344:F344))</f>
        <v>663</v>
      </c>
      <c r="G344" s="1" t="n">
        <f aca="false" t="array" ref="G344:G344">_xlfn.SWITCH($A$2,"average", AVERAGE(Instances!G344:G344),"median", MEDIAN(Instances!G344:G344),"min", MIN(Instances!G344:G344),"max", MAX(Instances!G344:G344),"diff", MAX(Instances!G344:G344)-MIN(Instances!G344:G344))</f>
        <v>0</v>
      </c>
      <c r="H344" s="1" t="n">
        <f aca="false" t="array" ref="H344:H344">_xlfn.SWITCH($A$2,"average", AVERAGE(Instances!H344:H344),"median", MEDIAN(Instances!H344:H344),"min", MIN(Instances!H344:H344),"max", MAX(Instances!H344:H344),"diff", MAX(Instances!H344:H344)-MIN(Instances!H344:H344))</f>
        <v>1</v>
      </c>
      <c r="I344" s="1" t="n">
        <f aca="false" t="array" ref="I344:I344">_xlfn.SWITCH($A$2,"average", AVERAGE(Instances!I344:I344),"median", MEDIAN(Instances!I344:I344),"min", MIN(Instances!I344:I344),"max", MAX(Instances!I344:I344),"diff", MAX(Instances!I344:I344)-MIN(Instances!I344:I344))</f>
        <v>8.855</v>
      </c>
      <c r="J344" s="1" t="n">
        <f aca="false" t="array" ref="J344:J344">_xlfn.SWITCH($A$2,"average", AVERAGE(Instances!J344:J344),"median", MEDIAN(Instances!J344:J344),"min", MIN(Instances!J344:J344),"max", MAX(Instances!J344:J344),"diff", MAX(Instances!J344:J344)-MIN(Instances!J344:J344))</f>
        <v>9.09</v>
      </c>
      <c r="K344" s="1" t="n">
        <f aca="false" t="array" ref="K344:K344">_xlfn.SWITCH($A$2,"average", AVERAGE(Instances!K344:K344),"median", MEDIAN(Instances!K344:K344),"min", MIN(Instances!K344:K344),"max", MAX(Instances!K344:K344),"diff", MAX(Instances!K344:K344)-MIN(Instances!K344:K344))</f>
        <v>1</v>
      </c>
      <c r="L344" s="1"/>
      <c r="M344" s="1" t="n">
        <f aca="false" t="array" ref="M344:M344">_xlfn.SWITCH($A$2,"average", AVERAGE(Instances!M344:M344),"median", MEDIAN(Instances!M344:M344),"min", MIN(Instances!M344:M344),"max", MAX(Instances!M344:M344),"diff", MAX(Instances!M344:M344)-MIN(Instances!M344:M344))</f>
        <v>2087501</v>
      </c>
      <c r="N344" s="1" t="n">
        <f aca="false" t="array" ref="N344:N344">_xlfn.SWITCH($A$2,"average", AVERAGE(Instances!N344:N344),"median", MEDIAN(Instances!N344:N344),"min", MIN(Instances!N344:N344),"max", MAX(Instances!N344:N344),"diff", MAX(Instances!N344:N344)-MIN(Instances!N344:N344))</f>
        <v>0.19</v>
      </c>
      <c r="O344" s="1"/>
      <c r="P344" s="1" t="n">
        <f aca="false" t="array" ref="P344:P344">_xlfn.SWITCH($A$2,"average", AVERAGE(Instances!P344:P344),"median", MEDIAN(Instances!P344:P344),"min", MIN(Instances!P344:P344),"max", MAX(Instances!P344:P344),"diff", MAX(Instances!P344:P344)-MIN(Instances!P344:P344))</f>
        <v>9.09</v>
      </c>
      <c r="Q344" s="1" t="n">
        <f aca="false" t="array" ref="Q344:Q344">_xlfn.SWITCH($A$2,"average", AVERAGE(Instances!Q344:Q344),"median", MEDIAN(Instances!Q344:Q344),"min", MIN(Instances!Q344:Q344),"max", MAX(Instances!Q344:Q344),"diff", MAX(Instances!Q344:Q344)-MIN(Instances!Q344:Q344))</f>
        <v>0</v>
      </c>
      <c r="R344" s="1" t="n">
        <f aca="false" t="array" ref="R344:R344">_xlfn.SWITCH($A$2,"average", AVERAGE(Instances!R344:R344),"median", MEDIAN(Instances!R344:R344),"min", MIN(Instances!R344:R344),"max", MAX(Instances!R344:R344),"diff", MAX(Instances!R344:R344)-MIN(Instances!R344:R344))</f>
        <v>666157</v>
      </c>
      <c r="S344" s="1" t="n">
        <f aca="false">MIN($B344)</f>
        <v>6402</v>
      </c>
      <c r="T344" s="1" t="n">
        <f aca="false">MIN($C344)</f>
        <v>104</v>
      </c>
      <c r="U344" s="1" t="n">
        <f aca="false">MIN($D344)</f>
        <v>1091229</v>
      </c>
      <c r="V344" s="1" t="n">
        <f aca="false">MIN($E344)</f>
        <v>0</v>
      </c>
      <c r="W344" s="1" t="n">
        <f aca="false">MIN($F344)</f>
        <v>663</v>
      </c>
      <c r="X344" s="1" t="n">
        <f aca="false">MIN($G344)</f>
        <v>0</v>
      </c>
      <c r="Y344" s="1" t="n">
        <f aca="false">MIN($H344)</f>
        <v>1</v>
      </c>
      <c r="Z344" s="1" t="n">
        <f aca="false">MIN($I344)</f>
        <v>8.855</v>
      </c>
      <c r="AA344" s="1" t="n">
        <f aca="false">MIN($J344)</f>
        <v>9.09</v>
      </c>
      <c r="AB344" s="1" t="n">
        <f aca="false">MIN($K344)</f>
        <v>1</v>
      </c>
      <c r="AC344" s="1" t="n">
        <f aca="false">MIN($M344)</f>
        <v>2087501</v>
      </c>
      <c r="AD344" s="1" t="n">
        <f aca="false">MIN($N344)</f>
        <v>0.19</v>
      </c>
      <c r="AE344" s="1" t="n">
        <f aca="false">MIN($P344)</f>
        <v>9.09</v>
      </c>
      <c r="AF344" s="1" t="n">
        <f aca="false">MIN($Q344)</f>
        <v>0</v>
      </c>
      <c r="AG344" s="1" t="n">
        <f aca="false">MIN($R344)</f>
        <v>666157</v>
      </c>
      <c r="AH344" s="1" t="n">
        <f aca="false">MEDIAN($B344)</f>
        <v>6402</v>
      </c>
      <c r="AI344" s="1" t="n">
        <f aca="false">MEDIAN($C344)</f>
        <v>104</v>
      </c>
      <c r="AJ344" s="1" t="n">
        <f aca="false">MEDIAN($D344)</f>
        <v>1091229</v>
      </c>
      <c r="AK344" s="1" t="n">
        <f aca="false">MEDIAN($E344)</f>
        <v>0</v>
      </c>
      <c r="AL344" s="1" t="n">
        <f aca="false">MEDIAN($F344)</f>
        <v>663</v>
      </c>
      <c r="AM344" s="1" t="n">
        <f aca="false">MEDIAN($G344)</f>
        <v>0</v>
      </c>
      <c r="AN344" s="1" t="n">
        <f aca="false">MEDIAN($H344)</f>
        <v>1</v>
      </c>
      <c r="AO344" s="1" t="n">
        <f aca="false">MEDIAN($I344)</f>
        <v>8.855</v>
      </c>
      <c r="AP344" s="1" t="n">
        <f aca="false">MEDIAN($J344)</f>
        <v>9.09</v>
      </c>
      <c r="AQ344" s="1" t="n">
        <f aca="false">MEDIAN($K344)</f>
        <v>1</v>
      </c>
      <c r="AR344" s="1" t="n">
        <f aca="false">MEDIAN($M344)</f>
        <v>2087501</v>
      </c>
      <c r="AS344" s="1" t="n">
        <f aca="false">MEDIAN($N344)</f>
        <v>0.19</v>
      </c>
      <c r="AT344" s="1" t="n">
        <f aca="false">MEDIAN($P344)</f>
        <v>9.09</v>
      </c>
      <c r="AU344" s="1" t="n">
        <f aca="false">MEDIAN($Q344)</f>
        <v>0</v>
      </c>
      <c r="AV344" s="1" t="n">
        <f aca="false">MEDIAN($R344)</f>
        <v>666157</v>
      </c>
      <c r="AW344" s="1" t="n">
        <f aca="false">MAX($B344)</f>
        <v>6402</v>
      </c>
      <c r="AX344" s="1" t="n">
        <f aca="false">MAX($C344)</f>
        <v>104</v>
      </c>
      <c r="AY344" s="1" t="n">
        <f aca="false">MAX($D344)</f>
        <v>1091229</v>
      </c>
      <c r="AZ344" s="1" t="n">
        <f aca="false">MAX($E344)</f>
        <v>0</v>
      </c>
      <c r="BA344" s="1" t="n">
        <f aca="false">MAX($F344)</f>
        <v>663</v>
      </c>
      <c r="BB344" s="1" t="n">
        <f aca="false">MAX($G344)</f>
        <v>0</v>
      </c>
      <c r="BC344" s="1" t="n">
        <f aca="false">MAX($H344)</f>
        <v>1</v>
      </c>
      <c r="BD344" s="1" t="n">
        <f aca="false">MAX($I344)</f>
        <v>8.855</v>
      </c>
      <c r="BE344" s="1" t="n">
        <f aca="false">MAX($J344)</f>
        <v>9.09</v>
      </c>
      <c r="BF344" s="1" t="n">
        <f aca="false">MAX($K344)</f>
        <v>1</v>
      </c>
      <c r="BG344" s="1" t="n">
        <f aca="false">MAX($M344)</f>
        <v>2087501</v>
      </c>
      <c r="BH344" s="1" t="n">
        <f aca="false">MAX($N344)</f>
        <v>0.19</v>
      </c>
      <c r="BI344" s="1" t="n">
        <f aca="false">MAX($P344)</f>
        <v>9.09</v>
      </c>
      <c r="BJ344" s="1" t="n">
        <f aca="false">MAX($Q344)</f>
        <v>0</v>
      </c>
      <c r="BK344" s="1" t="n">
        <f aca="false">MAX($R344)</f>
        <v>666157</v>
      </c>
    </row>
    <row r="345" customFormat="false" ht="15" hidden="false" customHeight="false" outlineLevel="0" collapsed="false">
      <c r="A345" s="1" t="s">
        <v>362</v>
      </c>
      <c r="B345" s="1" t="n">
        <f aca="false" t="array" ref="B345:B345">_xlfn.SWITCH($A$2,"average", AVERAGE(Instances!B345:B345),"median", MEDIAN(Instances!B345:B345),"min", MIN(Instances!B345:B345),"max", MAX(Instances!B345:B345),"diff", MAX(Instances!B345:B345)-MIN(Instances!B345:B345))</f>
        <v>3024</v>
      </c>
      <c r="C345" s="1" t="n">
        <f aca="false" t="array" ref="C345:C345">_xlfn.SWITCH($A$2,"average", AVERAGE(Instances!C345:C345),"median", MEDIAN(Instances!C345:C345),"min", MIN(Instances!C345:C345),"max", MAX(Instances!C345:C345),"diff", MAX(Instances!C345:C345)-MIN(Instances!C345:C345))</f>
        <v>0</v>
      </c>
      <c r="D345" s="1" t="n">
        <f aca="false" t="array" ref="D345:D345">_xlfn.SWITCH($A$2,"average", AVERAGE(Instances!D345:D345),"median", MEDIAN(Instances!D345:D345),"min", MIN(Instances!D345:D345),"max", MAX(Instances!D345:D345),"diff", MAX(Instances!D345:D345)-MIN(Instances!D345:D345))</f>
        <v>1143229</v>
      </c>
      <c r="E345" s="1" t="n">
        <f aca="false" t="array" ref="E345:E345">_xlfn.SWITCH($A$2,"average", AVERAGE(Instances!E345:E345),"median", MEDIAN(Instances!E345:E345),"min", MIN(Instances!E345:E345),"max", MAX(Instances!E345:E345),"diff", MAX(Instances!E345:E345)-MIN(Instances!E345:E345))</f>
        <v>0</v>
      </c>
      <c r="F345" s="1" t="n">
        <f aca="false" t="array" ref="F345:F345">_xlfn.SWITCH($A$2,"average", AVERAGE(Instances!F345:F345),"median", MEDIAN(Instances!F345:F345),"min", MIN(Instances!F345:F345),"max", MAX(Instances!F345:F345),"diff", MAX(Instances!F345:F345)-MIN(Instances!F345:F345))</f>
        <v>694</v>
      </c>
      <c r="G345" s="1" t="n">
        <f aca="false" t="array" ref="G345:G345">_xlfn.SWITCH($A$2,"average", AVERAGE(Instances!G345:G345),"median", MEDIAN(Instances!G345:G345),"min", MIN(Instances!G345:G345),"max", MAX(Instances!G345:G345),"diff", MAX(Instances!G345:G345)-MIN(Instances!G345:G345))</f>
        <v>0</v>
      </c>
      <c r="H345" s="1" t="n">
        <f aca="false" t="array" ref="H345:H345">_xlfn.SWITCH($A$2,"average", AVERAGE(Instances!H345:H345),"median", MEDIAN(Instances!H345:H345),"min", MIN(Instances!H345:H345),"max", MAX(Instances!H345:H345),"diff", MAX(Instances!H345:H345)-MIN(Instances!H345:H345))</f>
        <v>1</v>
      </c>
      <c r="I345" s="1" t="n">
        <f aca="false" t="array" ref="I345:I345">_xlfn.SWITCH($A$2,"average", AVERAGE(Instances!I345:I345),"median", MEDIAN(Instances!I345:I345),"min", MIN(Instances!I345:I345),"max", MAX(Instances!I345:I345),"diff", MAX(Instances!I345:I345)-MIN(Instances!I345:I345))</f>
        <v>9.268</v>
      </c>
      <c r="J345" s="1" t="n">
        <f aca="false" t="array" ref="J345:J345">_xlfn.SWITCH($A$2,"average", AVERAGE(Instances!J345:J345),"median", MEDIAN(Instances!J345:J345),"min", MIN(Instances!J345:J345),"max", MAX(Instances!J345:J345),"diff", MAX(Instances!J345:J345)-MIN(Instances!J345:J345))</f>
        <v>9.49</v>
      </c>
      <c r="K345" s="1" t="n">
        <f aca="false" t="array" ref="K345:K345">_xlfn.SWITCH($A$2,"average", AVERAGE(Instances!K345:K345),"median", MEDIAN(Instances!K345:K345),"min", MIN(Instances!K345:K345),"max", MAX(Instances!K345:K345),"diff", MAX(Instances!K345:K345)-MIN(Instances!K345:K345))</f>
        <v>0</v>
      </c>
      <c r="L345" s="1"/>
      <c r="M345" s="1" t="n">
        <f aca="false" t="array" ref="M345:M345">_xlfn.SWITCH($A$2,"average", AVERAGE(Instances!M345:M345),"median", MEDIAN(Instances!M345:M345),"min", MIN(Instances!M345:M345),"max", MAX(Instances!M345:M345),"diff", MAX(Instances!M345:M345)-MIN(Instances!M345:M345))</f>
        <v>2195795</v>
      </c>
      <c r="N345" s="1" t="n">
        <f aca="false" t="array" ref="N345:N345">_xlfn.SWITCH($A$2,"average", AVERAGE(Instances!N345:N345),"median", MEDIAN(Instances!N345:N345),"min", MIN(Instances!N345:N345),"max", MAX(Instances!N345:N345),"diff", MAX(Instances!N345:N345)-MIN(Instances!N345:N345))</f>
        <v>0.08</v>
      </c>
      <c r="O345" s="1"/>
      <c r="P345" s="1" t="n">
        <f aca="false" t="array" ref="P345:P345">_xlfn.SWITCH($A$2,"average", AVERAGE(Instances!P345:P345),"median", MEDIAN(Instances!P345:P345),"min", MIN(Instances!P345:P345),"max", MAX(Instances!P345:P345),"diff", MAX(Instances!P345:P345)-MIN(Instances!P345:P345))</f>
        <v>9.49</v>
      </c>
      <c r="Q345" s="1" t="n">
        <f aca="false" t="array" ref="Q345:Q345">_xlfn.SWITCH($A$2,"average", AVERAGE(Instances!Q345:Q345),"median", MEDIAN(Instances!Q345:Q345),"min", MIN(Instances!Q345:Q345),"max", MAX(Instances!Q345:Q345),"diff", MAX(Instances!Q345:Q345)-MIN(Instances!Q345:Q345))</f>
        <v>0</v>
      </c>
      <c r="R345" s="1" t="n">
        <f aca="false" t="array" ref="R345:R345">_xlfn.SWITCH($A$2,"average", AVERAGE(Instances!R345:R345),"median", MEDIAN(Instances!R345:R345),"min", MIN(Instances!R345:R345),"max", MAX(Instances!R345:R345),"diff", MAX(Instances!R345:R345)-MIN(Instances!R345:R345))</f>
        <v>698825</v>
      </c>
      <c r="S345" s="1" t="n">
        <f aca="false">MIN($B345)</f>
        <v>3024</v>
      </c>
      <c r="T345" s="1" t="n">
        <f aca="false">MIN($C345)</f>
        <v>0</v>
      </c>
      <c r="U345" s="1" t="n">
        <f aca="false">MIN($D345)</f>
        <v>1143229</v>
      </c>
      <c r="V345" s="1" t="n">
        <f aca="false">MIN($E345)</f>
        <v>0</v>
      </c>
      <c r="W345" s="1" t="n">
        <f aca="false">MIN($F345)</f>
        <v>694</v>
      </c>
      <c r="X345" s="1" t="n">
        <f aca="false">MIN($G345)</f>
        <v>0</v>
      </c>
      <c r="Y345" s="1" t="n">
        <f aca="false">MIN($H345)</f>
        <v>1</v>
      </c>
      <c r="Z345" s="1" t="n">
        <f aca="false">MIN($I345)</f>
        <v>9.268</v>
      </c>
      <c r="AA345" s="1" t="n">
        <f aca="false">MIN($J345)</f>
        <v>9.49</v>
      </c>
      <c r="AB345" s="1" t="n">
        <f aca="false">MIN($K345)</f>
        <v>0</v>
      </c>
      <c r="AC345" s="1" t="n">
        <f aca="false">MIN($M345)</f>
        <v>2195795</v>
      </c>
      <c r="AD345" s="1" t="n">
        <f aca="false">MIN($N345)</f>
        <v>0.08</v>
      </c>
      <c r="AE345" s="1" t="n">
        <f aca="false">MIN($P345)</f>
        <v>9.49</v>
      </c>
      <c r="AF345" s="1" t="n">
        <f aca="false">MIN($Q345)</f>
        <v>0</v>
      </c>
      <c r="AG345" s="1" t="n">
        <f aca="false">MIN($R345)</f>
        <v>698825</v>
      </c>
      <c r="AH345" s="1" t="n">
        <f aca="false">MEDIAN($B345)</f>
        <v>3024</v>
      </c>
      <c r="AI345" s="1" t="n">
        <f aca="false">MEDIAN($C345)</f>
        <v>0</v>
      </c>
      <c r="AJ345" s="1" t="n">
        <f aca="false">MEDIAN($D345)</f>
        <v>1143229</v>
      </c>
      <c r="AK345" s="1" t="n">
        <f aca="false">MEDIAN($E345)</f>
        <v>0</v>
      </c>
      <c r="AL345" s="1" t="n">
        <f aca="false">MEDIAN($F345)</f>
        <v>694</v>
      </c>
      <c r="AM345" s="1" t="n">
        <f aca="false">MEDIAN($G345)</f>
        <v>0</v>
      </c>
      <c r="AN345" s="1" t="n">
        <f aca="false">MEDIAN($H345)</f>
        <v>1</v>
      </c>
      <c r="AO345" s="1" t="n">
        <f aca="false">MEDIAN($I345)</f>
        <v>9.268</v>
      </c>
      <c r="AP345" s="1" t="n">
        <f aca="false">MEDIAN($J345)</f>
        <v>9.49</v>
      </c>
      <c r="AQ345" s="1" t="n">
        <f aca="false">MEDIAN($K345)</f>
        <v>0</v>
      </c>
      <c r="AR345" s="1" t="n">
        <f aca="false">MEDIAN($M345)</f>
        <v>2195795</v>
      </c>
      <c r="AS345" s="1" t="n">
        <f aca="false">MEDIAN($N345)</f>
        <v>0.08</v>
      </c>
      <c r="AT345" s="1" t="n">
        <f aca="false">MEDIAN($P345)</f>
        <v>9.49</v>
      </c>
      <c r="AU345" s="1" t="n">
        <f aca="false">MEDIAN($Q345)</f>
        <v>0</v>
      </c>
      <c r="AV345" s="1" t="n">
        <f aca="false">MEDIAN($R345)</f>
        <v>698825</v>
      </c>
      <c r="AW345" s="1" t="n">
        <f aca="false">MAX($B345)</f>
        <v>3024</v>
      </c>
      <c r="AX345" s="1" t="n">
        <f aca="false">MAX($C345)</f>
        <v>0</v>
      </c>
      <c r="AY345" s="1" t="n">
        <f aca="false">MAX($D345)</f>
        <v>1143229</v>
      </c>
      <c r="AZ345" s="1" t="n">
        <f aca="false">MAX($E345)</f>
        <v>0</v>
      </c>
      <c r="BA345" s="1" t="n">
        <f aca="false">MAX($F345)</f>
        <v>694</v>
      </c>
      <c r="BB345" s="1" t="n">
        <f aca="false">MAX($G345)</f>
        <v>0</v>
      </c>
      <c r="BC345" s="1" t="n">
        <f aca="false">MAX($H345)</f>
        <v>1</v>
      </c>
      <c r="BD345" s="1" t="n">
        <f aca="false">MAX($I345)</f>
        <v>9.268</v>
      </c>
      <c r="BE345" s="1" t="n">
        <f aca="false">MAX($J345)</f>
        <v>9.49</v>
      </c>
      <c r="BF345" s="1" t="n">
        <f aca="false">MAX($K345)</f>
        <v>0</v>
      </c>
      <c r="BG345" s="1" t="n">
        <f aca="false">MAX($M345)</f>
        <v>2195795</v>
      </c>
      <c r="BH345" s="1" t="n">
        <f aca="false">MAX($N345)</f>
        <v>0.08</v>
      </c>
      <c r="BI345" s="1" t="n">
        <f aca="false">MAX($P345)</f>
        <v>9.49</v>
      </c>
      <c r="BJ345" s="1" t="n">
        <f aca="false">MAX($Q345)</f>
        <v>0</v>
      </c>
      <c r="BK345" s="1" t="n">
        <f aca="false">MAX($R345)</f>
        <v>698825</v>
      </c>
    </row>
    <row r="346" customFormat="false" ht="15" hidden="false" customHeight="false" outlineLevel="0" collapsed="false">
      <c r="A346" s="1" t="s">
        <v>363</v>
      </c>
      <c r="B346" s="1" t="n">
        <f aca="false" t="array" ref="B346:B346">_xlfn.SWITCH($A$2,"average", AVERAGE(Instances!B346:B346),"median", MEDIAN(Instances!B346:B346),"min", MIN(Instances!B346:B346),"max", MAX(Instances!B346:B346),"diff", MAX(Instances!B346:B346)-MIN(Instances!B346:B346))</f>
        <v>3708</v>
      </c>
      <c r="C346" s="1" t="n">
        <f aca="false" t="array" ref="C346:C346">_xlfn.SWITCH($A$2,"average", AVERAGE(Instances!C346:C346),"median", MEDIAN(Instances!C346:C346),"min", MIN(Instances!C346:C346),"max", MAX(Instances!C346:C346),"diff", MAX(Instances!C346:C346)-MIN(Instances!C346:C346))</f>
        <v>1</v>
      </c>
      <c r="D346" s="1" t="n">
        <f aca="false" t="array" ref="D346:D346">_xlfn.SWITCH($A$2,"average", AVERAGE(Instances!D346:D346),"median", MEDIAN(Instances!D346:D346),"min", MIN(Instances!D346:D346),"max", MAX(Instances!D346:D346),"diff", MAX(Instances!D346:D346)-MIN(Instances!D346:D346))</f>
        <v>1259329</v>
      </c>
      <c r="E346" s="1" t="n">
        <f aca="false" t="array" ref="E346:E346">_xlfn.SWITCH($A$2,"average", AVERAGE(Instances!E346:E346),"median", MEDIAN(Instances!E346:E346),"min", MIN(Instances!E346:E346),"max", MAX(Instances!E346:E346),"diff", MAX(Instances!E346:E346)-MIN(Instances!E346:E346))</f>
        <v>0</v>
      </c>
      <c r="F346" s="1" t="n">
        <f aca="false" t="array" ref="F346:F346">_xlfn.SWITCH($A$2,"average", AVERAGE(Instances!F346:F346),"median", MEDIAN(Instances!F346:F346),"min", MIN(Instances!F346:F346),"max", MAX(Instances!F346:F346),"diff", MAX(Instances!F346:F346)-MIN(Instances!F346:F346))</f>
        <v>712</v>
      </c>
      <c r="G346" s="1" t="n">
        <f aca="false" t="array" ref="G346:G346">_xlfn.SWITCH($A$2,"average", AVERAGE(Instances!G346:G346),"median", MEDIAN(Instances!G346:G346),"min", MIN(Instances!G346:G346),"max", MAX(Instances!G346:G346),"diff", MAX(Instances!G346:G346)-MIN(Instances!G346:G346))</f>
        <v>0</v>
      </c>
      <c r="H346" s="1" t="n">
        <f aca="false" t="array" ref="H346:H346">_xlfn.SWITCH($A$2,"average", AVERAGE(Instances!H346:H346),"median", MEDIAN(Instances!H346:H346),"min", MIN(Instances!H346:H346),"max", MAX(Instances!H346:H346),"diff", MAX(Instances!H346:H346)-MIN(Instances!H346:H346))</f>
        <v>1</v>
      </c>
      <c r="I346" s="1" t="n">
        <f aca="false" t="array" ref="I346:I346">_xlfn.SWITCH($A$2,"average", AVERAGE(Instances!I346:I346),"median", MEDIAN(Instances!I346:I346),"min", MIN(Instances!I346:I346),"max", MAX(Instances!I346:I346),"diff", MAX(Instances!I346:I346)-MIN(Instances!I346:I346))</f>
        <v>9.192</v>
      </c>
      <c r="J346" s="1" t="n">
        <f aca="false" t="array" ref="J346:J346">_xlfn.SWITCH($A$2,"average", AVERAGE(Instances!J346:J346),"median", MEDIAN(Instances!J346:J346),"min", MIN(Instances!J346:J346),"max", MAX(Instances!J346:J346),"diff", MAX(Instances!J346:J346)-MIN(Instances!J346:J346))</f>
        <v>9.43</v>
      </c>
      <c r="K346" s="1" t="n">
        <f aca="false" t="array" ref="K346:K346">_xlfn.SWITCH($A$2,"average", AVERAGE(Instances!K346:K346),"median", MEDIAN(Instances!K346:K346),"min", MIN(Instances!K346:K346),"max", MAX(Instances!K346:K346),"diff", MAX(Instances!K346:K346)-MIN(Instances!K346:K346))</f>
        <v>0</v>
      </c>
      <c r="L346" s="1"/>
      <c r="M346" s="1" t="n">
        <f aca="false" t="array" ref="M346:M346">_xlfn.SWITCH($A$2,"average", AVERAGE(Instances!M346:M346),"median", MEDIAN(Instances!M346:M346),"min", MIN(Instances!M346:M346),"max", MAX(Instances!M346:M346),"diff", MAX(Instances!M346:M346)-MIN(Instances!M346:M346))</f>
        <v>2267435</v>
      </c>
      <c r="N346" s="1" t="n">
        <f aca="false" t="array" ref="N346:N346">_xlfn.SWITCH($A$2,"average", AVERAGE(Instances!N346:N346),"median", MEDIAN(Instances!N346:N346),"min", MIN(Instances!N346:N346),"max", MAX(Instances!N346:N346),"diff", MAX(Instances!N346:N346)-MIN(Instances!N346:N346))</f>
        <v>0.09</v>
      </c>
      <c r="O346" s="1"/>
      <c r="P346" s="1" t="n">
        <f aca="false" t="array" ref="P346:P346">_xlfn.SWITCH($A$2,"average", AVERAGE(Instances!P346:P346),"median", MEDIAN(Instances!P346:P346),"min", MIN(Instances!P346:P346),"max", MAX(Instances!P346:P346),"diff", MAX(Instances!P346:P346)-MIN(Instances!P346:P346))</f>
        <v>9.43</v>
      </c>
      <c r="Q346" s="1" t="n">
        <f aca="false" t="array" ref="Q346:Q346">_xlfn.SWITCH($A$2,"average", AVERAGE(Instances!Q346:Q346),"median", MEDIAN(Instances!Q346:Q346),"min", MIN(Instances!Q346:Q346),"max", MAX(Instances!Q346:Q346),"diff", MAX(Instances!Q346:Q346)-MIN(Instances!Q346:Q346))</f>
        <v>0</v>
      </c>
      <c r="R346" s="1" t="n">
        <f aca="false" t="array" ref="R346:R346">_xlfn.SWITCH($A$2,"average", AVERAGE(Instances!R346:R346),"median", MEDIAN(Instances!R346:R346),"min", MIN(Instances!R346:R346),"max", MAX(Instances!R346:R346),"diff", MAX(Instances!R346:R346)-MIN(Instances!R346:R346))</f>
        <v>718644</v>
      </c>
      <c r="S346" s="1" t="n">
        <f aca="false">MIN($B346)</f>
        <v>3708</v>
      </c>
      <c r="T346" s="1" t="n">
        <f aca="false">MIN($C346)</f>
        <v>1</v>
      </c>
      <c r="U346" s="1" t="n">
        <f aca="false">MIN($D346)</f>
        <v>1259329</v>
      </c>
      <c r="V346" s="1" t="n">
        <f aca="false">MIN($E346)</f>
        <v>0</v>
      </c>
      <c r="W346" s="1" t="n">
        <f aca="false">MIN($F346)</f>
        <v>712</v>
      </c>
      <c r="X346" s="1" t="n">
        <f aca="false">MIN($G346)</f>
        <v>0</v>
      </c>
      <c r="Y346" s="1" t="n">
        <f aca="false">MIN($H346)</f>
        <v>1</v>
      </c>
      <c r="Z346" s="1" t="n">
        <f aca="false">MIN($I346)</f>
        <v>9.192</v>
      </c>
      <c r="AA346" s="1" t="n">
        <f aca="false">MIN($J346)</f>
        <v>9.43</v>
      </c>
      <c r="AB346" s="1" t="n">
        <f aca="false">MIN($K346)</f>
        <v>0</v>
      </c>
      <c r="AC346" s="1" t="n">
        <f aca="false">MIN($M346)</f>
        <v>2267435</v>
      </c>
      <c r="AD346" s="1" t="n">
        <f aca="false">MIN($N346)</f>
        <v>0.09</v>
      </c>
      <c r="AE346" s="1" t="n">
        <f aca="false">MIN($P346)</f>
        <v>9.43</v>
      </c>
      <c r="AF346" s="1" t="n">
        <f aca="false">MIN($Q346)</f>
        <v>0</v>
      </c>
      <c r="AG346" s="1" t="n">
        <f aca="false">MIN($R346)</f>
        <v>718644</v>
      </c>
      <c r="AH346" s="1" t="n">
        <f aca="false">MEDIAN($B346)</f>
        <v>3708</v>
      </c>
      <c r="AI346" s="1" t="n">
        <f aca="false">MEDIAN($C346)</f>
        <v>1</v>
      </c>
      <c r="AJ346" s="1" t="n">
        <f aca="false">MEDIAN($D346)</f>
        <v>1259329</v>
      </c>
      <c r="AK346" s="1" t="n">
        <f aca="false">MEDIAN($E346)</f>
        <v>0</v>
      </c>
      <c r="AL346" s="1" t="n">
        <f aca="false">MEDIAN($F346)</f>
        <v>712</v>
      </c>
      <c r="AM346" s="1" t="n">
        <f aca="false">MEDIAN($G346)</f>
        <v>0</v>
      </c>
      <c r="AN346" s="1" t="n">
        <f aca="false">MEDIAN($H346)</f>
        <v>1</v>
      </c>
      <c r="AO346" s="1" t="n">
        <f aca="false">MEDIAN($I346)</f>
        <v>9.192</v>
      </c>
      <c r="AP346" s="1" t="n">
        <f aca="false">MEDIAN($J346)</f>
        <v>9.43</v>
      </c>
      <c r="AQ346" s="1" t="n">
        <f aca="false">MEDIAN($K346)</f>
        <v>0</v>
      </c>
      <c r="AR346" s="1" t="n">
        <f aca="false">MEDIAN($M346)</f>
        <v>2267435</v>
      </c>
      <c r="AS346" s="1" t="n">
        <f aca="false">MEDIAN($N346)</f>
        <v>0.09</v>
      </c>
      <c r="AT346" s="1" t="n">
        <f aca="false">MEDIAN($P346)</f>
        <v>9.43</v>
      </c>
      <c r="AU346" s="1" t="n">
        <f aca="false">MEDIAN($Q346)</f>
        <v>0</v>
      </c>
      <c r="AV346" s="1" t="n">
        <f aca="false">MEDIAN($R346)</f>
        <v>718644</v>
      </c>
      <c r="AW346" s="1" t="n">
        <f aca="false">MAX($B346)</f>
        <v>3708</v>
      </c>
      <c r="AX346" s="1" t="n">
        <f aca="false">MAX($C346)</f>
        <v>1</v>
      </c>
      <c r="AY346" s="1" t="n">
        <f aca="false">MAX($D346)</f>
        <v>1259329</v>
      </c>
      <c r="AZ346" s="1" t="n">
        <f aca="false">MAX($E346)</f>
        <v>0</v>
      </c>
      <c r="BA346" s="1" t="n">
        <f aca="false">MAX($F346)</f>
        <v>712</v>
      </c>
      <c r="BB346" s="1" t="n">
        <f aca="false">MAX($G346)</f>
        <v>0</v>
      </c>
      <c r="BC346" s="1" t="n">
        <f aca="false">MAX($H346)</f>
        <v>1</v>
      </c>
      <c r="BD346" s="1" t="n">
        <f aca="false">MAX($I346)</f>
        <v>9.192</v>
      </c>
      <c r="BE346" s="1" t="n">
        <f aca="false">MAX($J346)</f>
        <v>9.43</v>
      </c>
      <c r="BF346" s="1" t="n">
        <f aca="false">MAX($K346)</f>
        <v>0</v>
      </c>
      <c r="BG346" s="1" t="n">
        <f aca="false">MAX($M346)</f>
        <v>2267435</v>
      </c>
      <c r="BH346" s="1" t="n">
        <f aca="false">MAX($N346)</f>
        <v>0.09</v>
      </c>
      <c r="BI346" s="1" t="n">
        <f aca="false">MAX($P346)</f>
        <v>9.43</v>
      </c>
      <c r="BJ346" s="1" t="n">
        <f aca="false">MAX($Q346)</f>
        <v>0</v>
      </c>
      <c r="BK346" s="1" t="n">
        <f aca="false">MAX($R346)</f>
        <v>718644</v>
      </c>
    </row>
    <row r="347" customFormat="false" ht="15" hidden="false" customHeight="false" outlineLevel="0" collapsed="false">
      <c r="A347" s="1" t="s">
        <v>364</v>
      </c>
      <c r="B347" s="1" t="n">
        <f aca="false" t="array" ref="B347:B347">_xlfn.SWITCH($A$2,"average", AVERAGE(Instances!B347:B347),"median", MEDIAN(Instances!B347:B347),"min", MIN(Instances!B347:B347),"max", MAX(Instances!B347:B347),"diff", MAX(Instances!B347:B347)-MIN(Instances!B347:B347))</f>
        <v>66791</v>
      </c>
      <c r="C347" s="1" t="n">
        <f aca="false" t="array" ref="C347:C347">_xlfn.SWITCH($A$2,"average", AVERAGE(Instances!C347:C347),"median", MEDIAN(Instances!C347:C347),"min", MIN(Instances!C347:C347),"max", MAX(Instances!C347:C347),"diff", MAX(Instances!C347:C347)-MIN(Instances!C347:C347))</f>
        <v>243</v>
      </c>
      <c r="D347" s="1" t="n">
        <f aca="false" t="array" ref="D347:D347">_xlfn.SWITCH($A$2,"average", AVERAGE(Instances!D347:D347),"median", MEDIAN(Instances!D347:D347),"min", MIN(Instances!D347:D347),"max", MAX(Instances!D347:D347),"diff", MAX(Instances!D347:D347)-MIN(Instances!D347:D347))</f>
        <v>1165100</v>
      </c>
      <c r="E347" s="1" t="n">
        <f aca="false" t="array" ref="E347:E347">_xlfn.SWITCH($A$2,"average", AVERAGE(Instances!E347:E347),"median", MEDIAN(Instances!E347:E347),"min", MIN(Instances!E347:E347),"max", MAX(Instances!E347:E347),"diff", MAX(Instances!E347:E347)-MIN(Instances!E347:E347))</f>
        <v>0</v>
      </c>
      <c r="F347" s="1" t="n">
        <f aca="false" t="array" ref="F347:F347">_xlfn.SWITCH($A$2,"average", AVERAGE(Instances!F347:F347),"median", MEDIAN(Instances!F347:F347),"min", MIN(Instances!F347:F347),"max", MAX(Instances!F347:F347),"diff", MAX(Instances!F347:F347)-MIN(Instances!F347:F347))</f>
        <v>688</v>
      </c>
      <c r="G347" s="1" t="n">
        <f aca="false" t="array" ref="G347:G347">_xlfn.SWITCH($A$2,"average", AVERAGE(Instances!G347:G347),"median", MEDIAN(Instances!G347:G347),"min", MIN(Instances!G347:G347),"max", MAX(Instances!G347:G347),"diff", MAX(Instances!G347:G347)-MIN(Instances!G347:G347))</f>
        <v>0</v>
      </c>
      <c r="H347" s="1" t="n">
        <f aca="false" t="array" ref="H347:H347">_xlfn.SWITCH($A$2,"average", AVERAGE(Instances!H347:H347),"median", MEDIAN(Instances!H347:H347),"min", MIN(Instances!H347:H347),"max", MAX(Instances!H347:H347),"diff", MAX(Instances!H347:H347)-MIN(Instances!H347:H347))</f>
        <v>1</v>
      </c>
      <c r="I347" s="1" t="n">
        <f aca="false" t="array" ref="I347:I347">_xlfn.SWITCH($A$2,"average", AVERAGE(Instances!I347:I347),"median", MEDIAN(Instances!I347:I347),"min", MIN(Instances!I347:I347),"max", MAX(Instances!I347:I347),"diff", MAX(Instances!I347:I347)-MIN(Instances!I347:I347))</f>
        <v>10.552</v>
      </c>
      <c r="J347" s="1" t="n">
        <f aca="false" t="array" ref="J347:J347">_xlfn.SWITCH($A$2,"average", AVERAGE(Instances!J347:J347),"median", MEDIAN(Instances!J347:J347),"min", MIN(Instances!J347:J347),"max", MAX(Instances!J347:J347),"diff", MAX(Instances!J347:J347)-MIN(Instances!J347:J347))</f>
        <v>10.78</v>
      </c>
      <c r="K347" s="1" t="n">
        <f aca="false" t="array" ref="K347:K347">_xlfn.SWITCH($A$2,"average", AVERAGE(Instances!K347:K347),"median", MEDIAN(Instances!K347:K347),"min", MIN(Instances!K347:K347),"max", MAX(Instances!K347:K347),"diff", MAX(Instances!K347:K347)-MIN(Instances!K347:K347))</f>
        <v>2</v>
      </c>
      <c r="L347" s="1"/>
      <c r="M347" s="1" t="n">
        <f aca="false" t="array" ref="M347:M347">_xlfn.SWITCH($A$2,"average", AVERAGE(Instances!M347:M347),"median", MEDIAN(Instances!M347:M347),"min", MIN(Instances!M347:M347),"max", MAX(Instances!M347:M347),"diff", MAX(Instances!M347:M347)-MIN(Instances!M347:M347))</f>
        <v>2183232</v>
      </c>
      <c r="N347" s="1" t="n">
        <f aca="false" t="array" ref="N347:N347">_xlfn.SWITCH($A$2,"average", AVERAGE(Instances!N347:N347),"median", MEDIAN(Instances!N347:N347),"min", MIN(Instances!N347:N347),"max", MAX(Instances!N347:N347),"diff", MAX(Instances!N347:N347)-MIN(Instances!N347:N347))</f>
        <v>1.48</v>
      </c>
      <c r="O347" s="1"/>
      <c r="P347" s="1" t="n">
        <f aca="false" t="array" ref="P347:P347">_xlfn.SWITCH($A$2,"average", AVERAGE(Instances!P347:P347),"median", MEDIAN(Instances!P347:P347),"min", MIN(Instances!P347:P347),"max", MAX(Instances!P347:P347),"diff", MAX(Instances!P347:P347)-MIN(Instances!P347:P347))</f>
        <v>10.78</v>
      </c>
      <c r="Q347" s="1" t="n">
        <f aca="false" t="array" ref="Q347:Q347">_xlfn.SWITCH($A$2,"average", AVERAGE(Instances!Q347:Q347),"median", MEDIAN(Instances!Q347:Q347),"min", MIN(Instances!Q347:Q347),"max", MAX(Instances!Q347:Q347),"diff", MAX(Instances!Q347:Q347)-MIN(Instances!Q347:Q347))</f>
        <v>0</v>
      </c>
      <c r="R347" s="1" t="n">
        <f aca="false" t="array" ref="R347:R347">_xlfn.SWITCH($A$2,"average", AVERAGE(Instances!R347:R347),"median", MEDIAN(Instances!R347:R347),"min", MIN(Instances!R347:R347),"max", MAX(Instances!R347:R347),"diff", MAX(Instances!R347:R347)-MIN(Instances!R347:R347))</f>
        <v>691891</v>
      </c>
      <c r="S347" s="1" t="n">
        <f aca="false">MIN($B347)</f>
        <v>66791</v>
      </c>
      <c r="T347" s="1" t="n">
        <f aca="false">MIN($C347)</f>
        <v>243</v>
      </c>
      <c r="U347" s="1" t="n">
        <f aca="false">MIN($D347)</f>
        <v>1165100</v>
      </c>
      <c r="V347" s="1" t="n">
        <f aca="false">MIN($E347)</f>
        <v>0</v>
      </c>
      <c r="W347" s="1" t="n">
        <f aca="false">MIN($F347)</f>
        <v>688</v>
      </c>
      <c r="X347" s="1" t="n">
        <f aca="false">MIN($G347)</f>
        <v>0</v>
      </c>
      <c r="Y347" s="1" t="n">
        <f aca="false">MIN($H347)</f>
        <v>1</v>
      </c>
      <c r="Z347" s="1" t="n">
        <f aca="false">MIN($I347)</f>
        <v>10.552</v>
      </c>
      <c r="AA347" s="1" t="n">
        <f aca="false">MIN($J347)</f>
        <v>10.78</v>
      </c>
      <c r="AB347" s="1" t="n">
        <f aca="false">MIN($K347)</f>
        <v>2</v>
      </c>
      <c r="AC347" s="1" t="n">
        <f aca="false">MIN($M347)</f>
        <v>2183232</v>
      </c>
      <c r="AD347" s="1" t="n">
        <f aca="false">MIN($N347)</f>
        <v>1.48</v>
      </c>
      <c r="AE347" s="1" t="n">
        <f aca="false">MIN($P347)</f>
        <v>10.78</v>
      </c>
      <c r="AF347" s="1" t="n">
        <f aca="false">MIN($Q347)</f>
        <v>0</v>
      </c>
      <c r="AG347" s="1" t="n">
        <f aca="false">MIN($R347)</f>
        <v>691891</v>
      </c>
      <c r="AH347" s="1" t="n">
        <f aca="false">MEDIAN($B347)</f>
        <v>66791</v>
      </c>
      <c r="AI347" s="1" t="n">
        <f aca="false">MEDIAN($C347)</f>
        <v>243</v>
      </c>
      <c r="AJ347" s="1" t="n">
        <f aca="false">MEDIAN($D347)</f>
        <v>1165100</v>
      </c>
      <c r="AK347" s="1" t="n">
        <f aca="false">MEDIAN($E347)</f>
        <v>0</v>
      </c>
      <c r="AL347" s="1" t="n">
        <f aca="false">MEDIAN($F347)</f>
        <v>688</v>
      </c>
      <c r="AM347" s="1" t="n">
        <f aca="false">MEDIAN($G347)</f>
        <v>0</v>
      </c>
      <c r="AN347" s="1" t="n">
        <f aca="false">MEDIAN($H347)</f>
        <v>1</v>
      </c>
      <c r="AO347" s="1" t="n">
        <f aca="false">MEDIAN($I347)</f>
        <v>10.552</v>
      </c>
      <c r="AP347" s="1" t="n">
        <f aca="false">MEDIAN($J347)</f>
        <v>10.78</v>
      </c>
      <c r="AQ347" s="1" t="n">
        <f aca="false">MEDIAN($K347)</f>
        <v>2</v>
      </c>
      <c r="AR347" s="1" t="n">
        <f aca="false">MEDIAN($M347)</f>
        <v>2183232</v>
      </c>
      <c r="AS347" s="1" t="n">
        <f aca="false">MEDIAN($N347)</f>
        <v>1.48</v>
      </c>
      <c r="AT347" s="1" t="n">
        <f aca="false">MEDIAN($P347)</f>
        <v>10.78</v>
      </c>
      <c r="AU347" s="1" t="n">
        <f aca="false">MEDIAN($Q347)</f>
        <v>0</v>
      </c>
      <c r="AV347" s="1" t="n">
        <f aca="false">MEDIAN($R347)</f>
        <v>691891</v>
      </c>
      <c r="AW347" s="1" t="n">
        <f aca="false">MAX($B347)</f>
        <v>66791</v>
      </c>
      <c r="AX347" s="1" t="n">
        <f aca="false">MAX($C347)</f>
        <v>243</v>
      </c>
      <c r="AY347" s="1" t="n">
        <f aca="false">MAX($D347)</f>
        <v>1165100</v>
      </c>
      <c r="AZ347" s="1" t="n">
        <f aca="false">MAX($E347)</f>
        <v>0</v>
      </c>
      <c r="BA347" s="1" t="n">
        <f aca="false">MAX($F347)</f>
        <v>688</v>
      </c>
      <c r="BB347" s="1" t="n">
        <f aca="false">MAX($G347)</f>
        <v>0</v>
      </c>
      <c r="BC347" s="1" t="n">
        <f aca="false">MAX($H347)</f>
        <v>1</v>
      </c>
      <c r="BD347" s="1" t="n">
        <f aca="false">MAX($I347)</f>
        <v>10.552</v>
      </c>
      <c r="BE347" s="1" t="n">
        <f aca="false">MAX($J347)</f>
        <v>10.78</v>
      </c>
      <c r="BF347" s="1" t="n">
        <f aca="false">MAX($K347)</f>
        <v>2</v>
      </c>
      <c r="BG347" s="1" t="n">
        <f aca="false">MAX($M347)</f>
        <v>2183232</v>
      </c>
      <c r="BH347" s="1" t="n">
        <f aca="false">MAX($N347)</f>
        <v>1.48</v>
      </c>
      <c r="BI347" s="1" t="n">
        <f aca="false">MAX($P347)</f>
        <v>10.78</v>
      </c>
      <c r="BJ347" s="1" t="n">
        <f aca="false">MAX($Q347)</f>
        <v>0</v>
      </c>
      <c r="BK347" s="1" t="n">
        <f aca="false">MAX($R347)</f>
        <v>691891</v>
      </c>
    </row>
    <row r="348" customFormat="false" ht="15" hidden="false" customHeight="false" outlineLevel="0" collapsed="false">
      <c r="A348" s="1" t="s">
        <v>365</v>
      </c>
      <c r="B348" s="1" t="n">
        <f aca="false" t="array" ref="B348:B348">_xlfn.SWITCH($A$2,"average", AVERAGE(Instances!B348:B348),"median", MEDIAN(Instances!B348:B348),"min", MIN(Instances!B348:B348),"max", MAX(Instances!B348:B348),"diff", MAX(Instances!B348:B348)-MIN(Instances!B348:B348))</f>
        <v>7122</v>
      </c>
      <c r="C348" s="1" t="n">
        <f aca="false" t="array" ref="C348:C348">_xlfn.SWITCH($A$2,"average", AVERAGE(Instances!C348:C348),"median", MEDIAN(Instances!C348:C348),"min", MIN(Instances!C348:C348),"max", MAX(Instances!C348:C348),"diff", MAX(Instances!C348:C348)-MIN(Instances!C348:C348))</f>
        <v>8</v>
      </c>
      <c r="D348" s="1" t="n">
        <f aca="false" t="array" ref="D348:D348">_xlfn.SWITCH($A$2,"average", AVERAGE(Instances!D348:D348),"median", MEDIAN(Instances!D348:D348),"min", MIN(Instances!D348:D348),"max", MAX(Instances!D348:D348),"diff", MAX(Instances!D348:D348)-MIN(Instances!D348:D348))</f>
        <v>2110122</v>
      </c>
      <c r="E348" s="1" t="n">
        <f aca="false" t="array" ref="E348:E348">_xlfn.SWITCH($A$2,"average", AVERAGE(Instances!E348:E348),"median", MEDIAN(Instances!E348:E348),"min", MIN(Instances!E348:E348),"max", MAX(Instances!E348:E348),"diff", MAX(Instances!E348:E348)-MIN(Instances!E348:E348))</f>
        <v>0</v>
      </c>
      <c r="F348" s="1" t="n">
        <f aca="false" t="array" ref="F348:F348">_xlfn.SWITCH($A$2,"average", AVERAGE(Instances!F348:F348),"median", MEDIAN(Instances!F348:F348),"min", MIN(Instances!F348:F348),"max", MAX(Instances!F348:F348),"diff", MAX(Instances!F348:F348)-MIN(Instances!F348:F348))</f>
        <v>1042</v>
      </c>
      <c r="G348" s="1" t="n">
        <f aca="false" t="array" ref="G348:G348">_xlfn.SWITCH($A$2,"average", AVERAGE(Instances!G348:G348),"median", MEDIAN(Instances!G348:G348),"min", MIN(Instances!G348:G348),"max", MAX(Instances!G348:G348),"diff", MAX(Instances!G348:G348)-MIN(Instances!G348:G348))</f>
        <v>0</v>
      </c>
      <c r="H348" s="1" t="n">
        <f aca="false" t="array" ref="H348:H348">_xlfn.SWITCH($A$2,"average", AVERAGE(Instances!H348:H348),"median", MEDIAN(Instances!H348:H348),"min", MIN(Instances!H348:H348),"max", MAX(Instances!H348:H348),"diff", MAX(Instances!H348:H348)-MIN(Instances!H348:H348))</f>
        <v>1</v>
      </c>
      <c r="I348" s="1" t="n">
        <f aca="false" t="array" ref="I348:I348">_xlfn.SWITCH($A$2,"average", AVERAGE(Instances!I348:I348),"median", MEDIAN(Instances!I348:I348),"min", MIN(Instances!I348:I348),"max", MAX(Instances!I348:I348),"diff", MAX(Instances!I348:I348)-MIN(Instances!I348:I348))</f>
        <v>15.43</v>
      </c>
      <c r="J348" s="1" t="n">
        <f aca="false" t="array" ref="J348:J348">_xlfn.SWITCH($A$2,"average", AVERAGE(Instances!J348:J348),"median", MEDIAN(Instances!J348:J348),"min", MIN(Instances!J348:J348),"max", MAX(Instances!J348:J348),"diff", MAX(Instances!J348:J348)-MIN(Instances!J348:J348))</f>
        <v>15.78</v>
      </c>
      <c r="K348" s="1" t="n">
        <f aca="false" t="array" ref="K348:K348">_xlfn.SWITCH($A$2,"average", AVERAGE(Instances!K348:K348),"median", MEDIAN(Instances!K348:K348),"min", MIN(Instances!K348:K348),"max", MAX(Instances!K348:K348),"diff", MAX(Instances!K348:K348)-MIN(Instances!K348:K348))</f>
        <v>0</v>
      </c>
      <c r="L348" s="1"/>
      <c r="M348" s="1" t="n">
        <f aca="false" t="array" ref="M348:M348">_xlfn.SWITCH($A$2,"average", AVERAGE(Instances!M348:M348),"median", MEDIAN(Instances!M348:M348),"min", MIN(Instances!M348:M348),"max", MAX(Instances!M348:M348),"diff", MAX(Instances!M348:M348)-MIN(Instances!M348:M348))</f>
        <v>3789523</v>
      </c>
      <c r="N348" s="1" t="n">
        <f aca="false" t="array" ref="N348:N348">_xlfn.SWITCH($A$2,"average", AVERAGE(Instances!N348:N348),"median", MEDIAN(Instances!N348:N348),"min", MIN(Instances!N348:N348),"max", MAX(Instances!N348:N348),"diff", MAX(Instances!N348:N348)-MIN(Instances!N348:N348))</f>
        <v>0.18</v>
      </c>
      <c r="O348" s="1"/>
      <c r="P348" s="1" t="n">
        <f aca="false" t="array" ref="P348:P348">_xlfn.SWITCH($A$2,"average", AVERAGE(Instances!P348:P348),"median", MEDIAN(Instances!P348:P348),"min", MIN(Instances!P348:P348),"max", MAX(Instances!P348:P348),"diff", MAX(Instances!P348:P348)-MIN(Instances!P348:P348))</f>
        <v>15.78</v>
      </c>
      <c r="Q348" s="1" t="n">
        <f aca="false" t="array" ref="Q348:Q348">_xlfn.SWITCH($A$2,"average", AVERAGE(Instances!Q348:Q348),"median", MEDIAN(Instances!Q348:Q348),"min", MIN(Instances!Q348:Q348),"max", MAX(Instances!Q348:Q348),"diff", MAX(Instances!Q348:Q348)-MIN(Instances!Q348:Q348))</f>
        <v>0</v>
      </c>
      <c r="R348" s="1" t="n">
        <f aca="false" t="array" ref="R348:R348">_xlfn.SWITCH($A$2,"average", AVERAGE(Instances!R348:R348),"median", MEDIAN(Instances!R348:R348),"min", MIN(Instances!R348:R348),"max", MAX(Instances!R348:R348),"diff", MAX(Instances!R348:R348)-MIN(Instances!R348:R348))</f>
        <v>1060893</v>
      </c>
      <c r="S348" s="1" t="n">
        <f aca="false">MIN($B348)</f>
        <v>7122</v>
      </c>
      <c r="T348" s="1" t="n">
        <f aca="false">MIN($C348)</f>
        <v>8</v>
      </c>
      <c r="U348" s="1" t="n">
        <f aca="false">MIN($D348)</f>
        <v>2110122</v>
      </c>
      <c r="V348" s="1" t="n">
        <f aca="false">MIN($E348)</f>
        <v>0</v>
      </c>
      <c r="W348" s="1" t="n">
        <f aca="false">MIN($F348)</f>
        <v>1042</v>
      </c>
      <c r="X348" s="1" t="n">
        <f aca="false">MIN($G348)</f>
        <v>0</v>
      </c>
      <c r="Y348" s="1" t="n">
        <f aca="false">MIN($H348)</f>
        <v>1</v>
      </c>
      <c r="Z348" s="1" t="n">
        <f aca="false">MIN($I348)</f>
        <v>15.43</v>
      </c>
      <c r="AA348" s="1" t="n">
        <f aca="false">MIN($J348)</f>
        <v>15.78</v>
      </c>
      <c r="AB348" s="1" t="n">
        <f aca="false">MIN($K348)</f>
        <v>0</v>
      </c>
      <c r="AC348" s="1" t="n">
        <f aca="false">MIN($M348)</f>
        <v>3789523</v>
      </c>
      <c r="AD348" s="1" t="n">
        <f aca="false">MIN($N348)</f>
        <v>0.18</v>
      </c>
      <c r="AE348" s="1" t="n">
        <f aca="false">MIN($P348)</f>
        <v>15.78</v>
      </c>
      <c r="AF348" s="1" t="n">
        <f aca="false">MIN($Q348)</f>
        <v>0</v>
      </c>
      <c r="AG348" s="1" t="n">
        <f aca="false">MIN($R348)</f>
        <v>1060893</v>
      </c>
      <c r="AH348" s="1" t="n">
        <f aca="false">MEDIAN($B348)</f>
        <v>7122</v>
      </c>
      <c r="AI348" s="1" t="n">
        <f aca="false">MEDIAN($C348)</f>
        <v>8</v>
      </c>
      <c r="AJ348" s="1" t="n">
        <f aca="false">MEDIAN($D348)</f>
        <v>2110122</v>
      </c>
      <c r="AK348" s="1" t="n">
        <f aca="false">MEDIAN($E348)</f>
        <v>0</v>
      </c>
      <c r="AL348" s="1" t="n">
        <f aca="false">MEDIAN($F348)</f>
        <v>1042</v>
      </c>
      <c r="AM348" s="1" t="n">
        <f aca="false">MEDIAN($G348)</f>
        <v>0</v>
      </c>
      <c r="AN348" s="1" t="n">
        <f aca="false">MEDIAN($H348)</f>
        <v>1</v>
      </c>
      <c r="AO348" s="1" t="n">
        <f aca="false">MEDIAN($I348)</f>
        <v>15.43</v>
      </c>
      <c r="AP348" s="1" t="n">
        <f aca="false">MEDIAN($J348)</f>
        <v>15.78</v>
      </c>
      <c r="AQ348" s="1" t="n">
        <f aca="false">MEDIAN($K348)</f>
        <v>0</v>
      </c>
      <c r="AR348" s="1" t="n">
        <f aca="false">MEDIAN($M348)</f>
        <v>3789523</v>
      </c>
      <c r="AS348" s="1" t="n">
        <f aca="false">MEDIAN($N348)</f>
        <v>0.18</v>
      </c>
      <c r="AT348" s="1" t="n">
        <f aca="false">MEDIAN($P348)</f>
        <v>15.78</v>
      </c>
      <c r="AU348" s="1" t="n">
        <f aca="false">MEDIAN($Q348)</f>
        <v>0</v>
      </c>
      <c r="AV348" s="1" t="n">
        <f aca="false">MEDIAN($R348)</f>
        <v>1060893</v>
      </c>
      <c r="AW348" s="1" t="n">
        <f aca="false">MAX($B348)</f>
        <v>7122</v>
      </c>
      <c r="AX348" s="1" t="n">
        <f aca="false">MAX($C348)</f>
        <v>8</v>
      </c>
      <c r="AY348" s="1" t="n">
        <f aca="false">MAX($D348)</f>
        <v>2110122</v>
      </c>
      <c r="AZ348" s="1" t="n">
        <f aca="false">MAX($E348)</f>
        <v>0</v>
      </c>
      <c r="BA348" s="1" t="n">
        <f aca="false">MAX($F348)</f>
        <v>1042</v>
      </c>
      <c r="BB348" s="1" t="n">
        <f aca="false">MAX($G348)</f>
        <v>0</v>
      </c>
      <c r="BC348" s="1" t="n">
        <f aca="false">MAX($H348)</f>
        <v>1</v>
      </c>
      <c r="BD348" s="1" t="n">
        <f aca="false">MAX($I348)</f>
        <v>15.43</v>
      </c>
      <c r="BE348" s="1" t="n">
        <f aca="false">MAX($J348)</f>
        <v>15.78</v>
      </c>
      <c r="BF348" s="1" t="n">
        <f aca="false">MAX($K348)</f>
        <v>0</v>
      </c>
      <c r="BG348" s="1" t="n">
        <f aca="false">MAX($M348)</f>
        <v>3789523</v>
      </c>
      <c r="BH348" s="1" t="n">
        <f aca="false">MAX($N348)</f>
        <v>0.18</v>
      </c>
      <c r="BI348" s="1" t="n">
        <f aca="false">MAX($P348)</f>
        <v>15.78</v>
      </c>
      <c r="BJ348" s="1" t="n">
        <f aca="false">MAX($Q348)</f>
        <v>0</v>
      </c>
      <c r="BK348" s="1" t="n">
        <f aca="false">MAX($R348)</f>
        <v>1060893</v>
      </c>
    </row>
    <row r="349" customFormat="false" ht="15" hidden="false" customHeight="false" outlineLevel="0" collapsed="false">
      <c r="A349" s="1" t="s">
        <v>366</v>
      </c>
      <c r="B349" s="1" t="n">
        <f aca="false" t="array" ref="B349:B349">_xlfn.SWITCH($A$2,"average", AVERAGE(Instances!B349:B349),"median", MEDIAN(Instances!B349:B349),"min", MIN(Instances!B349:B349),"max", MAX(Instances!B349:B349),"diff", MAX(Instances!B349:B349)-MIN(Instances!B349:B349))</f>
        <v>128591</v>
      </c>
      <c r="C349" s="1" t="n">
        <f aca="false" t="array" ref="C349:C349">_xlfn.SWITCH($A$2,"average", AVERAGE(Instances!C349:C349),"median", MEDIAN(Instances!C349:C349),"min", MIN(Instances!C349:C349),"max", MAX(Instances!C349:C349),"diff", MAX(Instances!C349:C349)-MIN(Instances!C349:C349))</f>
        <v>3966</v>
      </c>
      <c r="D349" s="1" t="n">
        <f aca="false" t="array" ref="D349:D349">_xlfn.SWITCH($A$2,"average", AVERAGE(Instances!D349:D349),"median", MEDIAN(Instances!D349:D349),"min", MIN(Instances!D349:D349),"max", MAX(Instances!D349:D349),"diff", MAX(Instances!D349:D349)-MIN(Instances!D349:D349))</f>
        <v>2201009</v>
      </c>
      <c r="E349" s="1" t="n">
        <f aca="false" t="array" ref="E349:E349">_xlfn.SWITCH($A$2,"average", AVERAGE(Instances!E349:E349),"median", MEDIAN(Instances!E349:E349),"min", MIN(Instances!E349:E349),"max", MAX(Instances!E349:E349),"diff", MAX(Instances!E349:E349)-MIN(Instances!E349:E349))</f>
        <v>0</v>
      </c>
      <c r="F349" s="1" t="n">
        <f aca="false" t="array" ref="F349:F349">_xlfn.SWITCH($A$2,"average", AVERAGE(Instances!F349:F349),"median", MEDIAN(Instances!F349:F349),"min", MIN(Instances!F349:F349),"max", MAX(Instances!F349:F349),"diff", MAX(Instances!F349:F349)-MIN(Instances!F349:F349))</f>
        <v>1063</v>
      </c>
      <c r="G349" s="1" t="n">
        <f aca="false" t="array" ref="G349:G349">_xlfn.SWITCH($A$2,"average", AVERAGE(Instances!G349:G349),"median", MEDIAN(Instances!G349:G349),"min", MIN(Instances!G349:G349),"max", MAX(Instances!G349:G349),"diff", MAX(Instances!G349:G349)-MIN(Instances!G349:G349))</f>
        <v>0</v>
      </c>
      <c r="H349" s="1" t="n">
        <f aca="false" t="array" ref="H349:H349">_xlfn.SWITCH($A$2,"average", AVERAGE(Instances!H349:H349),"median", MEDIAN(Instances!H349:H349),"min", MIN(Instances!H349:H349),"max", MAX(Instances!H349:H349),"diff", MAX(Instances!H349:H349)-MIN(Instances!H349:H349))</f>
        <v>1</v>
      </c>
      <c r="I349" s="1" t="n">
        <f aca="false" t="array" ref="I349:I349">_xlfn.SWITCH($A$2,"average", AVERAGE(Instances!I349:I349),"median", MEDIAN(Instances!I349:I349),"min", MIN(Instances!I349:I349),"max", MAX(Instances!I349:I349),"diff", MAX(Instances!I349:I349)-MIN(Instances!I349:I349))</f>
        <v>25.309</v>
      </c>
      <c r="J349" s="1" t="n">
        <f aca="false" t="array" ref="J349:J349">_xlfn.SWITCH($A$2,"average", AVERAGE(Instances!J349:J349),"median", MEDIAN(Instances!J349:J349),"min", MIN(Instances!J349:J349),"max", MAX(Instances!J349:J349),"diff", MAX(Instances!J349:J349)-MIN(Instances!J349:J349))</f>
        <v>25.65</v>
      </c>
      <c r="K349" s="1" t="n">
        <f aca="false" t="array" ref="K349:K349">_xlfn.SWITCH($A$2,"average", AVERAGE(Instances!K349:K349),"median", MEDIAN(Instances!K349:K349),"min", MIN(Instances!K349:K349),"max", MAX(Instances!K349:K349),"diff", MAX(Instances!K349:K349)-MIN(Instances!K349:K349))</f>
        <v>22</v>
      </c>
      <c r="L349" s="1"/>
      <c r="M349" s="1" t="n">
        <f aca="false" t="array" ref="M349:M349">_xlfn.SWITCH($A$2,"average", AVERAGE(Instances!M349:M349),"median", MEDIAN(Instances!M349:M349),"min", MIN(Instances!M349:M349),"max", MAX(Instances!M349:M349),"diff", MAX(Instances!M349:M349)-MIN(Instances!M349:M349))</f>
        <v>3898240</v>
      </c>
      <c r="N349" s="1" t="n">
        <f aca="false" t="array" ref="N349:N349">_xlfn.SWITCH($A$2,"average", AVERAGE(Instances!N349:N349),"median", MEDIAN(Instances!N349:N349),"min", MIN(Instances!N349:N349),"max", MAX(Instances!N349:N349),"diff", MAX(Instances!N349:N349)-MIN(Instances!N349:N349))</f>
        <v>9.71</v>
      </c>
      <c r="O349" s="1"/>
      <c r="P349" s="1" t="n">
        <f aca="false" t="array" ref="P349:P349">_xlfn.SWITCH($A$2,"average", AVERAGE(Instances!P349:P349),"median", MEDIAN(Instances!P349:P349),"min", MIN(Instances!P349:P349),"max", MAX(Instances!P349:P349),"diff", MAX(Instances!P349:P349)-MIN(Instances!P349:P349))</f>
        <v>25.65</v>
      </c>
      <c r="Q349" s="1" t="n">
        <f aca="false" t="array" ref="Q349:Q349">_xlfn.SWITCH($A$2,"average", AVERAGE(Instances!Q349:Q349),"median", MEDIAN(Instances!Q349:Q349),"min", MIN(Instances!Q349:Q349),"max", MAX(Instances!Q349:Q349),"diff", MAX(Instances!Q349:Q349)-MIN(Instances!Q349:Q349))</f>
        <v>0</v>
      </c>
      <c r="R349" s="1" t="n">
        <f aca="false" t="array" ref="R349:R349">_xlfn.SWITCH($A$2,"average", AVERAGE(Instances!R349:R349),"median", MEDIAN(Instances!R349:R349),"min", MIN(Instances!R349:R349),"max", MAX(Instances!R349:R349),"diff", MAX(Instances!R349:R349)-MIN(Instances!R349:R349))</f>
        <v>1083823</v>
      </c>
      <c r="S349" s="1" t="n">
        <f aca="false">MIN($B349)</f>
        <v>128591</v>
      </c>
      <c r="T349" s="1" t="n">
        <f aca="false">MIN($C349)</f>
        <v>3966</v>
      </c>
      <c r="U349" s="1" t="n">
        <f aca="false">MIN($D349)</f>
        <v>2201009</v>
      </c>
      <c r="V349" s="1" t="n">
        <f aca="false">MIN($E349)</f>
        <v>0</v>
      </c>
      <c r="W349" s="1" t="n">
        <f aca="false">MIN($F349)</f>
        <v>1063</v>
      </c>
      <c r="X349" s="1" t="n">
        <f aca="false">MIN($G349)</f>
        <v>0</v>
      </c>
      <c r="Y349" s="1" t="n">
        <f aca="false">MIN($H349)</f>
        <v>1</v>
      </c>
      <c r="Z349" s="1" t="n">
        <f aca="false">MIN($I349)</f>
        <v>25.309</v>
      </c>
      <c r="AA349" s="1" t="n">
        <f aca="false">MIN($J349)</f>
        <v>25.65</v>
      </c>
      <c r="AB349" s="1" t="n">
        <f aca="false">MIN($K349)</f>
        <v>22</v>
      </c>
      <c r="AC349" s="1" t="n">
        <f aca="false">MIN($M349)</f>
        <v>3898240</v>
      </c>
      <c r="AD349" s="1" t="n">
        <f aca="false">MIN($N349)</f>
        <v>9.71</v>
      </c>
      <c r="AE349" s="1" t="n">
        <f aca="false">MIN($P349)</f>
        <v>25.65</v>
      </c>
      <c r="AF349" s="1" t="n">
        <f aca="false">MIN($Q349)</f>
        <v>0</v>
      </c>
      <c r="AG349" s="1" t="n">
        <f aca="false">MIN($R349)</f>
        <v>1083823</v>
      </c>
      <c r="AH349" s="1" t="n">
        <f aca="false">MEDIAN($B349)</f>
        <v>128591</v>
      </c>
      <c r="AI349" s="1" t="n">
        <f aca="false">MEDIAN($C349)</f>
        <v>3966</v>
      </c>
      <c r="AJ349" s="1" t="n">
        <f aca="false">MEDIAN($D349)</f>
        <v>2201009</v>
      </c>
      <c r="AK349" s="1" t="n">
        <f aca="false">MEDIAN($E349)</f>
        <v>0</v>
      </c>
      <c r="AL349" s="1" t="n">
        <f aca="false">MEDIAN($F349)</f>
        <v>1063</v>
      </c>
      <c r="AM349" s="1" t="n">
        <f aca="false">MEDIAN($G349)</f>
        <v>0</v>
      </c>
      <c r="AN349" s="1" t="n">
        <f aca="false">MEDIAN($H349)</f>
        <v>1</v>
      </c>
      <c r="AO349" s="1" t="n">
        <f aca="false">MEDIAN($I349)</f>
        <v>25.309</v>
      </c>
      <c r="AP349" s="1" t="n">
        <f aca="false">MEDIAN($J349)</f>
        <v>25.65</v>
      </c>
      <c r="AQ349" s="1" t="n">
        <f aca="false">MEDIAN($K349)</f>
        <v>22</v>
      </c>
      <c r="AR349" s="1" t="n">
        <f aca="false">MEDIAN($M349)</f>
        <v>3898240</v>
      </c>
      <c r="AS349" s="1" t="n">
        <f aca="false">MEDIAN($N349)</f>
        <v>9.71</v>
      </c>
      <c r="AT349" s="1" t="n">
        <f aca="false">MEDIAN($P349)</f>
        <v>25.65</v>
      </c>
      <c r="AU349" s="1" t="n">
        <f aca="false">MEDIAN($Q349)</f>
        <v>0</v>
      </c>
      <c r="AV349" s="1" t="n">
        <f aca="false">MEDIAN($R349)</f>
        <v>1083823</v>
      </c>
      <c r="AW349" s="1" t="n">
        <f aca="false">MAX($B349)</f>
        <v>128591</v>
      </c>
      <c r="AX349" s="1" t="n">
        <f aca="false">MAX($C349)</f>
        <v>3966</v>
      </c>
      <c r="AY349" s="1" t="n">
        <f aca="false">MAX($D349)</f>
        <v>2201009</v>
      </c>
      <c r="AZ349" s="1" t="n">
        <f aca="false">MAX($E349)</f>
        <v>0</v>
      </c>
      <c r="BA349" s="1" t="n">
        <f aca="false">MAX($F349)</f>
        <v>1063</v>
      </c>
      <c r="BB349" s="1" t="n">
        <f aca="false">MAX($G349)</f>
        <v>0</v>
      </c>
      <c r="BC349" s="1" t="n">
        <f aca="false">MAX($H349)</f>
        <v>1</v>
      </c>
      <c r="BD349" s="1" t="n">
        <f aca="false">MAX($I349)</f>
        <v>25.309</v>
      </c>
      <c r="BE349" s="1" t="n">
        <f aca="false">MAX($J349)</f>
        <v>25.65</v>
      </c>
      <c r="BF349" s="1" t="n">
        <f aca="false">MAX($K349)</f>
        <v>22</v>
      </c>
      <c r="BG349" s="1" t="n">
        <f aca="false">MAX($M349)</f>
        <v>3898240</v>
      </c>
      <c r="BH349" s="1" t="n">
        <f aca="false">MAX($N349)</f>
        <v>9.71</v>
      </c>
      <c r="BI349" s="1" t="n">
        <f aca="false">MAX($P349)</f>
        <v>25.65</v>
      </c>
      <c r="BJ349" s="1" t="n">
        <f aca="false">MAX($Q349)</f>
        <v>0</v>
      </c>
      <c r="BK349" s="1" t="n">
        <f aca="false">MAX($R349)</f>
        <v>1083823</v>
      </c>
    </row>
    <row r="350" customFormat="false" ht="15" hidden="false" customHeight="false" outlineLevel="0" collapsed="false">
      <c r="A350" s="1" t="s">
        <v>367</v>
      </c>
      <c r="B350" s="1" t="n">
        <f aca="false" t="array" ref="B350:B350">_xlfn.SWITCH($A$2,"average", AVERAGE(Instances!B350:B350),"median", MEDIAN(Instances!B350:B350),"min", MIN(Instances!B350:B350),"max", MAX(Instances!B350:B350),"diff", MAX(Instances!B350:B350)-MIN(Instances!B350:B350))</f>
        <v>51256</v>
      </c>
      <c r="C350" s="1" t="n">
        <f aca="false" t="array" ref="C350:C350">_xlfn.SWITCH($A$2,"average", AVERAGE(Instances!C350:C350),"median", MEDIAN(Instances!C350:C350),"min", MIN(Instances!C350:C350),"max", MAX(Instances!C350:C350),"diff", MAX(Instances!C350:C350)-MIN(Instances!C350:C350))</f>
        <v>432</v>
      </c>
      <c r="D350" s="1" t="n">
        <f aca="false" t="array" ref="D350:D350">_xlfn.SWITCH($A$2,"average", AVERAGE(Instances!D350:D350),"median", MEDIAN(Instances!D350:D350),"min", MIN(Instances!D350:D350),"max", MAX(Instances!D350:D350),"diff", MAX(Instances!D350:D350)-MIN(Instances!D350:D350))</f>
        <v>1550962</v>
      </c>
      <c r="E350" s="1" t="n">
        <f aca="false" t="array" ref="E350:E350">_xlfn.SWITCH($A$2,"average", AVERAGE(Instances!E350:E350),"median", MEDIAN(Instances!E350:E350),"min", MIN(Instances!E350:E350),"max", MAX(Instances!E350:E350),"diff", MAX(Instances!E350:E350)-MIN(Instances!E350:E350))</f>
        <v>0</v>
      </c>
      <c r="F350" s="1" t="n">
        <f aca="false" t="array" ref="F350:F350">_xlfn.SWITCH($A$2,"average", AVERAGE(Instances!F350:F350),"median", MEDIAN(Instances!F350:F350),"min", MIN(Instances!F350:F350),"max", MAX(Instances!F350:F350),"diff", MAX(Instances!F350:F350)-MIN(Instances!F350:F350))</f>
        <v>900</v>
      </c>
      <c r="G350" s="1" t="n">
        <f aca="false" t="array" ref="G350:G350">_xlfn.SWITCH($A$2,"average", AVERAGE(Instances!G350:G350),"median", MEDIAN(Instances!G350:G350),"min", MIN(Instances!G350:G350),"max", MAX(Instances!G350:G350),"diff", MAX(Instances!G350:G350)-MIN(Instances!G350:G350))</f>
        <v>0</v>
      </c>
      <c r="H350" s="1" t="n">
        <f aca="false" t="array" ref="H350:H350">_xlfn.SWITCH($A$2,"average", AVERAGE(Instances!H350:H350),"median", MEDIAN(Instances!H350:H350),"min", MIN(Instances!H350:H350),"max", MAX(Instances!H350:H350),"diff", MAX(Instances!H350:H350)-MIN(Instances!H350:H350))</f>
        <v>1</v>
      </c>
      <c r="I350" s="1" t="n">
        <f aca="false" t="array" ref="I350:I350">_xlfn.SWITCH($A$2,"average", AVERAGE(Instances!I350:I350),"median", MEDIAN(Instances!I350:I350),"min", MIN(Instances!I350:I350),"max", MAX(Instances!I350:I350),"diff", MAX(Instances!I350:I350)-MIN(Instances!I350:I350))</f>
        <v>14.449</v>
      </c>
      <c r="J350" s="1" t="n">
        <f aca="false" t="array" ref="J350:J350">_xlfn.SWITCH($A$2,"average", AVERAGE(Instances!J350:J350),"median", MEDIAN(Instances!J350:J350),"min", MIN(Instances!J350:J350),"max", MAX(Instances!J350:J350),"diff", MAX(Instances!J350:J350)-MIN(Instances!J350:J350))</f>
        <v>14.75</v>
      </c>
      <c r="K350" s="1" t="n">
        <f aca="false" t="array" ref="K350:K350">_xlfn.SWITCH($A$2,"average", AVERAGE(Instances!K350:K350),"median", MEDIAN(Instances!K350:K350),"min", MIN(Instances!K350:K350),"max", MAX(Instances!K350:K350),"diff", MAX(Instances!K350:K350)-MIN(Instances!K350:K350))</f>
        <v>5</v>
      </c>
      <c r="L350" s="1"/>
      <c r="M350" s="1" t="n">
        <f aca="false" t="array" ref="M350:M350">_xlfn.SWITCH($A$2,"average", AVERAGE(Instances!M350:M350),"median", MEDIAN(Instances!M350:M350),"min", MIN(Instances!M350:M350),"max", MAX(Instances!M350:M350),"diff", MAX(Instances!M350:M350)-MIN(Instances!M350:M350))</f>
        <v>3079018</v>
      </c>
      <c r="N350" s="1" t="n">
        <f aca="false" t="array" ref="N350:N350">_xlfn.SWITCH($A$2,"average", AVERAGE(Instances!N350:N350),"median", MEDIAN(Instances!N350:N350),"min", MIN(Instances!N350:N350),"max", MAX(Instances!N350:N350),"diff", MAX(Instances!N350:N350)-MIN(Instances!N350:N350))</f>
        <v>1.8</v>
      </c>
      <c r="O350" s="1"/>
      <c r="P350" s="1" t="n">
        <f aca="false" t="array" ref="P350:P350">_xlfn.SWITCH($A$2,"average", AVERAGE(Instances!P350:P350),"median", MEDIAN(Instances!P350:P350),"min", MIN(Instances!P350:P350),"max", MAX(Instances!P350:P350),"diff", MAX(Instances!P350:P350)-MIN(Instances!P350:P350))</f>
        <v>14.75</v>
      </c>
      <c r="Q350" s="1" t="n">
        <f aca="false" t="array" ref="Q350:Q350">_xlfn.SWITCH($A$2,"average", AVERAGE(Instances!Q350:Q350),"median", MEDIAN(Instances!Q350:Q350),"min", MIN(Instances!Q350:Q350),"max", MAX(Instances!Q350:Q350),"diff", MAX(Instances!Q350:Q350)-MIN(Instances!Q350:Q350))</f>
        <v>0</v>
      </c>
      <c r="R350" s="1" t="n">
        <f aca="false" t="array" ref="R350:R350">_xlfn.SWITCH($A$2,"average", AVERAGE(Instances!R350:R350),"median", MEDIAN(Instances!R350:R350),"min", MIN(Instances!R350:R350),"max", MAX(Instances!R350:R350),"diff", MAX(Instances!R350:R350)-MIN(Instances!R350:R350))</f>
        <v>900567</v>
      </c>
      <c r="S350" s="1" t="n">
        <f aca="false">MIN($B350)</f>
        <v>51256</v>
      </c>
      <c r="T350" s="1" t="n">
        <f aca="false">MIN($C350)</f>
        <v>432</v>
      </c>
      <c r="U350" s="1" t="n">
        <f aca="false">MIN($D350)</f>
        <v>1550962</v>
      </c>
      <c r="V350" s="1" t="n">
        <f aca="false">MIN($E350)</f>
        <v>0</v>
      </c>
      <c r="W350" s="1" t="n">
        <f aca="false">MIN($F350)</f>
        <v>900</v>
      </c>
      <c r="X350" s="1" t="n">
        <f aca="false">MIN($G350)</f>
        <v>0</v>
      </c>
      <c r="Y350" s="1" t="n">
        <f aca="false">MIN($H350)</f>
        <v>1</v>
      </c>
      <c r="Z350" s="1" t="n">
        <f aca="false">MIN($I350)</f>
        <v>14.449</v>
      </c>
      <c r="AA350" s="1" t="n">
        <f aca="false">MIN($J350)</f>
        <v>14.75</v>
      </c>
      <c r="AB350" s="1" t="n">
        <f aca="false">MIN($K350)</f>
        <v>5</v>
      </c>
      <c r="AC350" s="1" t="n">
        <f aca="false">MIN($M350)</f>
        <v>3079018</v>
      </c>
      <c r="AD350" s="1" t="n">
        <f aca="false">MIN($N350)</f>
        <v>1.8</v>
      </c>
      <c r="AE350" s="1" t="n">
        <f aca="false">MIN($P350)</f>
        <v>14.75</v>
      </c>
      <c r="AF350" s="1" t="n">
        <f aca="false">MIN($Q350)</f>
        <v>0</v>
      </c>
      <c r="AG350" s="1" t="n">
        <f aca="false">MIN($R350)</f>
        <v>900567</v>
      </c>
      <c r="AH350" s="1" t="n">
        <f aca="false">MEDIAN($B350)</f>
        <v>51256</v>
      </c>
      <c r="AI350" s="1" t="n">
        <f aca="false">MEDIAN($C350)</f>
        <v>432</v>
      </c>
      <c r="AJ350" s="1" t="n">
        <f aca="false">MEDIAN($D350)</f>
        <v>1550962</v>
      </c>
      <c r="AK350" s="1" t="n">
        <f aca="false">MEDIAN($E350)</f>
        <v>0</v>
      </c>
      <c r="AL350" s="1" t="n">
        <f aca="false">MEDIAN($F350)</f>
        <v>900</v>
      </c>
      <c r="AM350" s="1" t="n">
        <f aca="false">MEDIAN($G350)</f>
        <v>0</v>
      </c>
      <c r="AN350" s="1" t="n">
        <f aca="false">MEDIAN($H350)</f>
        <v>1</v>
      </c>
      <c r="AO350" s="1" t="n">
        <f aca="false">MEDIAN($I350)</f>
        <v>14.449</v>
      </c>
      <c r="AP350" s="1" t="n">
        <f aca="false">MEDIAN($J350)</f>
        <v>14.75</v>
      </c>
      <c r="AQ350" s="1" t="n">
        <f aca="false">MEDIAN($K350)</f>
        <v>5</v>
      </c>
      <c r="AR350" s="1" t="n">
        <f aca="false">MEDIAN($M350)</f>
        <v>3079018</v>
      </c>
      <c r="AS350" s="1" t="n">
        <f aca="false">MEDIAN($N350)</f>
        <v>1.8</v>
      </c>
      <c r="AT350" s="1" t="n">
        <f aca="false">MEDIAN($P350)</f>
        <v>14.75</v>
      </c>
      <c r="AU350" s="1" t="n">
        <f aca="false">MEDIAN($Q350)</f>
        <v>0</v>
      </c>
      <c r="AV350" s="1" t="n">
        <f aca="false">MEDIAN($R350)</f>
        <v>900567</v>
      </c>
      <c r="AW350" s="1" t="n">
        <f aca="false">MAX($B350)</f>
        <v>51256</v>
      </c>
      <c r="AX350" s="1" t="n">
        <f aca="false">MAX($C350)</f>
        <v>432</v>
      </c>
      <c r="AY350" s="1" t="n">
        <f aca="false">MAX($D350)</f>
        <v>1550962</v>
      </c>
      <c r="AZ350" s="1" t="n">
        <f aca="false">MAX($E350)</f>
        <v>0</v>
      </c>
      <c r="BA350" s="1" t="n">
        <f aca="false">MAX($F350)</f>
        <v>900</v>
      </c>
      <c r="BB350" s="1" t="n">
        <f aca="false">MAX($G350)</f>
        <v>0</v>
      </c>
      <c r="BC350" s="1" t="n">
        <f aca="false">MAX($H350)</f>
        <v>1</v>
      </c>
      <c r="BD350" s="1" t="n">
        <f aca="false">MAX($I350)</f>
        <v>14.449</v>
      </c>
      <c r="BE350" s="1" t="n">
        <f aca="false">MAX($J350)</f>
        <v>14.75</v>
      </c>
      <c r="BF350" s="1" t="n">
        <f aca="false">MAX($K350)</f>
        <v>5</v>
      </c>
      <c r="BG350" s="1" t="n">
        <f aca="false">MAX($M350)</f>
        <v>3079018</v>
      </c>
      <c r="BH350" s="1" t="n">
        <f aca="false">MAX($N350)</f>
        <v>1.8</v>
      </c>
      <c r="BI350" s="1" t="n">
        <f aca="false">MAX($P350)</f>
        <v>14.75</v>
      </c>
      <c r="BJ350" s="1" t="n">
        <f aca="false">MAX($Q350)</f>
        <v>0</v>
      </c>
      <c r="BK350" s="1" t="n">
        <f aca="false">MAX($R350)</f>
        <v>900567</v>
      </c>
    </row>
    <row r="351" customFormat="false" ht="15" hidden="false" customHeight="false" outlineLevel="0" collapsed="false">
      <c r="A351" s="1" t="s">
        <v>368</v>
      </c>
      <c r="B351" s="1" t="n">
        <f aca="false" t="array" ref="B351:B351">_xlfn.SWITCH($A$2,"average", AVERAGE(Instances!B351:B351),"median", MEDIAN(Instances!B351:B351),"min", MIN(Instances!B351:B351),"max", MAX(Instances!B351:B351),"diff", MAX(Instances!B351:B351)-MIN(Instances!B351:B351))</f>
        <v>3550</v>
      </c>
      <c r="C351" s="1" t="n">
        <f aca="false" t="array" ref="C351:C351">_xlfn.SWITCH($A$2,"average", AVERAGE(Instances!C351:C351),"median", MEDIAN(Instances!C351:C351),"min", MIN(Instances!C351:C351),"max", MAX(Instances!C351:C351),"diff", MAX(Instances!C351:C351)-MIN(Instances!C351:C351))</f>
        <v>0</v>
      </c>
      <c r="D351" s="1" t="n">
        <f aca="false" t="array" ref="D351:D351">_xlfn.SWITCH($A$2,"average", AVERAGE(Instances!D351:D351),"median", MEDIAN(Instances!D351:D351),"min", MIN(Instances!D351:D351),"max", MAX(Instances!D351:D351),"diff", MAX(Instances!D351:D351)-MIN(Instances!D351:D351))</f>
        <v>1673705</v>
      </c>
      <c r="E351" s="1" t="n">
        <f aca="false" t="array" ref="E351:E351">_xlfn.SWITCH($A$2,"average", AVERAGE(Instances!E351:E351),"median", MEDIAN(Instances!E351:E351),"min", MIN(Instances!E351:E351),"max", MAX(Instances!E351:E351),"diff", MAX(Instances!E351:E351)-MIN(Instances!E351:E351))</f>
        <v>0</v>
      </c>
      <c r="F351" s="1" t="n">
        <f aca="false" t="array" ref="F351:F351">_xlfn.SWITCH($A$2,"average", AVERAGE(Instances!F351:F351),"median", MEDIAN(Instances!F351:F351),"min", MIN(Instances!F351:F351),"max", MAX(Instances!F351:F351),"diff", MAX(Instances!F351:F351)-MIN(Instances!F351:F351))</f>
        <v>915</v>
      </c>
      <c r="G351" s="1" t="n">
        <f aca="false" t="array" ref="G351:G351">_xlfn.SWITCH($A$2,"average", AVERAGE(Instances!G351:G351),"median", MEDIAN(Instances!G351:G351),"min", MIN(Instances!G351:G351),"max", MAX(Instances!G351:G351),"diff", MAX(Instances!G351:G351)-MIN(Instances!G351:G351))</f>
        <v>0</v>
      </c>
      <c r="H351" s="1" t="n">
        <f aca="false" t="array" ref="H351:H351">_xlfn.SWITCH($A$2,"average", AVERAGE(Instances!H351:H351),"median", MEDIAN(Instances!H351:H351),"min", MIN(Instances!H351:H351),"max", MAX(Instances!H351:H351),"diff", MAX(Instances!H351:H351)-MIN(Instances!H351:H351))</f>
        <v>1</v>
      </c>
      <c r="I351" s="1" t="n">
        <f aca="false" t="array" ref="I351:I351">_xlfn.SWITCH($A$2,"average", AVERAGE(Instances!I351:I351),"median", MEDIAN(Instances!I351:I351),"min", MIN(Instances!I351:I351),"max", MAX(Instances!I351:I351),"diff", MAX(Instances!I351:I351)-MIN(Instances!I351:I351))</f>
        <v>13.032</v>
      </c>
      <c r="J351" s="1" t="n">
        <f aca="false" t="array" ref="J351:J351">_xlfn.SWITCH($A$2,"average", AVERAGE(Instances!J351:J351),"median", MEDIAN(Instances!J351:J351),"min", MIN(Instances!J351:J351),"max", MAX(Instances!J351:J351),"diff", MAX(Instances!J351:J351)-MIN(Instances!J351:J351))</f>
        <v>13.33</v>
      </c>
      <c r="K351" s="1" t="n">
        <f aca="false" t="array" ref="K351:K351">_xlfn.SWITCH($A$2,"average", AVERAGE(Instances!K351:K351),"median", MEDIAN(Instances!K351:K351),"min", MIN(Instances!K351:K351),"max", MAX(Instances!K351:K351),"diff", MAX(Instances!K351:K351)-MIN(Instances!K351:K351))</f>
        <v>0</v>
      </c>
      <c r="L351" s="1"/>
      <c r="M351" s="1" t="n">
        <f aca="false" t="array" ref="M351:M351">_xlfn.SWITCH($A$2,"average", AVERAGE(Instances!M351:M351),"median", MEDIAN(Instances!M351:M351),"min", MIN(Instances!M351:M351),"max", MAX(Instances!M351:M351),"diff", MAX(Instances!M351:M351)-MIN(Instances!M351:M351))</f>
        <v>3162998</v>
      </c>
      <c r="N351" s="1" t="n">
        <f aca="false" t="array" ref="N351:N351">_xlfn.SWITCH($A$2,"average", AVERAGE(Instances!N351:N351),"median", MEDIAN(Instances!N351:N351),"min", MIN(Instances!N351:N351),"max", MAX(Instances!N351:N351),"diff", MAX(Instances!N351:N351)-MIN(Instances!N351:N351))</f>
        <v>0.12</v>
      </c>
      <c r="O351" s="1"/>
      <c r="P351" s="1" t="n">
        <f aca="false" t="array" ref="P351:P351">_xlfn.SWITCH($A$2,"average", AVERAGE(Instances!P351:P351),"median", MEDIAN(Instances!P351:P351),"min", MIN(Instances!P351:P351),"max", MAX(Instances!P351:P351),"diff", MAX(Instances!P351:P351)-MIN(Instances!P351:P351))</f>
        <v>13.33</v>
      </c>
      <c r="Q351" s="1" t="n">
        <f aca="false" t="array" ref="Q351:Q351">_xlfn.SWITCH($A$2,"average", AVERAGE(Instances!Q351:Q351),"median", MEDIAN(Instances!Q351:Q351),"min", MIN(Instances!Q351:Q351),"max", MAX(Instances!Q351:Q351),"diff", MAX(Instances!Q351:Q351)-MIN(Instances!Q351:Q351))</f>
        <v>0</v>
      </c>
      <c r="R351" s="1" t="n">
        <f aca="false" t="array" ref="R351:R351">_xlfn.SWITCH($A$2,"average", AVERAGE(Instances!R351:R351),"median", MEDIAN(Instances!R351:R351),"min", MIN(Instances!R351:R351),"max", MAX(Instances!R351:R351),"diff", MAX(Instances!R351:R351)-MIN(Instances!R351:R351))</f>
        <v>920466</v>
      </c>
      <c r="S351" s="1" t="n">
        <f aca="false">MIN($B351)</f>
        <v>3550</v>
      </c>
      <c r="T351" s="1" t="n">
        <f aca="false">MIN($C351)</f>
        <v>0</v>
      </c>
      <c r="U351" s="1" t="n">
        <f aca="false">MIN($D351)</f>
        <v>1673705</v>
      </c>
      <c r="V351" s="1" t="n">
        <f aca="false">MIN($E351)</f>
        <v>0</v>
      </c>
      <c r="W351" s="1" t="n">
        <f aca="false">MIN($F351)</f>
        <v>915</v>
      </c>
      <c r="X351" s="1" t="n">
        <f aca="false">MIN($G351)</f>
        <v>0</v>
      </c>
      <c r="Y351" s="1" t="n">
        <f aca="false">MIN($H351)</f>
        <v>1</v>
      </c>
      <c r="Z351" s="1" t="n">
        <f aca="false">MIN($I351)</f>
        <v>13.032</v>
      </c>
      <c r="AA351" s="1" t="n">
        <f aca="false">MIN($J351)</f>
        <v>13.33</v>
      </c>
      <c r="AB351" s="1" t="n">
        <f aca="false">MIN($K351)</f>
        <v>0</v>
      </c>
      <c r="AC351" s="1" t="n">
        <f aca="false">MIN($M351)</f>
        <v>3162998</v>
      </c>
      <c r="AD351" s="1" t="n">
        <f aca="false">MIN($N351)</f>
        <v>0.12</v>
      </c>
      <c r="AE351" s="1" t="n">
        <f aca="false">MIN($P351)</f>
        <v>13.33</v>
      </c>
      <c r="AF351" s="1" t="n">
        <f aca="false">MIN($Q351)</f>
        <v>0</v>
      </c>
      <c r="AG351" s="1" t="n">
        <f aca="false">MIN($R351)</f>
        <v>920466</v>
      </c>
      <c r="AH351" s="1" t="n">
        <f aca="false">MEDIAN($B351)</f>
        <v>3550</v>
      </c>
      <c r="AI351" s="1" t="n">
        <f aca="false">MEDIAN($C351)</f>
        <v>0</v>
      </c>
      <c r="AJ351" s="1" t="n">
        <f aca="false">MEDIAN($D351)</f>
        <v>1673705</v>
      </c>
      <c r="AK351" s="1" t="n">
        <f aca="false">MEDIAN($E351)</f>
        <v>0</v>
      </c>
      <c r="AL351" s="1" t="n">
        <f aca="false">MEDIAN($F351)</f>
        <v>915</v>
      </c>
      <c r="AM351" s="1" t="n">
        <f aca="false">MEDIAN($G351)</f>
        <v>0</v>
      </c>
      <c r="AN351" s="1" t="n">
        <f aca="false">MEDIAN($H351)</f>
        <v>1</v>
      </c>
      <c r="AO351" s="1" t="n">
        <f aca="false">MEDIAN($I351)</f>
        <v>13.032</v>
      </c>
      <c r="AP351" s="1" t="n">
        <f aca="false">MEDIAN($J351)</f>
        <v>13.33</v>
      </c>
      <c r="AQ351" s="1" t="n">
        <f aca="false">MEDIAN($K351)</f>
        <v>0</v>
      </c>
      <c r="AR351" s="1" t="n">
        <f aca="false">MEDIAN($M351)</f>
        <v>3162998</v>
      </c>
      <c r="AS351" s="1" t="n">
        <f aca="false">MEDIAN($N351)</f>
        <v>0.12</v>
      </c>
      <c r="AT351" s="1" t="n">
        <f aca="false">MEDIAN($P351)</f>
        <v>13.33</v>
      </c>
      <c r="AU351" s="1" t="n">
        <f aca="false">MEDIAN($Q351)</f>
        <v>0</v>
      </c>
      <c r="AV351" s="1" t="n">
        <f aca="false">MEDIAN($R351)</f>
        <v>920466</v>
      </c>
      <c r="AW351" s="1" t="n">
        <f aca="false">MAX($B351)</f>
        <v>3550</v>
      </c>
      <c r="AX351" s="1" t="n">
        <f aca="false">MAX($C351)</f>
        <v>0</v>
      </c>
      <c r="AY351" s="1" t="n">
        <f aca="false">MAX($D351)</f>
        <v>1673705</v>
      </c>
      <c r="AZ351" s="1" t="n">
        <f aca="false">MAX($E351)</f>
        <v>0</v>
      </c>
      <c r="BA351" s="1" t="n">
        <f aca="false">MAX($F351)</f>
        <v>915</v>
      </c>
      <c r="BB351" s="1" t="n">
        <f aca="false">MAX($G351)</f>
        <v>0</v>
      </c>
      <c r="BC351" s="1" t="n">
        <f aca="false">MAX($H351)</f>
        <v>1</v>
      </c>
      <c r="BD351" s="1" t="n">
        <f aca="false">MAX($I351)</f>
        <v>13.032</v>
      </c>
      <c r="BE351" s="1" t="n">
        <f aca="false">MAX($J351)</f>
        <v>13.33</v>
      </c>
      <c r="BF351" s="1" t="n">
        <f aca="false">MAX($K351)</f>
        <v>0</v>
      </c>
      <c r="BG351" s="1" t="n">
        <f aca="false">MAX($M351)</f>
        <v>3162998</v>
      </c>
      <c r="BH351" s="1" t="n">
        <f aca="false">MAX($N351)</f>
        <v>0.12</v>
      </c>
      <c r="BI351" s="1" t="n">
        <f aca="false">MAX($P351)</f>
        <v>13.33</v>
      </c>
      <c r="BJ351" s="1" t="n">
        <f aca="false">MAX($Q351)</f>
        <v>0</v>
      </c>
      <c r="BK351" s="1" t="n">
        <f aca="false">MAX($R351)</f>
        <v>920466</v>
      </c>
    </row>
    <row r="352" customFormat="false" ht="15" hidden="false" customHeight="false" outlineLevel="0" collapsed="false">
      <c r="A352" s="1" t="s">
        <v>369</v>
      </c>
      <c r="B352" s="1" t="n">
        <f aca="false" t="array" ref="B352:B352">_xlfn.SWITCH($A$2,"average", AVERAGE(Instances!B352:B352),"median", MEDIAN(Instances!B352:B352),"min", MIN(Instances!B352:B352),"max", MAX(Instances!B352:B352),"diff", MAX(Instances!B352:B352)-MIN(Instances!B352:B352))</f>
        <v>4576</v>
      </c>
      <c r="C352" s="1" t="n">
        <f aca="false" t="array" ref="C352:C352">_xlfn.SWITCH($A$2,"average", AVERAGE(Instances!C352:C352),"median", MEDIAN(Instances!C352:C352),"min", MIN(Instances!C352:C352),"max", MAX(Instances!C352:C352),"diff", MAX(Instances!C352:C352)-MIN(Instances!C352:C352))</f>
        <v>6</v>
      </c>
      <c r="D352" s="1" t="n">
        <f aca="false" t="array" ref="D352:D352">_xlfn.SWITCH($A$2,"average", AVERAGE(Instances!D352:D352),"median", MEDIAN(Instances!D352:D352),"min", MIN(Instances!D352:D352),"max", MAX(Instances!D352:D352),"diff", MAX(Instances!D352:D352)-MIN(Instances!D352:D352))</f>
        <v>1602920</v>
      </c>
      <c r="E352" s="1" t="n">
        <f aca="false" t="array" ref="E352:E352">_xlfn.SWITCH($A$2,"average", AVERAGE(Instances!E352:E352),"median", MEDIAN(Instances!E352:E352),"min", MIN(Instances!E352:E352),"max", MAX(Instances!E352:E352),"diff", MAX(Instances!E352:E352)-MIN(Instances!E352:E352))</f>
        <v>0</v>
      </c>
      <c r="F352" s="1" t="n">
        <f aca="false" t="array" ref="F352:F352">_xlfn.SWITCH($A$2,"average", AVERAGE(Instances!F352:F352),"median", MEDIAN(Instances!F352:F352),"min", MIN(Instances!F352:F352),"max", MAX(Instances!F352:F352),"diff", MAX(Instances!F352:F352)-MIN(Instances!F352:F352))</f>
        <v>902</v>
      </c>
      <c r="G352" s="1" t="n">
        <f aca="false" t="array" ref="G352:G352">_xlfn.SWITCH($A$2,"average", AVERAGE(Instances!G352:G352),"median", MEDIAN(Instances!G352:G352),"min", MIN(Instances!G352:G352),"max", MAX(Instances!G352:G352),"diff", MAX(Instances!G352:G352)-MIN(Instances!G352:G352))</f>
        <v>0</v>
      </c>
      <c r="H352" s="1" t="n">
        <f aca="false" t="array" ref="H352:H352">_xlfn.SWITCH($A$2,"average", AVERAGE(Instances!H352:H352),"median", MEDIAN(Instances!H352:H352),"min", MIN(Instances!H352:H352),"max", MAX(Instances!H352:H352),"diff", MAX(Instances!H352:H352)-MIN(Instances!H352:H352))</f>
        <v>1</v>
      </c>
      <c r="I352" s="1" t="n">
        <f aca="false" t="array" ref="I352:I352">_xlfn.SWITCH($A$2,"average", AVERAGE(Instances!I352:I352),"median", MEDIAN(Instances!I352:I352),"min", MIN(Instances!I352:I352),"max", MAX(Instances!I352:I352),"diff", MAX(Instances!I352:I352)-MIN(Instances!I352:I352))</f>
        <v>12.608</v>
      </c>
      <c r="J352" s="1" t="n">
        <f aca="false" t="array" ref="J352:J352">_xlfn.SWITCH($A$2,"average", AVERAGE(Instances!J352:J352),"median", MEDIAN(Instances!J352:J352),"min", MIN(Instances!J352:J352),"max", MAX(Instances!J352:J352),"diff", MAX(Instances!J352:J352)-MIN(Instances!J352:J352))</f>
        <v>12.94</v>
      </c>
      <c r="K352" s="1" t="n">
        <f aca="false" t="array" ref="K352:K352">_xlfn.SWITCH($A$2,"average", AVERAGE(Instances!K352:K352),"median", MEDIAN(Instances!K352:K352),"min", MIN(Instances!K352:K352),"max", MAX(Instances!K352:K352),"diff", MAX(Instances!K352:K352)-MIN(Instances!K352:K352))</f>
        <v>0</v>
      </c>
      <c r="L352" s="1"/>
      <c r="M352" s="1" t="n">
        <f aca="false" t="array" ref="M352:M352">_xlfn.SWITCH($A$2,"average", AVERAGE(Instances!M352:M352),"median", MEDIAN(Instances!M352:M352),"min", MIN(Instances!M352:M352),"max", MAX(Instances!M352:M352),"diff", MAX(Instances!M352:M352)-MIN(Instances!M352:M352))</f>
        <v>3065184</v>
      </c>
      <c r="N352" s="1" t="n">
        <f aca="false" t="array" ref="N352:N352">_xlfn.SWITCH($A$2,"average", AVERAGE(Instances!N352:N352),"median", MEDIAN(Instances!N352:N352),"min", MIN(Instances!N352:N352),"max", MAX(Instances!N352:N352),"diff", MAX(Instances!N352:N352)-MIN(Instances!N352:N352))</f>
        <v>0.13</v>
      </c>
      <c r="O352" s="1"/>
      <c r="P352" s="1" t="n">
        <f aca="false" t="array" ref="P352:P352">_xlfn.SWITCH($A$2,"average", AVERAGE(Instances!P352:P352),"median", MEDIAN(Instances!P352:P352),"min", MIN(Instances!P352:P352),"max", MAX(Instances!P352:P352),"diff", MAX(Instances!P352:P352)-MIN(Instances!P352:P352))</f>
        <v>12.94</v>
      </c>
      <c r="Q352" s="1" t="n">
        <f aca="false" t="array" ref="Q352:Q352">_xlfn.SWITCH($A$2,"average", AVERAGE(Instances!Q352:Q352),"median", MEDIAN(Instances!Q352:Q352),"min", MIN(Instances!Q352:Q352),"max", MAX(Instances!Q352:Q352),"diff", MAX(Instances!Q352:Q352)-MIN(Instances!Q352:Q352))</f>
        <v>0</v>
      </c>
      <c r="R352" s="1" t="n">
        <f aca="false" t="array" ref="R352:R352">_xlfn.SWITCH($A$2,"average", AVERAGE(Instances!R352:R352),"median", MEDIAN(Instances!R352:R352),"min", MIN(Instances!R352:R352),"max", MAX(Instances!R352:R352),"diff", MAX(Instances!R352:R352)-MIN(Instances!R352:R352))</f>
        <v>900411</v>
      </c>
      <c r="S352" s="1" t="n">
        <f aca="false">MIN($B352)</f>
        <v>4576</v>
      </c>
      <c r="T352" s="1" t="n">
        <f aca="false">MIN($C352)</f>
        <v>6</v>
      </c>
      <c r="U352" s="1" t="n">
        <f aca="false">MIN($D352)</f>
        <v>1602920</v>
      </c>
      <c r="V352" s="1" t="n">
        <f aca="false">MIN($E352)</f>
        <v>0</v>
      </c>
      <c r="W352" s="1" t="n">
        <f aca="false">MIN($F352)</f>
        <v>902</v>
      </c>
      <c r="X352" s="1" t="n">
        <f aca="false">MIN($G352)</f>
        <v>0</v>
      </c>
      <c r="Y352" s="1" t="n">
        <f aca="false">MIN($H352)</f>
        <v>1</v>
      </c>
      <c r="Z352" s="1" t="n">
        <f aca="false">MIN($I352)</f>
        <v>12.608</v>
      </c>
      <c r="AA352" s="1" t="n">
        <f aca="false">MIN($J352)</f>
        <v>12.94</v>
      </c>
      <c r="AB352" s="1" t="n">
        <f aca="false">MIN($K352)</f>
        <v>0</v>
      </c>
      <c r="AC352" s="1" t="n">
        <f aca="false">MIN($M352)</f>
        <v>3065184</v>
      </c>
      <c r="AD352" s="1" t="n">
        <f aca="false">MIN($N352)</f>
        <v>0.13</v>
      </c>
      <c r="AE352" s="1" t="n">
        <f aca="false">MIN($P352)</f>
        <v>12.94</v>
      </c>
      <c r="AF352" s="1" t="n">
        <f aca="false">MIN($Q352)</f>
        <v>0</v>
      </c>
      <c r="AG352" s="1" t="n">
        <f aca="false">MIN($R352)</f>
        <v>900411</v>
      </c>
      <c r="AH352" s="1" t="n">
        <f aca="false">MEDIAN($B352)</f>
        <v>4576</v>
      </c>
      <c r="AI352" s="1" t="n">
        <f aca="false">MEDIAN($C352)</f>
        <v>6</v>
      </c>
      <c r="AJ352" s="1" t="n">
        <f aca="false">MEDIAN($D352)</f>
        <v>1602920</v>
      </c>
      <c r="AK352" s="1" t="n">
        <f aca="false">MEDIAN($E352)</f>
        <v>0</v>
      </c>
      <c r="AL352" s="1" t="n">
        <f aca="false">MEDIAN($F352)</f>
        <v>902</v>
      </c>
      <c r="AM352" s="1" t="n">
        <f aca="false">MEDIAN($G352)</f>
        <v>0</v>
      </c>
      <c r="AN352" s="1" t="n">
        <f aca="false">MEDIAN($H352)</f>
        <v>1</v>
      </c>
      <c r="AO352" s="1" t="n">
        <f aca="false">MEDIAN($I352)</f>
        <v>12.608</v>
      </c>
      <c r="AP352" s="1" t="n">
        <f aca="false">MEDIAN($J352)</f>
        <v>12.94</v>
      </c>
      <c r="AQ352" s="1" t="n">
        <f aca="false">MEDIAN($K352)</f>
        <v>0</v>
      </c>
      <c r="AR352" s="1" t="n">
        <f aca="false">MEDIAN($M352)</f>
        <v>3065184</v>
      </c>
      <c r="AS352" s="1" t="n">
        <f aca="false">MEDIAN($N352)</f>
        <v>0.13</v>
      </c>
      <c r="AT352" s="1" t="n">
        <f aca="false">MEDIAN($P352)</f>
        <v>12.94</v>
      </c>
      <c r="AU352" s="1" t="n">
        <f aca="false">MEDIAN($Q352)</f>
        <v>0</v>
      </c>
      <c r="AV352" s="1" t="n">
        <f aca="false">MEDIAN($R352)</f>
        <v>900411</v>
      </c>
      <c r="AW352" s="1" t="n">
        <f aca="false">MAX($B352)</f>
        <v>4576</v>
      </c>
      <c r="AX352" s="1" t="n">
        <f aca="false">MAX($C352)</f>
        <v>6</v>
      </c>
      <c r="AY352" s="1" t="n">
        <f aca="false">MAX($D352)</f>
        <v>1602920</v>
      </c>
      <c r="AZ352" s="1" t="n">
        <f aca="false">MAX($E352)</f>
        <v>0</v>
      </c>
      <c r="BA352" s="1" t="n">
        <f aca="false">MAX($F352)</f>
        <v>902</v>
      </c>
      <c r="BB352" s="1" t="n">
        <f aca="false">MAX($G352)</f>
        <v>0</v>
      </c>
      <c r="BC352" s="1" t="n">
        <f aca="false">MAX($H352)</f>
        <v>1</v>
      </c>
      <c r="BD352" s="1" t="n">
        <f aca="false">MAX($I352)</f>
        <v>12.608</v>
      </c>
      <c r="BE352" s="1" t="n">
        <f aca="false">MAX($J352)</f>
        <v>12.94</v>
      </c>
      <c r="BF352" s="1" t="n">
        <f aca="false">MAX($K352)</f>
        <v>0</v>
      </c>
      <c r="BG352" s="1" t="n">
        <f aca="false">MAX($M352)</f>
        <v>3065184</v>
      </c>
      <c r="BH352" s="1" t="n">
        <f aca="false">MAX($N352)</f>
        <v>0.13</v>
      </c>
      <c r="BI352" s="1" t="n">
        <f aca="false">MAX($P352)</f>
        <v>12.94</v>
      </c>
      <c r="BJ352" s="1" t="n">
        <f aca="false">MAX($Q352)</f>
        <v>0</v>
      </c>
      <c r="BK352" s="1" t="n">
        <f aca="false">MAX($R352)</f>
        <v>900411</v>
      </c>
    </row>
    <row r="353" customFormat="false" ht="15" hidden="false" customHeight="false" outlineLevel="0" collapsed="false">
      <c r="A353" s="1" t="s">
        <v>370</v>
      </c>
      <c r="B353" s="1" t="n">
        <f aca="false" t="array" ref="B353:B353">_xlfn.SWITCH($A$2,"average", AVERAGE(Instances!B353:B353),"median", MEDIAN(Instances!B353:B353),"min", MIN(Instances!B353:B353),"max", MAX(Instances!B353:B353),"diff", MAX(Instances!B353:B353)-MIN(Instances!B353:B353))</f>
        <v>62099</v>
      </c>
      <c r="C353" s="1" t="n">
        <f aca="false" t="array" ref="C353:C353">_xlfn.SWITCH($A$2,"average", AVERAGE(Instances!C353:C353),"median", MEDIAN(Instances!C353:C353),"min", MIN(Instances!C353:C353),"max", MAX(Instances!C353:C353),"diff", MAX(Instances!C353:C353)-MIN(Instances!C353:C353))</f>
        <v>936</v>
      </c>
      <c r="D353" s="1" t="n">
        <f aca="false" t="array" ref="D353:D353">_xlfn.SWITCH($A$2,"average", AVERAGE(Instances!D353:D353),"median", MEDIAN(Instances!D353:D353),"min", MIN(Instances!D353:D353),"max", MAX(Instances!D353:D353),"diff", MAX(Instances!D353:D353)-MIN(Instances!D353:D353))</f>
        <v>1749361</v>
      </c>
      <c r="E353" s="1" t="n">
        <f aca="false" t="array" ref="E353:E353">_xlfn.SWITCH($A$2,"average", AVERAGE(Instances!E353:E353),"median", MEDIAN(Instances!E353:E353),"min", MIN(Instances!E353:E353),"max", MAX(Instances!E353:E353),"diff", MAX(Instances!E353:E353)-MIN(Instances!E353:E353))</f>
        <v>0</v>
      </c>
      <c r="F353" s="1" t="n">
        <f aca="false" t="array" ref="F353:F353">_xlfn.SWITCH($A$2,"average", AVERAGE(Instances!F353:F353),"median", MEDIAN(Instances!F353:F353),"min", MIN(Instances!F353:F353),"max", MAX(Instances!F353:F353),"diff", MAX(Instances!F353:F353)-MIN(Instances!F353:F353))</f>
        <v>946</v>
      </c>
      <c r="G353" s="1" t="n">
        <f aca="false" t="array" ref="G353:G353">_xlfn.SWITCH($A$2,"average", AVERAGE(Instances!G353:G353),"median", MEDIAN(Instances!G353:G353),"min", MIN(Instances!G353:G353),"max", MAX(Instances!G353:G353),"diff", MAX(Instances!G353:G353)-MIN(Instances!G353:G353))</f>
        <v>0</v>
      </c>
      <c r="H353" s="1" t="n">
        <f aca="false" t="array" ref="H353:H353">_xlfn.SWITCH($A$2,"average", AVERAGE(Instances!H353:H353),"median", MEDIAN(Instances!H353:H353),"min", MIN(Instances!H353:H353),"max", MAX(Instances!H353:H353),"diff", MAX(Instances!H353:H353)-MIN(Instances!H353:H353))</f>
        <v>1</v>
      </c>
      <c r="I353" s="1" t="n">
        <f aca="false" t="array" ref="I353:I353">_xlfn.SWITCH($A$2,"average", AVERAGE(Instances!I353:I353),"median", MEDIAN(Instances!I353:I353),"min", MIN(Instances!I353:I353),"max", MAX(Instances!I353:I353),"diff", MAX(Instances!I353:I353)-MIN(Instances!I353:I353))</f>
        <v>15.941</v>
      </c>
      <c r="J353" s="1" t="n">
        <f aca="false" t="array" ref="J353:J353">_xlfn.SWITCH($A$2,"average", AVERAGE(Instances!J353:J353),"median", MEDIAN(Instances!J353:J353),"min", MIN(Instances!J353:J353),"max", MAX(Instances!J353:J353),"diff", MAX(Instances!J353:J353)-MIN(Instances!J353:J353))</f>
        <v>16.25</v>
      </c>
      <c r="K353" s="1" t="n">
        <f aca="false" t="array" ref="K353:K353">_xlfn.SWITCH($A$2,"average", AVERAGE(Instances!K353:K353),"median", MEDIAN(Instances!K353:K353),"min", MIN(Instances!K353:K353),"max", MAX(Instances!K353:K353),"diff", MAX(Instances!K353:K353)-MIN(Instances!K353:K353))</f>
        <v>6</v>
      </c>
      <c r="L353" s="1"/>
      <c r="M353" s="1" t="n">
        <f aca="false" t="array" ref="M353:M353">_xlfn.SWITCH($A$2,"average", AVERAGE(Instances!M353:M353),"median", MEDIAN(Instances!M353:M353),"min", MIN(Instances!M353:M353),"max", MAX(Instances!M353:M353),"diff", MAX(Instances!M353:M353)-MIN(Instances!M353:M353))</f>
        <v>3273460</v>
      </c>
      <c r="N353" s="1" t="n">
        <f aca="false" t="array" ref="N353:N353">_xlfn.SWITCH($A$2,"average", AVERAGE(Instances!N353:N353),"median", MEDIAN(Instances!N353:N353),"min", MIN(Instances!N353:N353),"max", MAX(Instances!N353:N353),"diff", MAX(Instances!N353:N353)-MIN(Instances!N353:N353))</f>
        <v>2.74</v>
      </c>
      <c r="O353" s="1"/>
      <c r="P353" s="1" t="n">
        <f aca="false" t="array" ref="P353:P353">_xlfn.SWITCH($A$2,"average", AVERAGE(Instances!P353:P353),"median", MEDIAN(Instances!P353:P353),"min", MIN(Instances!P353:P353),"max", MAX(Instances!P353:P353),"diff", MAX(Instances!P353:P353)-MIN(Instances!P353:P353))</f>
        <v>16.25</v>
      </c>
      <c r="Q353" s="1" t="n">
        <f aca="false" t="array" ref="Q353:Q353">_xlfn.SWITCH($A$2,"average", AVERAGE(Instances!Q353:Q353),"median", MEDIAN(Instances!Q353:Q353),"min", MIN(Instances!Q353:Q353),"max", MAX(Instances!Q353:Q353),"diff", MAX(Instances!Q353:Q353)-MIN(Instances!Q353:Q353))</f>
        <v>0</v>
      </c>
      <c r="R353" s="1" t="n">
        <f aca="false" t="array" ref="R353:R353">_xlfn.SWITCH($A$2,"average", AVERAGE(Instances!R353:R353),"median", MEDIAN(Instances!R353:R353),"min", MIN(Instances!R353:R353),"max", MAX(Instances!R353:R353),"diff", MAX(Instances!R353:R353)-MIN(Instances!R353:R353))</f>
        <v>954213</v>
      </c>
      <c r="S353" s="1" t="n">
        <f aca="false">MIN($B353)</f>
        <v>62099</v>
      </c>
      <c r="T353" s="1" t="n">
        <f aca="false">MIN($C353)</f>
        <v>936</v>
      </c>
      <c r="U353" s="1" t="n">
        <f aca="false">MIN($D353)</f>
        <v>1749361</v>
      </c>
      <c r="V353" s="1" t="n">
        <f aca="false">MIN($E353)</f>
        <v>0</v>
      </c>
      <c r="W353" s="1" t="n">
        <f aca="false">MIN($F353)</f>
        <v>946</v>
      </c>
      <c r="X353" s="1" t="n">
        <f aca="false">MIN($G353)</f>
        <v>0</v>
      </c>
      <c r="Y353" s="1" t="n">
        <f aca="false">MIN($H353)</f>
        <v>1</v>
      </c>
      <c r="Z353" s="1" t="n">
        <f aca="false">MIN($I353)</f>
        <v>15.941</v>
      </c>
      <c r="AA353" s="1" t="n">
        <f aca="false">MIN($J353)</f>
        <v>16.25</v>
      </c>
      <c r="AB353" s="1" t="n">
        <f aca="false">MIN($K353)</f>
        <v>6</v>
      </c>
      <c r="AC353" s="1" t="n">
        <f aca="false">MIN($M353)</f>
        <v>3273460</v>
      </c>
      <c r="AD353" s="1" t="n">
        <f aca="false">MIN($N353)</f>
        <v>2.74</v>
      </c>
      <c r="AE353" s="1" t="n">
        <f aca="false">MIN($P353)</f>
        <v>16.25</v>
      </c>
      <c r="AF353" s="1" t="n">
        <f aca="false">MIN($Q353)</f>
        <v>0</v>
      </c>
      <c r="AG353" s="1" t="n">
        <f aca="false">MIN($R353)</f>
        <v>954213</v>
      </c>
      <c r="AH353" s="1" t="n">
        <f aca="false">MEDIAN($B353)</f>
        <v>62099</v>
      </c>
      <c r="AI353" s="1" t="n">
        <f aca="false">MEDIAN($C353)</f>
        <v>936</v>
      </c>
      <c r="AJ353" s="1" t="n">
        <f aca="false">MEDIAN($D353)</f>
        <v>1749361</v>
      </c>
      <c r="AK353" s="1" t="n">
        <f aca="false">MEDIAN($E353)</f>
        <v>0</v>
      </c>
      <c r="AL353" s="1" t="n">
        <f aca="false">MEDIAN($F353)</f>
        <v>946</v>
      </c>
      <c r="AM353" s="1" t="n">
        <f aca="false">MEDIAN($G353)</f>
        <v>0</v>
      </c>
      <c r="AN353" s="1" t="n">
        <f aca="false">MEDIAN($H353)</f>
        <v>1</v>
      </c>
      <c r="AO353" s="1" t="n">
        <f aca="false">MEDIAN($I353)</f>
        <v>15.941</v>
      </c>
      <c r="AP353" s="1" t="n">
        <f aca="false">MEDIAN($J353)</f>
        <v>16.25</v>
      </c>
      <c r="AQ353" s="1" t="n">
        <f aca="false">MEDIAN($K353)</f>
        <v>6</v>
      </c>
      <c r="AR353" s="1" t="n">
        <f aca="false">MEDIAN($M353)</f>
        <v>3273460</v>
      </c>
      <c r="AS353" s="1" t="n">
        <f aca="false">MEDIAN($N353)</f>
        <v>2.74</v>
      </c>
      <c r="AT353" s="1" t="n">
        <f aca="false">MEDIAN($P353)</f>
        <v>16.25</v>
      </c>
      <c r="AU353" s="1" t="n">
        <f aca="false">MEDIAN($Q353)</f>
        <v>0</v>
      </c>
      <c r="AV353" s="1" t="n">
        <f aca="false">MEDIAN($R353)</f>
        <v>954213</v>
      </c>
      <c r="AW353" s="1" t="n">
        <f aca="false">MAX($B353)</f>
        <v>62099</v>
      </c>
      <c r="AX353" s="1" t="n">
        <f aca="false">MAX($C353)</f>
        <v>936</v>
      </c>
      <c r="AY353" s="1" t="n">
        <f aca="false">MAX($D353)</f>
        <v>1749361</v>
      </c>
      <c r="AZ353" s="1" t="n">
        <f aca="false">MAX($E353)</f>
        <v>0</v>
      </c>
      <c r="BA353" s="1" t="n">
        <f aca="false">MAX($F353)</f>
        <v>946</v>
      </c>
      <c r="BB353" s="1" t="n">
        <f aca="false">MAX($G353)</f>
        <v>0</v>
      </c>
      <c r="BC353" s="1" t="n">
        <f aca="false">MAX($H353)</f>
        <v>1</v>
      </c>
      <c r="BD353" s="1" t="n">
        <f aca="false">MAX($I353)</f>
        <v>15.941</v>
      </c>
      <c r="BE353" s="1" t="n">
        <f aca="false">MAX($J353)</f>
        <v>16.25</v>
      </c>
      <c r="BF353" s="1" t="n">
        <f aca="false">MAX($K353)</f>
        <v>6</v>
      </c>
      <c r="BG353" s="1" t="n">
        <f aca="false">MAX($M353)</f>
        <v>3273460</v>
      </c>
      <c r="BH353" s="1" t="n">
        <f aca="false">MAX($N353)</f>
        <v>2.74</v>
      </c>
      <c r="BI353" s="1" t="n">
        <f aca="false">MAX($P353)</f>
        <v>16.25</v>
      </c>
      <c r="BJ353" s="1" t="n">
        <f aca="false">MAX($Q353)</f>
        <v>0</v>
      </c>
      <c r="BK353" s="1" t="n">
        <f aca="false">MAX($R353)</f>
        <v>954213</v>
      </c>
    </row>
    <row r="354" customFormat="false" ht="15" hidden="false" customHeight="false" outlineLevel="0" collapsed="false">
      <c r="A354" s="1" t="s">
        <v>371</v>
      </c>
      <c r="B354" s="1" t="n">
        <f aca="false" t="array" ref="B354:B354">_xlfn.SWITCH($A$2,"average", AVERAGE(Instances!B354:B354),"median", MEDIAN(Instances!B354:B354),"min", MIN(Instances!B354:B354),"max", MAX(Instances!B354:B354),"diff", MAX(Instances!B354:B354)-MIN(Instances!B354:B354))</f>
        <v>130063</v>
      </c>
      <c r="C354" s="1" t="n">
        <f aca="false" t="array" ref="C354:C354">_xlfn.SWITCH($A$2,"average", AVERAGE(Instances!C354:C354),"median", MEDIAN(Instances!C354:C354),"min", MIN(Instances!C354:C354),"max", MAX(Instances!C354:C354),"diff", MAX(Instances!C354:C354)-MIN(Instances!C354:C354))</f>
        <v>1423</v>
      </c>
      <c r="D354" s="1" t="n">
        <f aca="false" t="array" ref="D354:D354">_xlfn.SWITCH($A$2,"average", AVERAGE(Instances!D354:D354),"median", MEDIAN(Instances!D354:D354),"min", MIN(Instances!D354:D354),"max", MAX(Instances!D354:D354),"diff", MAX(Instances!D354:D354)-MIN(Instances!D354:D354))</f>
        <v>1685774</v>
      </c>
      <c r="E354" s="1" t="n">
        <f aca="false" t="array" ref="E354:E354">_xlfn.SWITCH($A$2,"average", AVERAGE(Instances!E354:E354),"median", MEDIAN(Instances!E354:E354),"min", MIN(Instances!E354:E354),"max", MAX(Instances!E354:E354),"diff", MAX(Instances!E354:E354)-MIN(Instances!E354:E354))</f>
        <v>0</v>
      </c>
      <c r="F354" s="1" t="n">
        <f aca="false" t="array" ref="F354:F354">_xlfn.SWITCH($A$2,"average", AVERAGE(Instances!F354:F354),"median", MEDIAN(Instances!F354:F354),"min", MIN(Instances!F354:F354),"max", MAX(Instances!F354:F354),"diff", MAX(Instances!F354:F354)-MIN(Instances!F354:F354))</f>
        <v>920</v>
      </c>
      <c r="G354" s="1" t="n">
        <f aca="false" t="array" ref="G354:G354">_xlfn.SWITCH($A$2,"average", AVERAGE(Instances!G354:G354),"median", MEDIAN(Instances!G354:G354),"min", MIN(Instances!G354:G354),"max", MAX(Instances!G354:G354),"diff", MAX(Instances!G354:G354)-MIN(Instances!G354:G354))</f>
        <v>0</v>
      </c>
      <c r="H354" s="1" t="n">
        <f aca="false" t="array" ref="H354:H354">_xlfn.SWITCH($A$2,"average", AVERAGE(Instances!H354:H354),"median", MEDIAN(Instances!H354:H354),"min", MIN(Instances!H354:H354),"max", MAX(Instances!H354:H354),"diff", MAX(Instances!H354:H354)-MIN(Instances!H354:H354))</f>
        <v>1</v>
      </c>
      <c r="I354" s="1" t="n">
        <f aca="false" t="array" ref="I354:I354">_xlfn.SWITCH($A$2,"average", AVERAGE(Instances!I354:I354),"median", MEDIAN(Instances!I354:I354),"min", MIN(Instances!I354:I354),"max", MAX(Instances!I354:I354),"diff", MAX(Instances!I354:I354)-MIN(Instances!I354:I354))</f>
        <v>18.165</v>
      </c>
      <c r="J354" s="1" t="n">
        <f aca="false" t="array" ref="J354:J354">_xlfn.SWITCH($A$2,"average", AVERAGE(Instances!J354:J354),"median", MEDIAN(Instances!J354:J354),"min", MIN(Instances!J354:J354),"max", MAX(Instances!J354:J354),"diff", MAX(Instances!J354:J354)-MIN(Instances!J354:J354))</f>
        <v>18.44</v>
      </c>
      <c r="K354" s="1" t="n">
        <f aca="false" t="array" ref="K354:K354">_xlfn.SWITCH($A$2,"average", AVERAGE(Instances!K354:K354),"median", MEDIAN(Instances!K354:K354),"min", MIN(Instances!K354:K354),"max", MAX(Instances!K354:K354),"diff", MAX(Instances!K354:K354)-MIN(Instances!K354:K354))</f>
        <v>9</v>
      </c>
      <c r="L354" s="1"/>
      <c r="M354" s="1" t="n">
        <f aca="false" t="array" ref="M354:M354">_xlfn.SWITCH($A$2,"average", AVERAGE(Instances!M354:M354),"median", MEDIAN(Instances!M354:M354),"min", MIN(Instances!M354:M354),"max", MAX(Instances!M354:M354),"diff", MAX(Instances!M354:M354)-MIN(Instances!M354:M354))</f>
        <v>3159940</v>
      </c>
      <c r="N354" s="1" t="n">
        <f aca="false" t="array" ref="N354:N354">_xlfn.SWITCH($A$2,"average", AVERAGE(Instances!N354:N354),"median", MEDIAN(Instances!N354:N354),"min", MIN(Instances!N354:N354),"max", MAX(Instances!N354:N354),"diff", MAX(Instances!N354:N354)-MIN(Instances!N354:N354))</f>
        <v>5.31</v>
      </c>
      <c r="O354" s="1"/>
      <c r="P354" s="1" t="n">
        <f aca="false" t="array" ref="P354:P354">_xlfn.SWITCH($A$2,"average", AVERAGE(Instances!P354:P354),"median", MEDIAN(Instances!P354:P354),"min", MIN(Instances!P354:P354),"max", MAX(Instances!P354:P354),"diff", MAX(Instances!P354:P354)-MIN(Instances!P354:P354))</f>
        <v>18.44</v>
      </c>
      <c r="Q354" s="1" t="n">
        <f aca="false" t="array" ref="Q354:Q354">_xlfn.SWITCH($A$2,"average", AVERAGE(Instances!Q354:Q354),"median", MEDIAN(Instances!Q354:Q354),"min", MIN(Instances!Q354:Q354),"max", MAX(Instances!Q354:Q354),"diff", MAX(Instances!Q354:Q354)-MIN(Instances!Q354:Q354))</f>
        <v>0</v>
      </c>
      <c r="R354" s="1" t="n">
        <f aca="false" t="array" ref="R354:R354">_xlfn.SWITCH($A$2,"average", AVERAGE(Instances!R354:R354),"median", MEDIAN(Instances!R354:R354),"min", MIN(Instances!R354:R354),"max", MAX(Instances!R354:R354),"diff", MAX(Instances!R354:R354)-MIN(Instances!R354:R354))</f>
        <v>923341</v>
      </c>
      <c r="S354" s="1" t="n">
        <f aca="false">MIN($B354)</f>
        <v>130063</v>
      </c>
      <c r="T354" s="1" t="n">
        <f aca="false">MIN($C354)</f>
        <v>1423</v>
      </c>
      <c r="U354" s="1" t="n">
        <f aca="false">MIN($D354)</f>
        <v>1685774</v>
      </c>
      <c r="V354" s="1" t="n">
        <f aca="false">MIN($E354)</f>
        <v>0</v>
      </c>
      <c r="W354" s="1" t="n">
        <f aca="false">MIN($F354)</f>
        <v>920</v>
      </c>
      <c r="X354" s="1" t="n">
        <f aca="false">MIN($G354)</f>
        <v>0</v>
      </c>
      <c r="Y354" s="1" t="n">
        <f aca="false">MIN($H354)</f>
        <v>1</v>
      </c>
      <c r="Z354" s="1" t="n">
        <f aca="false">MIN($I354)</f>
        <v>18.165</v>
      </c>
      <c r="AA354" s="1" t="n">
        <f aca="false">MIN($J354)</f>
        <v>18.44</v>
      </c>
      <c r="AB354" s="1" t="n">
        <f aca="false">MIN($K354)</f>
        <v>9</v>
      </c>
      <c r="AC354" s="1" t="n">
        <f aca="false">MIN($M354)</f>
        <v>3159940</v>
      </c>
      <c r="AD354" s="1" t="n">
        <f aca="false">MIN($N354)</f>
        <v>5.31</v>
      </c>
      <c r="AE354" s="1" t="n">
        <f aca="false">MIN($P354)</f>
        <v>18.44</v>
      </c>
      <c r="AF354" s="1" t="n">
        <f aca="false">MIN($Q354)</f>
        <v>0</v>
      </c>
      <c r="AG354" s="1" t="n">
        <f aca="false">MIN($R354)</f>
        <v>923341</v>
      </c>
      <c r="AH354" s="1" t="n">
        <f aca="false">MEDIAN($B354)</f>
        <v>130063</v>
      </c>
      <c r="AI354" s="1" t="n">
        <f aca="false">MEDIAN($C354)</f>
        <v>1423</v>
      </c>
      <c r="AJ354" s="1" t="n">
        <f aca="false">MEDIAN($D354)</f>
        <v>1685774</v>
      </c>
      <c r="AK354" s="1" t="n">
        <f aca="false">MEDIAN($E354)</f>
        <v>0</v>
      </c>
      <c r="AL354" s="1" t="n">
        <f aca="false">MEDIAN($F354)</f>
        <v>920</v>
      </c>
      <c r="AM354" s="1" t="n">
        <f aca="false">MEDIAN($G354)</f>
        <v>0</v>
      </c>
      <c r="AN354" s="1" t="n">
        <f aca="false">MEDIAN($H354)</f>
        <v>1</v>
      </c>
      <c r="AO354" s="1" t="n">
        <f aca="false">MEDIAN($I354)</f>
        <v>18.165</v>
      </c>
      <c r="AP354" s="1" t="n">
        <f aca="false">MEDIAN($J354)</f>
        <v>18.44</v>
      </c>
      <c r="AQ354" s="1" t="n">
        <f aca="false">MEDIAN($K354)</f>
        <v>9</v>
      </c>
      <c r="AR354" s="1" t="n">
        <f aca="false">MEDIAN($M354)</f>
        <v>3159940</v>
      </c>
      <c r="AS354" s="1" t="n">
        <f aca="false">MEDIAN($N354)</f>
        <v>5.31</v>
      </c>
      <c r="AT354" s="1" t="n">
        <f aca="false">MEDIAN($P354)</f>
        <v>18.44</v>
      </c>
      <c r="AU354" s="1" t="n">
        <f aca="false">MEDIAN($Q354)</f>
        <v>0</v>
      </c>
      <c r="AV354" s="1" t="n">
        <f aca="false">MEDIAN($R354)</f>
        <v>923341</v>
      </c>
      <c r="AW354" s="1" t="n">
        <f aca="false">MAX($B354)</f>
        <v>130063</v>
      </c>
      <c r="AX354" s="1" t="n">
        <f aca="false">MAX($C354)</f>
        <v>1423</v>
      </c>
      <c r="AY354" s="1" t="n">
        <f aca="false">MAX($D354)</f>
        <v>1685774</v>
      </c>
      <c r="AZ354" s="1" t="n">
        <f aca="false">MAX($E354)</f>
        <v>0</v>
      </c>
      <c r="BA354" s="1" t="n">
        <f aca="false">MAX($F354)</f>
        <v>920</v>
      </c>
      <c r="BB354" s="1" t="n">
        <f aca="false">MAX($G354)</f>
        <v>0</v>
      </c>
      <c r="BC354" s="1" t="n">
        <f aca="false">MAX($H354)</f>
        <v>1</v>
      </c>
      <c r="BD354" s="1" t="n">
        <f aca="false">MAX($I354)</f>
        <v>18.165</v>
      </c>
      <c r="BE354" s="1" t="n">
        <f aca="false">MAX($J354)</f>
        <v>18.44</v>
      </c>
      <c r="BF354" s="1" t="n">
        <f aca="false">MAX($K354)</f>
        <v>9</v>
      </c>
      <c r="BG354" s="1" t="n">
        <f aca="false">MAX($M354)</f>
        <v>3159940</v>
      </c>
      <c r="BH354" s="1" t="n">
        <f aca="false">MAX($N354)</f>
        <v>5.31</v>
      </c>
      <c r="BI354" s="1" t="n">
        <f aca="false">MAX($P354)</f>
        <v>18.44</v>
      </c>
      <c r="BJ354" s="1" t="n">
        <f aca="false">MAX($Q354)</f>
        <v>0</v>
      </c>
      <c r="BK354" s="1" t="n">
        <f aca="false">MAX($R354)</f>
        <v>923341</v>
      </c>
    </row>
    <row r="355" customFormat="false" ht="15" hidden="false" customHeight="false" outlineLevel="0" collapsed="false">
      <c r="A355" s="1" t="s">
        <v>372</v>
      </c>
      <c r="B355" s="1" t="n">
        <f aca="false" t="array" ref="B355:B355">_xlfn.SWITCH($A$2,"average", AVERAGE(Instances!B355:B355),"median", MEDIAN(Instances!B355:B355),"min", MIN(Instances!B355:B355),"max", MAX(Instances!B355:B355),"diff", MAX(Instances!B355:B355)-MIN(Instances!B355:B355))</f>
        <v>73268</v>
      </c>
      <c r="C355" s="1" t="n">
        <f aca="false" t="array" ref="C355:C355">_xlfn.SWITCH($A$2,"average", AVERAGE(Instances!C355:C355),"median", MEDIAN(Instances!C355:C355),"min", MIN(Instances!C355:C355),"max", MAX(Instances!C355:C355),"diff", MAX(Instances!C355:C355)-MIN(Instances!C355:C355))</f>
        <v>1179</v>
      </c>
      <c r="D355" s="1" t="n">
        <f aca="false" t="array" ref="D355:D355">_xlfn.SWITCH($A$2,"average", AVERAGE(Instances!D355:D355),"median", MEDIAN(Instances!D355:D355),"min", MIN(Instances!D355:D355),"max", MAX(Instances!D355:D355),"diff", MAX(Instances!D355:D355)-MIN(Instances!D355:D355))</f>
        <v>2593069</v>
      </c>
      <c r="E355" s="1" t="n">
        <f aca="false" t="array" ref="E355:E355">_xlfn.SWITCH($A$2,"average", AVERAGE(Instances!E355:E355),"median", MEDIAN(Instances!E355:E355),"min", MIN(Instances!E355:E355),"max", MAX(Instances!E355:E355),"diff", MAX(Instances!E355:E355)-MIN(Instances!E355:E355))</f>
        <v>0</v>
      </c>
      <c r="F355" s="1" t="n">
        <f aca="false" t="array" ref="F355:F355">_xlfn.SWITCH($A$2,"average", AVERAGE(Instances!F355:F355),"median", MEDIAN(Instances!F355:F355),"min", MIN(Instances!F355:F355),"max", MAX(Instances!F355:F355),"diff", MAX(Instances!F355:F355)-MIN(Instances!F355:F355))</f>
        <v>1234</v>
      </c>
      <c r="G355" s="1" t="n">
        <f aca="false" t="array" ref="G355:G355">_xlfn.SWITCH($A$2,"average", AVERAGE(Instances!G355:G355),"median", MEDIAN(Instances!G355:G355),"min", MIN(Instances!G355:G355),"max", MAX(Instances!G355:G355),"diff", MAX(Instances!G355:G355)-MIN(Instances!G355:G355))</f>
        <v>0</v>
      </c>
      <c r="H355" s="1" t="n">
        <f aca="false" t="array" ref="H355:H355">_xlfn.SWITCH($A$2,"average", AVERAGE(Instances!H355:H355),"median", MEDIAN(Instances!H355:H355),"min", MIN(Instances!H355:H355),"max", MAX(Instances!H355:H355),"diff", MAX(Instances!H355:H355)-MIN(Instances!H355:H355))</f>
        <v>1</v>
      </c>
      <c r="I355" s="1" t="n">
        <f aca="false" t="array" ref="I355:I355">_xlfn.SWITCH($A$2,"average", AVERAGE(Instances!I355:I355),"median", MEDIAN(Instances!I355:I355),"min", MIN(Instances!I355:I355),"max", MAX(Instances!I355:I355),"diff", MAX(Instances!I355:I355)-MIN(Instances!I355:I355))</f>
        <v>23.156</v>
      </c>
      <c r="J355" s="1" t="n">
        <f aca="false" t="array" ref="J355:J355">_xlfn.SWITCH($A$2,"average", AVERAGE(Instances!J355:J355),"median", MEDIAN(Instances!J355:J355),"min", MIN(Instances!J355:J355),"max", MAX(Instances!J355:J355),"diff", MAX(Instances!J355:J355)-MIN(Instances!J355:J355))</f>
        <v>23.63</v>
      </c>
      <c r="K355" s="1" t="n">
        <f aca="false" t="array" ref="K355:K355">_xlfn.SWITCH($A$2,"average", AVERAGE(Instances!K355:K355),"median", MEDIAN(Instances!K355:K355),"min", MIN(Instances!K355:K355),"max", MAX(Instances!K355:K355),"diff", MAX(Instances!K355:K355)-MIN(Instances!K355:K355))</f>
        <v>8</v>
      </c>
      <c r="L355" s="1"/>
      <c r="M355" s="1" t="n">
        <f aca="false" t="array" ref="M355:M355">_xlfn.SWITCH($A$2,"average", AVERAGE(Instances!M355:M355),"median", MEDIAN(Instances!M355:M355),"min", MIN(Instances!M355:M355),"max", MAX(Instances!M355:M355),"diff", MAX(Instances!M355:M355)-MIN(Instances!M355:M355))</f>
        <v>4878891</v>
      </c>
      <c r="N355" s="1" t="n">
        <f aca="false" t="array" ref="N355:N355">_xlfn.SWITCH($A$2,"average", AVERAGE(Instances!N355:N355),"median", MEDIAN(Instances!N355:N355),"min", MIN(Instances!N355:N355),"max", MAX(Instances!N355:N355),"diff", MAX(Instances!N355:N355)-MIN(Instances!N355:N355))</f>
        <v>3.52</v>
      </c>
      <c r="O355" s="1"/>
      <c r="P355" s="1" t="n">
        <f aca="false" t="array" ref="P355:P355">_xlfn.SWITCH($A$2,"average", AVERAGE(Instances!P355:P355),"median", MEDIAN(Instances!P355:P355),"min", MIN(Instances!P355:P355),"max", MAX(Instances!P355:P355),"diff", MAX(Instances!P355:P355)-MIN(Instances!P355:P355))</f>
        <v>23.63</v>
      </c>
      <c r="Q355" s="1" t="n">
        <f aca="false" t="array" ref="Q355:Q355">_xlfn.SWITCH($A$2,"average", AVERAGE(Instances!Q355:Q355),"median", MEDIAN(Instances!Q355:Q355),"min", MIN(Instances!Q355:Q355),"max", MAX(Instances!Q355:Q355),"diff", MAX(Instances!Q355:Q355)-MIN(Instances!Q355:Q355))</f>
        <v>0</v>
      </c>
      <c r="R355" s="1" t="n">
        <f aca="false" t="array" ref="R355:R355">_xlfn.SWITCH($A$2,"average", AVERAGE(Instances!R355:R355),"median", MEDIAN(Instances!R355:R355),"min", MIN(Instances!R355:R355),"max", MAX(Instances!R355:R355),"diff", MAX(Instances!R355:R355)-MIN(Instances!R355:R355))</f>
        <v>1264782</v>
      </c>
      <c r="S355" s="1" t="n">
        <f aca="false">MIN($B355)</f>
        <v>73268</v>
      </c>
      <c r="T355" s="1" t="n">
        <f aca="false">MIN($C355)</f>
        <v>1179</v>
      </c>
      <c r="U355" s="1" t="n">
        <f aca="false">MIN($D355)</f>
        <v>2593069</v>
      </c>
      <c r="V355" s="1" t="n">
        <f aca="false">MIN($E355)</f>
        <v>0</v>
      </c>
      <c r="W355" s="1" t="n">
        <f aca="false">MIN($F355)</f>
        <v>1234</v>
      </c>
      <c r="X355" s="1" t="n">
        <f aca="false">MIN($G355)</f>
        <v>0</v>
      </c>
      <c r="Y355" s="1" t="n">
        <f aca="false">MIN($H355)</f>
        <v>1</v>
      </c>
      <c r="Z355" s="1" t="n">
        <f aca="false">MIN($I355)</f>
        <v>23.156</v>
      </c>
      <c r="AA355" s="1" t="n">
        <f aca="false">MIN($J355)</f>
        <v>23.63</v>
      </c>
      <c r="AB355" s="1" t="n">
        <f aca="false">MIN($K355)</f>
        <v>8</v>
      </c>
      <c r="AC355" s="1" t="n">
        <f aca="false">MIN($M355)</f>
        <v>4878891</v>
      </c>
      <c r="AD355" s="1" t="n">
        <f aca="false">MIN($N355)</f>
        <v>3.52</v>
      </c>
      <c r="AE355" s="1" t="n">
        <f aca="false">MIN($P355)</f>
        <v>23.63</v>
      </c>
      <c r="AF355" s="1" t="n">
        <f aca="false">MIN($Q355)</f>
        <v>0</v>
      </c>
      <c r="AG355" s="1" t="n">
        <f aca="false">MIN($R355)</f>
        <v>1264782</v>
      </c>
      <c r="AH355" s="1" t="n">
        <f aca="false">MEDIAN($B355)</f>
        <v>73268</v>
      </c>
      <c r="AI355" s="1" t="n">
        <f aca="false">MEDIAN($C355)</f>
        <v>1179</v>
      </c>
      <c r="AJ355" s="1" t="n">
        <f aca="false">MEDIAN($D355)</f>
        <v>2593069</v>
      </c>
      <c r="AK355" s="1" t="n">
        <f aca="false">MEDIAN($E355)</f>
        <v>0</v>
      </c>
      <c r="AL355" s="1" t="n">
        <f aca="false">MEDIAN($F355)</f>
        <v>1234</v>
      </c>
      <c r="AM355" s="1" t="n">
        <f aca="false">MEDIAN($G355)</f>
        <v>0</v>
      </c>
      <c r="AN355" s="1" t="n">
        <f aca="false">MEDIAN($H355)</f>
        <v>1</v>
      </c>
      <c r="AO355" s="1" t="n">
        <f aca="false">MEDIAN($I355)</f>
        <v>23.156</v>
      </c>
      <c r="AP355" s="1" t="n">
        <f aca="false">MEDIAN($J355)</f>
        <v>23.63</v>
      </c>
      <c r="AQ355" s="1" t="n">
        <f aca="false">MEDIAN($K355)</f>
        <v>8</v>
      </c>
      <c r="AR355" s="1" t="n">
        <f aca="false">MEDIAN($M355)</f>
        <v>4878891</v>
      </c>
      <c r="AS355" s="1" t="n">
        <f aca="false">MEDIAN($N355)</f>
        <v>3.52</v>
      </c>
      <c r="AT355" s="1" t="n">
        <f aca="false">MEDIAN($P355)</f>
        <v>23.63</v>
      </c>
      <c r="AU355" s="1" t="n">
        <f aca="false">MEDIAN($Q355)</f>
        <v>0</v>
      </c>
      <c r="AV355" s="1" t="n">
        <f aca="false">MEDIAN($R355)</f>
        <v>1264782</v>
      </c>
      <c r="AW355" s="1" t="n">
        <f aca="false">MAX($B355)</f>
        <v>73268</v>
      </c>
      <c r="AX355" s="1" t="n">
        <f aca="false">MAX($C355)</f>
        <v>1179</v>
      </c>
      <c r="AY355" s="1" t="n">
        <f aca="false">MAX($D355)</f>
        <v>2593069</v>
      </c>
      <c r="AZ355" s="1" t="n">
        <f aca="false">MAX($E355)</f>
        <v>0</v>
      </c>
      <c r="BA355" s="1" t="n">
        <f aca="false">MAX($F355)</f>
        <v>1234</v>
      </c>
      <c r="BB355" s="1" t="n">
        <f aca="false">MAX($G355)</f>
        <v>0</v>
      </c>
      <c r="BC355" s="1" t="n">
        <f aca="false">MAX($H355)</f>
        <v>1</v>
      </c>
      <c r="BD355" s="1" t="n">
        <f aca="false">MAX($I355)</f>
        <v>23.156</v>
      </c>
      <c r="BE355" s="1" t="n">
        <f aca="false">MAX($J355)</f>
        <v>23.63</v>
      </c>
      <c r="BF355" s="1" t="n">
        <f aca="false">MAX($K355)</f>
        <v>8</v>
      </c>
      <c r="BG355" s="1" t="n">
        <f aca="false">MAX($M355)</f>
        <v>4878891</v>
      </c>
      <c r="BH355" s="1" t="n">
        <f aca="false">MAX($N355)</f>
        <v>3.52</v>
      </c>
      <c r="BI355" s="1" t="n">
        <f aca="false">MAX($P355)</f>
        <v>23.63</v>
      </c>
      <c r="BJ355" s="1" t="n">
        <f aca="false">MAX($Q355)</f>
        <v>0</v>
      </c>
      <c r="BK355" s="1" t="n">
        <f aca="false">MAX($R355)</f>
        <v>1264782</v>
      </c>
    </row>
    <row r="356" customFormat="false" ht="15" hidden="false" customHeight="false" outlineLevel="0" collapsed="false">
      <c r="A356" s="1" t="s">
        <v>373</v>
      </c>
      <c r="B356" s="1" t="n">
        <f aca="false" t="array" ref="B356:B356">_xlfn.SWITCH($A$2,"average", AVERAGE(Instances!B356:B356),"median", MEDIAN(Instances!B356:B356),"min", MIN(Instances!B356:B356),"max", MAX(Instances!B356:B356),"diff", MAX(Instances!B356:B356)-MIN(Instances!B356:B356))</f>
        <v>49317</v>
      </c>
      <c r="C356" s="1" t="n">
        <f aca="false" t="array" ref="C356:C356">_xlfn.SWITCH($A$2,"average", AVERAGE(Instances!C356:C356),"median", MEDIAN(Instances!C356:C356),"min", MIN(Instances!C356:C356),"max", MAX(Instances!C356:C356),"diff", MAX(Instances!C356:C356)-MIN(Instances!C356:C356))</f>
        <v>1790</v>
      </c>
      <c r="D356" s="1" t="n">
        <f aca="false" t="array" ref="D356:D356">_xlfn.SWITCH($A$2,"average", AVERAGE(Instances!D356:D356),"median", MEDIAN(Instances!D356:D356),"min", MIN(Instances!D356:D356),"max", MAX(Instances!D356:D356),"diff", MAX(Instances!D356:D356)-MIN(Instances!D356:D356))</f>
        <v>2062051</v>
      </c>
      <c r="E356" s="1" t="n">
        <f aca="false" t="array" ref="E356:E356">_xlfn.SWITCH($A$2,"average", AVERAGE(Instances!E356:E356),"median", MEDIAN(Instances!E356:E356),"min", MIN(Instances!E356:E356),"max", MAX(Instances!E356:E356),"diff", MAX(Instances!E356:E356)-MIN(Instances!E356:E356))</f>
        <v>0</v>
      </c>
      <c r="F356" s="1" t="n">
        <f aca="false" t="array" ref="F356:F356">_xlfn.SWITCH($A$2,"average", AVERAGE(Instances!F356:F356),"median", MEDIAN(Instances!F356:F356),"min", MIN(Instances!F356:F356),"max", MAX(Instances!F356:F356),"diff", MAX(Instances!F356:F356)-MIN(Instances!F356:F356))</f>
        <v>1087</v>
      </c>
      <c r="G356" s="1" t="n">
        <f aca="false" t="array" ref="G356:G356">_xlfn.SWITCH($A$2,"average", AVERAGE(Instances!G356:G356),"median", MEDIAN(Instances!G356:G356),"min", MIN(Instances!G356:G356),"max", MAX(Instances!G356:G356),"diff", MAX(Instances!G356:G356)-MIN(Instances!G356:G356))</f>
        <v>0</v>
      </c>
      <c r="H356" s="1" t="n">
        <f aca="false" t="array" ref="H356:H356">_xlfn.SWITCH($A$2,"average", AVERAGE(Instances!H356:H356),"median", MEDIAN(Instances!H356:H356),"min", MIN(Instances!H356:H356),"max", MAX(Instances!H356:H356),"diff", MAX(Instances!H356:H356)-MIN(Instances!H356:H356))</f>
        <v>1</v>
      </c>
      <c r="I356" s="1" t="n">
        <f aca="false" t="array" ref="I356:I356">_xlfn.SWITCH($A$2,"average", AVERAGE(Instances!I356:I356),"median", MEDIAN(Instances!I356:I356),"min", MIN(Instances!I356:I356),"max", MAX(Instances!I356:I356),"diff", MAX(Instances!I356:I356)-MIN(Instances!I356:I356))</f>
        <v>18.615</v>
      </c>
      <c r="J356" s="1" t="n">
        <f aca="false" t="array" ref="J356:J356">_xlfn.SWITCH($A$2,"average", AVERAGE(Instances!J356:J356),"median", MEDIAN(Instances!J356:J356),"min", MIN(Instances!J356:J356),"max", MAX(Instances!J356:J356),"diff", MAX(Instances!J356:J356)-MIN(Instances!J356:J356))</f>
        <v>18.97</v>
      </c>
      <c r="K356" s="1" t="n">
        <f aca="false" t="array" ref="K356:K356">_xlfn.SWITCH($A$2,"average", AVERAGE(Instances!K356:K356),"median", MEDIAN(Instances!K356:K356),"min", MIN(Instances!K356:K356),"max", MAX(Instances!K356:K356),"diff", MAX(Instances!K356:K356)-MIN(Instances!K356:K356))</f>
        <v>10</v>
      </c>
      <c r="L356" s="1"/>
      <c r="M356" s="1" t="n">
        <f aca="false" t="array" ref="M356:M356">_xlfn.SWITCH($A$2,"average", AVERAGE(Instances!M356:M356),"median", MEDIAN(Instances!M356:M356),"min", MIN(Instances!M356:M356),"max", MAX(Instances!M356:M356),"diff", MAX(Instances!M356:M356)-MIN(Instances!M356:M356))</f>
        <v>4088238</v>
      </c>
      <c r="N356" s="1" t="n">
        <f aca="false" t="array" ref="N356:N356">_xlfn.SWITCH($A$2,"average", AVERAGE(Instances!N356:N356),"median", MEDIAN(Instances!N356:N356),"min", MIN(Instances!N356:N356),"max", MAX(Instances!N356:N356),"diff", MAX(Instances!N356:N356)-MIN(Instances!N356:N356))</f>
        <v>2.61</v>
      </c>
      <c r="O356" s="1"/>
      <c r="P356" s="1" t="n">
        <f aca="false" t="array" ref="P356:P356">_xlfn.SWITCH($A$2,"average", AVERAGE(Instances!P356:P356),"median", MEDIAN(Instances!P356:P356),"min", MIN(Instances!P356:P356),"max", MAX(Instances!P356:P356),"diff", MAX(Instances!P356:P356)-MIN(Instances!P356:P356))</f>
        <v>18.97</v>
      </c>
      <c r="Q356" s="1" t="n">
        <f aca="false" t="array" ref="Q356:Q356">_xlfn.SWITCH($A$2,"average", AVERAGE(Instances!Q356:Q356),"median", MEDIAN(Instances!Q356:Q356),"min", MIN(Instances!Q356:Q356),"max", MAX(Instances!Q356:Q356),"diff", MAX(Instances!Q356:Q356)-MIN(Instances!Q356:Q356))</f>
        <v>0</v>
      </c>
      <c r="R356" s="1" t="n">
        <f aca="false" t="array" ref="R356:R356">_xlfn.SWITCH($A$2,"average", AVERAGE(Instances!R356:R356),"median", MEDIAN(Instances!R356:R356),"min", MIN(Instances!R356:R356),"max", MAX(Instances!R356:R356),"diff", MAX(Instances!R356:R356)-MIN(Instances!R356:R356))</f>
        <v>1108163</v>
      </c>
      <c r="S356" s="1" t="n">
        <f aca="false">MIN($B356)</f>
        <v>49317</v>
      </c>
      <c r="T356" s="1" t="n">
        <f aca="false">MIN($C356)</f>
        <v>1790</v>
      </c>
      <c r="U356" s="1" t="n">
        <f aca="false">MIN($D356)</f>
        <v>2062051</v>
      </c>
      <c r="V356" s="1" t="n">
        <f aca="false">MIN($E356)</f>
        <v>0</v>
      </c>
      <c r="W356" s="1" t="n">
        <f aca="false">MIN($F356)</f>
        <v>1087</v>
      </c>
      <c r="X356" s="1" t="n">
        <f aca="false">MIN($G356)</f>
        <v>0</v>
      </c>
      <c r="Y356" s="1" t="n">
        <f aca="false">MIN($H356)</f>
        <v>1</v>
      </c>
      <c r="Z356" s="1" t="n">
        <f aca="false">MIN($I356)</f>
        <v>18.615</v>
      </c>
      <c r="AA356" s="1" t="n">
        <f aca="false">MIN($J356)</f>
        <v>18.97</v>
      </c>
      <c r="AB356" s="1" t="n">
        <f aca="false">MIN($K356)</f>
        <v>10</v>
      </c>
      <c r="AC356" s="1" t="n">
        <f aca="false">MIN($M356)</f>
        <v>4088238</v>
      </c>
      <c r="AD356" s="1" t="n">
        <f aca="false">MIN($N356)</f>
        <v>2.61</v>
      </c>
      <c r="AE356" s="1" t="n">
        <f aca="false">MIN($P356)</f>
        <v>18.97</v>
      </c>
      <c r="AF356" s="1" t="n">
        <f aca="false">MIN($Q356)</f>
        <v>0</v>
      </c>
      <c r="AG356" s="1" t="n">
        <f aca="false">MIN($R356)</f>
        <v>1108163</v>
      </c>
      <c r="AH356" s="1" t="n">
        <f aca="false">MEDIAN($B356)</f>
        <v>49317</v>
      </c>
      <c r="AI356" s="1" t="n">
        <f aca="false">MEDIAN($C356)</f>
        <v>1790</v>
      </c>
      <c r="AJ356" s="1" t="n">
        <f aca="false">MEDIAN($D356)</f>
        <v>2062051</v>
      </c>
      <c r="AK356" s="1" t="n">
        <f aca="false">MEDIAN($E356)</f>
        <v>0</v>
      </c>
      <c r="AL356" s="1" t="n">
        <f aca="false">MEDIAN($F356)</f>
        <v>1087</v>
      </c>
      <c r="AM356" s="1" t="n">
        <f aca="false">MEDIAN($G356)</f>
        <v>0</v>
      </c>
      <c r="AN356" s="1" t="n">
        <f aca="false">MEDIAN($H356)</f>
        <v>1</v>
      </c>
      <c r="AO356" s="1" t="n">
        <f aca="false">MEDIAN($I356)</f>
        <v>18.615</v>
      </c>
      <c r="AP356" s="1" t="n">
        <f aca="false">MEDIAN($J356)</f>
        <v>18.97</v>
      </c>
      <c r="AQ356" s="1" t="n">
        <f aca="false">MEDIAN($K356)</f>
        <v>10</v>
      </c>
      <c r="AR356" s="1" t="n">
        <f aca="false">MEDIAN($M356)</f>
        <v>4088238</v>
      </c>
      <c r="AS356" s="1" t="n">
        <f aca="false">MEDIAN($N356)</f>
        <v>2.61</v>
      </c>
      <c r="AT356" s="1" t="n">
        <f aca="false">MEDIAN($P356)</f>
        <v>18.97</v>
      </c>
      <c r="AU356" s="1" t="n">
        <f aca="false">MEDIAN($Q356)</f>
        <v>0</v>
      </c>
      <c r="AV356" s="1" t="n">
        <f aca="false">MEDIAN($R356)</f>
        <v>1108163</v>
      </c>
      <c r="AW356" s="1" t="n">
        <f aca="false">MAX($B356)</f>
        <v>49317</v>
      </c>
      <c r="AX356" s="1" t="n">
        <f aca="false">MAX($C356)</f>
        <v>1790</v>
      </c>
      <c r="AY356" s="1" t="n">
        <f aca="false">MAX($D356)</f>
        <v>2062051</v>
      </c>
      <c r="AZ356" s="1" t="n">
        <f aca="false">MAX($E356)</f>
        <v>0</v>
      </c>
      <c r="BA356" s="1" t="n">
        <f aca="false">MAX($F356)</f>
        <v>1087</v>
      </c>
      <c r="BB356" s="1" t="n">
        <f aca="false">MAX($G356)</f>
        <v>0</v>
      </c>
      <c r="BC356" s="1" t="n">
        <f aca="false">MAX($H356)</f>
        <v>1</v>
      </c>
      <c r="BD356" s="1" t="n">
        <f aca="false">MAX($I356)</f>
        <v>18.615</v>
      </c>
      <c r="BE356" s="1" t="n">
        <f aca="false">MAX($J356)</f>
        <v>18.97</v>
      </c>
      <c r="BF356" s="1" t="n">
        <f aca="false">MAX($K356)</f>
        <v>10</v>
      </c>
      <c r="BG356" s="1" t="n">
        <f aca="false">MAX($M356)</f>
        <v>4088238</v>
      </c>
      <c r="BH356" s="1" t="n">
        <f aca="false">MAX($N356)</f>
        <v>2.61</v>
      </c>
      <c r="BI356" s="1" t="n">
        <f aca="false">MAX($P356)</f>
        <v>18.97</v>
      </c>
      <c r="BJ356" s="1" t="n">
        <f aca="false">MAX($Q356)</f>
        <v>0</v>
      </c>
      <c r="BK356" s="1" t="n">
        <f aca="false">MAX($R356)</f>
        <v>1108163</v>
      </c>
    </row>
    <row r="357" customFormat="false" ht="15" hidden="false" customHeight="false" outlineLevel="0" collapsed="false">
      <c r="A357" s="1" t="s">
        <v>374</v>
      </c>
      <c r="B357" s="1" t="n">
        <f aca="false" t="array" ref="B357:B357">_xlfn.SWITCH($A$2,"average", AVERAGE(Instances!B357:B357),"median", MEDIAN(Instances!B357:B357),"min", MIN(Instances!B357:B357),"max", MAX(Instances!B357:B357),"diff", MAX(Instances!B357:B357)-MIN(Instances!B357:B357))</f>
        <v>47877</v>
      </c>
      <c r="C357" s="1" t="n">
        <f aca="false" t="array" ref="C357:C357">_xlfn.SWITCH($A$2,"average", AVERAGE(Instances!C357:C357),"median", MEDIAN(Instances!C357:C357),"min", MIN(Instances!C357:C357),"max", MAX(Instances!C357:C357),"diff", MAX(Instances!C357:C357)-MIN(Instances!C357:C357))</f>
        <v>1382</v>
      </c>
      <c r="D357" s="1" t="n">
        <f aca="false" t="array" ref="D357:D357">_xlfn.SWITCH($A$2,"average", AVERAGE(Instances!D357:D357),"median", MEDIAN(Instances!D357:D357),"min", MIN(Instances!D357:D357),"max", MAX(Instances!D357:D357),"diff", MAX(Instances!D357:D357)-MIN(Instances!D357:D357))</f>
        <v>2038150</v>
      </c>
      <c r="E357" s="1" t="n">
        <f aca="false" t="array" ref="E357:E357">_xlfn.SWITCH($A$2,"average", AVERAGE(Instances!E357:E357),"median", MEDIAN(Instances!E357:E357),"min", MIN(Instances!E357:E357),"max", MAX(Instances!E357:E357),"diff", MAX(Instances!E357:E357)-MIN(Instances!E357:E357))</f>
        <v>0</v>
      </c>
      <c r="F357" s="1" t="n">
        <f aca="false" t="array" ref="F357:F357">_xlfn.SWITCH($A$2,"average", AVERAGE(Instances!F357:F357),"median", MEDIAN(Instances!F357:F357),"min", MIN(Instances!F357:F357),"max", MAX(Instances!F357:F357),"diff", MAX(Instances!F357:F357)-MIN(Instances!F357:F357))</f>
        <v>1086</v>
      </c>
      <c r="G357" s="1" t="n">
        <f aca="false" t="array" ref="G357:G357">_xlfn.SWITCH($A$2,"average", AVERAGE(Instances!G357:G357),"median", MEDIAN(Instances!G357:G357),"min", MIN(Instances!G357:G357),"max", MAX(Instances!G357:G357),"diff", MAX(Instances!G357:G357)-MIN(Instances!G357:G357))</f>
        <v>0</v>
      </c>
      <c r="H357" s="1" t="n">
        <f aca="false" t="array" ref="H357:H357">_xlfn.SWITCH($A$2,"average", AVERAGE(Instances!H357:H357),"median", MEDIAN(Instances!H357:H357),"min", MIN(Instances!H357:H357),"max", MAX(Instances!H357:H357),"diff", MAX(Instances!H357:H357)-MIN(Instances!H357:H357))</f>
        <v>1</v>
      </c>
      <c r="I357" s="1" t="n">
        <f aca="false" t="array" ref="I357:I357">_xlfn.SWITCH($A$2,"average", AVERAGE(Instances!I357:I357),"median", MEDIAN(Instances!I357:I357),"min", MIN(Instances!I357:I357),"max", MAX(Instances!I357:I357),"diff", MAX(Instances!I357:I357)-MIN(Instances!I357:I357))</f>
        <v>19.087</v>
      </c>
      <c r="J357" s="1" t="n">
        <f aca="false" t="array" ref="J357:J357">_xlfn.SWITCH($A$2,"average", AVERAGE(Instances!J357:J357),"median", MEDIAN(Instances!J357:J357),"min", MIN(Instances!J357:J357),"max", MAX(Instances!J357:J357),"diff", MAX(Instances!J357:J357)-MIN(Instances!J357:J357))</f>
        <v>19.43</v>
      </c>
      <c r="K357" s="1" t="n">
        <f aca="false" t="array" ref="K357:K357">_xlfn.SWITCH($A$2,"average", AVERAGE(Instances!K357:K357),"median", MEDIAN(Instances!K357:K357),"min", MIN(Instances!K357:K357),"max", MAX(Instances!K357:K357),"diff", MAX(Instances!K357:K357)-MIN(Instances!K357:K357))</f>
        <v>7</v>
      </c>
      <c r="L357" s="1"/>
      <c r="M357" s="1" t="n">
        <f aca="false" t="array" ref="M357:M357">_xlfn.SWITCH($A$2,"average", AVERAGE(Instances!M357:M357),"median", MEDIAN(Instances!M357:M357),"min", MIN(Instances!M357:M357),"max", MAX(Instances!M357:M357),"diff", MAX(Instances!M357:M357)-MIN(Instances!M357:M357))</f>
        <v>4076266</v>
      </c>
      <c r="N357" s="1" t="n">
        <f aca="false" t="array" ref="N357:N357">_xlfn.SWITCH($A$2,"average", AVERAGE(Instances!N357:N357),"median", MEDIAN(Instances!N357:N357),"min", MIN(Instances!N357:N357),"max", MAX(Instances!N357:N357),"diff", MAX(Instances!N357:N357)-MIN(Instances!N357:N357))</f>
        <v>2.52</v>
      </c>
      <c r="O357" s="1"/>
      <c r="P357" s="1" t="n">
        <f aca="false" t="array" ref="P357:P357">_xlfn.SWITCH($A$2,"average", AVERAGE(Instances!P357:P357),"median", MEDIAN(Instances!P357:P357),"min", MIN(Instances!P357:P357),"max", MAX(Instances!P357:P357),"diff", MAX(Instances!P357:P357)-MIN(Instances!P357:P357))</f>
        <v>19.43</v>
      </c>
      <c r="Q357" s="1" t="n">
        <f aca="false" t="array" ref="Q357:Q357">_xlfn.SWITCH($A$2,"average", AVERAGE(Instances!Q357:Q357),"median", MEDIAN(Instances!Q357:Q357),"min", MIN(Instances!Q357:Q357),"max", MAX(Instances!Q357:Q357),"diff", MAX(Instances!Q357:Q357)-MIN(Instances!Q357:Q357))</f>
        <v>0</v>
      </c>
      <c r="R357" s="1" t="n">
        <f aca="false" t="array" ref="R357:R357">_xlfn.SWITCH($A$2,"average", AVERAGE(Instances!R357:R357),"median", MEDIAN(Instances!R357:R357),"min", MIN(Instances!R357:R357),"max", MAX(Instances!R357:R357),"diff", MAX(Instances!R357:R357)-MIN(Instances!R357:R357))</f>
        <v>1100918</v>
      </c>
      <c r="S357" s="1" t="n">
        <f aca="false">MIN($B357)</f>
        <v>47877</v>
      </c>
      <c r="T357" s="1" t="n">
        <f aca="false">MIN($C357)</f>
        <v>1382</v>
      </c>
      <c r="U357" s="1" t="n">
        <f aca="false">MIN($D357)</f>
        <v>2038150</v>
      </c>
      <c r="V357" s="1" t="n">
        <f aca="false">MIN($E357)</f>
        <v>0</v>
      </c>
      <c r="W357" s="1" t="n">
        <f aca="false">MIN($F357)</f>
        <v>1086</v>
      </c>
      <c r="X357" s="1" t="n">
        <f aca="false">MIN($G357)</f>
        <v>0</v>
      </c>
      <c r="Y357" s="1" t="n">
        <f aca="false">MIN($H357)</f>
        <v>1</v>
      </c>
      <c r="Z357" s="1" t="n">
        <f aca="false">MIN($I357)</f>
        <v>19.087</v>
      </c>
      <c r="AA357" s="1" t="n">
        <f aca="false">MIN($J357)</f>
        <v>19.43</v>
      </c>
      <c r="AB357" s="1" t="n">
        <f aca="false">MIN($K357)</f>
        <v>7</v>
      </c>
      <c r="AC357" s="1" t="n">
        <f aca="false">MIN($M357)</f>
        <v>4076266</v>
      </c>
      <c r="AD357" s="1" t="n">
        <f aca="false">MIN($N357)</f>
        <v>2.52</v>
      </c>
      <c r="AE357" s="1" t="n">
        <f aca="false">MIN($P357)</f>
        <v>19.43</v>
      </c>
      <c r="AF357" s="1" t="n">
        <f aca="false">MIN($Q357)</f>
        <v>0</v>
      </c>
      <c r="AG357" s="1" t="n">
        <f aca="false">MIN($R357)</f>
        <v>1100918</v>
      </c>
      <c r="AH357" s="1" t="n">
        <f aca="false">MEDIAN($B357)</f>
        <v>47877</v>
      </c>
      <c r="AI357" s="1" t="n">
        <f aca="false">MEDIAN($C357)</f>
        <v>1382</v>
      </c>
      <c r="AJ357" s="1" t="n">
        <f aca="false">MEDIAN($D357)</f>
        <v>2038150</v>
      </c>
      <c r="AK357" s="1" t="n">
        <f aca="false">MEDIAN($E357)</f>
        <v>0</v>
      </c>
      <c r="AL357" s="1" t="n">
        <f aca="false">MEDIAN($F357)</f>
        <v>1086</v>
      </c>
      <c r="AM357" s="1" t="n">
        <f aca="false">MEDIAN($G357)</f>
        <v>0</v>
      </c>
      <c r="AN357" s="1" t="n">
        <f aca="false">MEDIAN($H357)</f>
        <v>1</v>
      </c>
      <c r="AO357" s="1" t="n">
        <f aca="false">MEDIAN($I357)</f>
        <v>19.087</v>
      </c>
      <c r="AP357" s="1" t="n">
        <f aca="false">MEDIAN($J357)</f>
        <v>19.43</v>
      </c>
      <c r="AQ357" s="1" t="n">
        <f aca="false">MEDIAN($K357)</f>
        <v>7</v>
      </c>
      <c r="AR357" s="1" t="n">
        <f aca="false">MEDIAN($M357)</f>
        <v>4076266</v>
      </c>
      <c r="AS357" s="1" t="n">
        <f aca="false">MEDIAN($N357)</f>
        <v>2.52</v>
      </c>
      <c r="AT357" s="1" t="n">
        <f aca="false">MEDIAN($P357)</f>
        <v>19.43</v>
      </c>
      <c r="AU357" s="1" t="n">
        <f aca="false">MEDIAN($Q357)</f>
        <v>0</v>
      </c>
      <c r="AV357" s="1" t="n">
        <f aca="false">MEDIAN($R357)</f>
        <v>1100918</v>
      </c>
      <c r="AW357" s="1" t="n">
        <f aca="false">MAX($B357)</f>
        <v>47877</v>
      </c>
      <c r="AX357" s="1" t="n">
        <f aca="false">MAX($C357)</f>
        <v>1382</v>
      </c>
      <c r="AY357" s="1" t="n">
        <f aca="false">MAX($D357)</f>
        <v>2038150</v>
      </c>
      <c r="AZ357" s="1" t="n">
        <f aca="false">MAX($E357)</f>
        <v>0</v>
      </c>
      <c r="BA357" s="1" t="n">
        <f aca="false">MAX($F357)</f>
        <v>1086</v>
      </c>
      <c r="BB357" s="1" t="n">
        <f aca="false">MAX($G357)</f>
        <v>0</v>
      </c>
      <c r="BC357" s="1" t="n">
        <f aca="false">MAX($H357)</f>
        <v>1</v>
      </c>
      <c r="BD357" s="1" t="n">
        <f aca="false">MAX($I357)</f>
        <v>19.087</v>
      </c>
      <c r="BE357" s="1" t="n">
        <f aca="false">MAX($J357)</f>
        <v>19.43</v>
      </c>
      <c r="BF357" s="1" t="n">
        <f aca="false">MAX($K357)</f>
        <v>7</v>
      </c>
      <c r="BG357" s="1" t="n">
        <f aca="false">MAX($M357)</f>
        <v>4076266</v>
      </c>
      <c r="BH357" s="1" t="n">
        <f aca="false">MAX($N357)</f>
        <v>2.52</v>
      </c>
      <c r="BI357" s="1" t="n">
        <f aca="false">MAX($P357)</f>
        <v>19.43</v>
      </c>
      <c r="BJ357" s="1" t="n">
        <f aca="false">MAX($Q357)</f>
        <v>0</v>
      </c>
      <c r="BK357" s="1" t="n">
        <f aca="false">MAX($R357)</f>
        <v>1100918</v>
      </c>
    </row>
    <row r="358" customFormat="false" ht="15" hidden="false" customHeight="false" outlineLevel="0" collapsed="false">
      <c r="A358" s="1" t="s">
        <v>375</v>
      </c>
      <c r="B358" s="1" t="n">
        <f aca="false" t="array" ref="B358:B358">_xlfn.SWITCH($A$2,"average", AVERAGE(Instances!B358:B358),"median", MEDIAN(Instances!B358:B358),"min", MIN(Instances!B358:B358),"max", MAX(Instances!B358:B358),"diff", MAX(Instances!B358:B358)-MIN(Instances!B358:B358))</f>
        <v>144127</v>
      </c>
      <c r="C358" s="1" t="n">
        <f aca="false" t="array" ref="C358:C358">_xlfn.SWITCH($A$2,"average", AVERAGE(Instances!C358:C358),"median", MEDIAN(Instances!C358:C358),"min", MIN(Instances!C358:C358),"max", MAX(Instances!C358:C358),"diff", MAX(Instances!C358:C358)-MIN(Instances!C358:C358))</f>
        <v>9801</v>
      </c>
      <c r="D358" s="1" t="n">
        <f aca="false" t="array" ref="D358:D358">_xlfn.SWITCH($A$2,"average", AVERAGE(Instances!D358:D358),"median", MEDIAN(Instances!D358:D358),"min", MIN(Instances!D358:D358),"max", MAX(Instances!D358:D358),"diff", MAX(Instances!D358:D358)-MIN(Instances!D358:D358))</f>
        <v>2156473</v>
      </c>
      <c r="E358" s="1" t="n">
        <f aca="false" t="array" ref="E358:E358">_xlfn.SWITCH($A$2,"average", AVERAGE(Instances!E358:E358),"median", MEDIAN(Instances!E358:E358),"min", MIN(Instances!E358:E358),"max", MAX(Instances!E358:E358),"diff", MAX(Instances!E358:E358)-MIN(Instances!E358:E358))</f>
        <v>0</v>
      </c>
      <c r="F358" s="1" t="n">
        <f aca="false" t="array" ref="F358:F358">_xlfn.SWITCH($A$2,"average", AVERAGE(Instances!F358:F358),"median", MEDIAN(Instances!F358:F358),"min", MIN(Instances!F358:F358),"max", MAX(Instances!F358:F358),"diff", MAX(Instances!F358:F358)-MIN(Instances!F358:F358))</f>
        <v>1106</v>
      </c>
      <c r="G358" s="1" t="n">
        <f aca="false" t="array" ref="G358:G358">_xlfn.SWITCH($A$2,"average", AVERAGE(Instances!G358:G358),"median", MEDIAN(Instances!G358:G358),"min", MIN(Instances!G358:G358),"max", MAX(Instances!G358:G358),"diff", MAX(Instances!G358:G358)-MIN(Instances!G358:G358))</f>
        <v>0</v>
      </c>
      <c r="H358" s="1" t="n">
        <f aca="false" t="array" ref="H358:H358">_xlfn.SWITCH($A$2,"average", AVERAGE(Instances!H358:H358),"median", MEDIAN(Instances!H358:H358),"min", MIN(Instances!H358:H358),"max", MAX(Instances!H358:H358),"diff", MAX(Instances!H358:H358)-MIN(Instances!H358:H358))</f>
        <v>1</v>
      </c>
      <c r="I358" s="1" t="n">
        <f aca="false" t="array" ref="I358:I358">_xlfn.SWITCH($A$2,"average", AVERAGE(Instances!I358:I358),"median", MEDIAN(Instances!I358:I358),"min", MIN(Instances!I358:I358),"max", MAX(Instances!I358:I358),"diff", MAX(Instances!I358:I358)-MIN(Instances!I358:I358))</f>
        <v>30.089</v>
      </c>
      <c r="J358" s="1" t="n">
        <f aca="false" t="array" ref="J358:J358">_xlfn.SWITCH($A$2,"average", AVERAGE(Instances!J358:J358),"median", MEDIAN(Instances!J358:J358),"min", MIN(Instances!J358:J358),"max", MAX(Instances!J358:J358),"diff", MAX(Instances!J358:J358)-MIN(Instances!J358:J358))</f>
        <v>30.47</v>
      </c>
      <c r="K358" s="1" t="n">
        <f aca="false" t="array" ref="K358:K358">_xlfn.SWITCH($A$2,"average", AVERAGE(Instances!K358:K358),"median", MEDIAN(Instances!K358:K358),"min", MIN(Instances!K358:K358),"max", MAX(Instances!K358:K358),"diff", MAX(Instances!K358:K358)-MIN(Instances!K358:K358))</f>
        <v>42</v>
      </c>
      <c r="L358" s="1"/>
      <c r="M358" s="1" t="n">
        <f aca="false" t="array" ref="M358:M358">_xlfn.SWITCH($A$2,"average", AVERAGE(Instances!M358:M358),"median", MEDIAN(Instances!M358:M358),"min", MIN(Instances!M358:M358),"max", MAX(Instances!M358:M358),"diff", MAX(Instances!M358:M358)-MIN(Instances!M358:M358))</f>
        <v>4173414</v>
      </c>
      <c r="N358" s="1" t="n">
        <f aca="false" t="array" ref="N358:N358">_xlfn.SWITCH($A$2,"average", AVERAGE(Instances!N358:N358),"median", MEDIAN(Instances!N358:N358),"min", MIN(Instances!N358:N358),"max", MAX(Instances!N358:N358),"diff", MAX(Instances!N358:N358)-MIN(Instances!N358:N358))</f>
        <v>13.32</v>
      </c>
      <c r="O358" s="1"/>
      <c r="P358" s="1" t="n">
        <f aca="false" t="array" ref="P358:P358">_xlfn.SWITCH($A$2,"average", AVERAGE(Instances!P358:P358),"median", MEDIAN(Instances!P358:P358),"min", MIN(Instances!P358:P358),"max", MAX(Instances!P358:P358),"diff", MAX(Instances!P358:P358)-MIN(Instances!P358:P358))</f>
        <v>30.47</v>
      </c>
      <c r="Q358" s="1" t="n">
        <f aca="false" t="array" ref="Q358:Q358">_xlfn.SWITCH($A$2,"average", AVERAGE(Instances!Q358:Q358),"median", MEDIAN(Instances!Q358:Q358),"min", MIN(Instances!Q358:Q358),"max", MAX(Instances!Q358:Q358),"diff", MAX(Instances!Q358:Q358)-MIN(Instances!Q358:Q358))</f>
        <v>0</v>
      </c>
      <c r="R358" s="1" t="n">
        <f aca="false" t="array" ref="R358:R358">_xlfn.SWITCH($A$2,"average", AVERAGE(Instances!R358:R358),"median", MEDIAN(Instances!R358:R358),"min", MIN(Instances!R358:R358),"max", MAX(Instances!R358:R358),"diff", MAX(Instances!R358:R358)-MIN(Instances!R358:R358))</f>
        <v>1131649</v>
      </c>
      <c r="S358" s="1" t="n">
        <f aca="false">MIN($B358)</f>
        <v>144127</v>
      </c>
      <c r="T358" s="1" t="n">
        <f aca="false">MIN($C358)</f>
        <v>9801</v>
      </c>
      <c r="U358" s="1" t="n">
        <f aca="false">MIN($D358)</f>
        <v>2156473</v>
      </c>
      <c r="V358" s="1" t="n">
        <f aca="false">MIN($E358)</f>
        <v>0</v>
      </c>
      <c r="W358" s="1" t="n">
        <f aca="false">MIN($F358)</f>
        <v>1106</v>
      </c>
      <c r="X358" s="1" t="n">
        <f aca="false">MIN($G358)</f>
        <v>0</v>
      </c>
      <c r="Y358" s="1" t="n">
        <f aca="false">MIN($H358)</f>
        <v>1</v>
      </c>
      <c r="Z358" s="1" t="n">
        <f aca="false">MIN($I358)</f>
        <v>30.089</v>
      </c>
      <c r="AA358" s="1" t="n">
        <f aca="false">MIN($J358)</f>
        <v>30.47</v>
      </c>
      <c r="AB358" s="1" t="n">
        <f aca="false">MIN($K358)</f>
        <v>42</v>
      </c>
      <c r="AC358" s="1" t="n">
        <f aca="false">MIN($M358)</f>
        <v>4173414</v>
      </c>
      <c r="AD358" s="1" t="n">
        <f aca="false">MIN($N358)</f>
        <v>13.32</v>
      </c>
      <c r="AE358" s="1" t="n">
        <f aca="false">MIN($P358)</f>
        <v>30.47</v>
      </c>
      <c r="AF358" s="1" t="n">
        <f aca="false">MIN($Q358)</f>
        <v>0</v>
      </c>
      <c r="AG358" s="1" t="n">
        <f aca="false">MIN($R358)</f>
        <v>1131649</v>
      </c>
      <c r="AH358" s="1" t="n">
        <f aca="false">MEDIAN($B358)</f>
        <v>144127</v>
      </c>
      <c r="AI358" s="1" t="n">
        <f aca="false">MEDIAN($C358)</f>
        <v>9801</v>
      </c>
      <c r="AJ358" s="1" t="n">
        <f aca="false">MEDIAN($D358)</f>
        <v>2156473</v>
      </c>
      <c r="AK358" s="1" t="n">
        <f aca="false">MEDIAN($E358)</f>
        <v>0</v>
      </c>
      <c r="AL358" s="1" t="n">
        <f aca="false">MEDIAN($F358)</f>
        <v>1106</v>
      </c>
      <c r="AM358" s="1" t="n">
        <f aca="false">MEDIAN($G358)</f>
        <v>0</v>
      </c>
      <c r="AN358" s="1" t="n">
        <f aca="false">MEDIAN($H358)</f>
        <v>1</v>
      </c>
      <c r="AO358" s="1" t="n">
        <f aca="false">MEDIAN($I358)</f>
        <v>30.089</v>
      </c>
      <c r="AP358" s="1" t="n">
        <f aca="false">MEDIAN($J358)</f>
        <v>30.47</v>
      </c>
      <c r="AQ358" s="1" t="n">
        <f aca="false">MEDIAN($K358)</f>
        <v>42</v>
      </c>
      <c r="AR358" s="1" t="n">
        <f aca="false">MEDIAN($M358)</f>
        <v>4173414</v>
      </c>
      <c r="AS358" s="1" t="n">
        <f aca="false">MEDIAN($N358)</f>
        <v>13.32</v>
      </c>
      <c r="AT358" s="1" t="n">
        <f aca="false">MEDIAN($P358)</f>
        <v>30.47</v>
      </c>
      <c r="AU358" s="1" t="n">
        <f aca="false">MEDIAN($Q358)</f>
        <v>0</v>
      </c>
      <c r="AV358" s="1" t="n">
        <f aca="false">MEDIAN($R358)</f>
        <v>1131649</v>
      </c>
      <c r="AW358" s="1" t="n">
        <f aca="false">MAX($B358)</f>
        <v>144127</v>
      </c>
      <c r="AX358" s="1" t="n">
        <f aca="false">MAX($C358)</f>
        <v>9801</v>
      </c>
      <c r="AY358" s="1" t="n">
        <f aca="false">MAX($D358)</f>
        <v>2156473</v>
      </c>
      <c r="AZ358" s="1" t="n">
        <f aca="false">MAX($E358)</f>
        <v>0</v>
      </c>
      <c r="BA358" s="1" t="n">
        <f aca="false">MAX($F358)</f>
        <v>1106</v>
      </c>
      <c r="BB358" s="1" t="n">
        <f aca="false">MAX($G358)</f>
        <v>0</v>
      </c>
      <c r="BC358" s="1" t="n">
        <f aca="false">MAX($H358)</f>
        <v>1</v>
      </c>
      <c r="BD358" s="1" t="n">
        <f aca="false">MAX($I358)</f>
        <v>30.089</v>
      </c>
      <c r="BE358" s="1" t="n">
        <f aca="false">MAX($J358)</f>
        <v>30.47</v>
      </c>
      <c r="BF358" s="1" t="n">
        <f aca="false">MAX($K358)</f>
        <v>42</v>
      </c>
      <c r="BG358" s="1" t="n">
        <f aca="false">MAX($M358)</f>
        <v>4173414</v>
      </c>
      <c r="BH358" s="1" t="n">
        <f aca="false">MAX($N358)</f>
        <v>13.32</v>
      </c>
      <c r="BI358" s="1" t="n">
        <f aca="false">MAX($P358)</f>
        <v>30.47</v>
      </c>
      <c r="BJ358" s="1" t="n">
        <f aca="false">MAX($Q358)</f>
        <v>0</v>
      </c>
      <c r="BK358" s="1" t="n">
        <f aca="false">MAX($R358)</f>
        <v>1131649</v>
      </c>
    </row>
    <row r="359" customFormat="false" ht="15" hidden="false" customHeight="false" outlineLevel="0" collapsed="false">
      <c r="A359" s="1" t="s">
        <v>376</v>
      </c>
      <c r="B359" s="1" t="n">
        <f aca="false" t="array" ref="B359:B359">_xlfn.SWITCH($A$2,"average", AVERAGE(Instances!B359:B359),"median", MEDIAN(Instances!B359:B359),"min", MIN(Instances!B359:B359),"max", MAX(Instances!B359:B359),"diff", MAX(Instances!B359:B359)-MIN(Instances!B359:B359))</f>
        <v>96664</v>
      </c>
      <c r="C359" s="1" t="n">
        <f aca="false" t="array" ref="C359:C359">_xlfn.SWITCH($A$2,"average", AVERAGE(Instances!C359:C359),"median", MEDIAN(Instances!C359:C359),"min", MIN(Instances!C359:C359),"max", MAX(Instances!C359:C359),"diff", MAX(Instances!C359:C359)-MIN(Instances!C359:C359))</f>
        <v>877</v>
      </c>
      <c r="D359" s="1" t="n">
        <f aca="false" t="array" ref="D359:D359">_xlfn.SWITCH($A$2,"average", AVERAGE(Instances!D359:D359),"median", MEDIAN(Instances!D359:D359),"min", MIN(Instances!D359:D359),"max", MAX(Instances!D359:D359),"diff", MAX(Instances!D359:D359)-MIN(Instances!D359:D359))</f>
        <v>2112484</v>
      </c>
      <c r="E359" s="1" t="n">
        <f aca="false" t="array" ref="E359:E359">_xlfn.SWITCH($A$2,"average", AVERAGE(Instances!E359:E359),"median", MEDIAN(Instances!E359:E359),"min", MIN(Instances!E359:E359),"max", MAX(Instances!E359:E359),"diff", MAX(Instances!E359:E359)-MIN(Instances!E359:E359))</f>
        <v>0</v>
      </c>
      <c r="F359" s="1" t="n">
        <f aca="false" t="array" ref="F359:F359">_xlfn.SWITCH($A$2,"average", AVERAGE(Instances!F359:F359),"median", MEDIAN(Instances!F359:F359),"min", MIN(Instances!F359:F359),"max", MAX(Instances!F359:F359),"diff", MAX(Instances!F359:F359)-MIN(Instances!F359:F359))</f>
        <v>1111</v>
      </c>
      <c r="G359" s="1" t="n">
        <f aca="false" t="array" ref="G359:G359">_xlfn.SWITCH($A$2,"average", AVERAGE(Instances!G359:G359),"median", MEDIAN(Instances!G359:G359),"min", MIN(Instances!G359:G359),"max", MAX(Instances!G359:G359),"diff", MAX(Instances!G359:G359)-MIN(Instances!G359:G359))</f>
        <v>0</v>
      </c>
      <c r="H359" s="1" t="n">
        <f aca="false" t="array" ref="H359:H359">_xlfn.SWITCH($A$2,"average", AVERAGE(Instances!H359:H359),"median", MEDIAN(Instances!H359:H359),"min", MIN(Instances!H359:H359),"max", MAX(Instances!H359:H359),"diff", MAX(Instances!H359:H359)-MIN(Instances!H359:H359))</f>
        <v>1</v>
      </c>
      <c r="I359" s="1" t="n">
        <f aca="false" t="array" ref="I359:I359">_xlfn.SWITCH($A$2,"average", AVERAGE(Instances!I359:I359),"median", MEDIAN(Instances!I359:I359),"min", MIN(Instances!I359:I359),"max", MAX(Instances!I359:I359),"diff", MAX(Instances!I359:I359)-MIN(Instances!I359:I359))</f>
        <v>20.349</v>
      </c>
      <c r="J359" s="1" t="n">
        <f aca="false" t="array" ref="J359:J359">_xlfn.SWITCH($A$2,"average", AVERAGE(Instances!J359:J359),"median", MEDIAN(Instances!J359:J359),"min", MIN(Instances!J359:J359),"max", MAX(Instances!J359:J359),"diff", MAX(Instances!J359:J359)-MIN(Instances!J359:J359))</f>
        <v>20.74</v>
      </c>
      <c r="K359" s="1" t="n">
        <f aca="false" t="array" ref="K359:K359">_xlfn.SWITCH($A$2,"average", AVERAGE(Instances!K359:K359),"median", MEDIAN(Instances!K359:K359),"min", MIN(Instances!K359:K359),"max", MAX(Instances!K359:K359),"diff", MAX(Instances!K359:K359)-MIN(Instances!K359:K359))</f>
        <v>6</v>
      </c>
      <c r="L359" s="1"/>
      <c r="M359" s="1" t="n">
        <f aca="false" t="array" ref="M359:M359">_xlfn.SWITCH($A$2,"average", AVERAGE(Instances!M359:M359),"median", MEDIAN(Instances!M359:M359),"min", MIN(Instances!M359:M359),"max", MAX(Instances!M359:M359),"diff", MAX(Instances!M359:M359)-MIN(Instances!M359:M359))</f>
        <v>4186041</v>
      </c>
      <c r="N359" s="1" t="n">
        <f aca="false" t="array" ref="N359:N359">_xlfn.SWITCH($A$2,"average", AVERAGE(Instances!N359:N359),"median", MEDIAN(Instances!N359:N359),"min", MIN(Instances!N359:N359),"max", MAX(Instances!N359:N359),"diff", MAX(Instances!N359:N359)-MIN(Instances!N359:N359))</f>
        <v>3.49</v>
      </c>
      <c r="O359" s="1"/>
      <c r="P359" s="1" t="n">
        <f aca="false" t="array" ref="P359:P359">_xlfn.SWITCH($A$2,"average", AVERAGE(Instances!P359:P359),"median", MEDIAN(Instances!P359:P359),"min", MIN(Instances!P359:P359),"max", MAX(Instances!P359:P359),"diff", MAX(Instances!P359:P359)-MIN(Instances!P359:P359))</f>
        <v>20.74</v>
      </c>
      <c r="Q359" s="1" t="n">
        <f aca="false" t="array" ref="Q359:Q359">_xlfn.SWITCH($A$2,"average", AVERAGE(Instances!Q359:Q359),"median", MEDIAN(Instances!Q359:Q359),"min", MIN(Instances!Q359:Q359),"max", MAX(Instances!Q359:Q359),"diff", MAX(Instances!Q359:Q359)-MIN(Instances!Q359:Q359))</f>
        <v>0</v>
      </c>
      <c r="R359" s="1" t="n">
        <f aca="false" t="array" ref="R359:R359">_xlfn.SWITCH($A$2,"average", AVERAGE(Instances!R359:R359),"median", MEDIAN(Instances!R359:R359),"min", MIN(Instances!R359:R359),"max", MAX(Instances!R359:R359),"diff", MAX(Instances!R359:R359)-MIN(Instances!R359:R359))</f>
        <v>1134652</v>
      </c>
      <c r="S359" s="1" t="n">
        <f aca="false">MIN($B359)</f>
        <v>96664</v>
      </c>
      <c r="T359" s="1" t="n">
        <f aca="false">MIN($C359)</f>
        <v>877</v>
      </c>
      <c r="U359" s="1" t="n">
        <f aca="false">MIN($D359)</f>
        <v>2112484</v>
      </c>
      <c r="V359" s="1" t="n">
        <f aca="false">MIN($E359)</f>
        <v>0</v>
      </c>
      <c r="W359" s="1" t="n">
        <f aca="false">MIN($F359)</f>
        <v>1111</v>
      </c>
      <c r="X359" s="1" t="n">
        <f aca="false">MIN($G359)</f>
        <v>0</v>
      </c>
      <c r="Y359" s="1" t="n">
        <f aca="false">MIN($H359)</f>
        <v>1</v>
      </c>
      <c r="Z359" s="1" t="n">
        <f aca="false">MIN($I359)</f>
        <v>20.349</v>
      </c>
      <c r="AA359" s="1" t="n">
        <f aca="false">MIN($J359)</f>
        <v>20.74</v>
      </c>
      <c r="AB359" s="1" t="n">
        <f aca="false">MIN($K359)</f>
        <v>6</v>
      </c>
      <c r="AC359" s="1" t="n">
        <f aca="false">MIN($M359)</f>
        <v>4186041</v>
      </c>
      <c r="AD359" s="1" t="n">
        <f aca="false">MIN($N359)</f>
        <v>3.49</v>
      </c>
      <c r="AE359" s="1" t="n">
        <f aca="false">MIN($P359)</f>
        <v>20.74</v>
      </c>
      <c r="AF359" s="1" t="n">
        <f aca="false">MIN($Q359)</f>
        <v>0</v>
      </c>
      <c r="AG359" s="1" t="n">
        <f aca="false">MIN($R359)</f>
        <v>1134652</v>
      </c>
      <c r="AH359" s="1" t="n">
        <f aca="false">MEDIAN($B359)</f>
        <v>96664</v>
      </c>
      <c r="AI359" s="1" t="n">
        <f aca="false">MEDIAN($C359)</f>
        <v>877</v>
      </c>
      <c r="AJ359" s="1" t="n">
        <f aca="false">MEDIAN($D359)</f>
        <v>2112484</v>
      </c>
      <c r="AK359" s="1" t="n">
        <f aca="false">MEDIAN($E359)</f>
        <v>0</v>
      </c>
      <c r="AL359" s="1" t="n">
        <f aca="false">MEDIAN($F359)</f>
        <v>1111</v>
      </c>
      <c r="AM359" s="1" t="n">
        <f aca="false">MEDIAN($G359)</f>
        <v>0</v>
      </c>
      <c r="AN359" s="1" t="n">
        <f aca="false">MEDIAN($H359)</f>
        <v>1</v>
      </c>
      <c r="AO359" s="1" t="n">
        <f aca="false">MEDIAN($I359)</f>
        <v>20.349</v>
      </c>
      <c r="AP359" s="1" t="n">
        <f aca="false">MEDIAN($J359)</f>
        <v>20.74</v>
      </c>
      <c r="AQ359" s="1" t="n">
        <f aca="false">MEDIAN($K359)</f>
        <v>6</v>
      </c>
      <c r="AR359" s="1" t="n">
        <f aca="false">MEDIAN($M359)</f>
        <v>4186041</v>
      </c>
      <c r="AS359" s="1" t="n">
        <f aca="false">MEDIAN($N359)</f>
        <v>3.49</v>
      </c>
      <c r="AT359" s="1" t="n">
        <f aca="false">MEDIAN($P359)</f>
        <v>20.74</v>
      </c>
      <c r="AU359" s="1" t="n">
        <f aca="false">MEDIAN($Q359)</f>
        <v>0</v>
      </c>
      <c r="AV359" s="1" t="n">
        <f aca="false">MEDIAN($R359)</f>
        <v>1134652</v>
      </c>
      <c r="AW359" s="1" t="n">
        <f aca="false">MAX($B359)</f>
        <v>96664</v>
      </c>
      <c r="AX359" s="1" t="n">
        <f aca="false">MAX($C359)</f>
        <v>877</v>
      </c>
      <c r="AY359" s="1" t="n">
        <f aca="false">MAX($D359)</f>
        <v>2112484</v>
      </c>
      <c r="AZ359" s="1" t="n">
        <f aca="false">MAX($E359)</f>
        <v>0</v>
      </c>
      <c r="BA359" s="1" t="n">
        <f aca="false">MAX($F359)</f>
        <v>1111</v>
      </c>
      <c r="BB359" s="1" t="n">
        <f aca="false">MAX($G359)</f>
        <v>0</v>
      </c>
      <c r="BC359" s="1" t="n">
        <f aca="false">MAX($H359)</f>
        <v>1</v>
      </c>
      <c r="BD359" s="1" t="n">
        <f aca="false">MAX($I359)</f>
        <v>20.349</v>
      </c>
      <c r="BE359" s="1" t="n">
        <f aca="false">MAX($J359)</f>
        <v>20.74</v>
      </c>
      <c r="BF359" s="1" t="n">
        <f aca="false">MAX($K359)</f>
        <v>6</v>
      </c>
      <c r="BG359" s="1" t="n">
        <f aca="false">MAX($M359)</f>
        <v>4186041</v>
      </c>
      <c r="BH359" s="1" t="n">
        <f aca="false">MAX($N359)</f>
        <v>3.49</v>
      </c>
      <c r="BI359" s="1" t="n">
        <f aca="false">MAX($P359)</f>
        <v>20.74</v>
      </c>
      <c r="BJ359" s="1" t="n">
        <f aca="false">MAX($Q359)</f>
        <v>0</v>
      </c>
      <c r="BK359" s="1" t="n">
        <f aca="false">MAX($R359)</f>
        <v>1134652</v>
      </c>
    </row>
    <row r="360" customFormat="false" ht="15" hidden="false" customHeight="false" outlineLevel="0" collapsed="false">
      <c r="A360" s="1" t="s">
        <v>377</v>
      </c>
      <c r="B360" s="1" t="n">
        <f aca="false" t="array" ref="B360:B360">_xlfn.SWITCH($A$2,"average", AVERAGE(Instances!B360:B360),"median", MEDIAN(Instances!B360:B360),"min", MIN(Instances!B360:B360),"max", MAX(Instances!B360:B360),"diff", MAX(Instances!B360:B360)-MIN(Instances!B360:B360))</f>
        <v>168415</v>
      </c>
      <c r="C360" s="1" t="n">
        <f aca="false" t="array" ref="C360:C360">_xlfn.SWITCH($A$2,"average", AVERAGE(Instances!C360:C360),"median", MEDIAN(Instances!C360:C360),"min", MIN(Instances!C360:C360),"max", MAX(Instances!C360:C360),"diff", MAX(Instances!C360:C360)-MIN(Instances!C360:C360))</f>
        <v>3958</v>
      </c>
      <c r="D360" s="1" t="n">
        <f aca="false" t="array" ref="D360:D360">_xlfn.SWITCH($A$2,"average", AVERAGE(Instances!D360:D360),"median", MEDIAN(Instances!D360:D360),"min", MIN(Instances!D360:D360),"max", MAX(Instances!D360:D360),"diff", MAX(Instances!D360:D360)-MIN(Instances!D360:D360))</f>
        <v>2046960</v>
      </c>
      <c r="E360" s="1" t="n">
        <f aca="false" t="array" ref="E360:E360">_xlfn.SWITCH($A$2,"average", AVERAGE(Instances!E360:E360),"median", MEDIAN(Instances!E360:E360),"min", MIN(Instances!E360:E360),"max", MAX(Instances!E360:E360),"diff", MAX(Instances!E360:E360)-MIN(Instances!E360:E360))</f>
        <v>0</v>
      </c>
      <c r="F360" s="1" t="n">
        <f aca="false" t="array" ref="F360:F360">_xlfn.SWITCH($A$2,"average", AVERAGE(Instances!F360:F360),"median", MEDIAN(Instances!F360:F360),"min", MIN(Instances!F360:F360),"max", MAX(Instances!F360:F360),"diff", MAX(Instances!F360:F360)-MIN(Instances!F360:F360))</f>
        <v>1086</v>
      </c>
      <c r="G360" s="1" t="n">
        <f aca="false" t="array" ref="G360:G360">_xlfn.SWITCH($A$2,"average", AVERAGE(Instances!G360:G360),"median", MEDIAN(Instances!G360:G360),"min", MIN(Instances!G360:G360),"max", MAX(Instances!G360:G360),"diff", MAX(Instances!G360:G360)-MIN(Instances!G360:G360))</f>
        <v>0</v>
      </c>
      <c r="H360" s="1" t="n">
        <f aca="false" t="array" ref="H360:H360">_xlfn.SWITCH($A$2,"average", AVERAGE(Instances!H360:H360),"median", MEDIAN(Instances!H360:H360),"min", MIN(Instances!H360:H360),"max", MAX(Instances!H360:H360),"diff", MAX(Instances!H360:H360)-MIN(Instances!H360:H360))</f>
        <v>1</v>
      </c>
      <c r="I360" s="1" t="n">
        <f aca="false" t="array" ref="I360:I360">_xlfn.SWITCH($A$2,"average", AVERAGE(Instances!I360:I360),"median", MEDIAN(Instances!I360:I360),"min", MIN(Instances!I360:I360),"max", MAX(Instances!I360:I360),"diff", MAX(Instances!I360:I360)-MIN(Instances!I360:I360))</f>
        <v>25.769</v>
      </c>
      <c r="J360" s="1" t="n">
        <f aca="false" t="array" ref="J360:J360">_xlfn.SWITCH($A$2,"average", AVERAGE(Instances!J360:J360),"median", MEDIAN(Instances!J360:J360),"min", MIN(Instances!J360:J360),"max", MAX(Instances!J360:J360),"diff", MAX(Instances!J360:J360)-MIN(Instances!J360:J360))</f>
        <v>26.12</v>
      </c>
      <c r="K360" s="1" t="n">
        <f aca="false" t="array" ref="K360:K360">_xlfn.SWITCH($A$2,"average", AVERAGE(Instances!K360:K360),"median", MEDIAN(Instances!K360:K360),"min", MIN(Instances!K360:K360),"max", MAX(Instances!K360:K360),"diff", MAX(Instances!K360:K360)-MIN(Instances!K360:K360))</f>
        <v>20</v>
      </c>
      <c r="L360" s="1"/>
      <c r="M360" s="1" t="n">
        <f aca="false" t="array" ref="M360:M360">_xlfn.SWITCH($A$2,"average", AVERAGE(Instances!M360:M360),"median", MEDIAN(Instances!M360:M360),"min", MIN(Instances!M360:M360),"max", MAX(Instances!M360:M360),"diff", MAX(Instances!M360:M360)-MIN(Instances!M360:M360))</f>
        <v>4067794</v>
      </c>
      <c r="N360" s="1" t="n">
        <f aca="false" t="array" ref="N360:N360">_xlfn.SWITCH($A$2,"average", AVERAGE(Instances!N360:N360),"median", MEDIAN(Instances!N360:N360),"min", MIN(Instances!N360:N360),"max", MAX(Instances!N360:N360),"diff", MAX(Instances!N360:N360)-MIN(Instances!N360:N360))</f>
        <v>9.3</v>
      </c>
      <c r="O360" s="1"/>
      <c r="P360" s="1" t="n">
        <f aca="false" t="array" ref="P360:P360">_xlfn.SWITCH($A$2,"average", AVERAGE(Instances!P360:P360),"median", MEDIAN(Instances!P360:P360),"min", MIN(Instances!P360:P360),"max", MAX(Instances!P360:P360),"diff", MAX(Instances!P360:P360)-MIN(Instances!P360:P360))</f>
        <v>26.12</v>
      </c>
      <c r="Q360" s="1" t="n">
        <f aca="false" t="array" ref="Q360:Q360">_xlfn.SWITCH($A$2,"average", AVERAGE(Instances!Q360:Q360),"median", MEDIAN(Instances!Q360:Q360),"min", MIN(Instances!Q360:Q360),"max", MAX(Instances!Q360:Q360),"diff", MAX(Instances!Q360:Q360)-MIN(Instances!Q360:Q360))</f>
        <v>0</v>
      </c>
      <c r="R360" s="1" t="n">
        <f aca="false" t="array" ref="R360:R360">_xlfn.SWITCH($A$2,"average", AVERAGE(Instances!R360:R360),"median", MEDIAN(Instances!R360:R360),"min", MIN(Instances!R360:R360),"max", MAX(Instances!R360:R360),"diff", MAX(Instances!R360:R360)-MIN(Instances!R360:R360))</f>
        <v>1103158</v>
      </c>
      <c r="S360" s="1" t="n">
        <f aca="false">MIN($B360)</f>
        <v>168415</v>
      </c>
      <c r="T360" s="1" t="n">
        <f aca="false">MIN($C360)</f>
        <v>3958</v>
      </c>
      <c r="U360" s="1" t="n">
        <f aca="false">MIN($D360)</f>
        <v>2046960</v>
      </c>
      <c r="V360" s="1" t="n">
        <f aca="false">MIN($E360)</f>
        <v>0</v>
      </c>
      <c r="W360" s="1" t="n">
        <f aca="false">MIN($F360)</f>
        <v>1086</v>
      </c>
      <c r="X360" s="1" t="n">
        <f aca="false">MIN($G360)</f>
        <v>0</v>
      </c>
      <c r="Y360" s="1" t="n">
        <f aca="false">MIN($H360)</f>
        <v>1</v>
      </c>
      <c r="Z360" s="1" t="n">
        <f aca="false">MIN($I360)</f>
        <v>25.769</v>
      </c>
      <c r="AA360" s="1" t="n">
        <f aca="false">MIN($J360)</f>
        <v>26.12</v>
      </c>
      <c r="AB360" s="1" t="n">
        <f aca="false">MIN($K360)</f>
        <v>20</v>
      </c>
      <c r="AC360" s="1" t="n">
        <f aca="false">MIN($M360)</f>
        <v>4067794</v>
      </c>
      <c r="AD360" s="1" t="n">
        <f aca="false">MIN($N360)</f>
        <v>9.3</v>
      </c>
      <c r="AE360" s="1" t="n">
        <f aca="false">MIN($P360)</f>
        <v>26.12</v>
      </c>
      <c r="AF360" s="1" t="n">
        <f aca="false">MIN($Q360)</f>
        <v>0</v>
      </c>
      <c r="AG360" s="1" t="n">
        <f aca="false">MIN($R360)</f>
        <v>1103158</v>
      </c>
      <c r="AH360" s="1" t="n">
        <f aca="false">MEDIAN($B360)</f>
        <v>168415</v>
      </c>
      <c r="AI360" s="1" t="n">
        <f aca="false">MEDIAN($C360)</f>
        <v>3958</v>
      </c>
      <c r="AJ360" s="1" t="n">
        <f aca="false">MEDIAN($D360)</f>
        <v>2046960</v>
      </c>
      <c r="AK360" s="1" t="n">
        <f aca="false">MEDIAN($E360)</f>
        <v>0</v>
      </c>
      <c r="AL360" s="1" t="n">
        <f aca="false">MEDIAN($F360)</f>
        <v>1086</v>
      </c>
      <c r="AM360" s="1" t="n">
        <f aca="false">MEDIAN($G360)</f>
        <v>0</v>
      </c>
      <c r="AN360" s="1" t="n">
        <f aca="false">MEDIAN($H360)</f>
        <v>1</v>
      </c>
      <c r="AO360" s="1" t="n">
        <f aca="false">MEDIAN($I360)</f>
        <v>25.769</v>
      </c>
      <c r="AP360" s="1" t="n">
        <f aca="false">MEDIAN($J360)</f>
        <v>26.12</v>
      </c>
      <c r="AQ360" s="1" t="n">
        <f aca="false">MEDIAN($K360)</f>
        <v>20</v>
      </c>
      <c r="AR360" s="1" t="n">
        <f aca="false">MEDIAN($M360)</f>
        <v>4067794</v>
      </c>
      <c r="AS360" s="1" t="n">
        <f aca="false">MEDIAN($N360)</f>
        <v>9.3</v>
      </c>
      <c r="AT360" s="1" t="n">
        <f aca="false">MEDIAN($P360)</f>
        <v>26.12</v>
      </c>
      <c r="AU360" s="1" t="n">
        <f aca="false">MEDIAN($Q360)</f>
        <v>0</v>
      </c>
      <c r="AV360" s="1" t="n">
        <f aca="false">MEDIAN($R360)</f>
        <v>1103158</v>
      </c>
      <c r="AW360" s="1" t="n">
        <f aca="false">MAX($B360)</f>
        <v>168415</v>
      </c>
      <c r="AX360" s="1" t="n">
        <f aca="false">MAX($C360)</f>
        <v>3958</v>
      </c>
      <c r="AY360" s="1" t="n">
        <f aca="false">MAX($D360)</f>
        <v>2046960</v>
      </c>
      <c r="AZ360" s="1" t="n">
        <f aca="false">MAX($E360)</f>
        <v>0</v>
      </c>
      <c r="BA360" s="1" t="n">
        <f aca="false">MAX($F360)</f>
        <v>1086</v>
      </c>
      <c r="BB360" s="1" t="n">
        <f aca="false">MAX($G360)</f>
        <v>0</v>
      </c>
      <c r="BC360" s="1" t="n">
        <f aca="false">MAX($H360)</f>
        <v>1</v>
      </c>
      <c r="BD360" s="1" t="n">
        <f aca="false">MAX($I360)</f>
        <v>25.769</v>
      </c>
      <c r="BE360" s="1" t="n">
        <f aca="false">MAX($J360)</f>
        <v>26.12</v>
      </c>
      <c r="BF360" s="1" t="n">
        <f aca="false">MAX($K360)</f>
        <v>20</v>
      </c>
      <c r="BG360" s="1" t="n">
        <f aca="false">MAX($M360)</f>
        <v>4067794</v>
      </c>
      <c r="BH360" s="1" t="n">
        <f aca="false">MAX($N360)</f>
        <v>9.3</v>
      </c>
      <c r="BI360" s="1" t="n">
        <f aca="false">MAX($P360)</f>
        <v>26.12</v>
      </c>
      <c r="BJ360" s="1" t="n">
        <f aca="false">MAX($Q360)</f>
        <v>0</v>
      </c>
      <c r="BK360" s="1" t="n">
        <f aca="false">MAX($R360)</f>
        <v>1103158</v>
      </c>
    </row>
    <row r="361" customFormat="false" ht="15" hidden="false" customHeight="false" outlineLevel="0" collapsed="false">
      <c r="A361" s="1" t="s">
        <v>378</v>
      </c>
      <c r="B361" s="1" t="n">
        <f aca="false" t="array" ref="B361:B361">_xlfn.SWITCH($A$2,"average", AVERAGE(Instances!B361:B361),"median", MEDIAN(Instances!B361:B361),"min", MIN(Instances!B361:B361),"max", MAX(Instances!B361:B361),"diff", MAX(Instances!B361:B361)-MIN(Instances!B361:B361))</f>
        <v>57269</v>
      </c>
      <c r="C361" s="1" t="n">
        <f aca="false" t="array" ref="C361:C361">_xlfn.SWITCH($A$2,"average", AVERAGE(Instances!C361:C361),"median", MEDIAN(Instances!C361:C361),"min", MIN(Instances!C361:C361),"max", MAX(Instances!C361:C361),"diff", MAX(Instances!C361:C361)-MIN(Instances!C361:C361))</f>
        <v>468</v>
      </c>
      <c r="D361" s="1" t="n">
        <f aca="false" t="array" ref="D361:D361">_xlfn.SWITCH($A$2,"average", AVERAGE(Instances!D361:D361),"median", MEDIAN(Instances!D361:D361),"min", MIN(Instances!D361:D361),"max", MAX(Instances!D361:D361),"diff", MAX(Instances!D361:D361)-MIN(Instances!D361:D361))</f>
        <v>2247360</v>
      </c>
      <c r="E361" s="1" t="n">
        <f aca="false" t="array" ref="E361:E361">_xlfn.SWITCH($A$2,"average", AVERAGE(Instances!E361:E361),"median", MEDIAN(Instances!E361:E361),"min", MIN(Instances!E361:E361),"max", MAX(Instances!E361:E361),"diff", MAX(Instances!E361:E361)-MIN(Instances!E361:E361))</f>
        <v>0</v>
      </c>
      <c r="F361" s="1" t="n">
        <f aca="false" t="array" ref="F361:F361">_xlfn.SWITCH($A$2,"average", AVERAGE(Instances!F361:F361),"median", MEDIAN(Instances!F361:F361),"min", MIN(Instances!F361:F361),"max", MAX(Instances!F361:F361),"diff", MAX(Instances!F361:F361)-MIN(Instances!F361:F361))</f>
        <v>1136</v>
      </c>
      <c r="G361" s="1" t="n">
        <f aca="false" t="array" ref="G361:G361">_xlfn.SWITCH($A$2,"average", AVERAGE(Instances!G361:G361),"median", MEDIAN(Instances!G361:G361),"min", MIN(Instances!G361:G361),"max", MAX(Instances!G361:G361),"diff", MAX(Instances!G361:G361)-MIN(Instances!G361:G361))</f>
        <v>0</v>
      </c>
      <c r="H361" s="1" t="n">
        <f aca="false" t="array" ref="H361:H361">_xlfn.SWITCH($A$2,"average", AVERAGE(Instances!H361:H361),"median", MEDIAN(Instances!H361:H361),"min", MIN(Instances!H361:H361),"max", MAX(Instances!H361:H361),"diff", MAX(Instances!H361:H361)-MIN(Instances!H361:H361))</f>
        <v>1</v>
      </c>
      <c r="I361" s="1" t="n">
        <f aca="false" t="array" ref="I361:I361">_xlfn.SWITCH($A$2,"average", AVERAGE(Instances!I361:I361),"median", MEDIAN(Instances!I361:I361),"min", MIN(Instances!I361:I361),"max", MAX(Instances!I361:I361),"diff", MAX(Instances!I361:I361)-MIN(Instances!I361:I361))</f>
        <v>19.799</v>
      </c>
      <c r="J361" s="1" t="n">
        <f aca="false" t="array" ref="J361:J361">_xlfn.SWITCH($A$2,"average", AVERAGE(Instances!J361:J361),"median", MEDIAN(Instances!J361:J361),"min", MIN(Instances!J361:J361),"max", MAX(Instances!J361:J361),"diff", MAX(Instances!J361:J361)-MIN(Instances!J361:J361))</f>
        <v>20.18</v>
      </c>
      <c r="K361" s="1" t="n">
        <f aca="false" t="array" ref="K361:K361">_xlfn.SWITCH($A$2,"average", AVERAGE(Instances!K361:K361),"median", MEDIAN(Instances!K361:K361),"min", MIN(Instances!K361:K361),"max", MAX(Instances!K361:K361),"diff", MAX(Instances!K361:K361)-MIN(Instances!K361:K361))</f>
        <v>3</v>
      </c>
      <c r="L361" s="1"/>
      <c r="M361" s="1" t="n">
        <f aca="false" t="array" ref="M361:M361">_xlfn.SWITCH($A$2,"average", AVERAGE(Instances!M361:M361),"median", MEDIAN(Instances!M361:M361),"min", MIN(Instances!M361:M361),"max", MAX(Instances!M361:M361),"diff", MAX(Instances!M361:M361)-MIN(Instances!M361:M361))</f>
        <v>4282361</v>
      </c>
      <c r="N361" s="1" t="n">
        <f aca="false" t="array" ref="N361:N361">_xlfn.SWITCH($A$2,"average", AVERAGE(Instances!N361:N361),"median", MEDIAN(Instances!N361:N361),"min", MIN(Instances!N361:N361),"max", MAX(Instances!N361:N361),"diff", MAX(Instances!N361:N361)-MIN(Instances!N361:N361))</f>
        <v>2.47</v>
      </c>
      <c r="O361" s="1"/>
      <c r="P361" s="1" t="n">
        <f aca="false" t="array" ref="P361:P361">_xlfn.SWITCH($A$2,"average", AVERAGE(Instances!P361:P361),"median", MEDIAN(Instances!P361:P361),"min", MIN(Instances!P361:P361),"max", MAX(Instances!P361:P361),"diff", MAX(Instances!P361:P361)-MIN(Instances!P361:P361))</f>
        <v>20.18</v>
      </c>
      <c r="Q361" s="1" t="n">
        <f aca="false" t="array" ref="Q361:Q361">_xlfn.SWITCH($A$2,"average", AVERAGE(Instances!Q361:Q361),"median", MEDIAN(Instances!Q361:Q361),"min", MIN(Instances!Q361:Q361),"max", MAX(Instances!Q361:Q361),"diff", MAX(Instances!Q361:Q361)-MIN(Instances!Q361:Q361))</f>
        <v>0</v>
      </c>
      <c r="R361" s="1" t="n">
        <f aca="false" t="array" ref="R361:R361">_xlfn.SWITCH($A$2,"average", AVERAGE(Instances!R361:R361),"median", MEDIAN(Instances!R361:R361),"min", MIN(Instances!R361:R361),"max", MAX(Instances!R361:R361),"diff", MAX(Instances!R361:R361)-MIN(Instances!R361:R361))</f>
        <v>1154671</v>
      </c>
      <c r="S361" s="1" t="n">
        <f aca="false">MIN($B361)</f>
        <v>57269</v>
      </c>
      <c r="T361" s="1" t="n">
        <f aca="false">MIN($C361)</f>
        <v>468</v>
      </c>
      <c r="U361" s="1" t="n">
        <f aca="false">MIN($D361)</f>
        <v>2247360</v>
      </c>
      <c r="V361" s="1" t="n">
        <f aca="false">MIN($E361)</f>
        <v>0</v>
      </c>
      <c r="W361" s="1" t="n">
        <f aca="false">MIN($F361)</f>
        <v>1136</v>
      </c>
      <c r="X361" s="1" t="n">
        <f aca="false">MIN($G361)</f>
        <v>0</v>
      </c>
      <c r="Y361" s="1" t="n">
        <f aca="false">MIN($H361)</f>
        <v>1</v>
      </c>
      <c r="Z361" s="1" t="n">
        <f aca="false">MIN($I361)</f>
        <v>19.799</v>
      </c>
      <c r="AA361" s="1" t="n">
        <f aca="false">MIN($J361)</f>
        <v>20.18</v>
      </c>
      <c r="AB361" s="1" t="n">
        <f aca="false">MIN($K361)</f>
        <v>3</v>
      </c>
      <c r="AC361" s="1" t="n">
        <f aca="false">MIN($M361)</f>
        <v>4282361</v>
      </c>
      <c r="AD361" s="1" t="n">
        <f aca="false">MIN($N361)</f>
        <v>2.47</v>
      </c>
      <c r="AE361" s="1" t="n">
        <f aca="false">MIN($P361)</f>
        <v>20.18</v>
      </c>
      <c r="AF361" s="1" t="n">
        <f aca="false">MIN($Q361)</f>
        <v>0</v>
      </c>
      <c r="AG361" s="1" t="n">
        <f aca="false">MIN($R361)</f>
        <v>1154671</v>
      </c>
      <c r="AH361" s="1" t="n">
        <f aca="false">MEDIAN($B361)</f>
        <v>57269</v>
      </c>
      <c r="AI361" s="1" t="n">
        <f aca="false">MEDIAN($C361)</f>
        <v>468</v>
      </c>
      <c r="AJ361" s="1" t="n">
        <f aca="false">MEDIAN($D361)</f>
        <v>2247360</v>
      </c>
      <c r="AK361" s="1" t="n">
        <f aca="false">MEDIAN($E361)</f>
        <v>0</v>
      </c>
      <c r="AL361" s="1" t="n">
        <f aca="false">MEDIAN($F361)</f>
        <v>1136</v>
      </c>
      <c r="AM361" s="1" t="n">
        <f aca="false">MEDIAN($G361)</f>
        <v>0</v>
      </c>
      <c r="AN361" s="1" t="n">
        <f aca="false">MEDIAN($H361)</f>
        <v>1</v>
      </c>
      <c r="AO361" s="1" t="n">
        <f aca="false">MEDIAN($I361)</f>
        <v>19.799</v>
      </c>
      <c r="AP361" s="1" t="n">
        <f aca="false">MEDIAN($J361)</f>
        <v>20.18</v>
      </c>
      <c r="AQ361" s="1" t="n">
        <f aca="false">MEDIAN($K361)</f>
        <v>3</v>
      </c>
      <c r="AR361" s="1" t="n">
        <f aca="false">MEDIAN($M361)</f>
        <v>4282361</v>
      </c>
      <c r="AS361" s="1" t="n">
        <f aca="false">MEDIAN($N361)</f>
        <v>2.47</v>
      </c>
      <c r="AT361" s="1" t="n">
        <f aca="false">MEDIAN($P361)</f>
        <v>20.18</v>
      </c>
      <c r="AU361" s="1" t="n">
        <f aca="false">MEDIAN($Q361)</f>
        <v>0</v>
      </c>
      <c r="AV361" s="1" t="n">
        <f aca="false">MEDIAN($R361)</f>
        <v>1154671</v>
      </c>
      <c r="AW361" s="1" t="n">
        <f aca="false">MAX($B361)</f>
        <v>57269</v>
      </c>
      <c r="AX361" s="1" t="n">
        <f aca="false">MAX($C361)</f>
        <v>468</v>
      </c>
      <c r="AY361" s="1" t="n">
        <f aca="false">MAX($D361)</f>
        <v>2247360</v>
      </c>
      <c r="AZ361" s="1" t="n">
        <f aca="false">MAX($E361)</f>
        <v>0</v>
      </c>
      <c r="BA361" s="1" t="n">
        <f aca="false">MAX($F361)</f>
        <v>1136</v>
      </c>
      <c r="BB361" s="1" t="n">
        <f aca="false">MAX($G361)</f>
        <v>0</v>
      </c>
      <c r="BC361" s="1" t="n">
        <f aca="false">MAX($H361)</f>
        <v>1</v>
      </c>
      <c r="BD361" s="1" t="n">
        <f aca="false">MAX($I361)</f>
        <v>19.799</v>
      </c>
      <c r="BE361" s="1" t="n">
        <f aca="false">MAX($J361)</f>
        <v>20.18</v>
      </c>
      <c r="BF361" s="1" t="n">
        <f aca="false">MAX($K361)</f>
        <v>3</v>
      </c>
      <c r="BG361" s="1" t="n">
        <f aca="false">MAX($M361)</f>
        <v>4282361</v>
      </c>
      <c r="BH361" s="1" t="n">
        <f aca="false">MAX($N361)</f>
        <v>2.47</v>
      </c>
      <c r="BI361" s="1" t="n">
        <f aca="false">MAX($P361)</f>
        <v>20.18</v>
      </c>
      <c r="BJ361" s="1" t="n">
        <f aca="false">MAX($Q361)</f>
        <v>0</v>
      </c>
      <c r="BK361" s="1" t="n">
        <f aca="false">MAX($R361)</f>
        <v>1154671</v>
      </c>
    </row>
    <row r="362" customFormat="false" ht="15" hidden="false" customHeight="false" outlineLevel="0" collapsed="false">
      <c r="A362" s="1" t="s">
        <v>379</v>
      </c>
      <c r="B362" s="1" t="n">
        <f aca="false" t="array" ref="B362:B362">_xlfn.SWITCH($A$2,"average", AVERAGE(Instances!B362:B362),"median", MEDIAN(Instances!B362:B362),"min", MIN(Instances!B362:B362),"max", MAX(Instances!B362:B362),"diff", MAX(Instances!B362:B362)-MIN(Instances!B362:B362))</f>
        <v>362447</v>
      </c>
      <c r="C362" s="1" t="n">
        <f aca="false" t="array" ref="C362:C362">_xlfn.SWITCH($A$2,"average", AVERAGE(Instances!C362:C362),"median", MEDIAN(Instances!C362:C362),"min", MIN(Instances!C362:C362),"max", MAX(Instances!C362:C362),"diff", MAX(Instances!C362:C362)-MIN(Instances!C362:C362))</f>
        <v>1191</v>
      </c>
      <c r="D362" s="1" t="n">
        <f aca="false" t="array" ref="D362:D362">_xlfn.SWITCH($A$2,"average", AVERAGE(Instances!D362:D362),"median", MEDIAN(Instances!D362:D362),"min", MIN(Instances!D362:D362),"max", MAX(Instances!D362:D362),"diff", MAX(Instances!D362:D362)-MIN(Instances!D362:D362))</f>
        <v>2564050</v>
      </c>
      <c r="E362" s="1" t="n">
        <f aca="false" t="array" ref="E362:E362">_xlfn.SWITCH($A$2,"average", AVERAGE(Instances!E362:E362),"median", MEDIAN(Instances!E362:E362),"min", MIN(Instances!E362:E362),"max", MAX(Instances!E362:E362),"diff", MAX(Instances!E362:E362)-MIN(Instances!E362:E362))</f>
        <v>0</v>
      </c>
      <c r="F362" s="1" t="n">
        <f aca="false" t="array" ref="F362:F362">_xlfn.SWITCH($A$2,"average", AVERAGE(Instances!F362:F362),"median", MEDIAN(Instances!F362:F362),"min", MIN(Instances!F362:F362),"max", MAX(Instances!F362:F362),"diff", MAX(Instances!F362:F362)-MIN(Instances!F362:F362))</f>
        <v>1353</v>
      </c>
      <c r="G362" s="1" t="n">
        <f aca="false" t="array" ref="G362:G362">_xlfn.SWITCH($A$2,"average", AVERAGE(Instances!G362:G362),"median", MEDIAN(Instances!G362:G362),"min", MIN(Instances!G362:G362),"max", MAX(Instances!G362:G362),"diff", MAX(Instances!G362:G362)-MIN(Instances!G362:G362))</f>
        <v>0</v>
      </c>
      <c r="H362" s="1" t="n">
        <f aca="false" t="array" ref="H362:H362">_xlfn.SWITCH($A$2,"average", AVERAGE(Instances!H362:H362),"median", MEDIAN(Instances!H362:H362),"min", MIN(Instances!H362:H362),"max", MAX(Instances!H362:H362),"diff", MAX(Instances!H362:H362)-MIN(Instances!H362:H362))</f>
        <v>1</v>
      </c>
      <c r="I362" s="1" t="n">
        <f aca="false" t="array" ref="I362:I362">_xlfn.SWITCH($A$2,"average", AVERAGE(Instances!I362:I362),"median", MEDIAN(Instances!I362:I362),"min", MIN(Instances!I362:I362),"max", MAX(Instances!I362:I362),"diff", MAX(Instances!I362:I362)-MIN(Instances!I362:I362))</f>
        <v>28.601</v>
      </c>
      <c r="J362" s="1" t="n">
        <f aca="false" t="array" ref="J362:J362">_xlfn.SWITCH($A$2,"average", AVERAGE(Instances!J362:J362),"median", MEDIAN(Instances!J362:J362),"min", MIN(Instances!J362:J362),"max", MAX(Instances!J362:J362),"diff", MAX(Instances!J362:J362)-MIN(Instances!J362:J362))</f>
        <v>29.05</v>
      </c>
      <c r="K362" s="1" t="n">
        <f aca="false" t="array" ref="K362:K362">_xlfn.SWITCH($A$2,"average", AVERAGE(Instances!K362:K362),"median", MEDIAN(Instances!K362:K362),"min", MIN(Instances!K362:K362),"max", MAX(Instances!K362:K362),"diff", MAX(Instances!K362:K362)-MIN(Instances!K362:K362))</f>
        <v>6</v>
      </c>
      <c r="L362" s="1"/>
      <c r="M362" s="1" t="n">
        <f aca="false" t="array" ref="M362:M362">_xlfn.SWITCH($A$2,"average", AVERAGE(Instances!M362:M362),"median", MEDIAN(Instances!M362:M362),"min", MIN(Instances!M362:M362),"max", MAX(Instances!M362:M362),"diff", MAX(Instances!M362:M362)-MIN(Instances!M362:M362))</f>
        <v>5155200</v>
      </c>
      <c r="N362" s="1" t="n">
        <f aca="false" t="array" ref="N362:N362">_xlfn.SWITCH($A$2,"average", AVERAGE(Instances!N362:N362),"median", MEDIAN(Instances!N362:N362),"min", MIN(Instances!N362:N362),"max", MAX(Instances!N362:N362),"diff", MAX(Instances!N362:N362)-MIN(Instances!N362:N362))</f>
        <v>7.26</v>
      </c>
      <c r="O362" s="1"/>
      <c r="P362" s="1" t="n">
        <f aca="false" t="array" ref="P362:P362">_xlfn.SWITCH($A$2,"average", AVERAGE(Instances!P362:P362),"median", MEDIAN(Instances!P362:P362),"min", MIN(Instances!P362:P362),"max", MAX(Instances!P362:P362),"diff", MAX(Instances!P362:P362)-MIN(Instances!P362:P362))</f>
        <v>29.05</v>
      </c>
      <c r="Q362" s="1" t="n">
        <f aca="false" t="array" ref="Q362:Q362">_xlfn.SWITCH($A$2,"average", AVERAGE(Instances!Q362:Q362),"median", MEDIAN(Instances!Q362:Q362),"min", MIN(Instances!Q362:Q362),"max", MAX(Instances!Q362:Q362),"diff", MAX(Instances!Q362:Q362)-MIN(Instances!Q362:Q362))</f>
        <v>0</v>
      </c>
      <c r="R362" s="1" t="n">
        <f aca="false" t="array" ref="R362:R362">_xlfn.SWITCH($A$2,"average", AVERAGE(Instances!R362:R362),"median", MEDIAN(Instances!R362:R362),"min", MIN(Instances!R362:R362),"max", MAX(Instances!R362:R362),"diff", MAX(Instances!R362:R362)-MIN(Instances!R362:R362))</f>
        <v>1337115</v>
      </c>
      <c r="S362" s="1" t="n">
        <f aca="false">MIN($B362)</f>
        <v>362447</v>
      </c>
      <c r="T362" s="1" t="n">
        <f aca="false">MIN($C362)</f>
        <v>1191</v>
      </c>
      <c r="U362" s="1" t="n">
        <f aca="false">MIN($D362)</f>
        <v>2564050</v>
      </c>
      <c r="V362" s="1" t="n">
        <f aca="false">MIN($E362)</f>
        <v>0</v>
      </c>
      <c r="W362" s="1" t="n">
        <f aca="false">MIN($F362)</f>
        <v>1353</v>
      </c>
      <c r="X362" s="1" t="n">
        <f aca="false">MIN($G362)</f>
        <v>0</v>
      </c>
      <c r="Y362" s="1" t="n">
        <f aca="false">MIN($H362)</f>
        <v>1</v>
      </c>
      <c r="Z362" s="1" t="n">
        <f aca="false">MIN($I362)</f>
        <v>28.601</v>
      </c>
      <c r="AA362" s="1" t="n">
        <f aca="false">MIN($J362)</f>
        <v>29.05</v>
      </c>
      <c r="AB362" s="1" t="n">
        <f aca="false">MIN($K362)</f>
        <v>6</v>
      </c>
      <c r="AC362" s="1" t="n">
        <f aca="false">MIN($M362)</f>
        <v>5155200</v>
      </c>
      <c r="AD362" s="1" t="n">
        <f aca="false">MIN($N362)</f>
        <v>7.26</v>
      </c>
      <c r="AE362" s="1" t="n">
        <f aca="false">MIN($P362)</f>
        <v>29.05</v>
      </c>
      <c r="AF362" s="1" t="n">
        <f aca="false">MIN($Q362)</f>
        <v>0</v>
      </c>
      <c r="AG362" s="1" t="n">
        <f aca="false">MIN($R362)</f>
        <v>1337115</v>
      </c>
      <c r="AH362" s="1" t="n">
        <f aca="false">MEDIAN($B362)</f>
        <v>362447</v>
      </c>
      <c r="AI362" s="1" t="n">
        <f aca="false">MEDIAN($C362)</f>
        <v>1191</v>
      </c>
      <c r="AJ362" s="1" t="n">
        <f aca="false">MEDIAN($D362)</f>
        <v>2564050</v>
      </c>
      <c r="AK362" s="1" t="n">
        <f aca="false">MEDIAN($E362)</f>
        <v>0</v>
      </c>
      <c r="AL362" s="1" t="n">
        <f aca="false">MEDIAN($F362)</f>
        <v>1353</v>
      </c>
      <c r="AM362" s="1" t="n">
        <f aca="false">MEDIAN($G362)</f>
        <v>0</v>
      </c>
      <c r="AN362" s="1" t="n">
        <f aca="false">MEDIAN($H362)</f>
        <v>1</v>
      </c>
      <c r="AO362" s="1" t="n">
        <f aca="false">MEDIAN($I362)</f>
        <v>28.601</v>
      </c>
      <c r="AP362" s="1" t="n">
        <f aca="false">MEDIAN($J362)</f>
        <v>29.05</v>
      </c>
      <c r="AQ362" s="1" t="n">
        <f aca="false">MEDIAN($K362)</f>
        <v>6</v>
      </c>
      <c r="AR362" s="1" t="n">
        <f aca="false">MEDIAN($M362)</f>
        <v>5155200</v>
      </c>
      <c r="AS362" s="1" t="n">
        <f aca="false">MEDIAN($N362)</f>
        <v>7.26</v>
      </c>
      <c r="AT362" s="1" t="n">
        <f aca="false">MEDIAN($P362)</f>
        <v>29.05</v>
      </c>
      <c r="AU362" s="1" t="n">
        <f aca="false">MEDIAN($Q362)</f>
        <v>0</v>
      </c>
      <c r="AV362" s="1" t="n">
        <f aca="false">MEDIAN($R362)</f>
        <v>1337115</v>
      </c>
      <c r="AW362" s="1" t="n">
        <f aca="false">MAX($B362)</f>
        <v>362447</v>
      </c>
      <c r="AX362" s="1" t="n">
        <f aca="false">MAX($C362)</f>
        <v>1191</v>
      </c>
      <c r="AY362" s="1" t="n">
        <f aca="false">MAX($D362)</f>
        <v>2564050</v>
      </c>
      <c r="AZ362" s="1" t="n">
        <f aca="false">MAX($E362)</f>
        <v>0</v>
      </c>
      <c r="BA362" s="1" t="n">
        <f aca="false">MAX($F362)</f>
        <v>1353</v>
      </c>
      <c r="BB362" s="1" t="n">
        <f aca="false">MAX($G362)</f>
        <v>0</v>
      </c>
      <c r="BC362" s="1" t="n">
        <f aca="false">MAX($H362)</f>
        <v>1</v>
      </c>
      <c r="BD362" s="1" t="n">
        <f aca="false">MAX($I362)</f>
        <v>28.601</v>
      </c>
      <c r="BE362" s="1" t="n">
        <f aca="false">MAX($J362)</f>
        <v>29.05</v>
      </c>
      <c r="BF362" s="1" t="n">
        <f aca="false">MAX($K362)</f>
        <v>6</v>
      </c>
      <c r="BG362" s="1" t="n">
        <f aca="false">MAX($M362)</f>
        <v>5155200</v>
      </c>
      <c r="BH362" s="1" t="n">
        <f aca="false">MAX($N362)</f>
        <v>7.26</v>
      </c>
      <c r="BI362" s="1" t="n">
        <f aca="false">MAX($P362)</f>
        <v>29.05</v>
      </c>
      <c r="BJ362" s="1" t="n">
        <f aca="false">MAX($Q362)</f>
        <v>0</v>
      </c>
      <c r="BK362" s="1" t="n">
        <f aca="false">MAX($R362)</f>
        <v>1337115</v>
      </c>
    </row>
    <row r="363" customFormat="false" ht="15" hidden="false" customHeight="fals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</row>
    <row r="364" customFormat="false" ht="15" hidden="false" customHeight="false" outlineLevel="0" collapsed="false">
      <c r="A364" s="1" t="s">
        <v>380</v>
      </c>
      <c r="B364" s="1" t="n">
        <f aca="false">SUM(B$3:B$362)</f>
        <v>5818924</v>
      </c>
      <c r="C364" s="1" t="n">
        <f aca="false">SUM(C$3:C$362)</f>
        <v>100256</v>
      </c>
      <c r="D364" s="1" t="n">
        <f aca="false">SUM(D$3:D$362)</f>
        <v>293389241</v>
      </c>
      <c r="E364" s="1" t="n">
        <f aca="false">SUM(E$3:E$362)</f>
        <v>0</v>
      </c>
      <c r="F364" s="1" t="n">
        <f aca="false">SUM(F$3:F$362)</f>
        <v>202669</v>
      </c>
      <c r="G364" s="1" t="n">
        <f aca="false">SUM(G$3:G$362)</f>
        <v>0</v>
      </c>
      <c r="H364" s="1" t="n">
        <f aca="false">SUM(H$3:H$362)</f>
        <v>360</v>
      </c>
      <c r="I364" s="1" t="n">
        <f aca="false">SUM(I$3:I$362)</f>
        <v>3116.714</v>
      </c>
      <c r="J364" s="1" t="n">
        <f aca="false">SUM(J$3:J$362)</f>
        <v>3189.53</v>
      </c>
      <c r="K364" s="1" t="n">
        <f aca="false">SUM(K$3:K$362)</f>
        <v>585</v>
      </c>
      <c r="L364" s="1"/>
      <c r="M364" s="1" t="n">
        <f aca="false">SUM(M$3:M$362)</f>
        <v>688184542</v>
      </c>
      <c r="N364" s="1" t="n">
        <f aca="false">SUM(N$3:N$362)</f>
        <v>217.04</v>
      </c>
      <c r="O364" s="1"/>
      <c r="P364" s="1" t="n">
        <f aca="false">SUM(P$3:P$362)</f>
        <v>3189.53</v>
      </c>
      <c r="Q364" s="1" t="n">
        <f aca="false">SUM(Q$3:Q$362)</f>
        <v>0</v>
      </c>
      <c r="R364" s="1" t="n">
        <f aca="false">SUM(R$3:R$362)</f>
        <v>203566574</v>
      </c>
      <c r="S364" s="1" t="n">
        <f aca="false">SUM(S$3:S$362)</f>
        <v>5818924</v>
      </c>
      <c r="T364" s="1" t="n">
        <f aca="false">SUM(T$3:T$362)</f>
        <v>100256</v>
      </c>
      <c r="U364" s="1" t="n">
        <f aca="false">SUM(U$3:U$362)</f>
        <v>293389241</v>
      </c>
      <c r="V364" s="1" t="n">
        <f aca="false">SUM(V$3:V$362)</f>
        <v>0</v>
      </c>
      <c r="W364" s="1" t="n">
        <f aca="false">SUM(W$3:W$362)</f>
        <v>202669</v>
      </c>
      <c r="X364" s="1" t="n">
        <f aca="false">SUM(X$3:X$362)</f>
        <v>0</v>
      </c>
      <c r="Y364" s="1" t="n">
        <f aca="false">SUM(Y$3:Y$362)</f>
        <v>360</v>
      </c>
      <c r="Z364" s="1" t="n">
        <f aca="false">SUM(Z$3:Z$362)</f>
        <v>3116.714</v>
      </c>
      <c r="AA364" s="1" t="n">
        <f aca="false">SUM(AA$3:AA$362)</f>
        <v>3189.53</v>
      </c>
      <c r="AB364" s="1" t="n">
        <f aca="false">SUM(AB$3:AB$362)</f>
        <v>585</v>
      </c>
      <c r="AC364" s="1" t="n">
        <f aca="false">SUM(AC$3:AC$362)</f>
        <v>688184542</v>
      </c>
      <c r="AD364" s="1" t="n">
        <f aca="false">SUM(AD$3:AD$362)</f>
        <v>217.04</v>
      </c>
      <c r="AE364" s="1" t="n">
        <f aca="false">SUM(AE$3:AE$362)</f>
        <v>3189.53</v>
      </c>
      <c r="AF364" s="1" t="n">
        <f aca="false">SUM(AF$3:AF$362)</f>
        <v>0</v>
      </c>
      <c r="AG364" s="1" t="n">
        <f aca="false">SUM(AG$3:AG$362)</f>
        <v>203566574</v>
      </c>
      <c r="AH364" s="1" t="n">
        <f aca="false">SUM(AH$3:AH$362)</f>
        <v>5818924</v>
      </c>
      <c r="AI364" s="1" t="n">
        <f aca="false">SUM(AI$3:AI$362)</f>
        <v>100256</v>
      </c>
      <c r="AJ364" s="1" t="n">
        <f aca="false">SUM(AJ$3:AJ$362)</f>
        <v>293389241</v>
      </c>
      <c r="AK364" s="1" t="n">
        <f aca="false">SUM(AK$3:AK$362)</f>
        <v>0</v>
      </c>
      <c r="AL364" s="1" t="n">
        <f aca="false">SUM(AL$3:AL$362)</f>
        <v>202669</v>
      </c>
      <c r="AM364" s="1" t="n">
        <f aca="false">SUM(AM$3:AM$362)</f>
        <v>0</v>
      </c>
      <c r="AN364" s="1" t="n">
        <f aca="false">SUM(AN$3:AN$362)</f>
        <v>360</v>
      </c>
      <c r="AO364" s="1" t="n">
        <f aca="false">SUM(AO$3:AO$362)</f>
        <v>3116.714</v>
      </c>
      <c r="AP364" s="1" t="n">
        <f aca="false">SUM(AP$3:AP$362)</f>
        <v>3189.53</v>
      </c>
      <c r="AQ364" s="1" t="n">
        <f aca="false">SUM(AQ$3:AQ$362)</f>
        <v>585</v>
      </c>
      <c r="AR364" s="1" t="n">
        <f aca="false">SUM(AR$3:AR$362)</f>
        <v>688184542</v>
      </c>
      <c r="AS364" s="1" t="n">
        <f aca="false">SUM(AS$3:AS$362)</f>
        <v>217.04</v>
      </c>
      <c r="AT364" s="1" t="n">
        <f aca="false">SUM(AT$3:AT$362)</f>
        <v>3189.53</v>
      </c>
      <c r="AU364" s="1" t="n">
        <f aca="false">SUM(AU$3:AU$362)</f>
        <v>0</v>
      </c>
      <c r="AV364" s="1" t="n">
        <f aca="false">SUM(AV$3:AV$362)</f>
        <v>203566574</v>
      </c>
      <c r="AW364" s="1" t="n">
        <f aca="false">SUM(AW$3:AW$362)</f>
        <v>5818924</v>
      </c>
      <c r="AX364" s="1" t="n">
        <f aca="false">SUM(AX$3:AX$362)</f>
        <v>100256</v>
      </c>
      <c r="AY364" s="1" t="n">
        <f aca="false">SUM(AY$3:AY$362)</f>
        <v>293389241</v>
      </c>
      <c r="AZ364" s="1" t="n">
        <f aca="false">SUM(AZ$3:AZ$362)</f>
        <v>0</v>
      </c>
      <c r="BA364" s="1" t="n">
        <f aca="false">SUM(BA$3:BA$362)</f>
        <v>202669</v>
      </c>
      <c r="BB364" s="1" t="n">
        <f aca="false">SUM(BB$3:BB$362)</f>
        <v>0</v>
      </c>
      <c r="BC364" s="1" t="n">
        <f aca="false">SUM(BC$3:BC$362)</f>
        <v>360</v>
      </c>
      <c r="BD364" s="1" t="n">
        <f aca="false">SUM(BD$3:BD$362)</f>
        <v>3116.714</v>
      </c>
      <c r="BE364" s="1" t="n">
        <f aca="false">SUM(BE$3:BE$362)</f>
        <v>3189.53</v>
      </c>
      <c r="BF364" s="1" t="n">
        <f aca="false">SUM(BF$3:BF$362)</f>
        <v>585</v>
      </c>
      <c r="BG364" s="1" t="n">
        <f aca="false">SUM(BG$3:BG$362)</f>
        <v>688184542</v>
      </c>
      <c r="BH364" s="1" t="n">
        <f aca="false">SUM(BH$3:BH$362)</f>
        <v>217.04</v>
      </c>
      <c r="BI364" s="1" t="n">
        <f aca="false">SUM(BI$3:BI$362)</f>
        <v>3189.53</v>
      </c>
      <c r="BJ364" s="1" t="n">
        <f aca="false">SUM(BJ$3:BJ$362)</f>
        <v>0</v>
      </c>
      <c r="BK364" s="1" t="n">
        <f aca="false">SUM(BK$3:BK$362)</f>
        <v>203566574</v>
      </c>
    </row>
    <row r="365" customFormat="false" ht="15" hidden="false" customHeight="false" outlineLevel="0" collapsed="false">
      <c r="A365" s="1" t="s">
        <v>381</v>
      </c>
      <c r="B365" s="1" t="n">
        <f aca="false">AVERAGE(B$3:B$362)</f>
        <v>16163.6777777778</v>
      </c>
      <c r="C365" s="1" t="n">
        <f aca="false">AVERAGE(C$3:C$362)</f>
        <v>278.488888888889</v>
      </c>
      <c r="D365" s="1" t="n">
        <f aca="false">AVERAGE(D$3:D$362)</f>
        <v>814970.113888889</v>
      </c>
      <c r="E365" s="1" t="n">
        <f aca="false">AVERAGE(E$3:E$362)</f>
        <v>0</v>
      </c>
      <c r="F365" s="1" t="n">
        <f aca="false">AVERAGE(F$3:F$362)</f>
        <v>562.969444444444</v>
      </c>
      <c r="G365" s="1" t="n">
        <f aca="false">AVERAGE(G$3:G$362)</f>
        <v>0</v>
      </c>
      <c r="H365" s="1" t="n">
        <f aca="false">AVERAGE(H$3:H$362)</f>
        <v>1</v>
      </c>
      <c r="I365" s="1" t="n">
        <f aca="false">AVERAGE(I$3:I$362)</f>
        <v>8.65753888888889</v>
      </c>
      <c r="J365" s="1" t="n">
        <f aca="false">AVERAGE(J$3:J$362)</f>
        <v>8.85980555555556</v>
      </c>
      <c r="K365" s="1" t="n">
        <f aca="false">AVERAGE(K$3:K$362)</f>
        <v>1.625</v>
      </c>
      <c r="L365" s="1"/>
      <c r="M365" s="1" t="n">
        <f aca="false">AVERAGE(M$3:M$362)</f>
        <v>1911623.72777778</v>
      </c>
      <c r="N365" s="1" t="n">
        <f aca="false">AVERAGE(N$3:N$362)</f>
        <v>0.602888888888889</v>
      </c>
      <c r="O365" s="1"/>
      <c r="P365" s="1" t="n">
        <f aca="false">AVERAGE(P$3:P$362)</f>
        <v>8.85980555555556</v>
      </c>
      <c r="Q365" s="1" t="n">
        <f aca="false">AVERAGE(Q$3:Q$362)</f>
        <v>0</v>
      </c>
      <c r="R365" s="1" t="n">
        <f aca="false">AVERAGE(R$3:R$362)</f>
        <v>565462.705555556</v>
      </c>
      <c r="S365" s="1" t="n">
        <f aca="false">AVERAGE(S$3:S$362)</f>
        <v>16163.6777777778</v>
      </c>
      <c r="T365" s="1" t="n">
        <f aca="false">AVERAGE(T$3:T$362)</f>
        <v>278.488888888889</v>
      </c>
      <c r="U365" s="1" t="n">
        <f aca="false">AVERAGE(U$3:U$362)</f>
        <v>814970.113888889</v>
      </c>
      <c r="V365" s="1" t="n">
        <f aca="false">AVERAGE(V$3:V$362)</f>
        <v>0</v>
      </c>
      <c r="W365" s="1" t="n">
        <f aca="false">AVERAGE(W$3:W$362)</f>
        <v>562.969444444444</v>
      </c>
      <c r="X365" s="1" t="n">
        <f aca="false">AVERAGE(X$3:X$362)</f>
        <v>0</v>
      </c>
      <c r="Y365" s="1" t="n">
        <f aca="false">AVERAGE(Y$3:Y$362)</f>
        <v>1</v>
      </c>
      <c r="Z365" s="1" t="n">
        <f aca="false">AVERAGE(Z$3:Z$362)</f>
        <v>8.65753888888889</v>
      </c>
      <c r="AA365" s="1" t="n">
        <f aca="false">AVERAGE(AA$3:AA$362)</f>
        <v>8.85980555555556</v>
      </c>
      <c r="AB365" s="1" t="n">
        <f aca="false">AVERAGE(AB$3:AB$362)</f>
        <v>1.625</v>
      </c>
      <c r="AC365" s="1" t="n">
        <f aca="false">AVERAGE(AC$3:AC$362)</f>
        <v>1911623.72777778</v>
      </c>
      <c r="AD365" s="1" t="n">
        <f aca="false">AVERAGE(AD$3:AD$362)</f>
        <v>0.602888888888889</v>
      </c>
      <c r="AE365" s="1" t="n">
        <f aca="false">AVERAGE(AE$3:AE$362)</f>
        <v>8.85980555555556</v>
      </c>
      <c r="AF365" s="1" t="n">
        <f aca="false">AVERAGE(AF$3:AF$362)</f>
        <v>0</v>
      </c>
      <c r="AG365" s="1" t="n">
        <f aca="false">AVERAGE(AG$3:AG$362)</f>
        <v>565462.705555556</v>
      </c>
      <c r="AH365" s="1" t="n">
        <f aca="false">AVERAGE(AH$3:AH$362)</f>
        <v>16163.6777777778</v>
      </c>
      <c r="AI365" s="1" t="n">
        <f aca="false">AVERAGE(AI$3:AI$362)</f>
        <v>278.488888888889</v>
      </c>
      <c r="AJ365" s="1" t="n">
        <f aca="false">AVERAGE(AJ$3:AJ$362)</f>
        <v>814970.113888889</v>
      </c>
      <c r="AK365" s="1" t="n">
        <f aca="false">AVERAGE(AK$3:AK$362)</f>
        <v>0</v>
      </c>
      <c r="AL365" s="1" t="n">
        <f aca="false">AVERAGE(AL$3:AL$362)</f>
        <v>562.969444444444</v>
      </c>
      <c r="AM365" s="1" t="n">
        <f aca="false">AVERAGE(AM$3:AM$362)</f>
        <v>0</v>
      </c>
      <c r="AN365" s="1" t="n">
        <f aca="false">AVERAGE(AN$3:AN$362)</f>
        <v>1</v>
      </c>
      <c r="AO365" s="1" t="n">
        <f aca="false">AVERAGE(AO$3:AO$362)</f>
        <v>8.65753888888889</v>
      </c>
      <c r="AP365" s="1" t="n">
        <f aca="false">AVERAGE(AP$3:AP$362)</f>
        <v>8.85980555555556</v>
      </c>
      <c r="AQ365" s="1" t="n">
        <f aca="false">AVERAGE(AQ$3:AQ$362)</f>
        <v>1.625</v>
      </c>
      <c r="AR365" s="1" t="n">
        <f aca="false">AVERAGE(AR$3:AR$362)</f>
        <v>1911623.72777778</v>
      </c>
      <c r="AS365" s="1" t="n">
        <f aca="false">AVERAGE(AS$3:AS$362)</f>
        <v>0.602888888888889</v>
      </c>
      <c r="AT365" s="1" t="n">
        <f aca="false">AVERAGE(AT$3:AT$362)</f>
        <v>8.85980555555556</v>
      </c>
      <c r="AU365" s="1" t="n">
        <f aca="false">AVERAGE(AU$3:AU$362)</f>
        <v>0</v>
      </c>
      <c r="AV365" s="1" t="n">
        <f aca="false">AVERAGE(AV$3:AV$362)</f>
        <v>565462.705555556</v>
      </c>
      <c r="AW365" s="1" t="n">
        <f aca="false">AVERAGE(AW$3:AW$362)</f>
        <v>16163.6777777778</v>
      </c>
      <c r="AX365" s="1" t="n">
        <f aca="false">AVERAGE(AX$3:AX$362)</f>
        <v>278.488888888889</v>
      </c>
      <c r="AY365" s="1" t="n">
        <f aca="false">AVERAGE(AY$3:AY$362)</f>
        <v>814970.113888889</v>
      </c>
      <c r="AZ365" s="1" t="n">
        <f aca="false">AVERAGE(AZ$3:AZ$362)</f>
        <v>0</v>
      </c>
      <c r="BA365" s="1" t="n">
        <f aca="false">AVERAGE(BA$3:BA$362)</f>
        <v>562.969444444444</v>
      </c>
      <c r="BB365" s="1" t="n">
        <f aca="false">AVERAGE(BB$3:BB$362)</f>
        <v>0</v>
      </c>
      <c r="BC365" s="1" t="n">
        <f aca="false">AVERAGE(BC$3:BC$362)</f>
        <v>1</v>
      </c>
      <c r="BD365" s="1" t="n">
        <f aca="false">AVERAGE(BD$3:BD$362)</f>
        <v>8.65753888888889</v>
      </c>
      <c r="BE365" s="1" t="n">
        <f aca="false">AVERAGE(BE$3:BE$362)</f>
        <v>8.85980555555556</v>
      </c>
      <c r="BF365" s="1" t="n">
        <f aca="false">AVERAGE(BF$3:BF$362)</f>
        <v>1.625</v>
      </c>
      <c r="BG365" s="1" t="n">
        <f aca="false">AVERAGE(BG$3:BG$362)</f>
        <v>1911623.72777778</v>
      </c>
      <c r="BH365" s="1" t="n">
        <f aca="false">AVERAGE(BH$3:BH$362)</f>
        <v>0.602888888888889</v>
      </c>
      <c r="BI365" s="1" t="n">
        <f aca="false">AVERAGE(BI$3:BI$362)</f>
        <v>8.85980555555556</v>
      </c>
      <c r="BJ365" s="1" t="n">
        <f aca="false">AVERAGE(BJ$3:BJ$362)</f>
        <v>0</v>
      </c>
      <c r="BK365" s="1" t="n">
        <f aca="false">AVERAGE(BK$3:BK$362)</f>
        <v>565462.705555556</v>
      </c>
    </row>
    <row r="366" customFormat="false" ht="15" hidden="false" customHeight="false" outlineLevel="0" collapsed="false">
      <c r="A366" s="1" t="s">
        <v>382</v>
      </c>
      <c r="B366" s="1" t="n">
        <f aca="false">STDEV(B$3:B$362)</f>
        <v>44125.7770252233</v>
      </c>
      <c r="C366" s="1" t="n">
        <f aca="false">STDEV(C$3:C$362)</f>
        <v>1011.86603586048</v>
      </c>
      <c r="D366" s="1" t="n">
        <f aca="false">STDEV(D$3:D$362)</f>
        <v>574408.901919832</v>
      </c>
      <c r="E366" s="1" t="n">
        <f aca="false">STDEV(E$3:E$362)</f>
        <v>0</v>
      </c>
      <c r="F366" s="1" t="n">
        <f aca="false">STDEV(F$3:F$362)</f>
        <v>269.339627085124</v>
      </c>
      <c r="G366" s="1" t="n">
        <f aca="false">STDEV(G$3:G$362)</f>
        <v>0</v>
      </c>
      <c r="H366" s="1" t="n">
        <f aca="false">STDEV(H$3:H$362)</f>
        <v>0</v>
      </c>
      <c r="I366" s="1" t="n">
        <f aca="false">STDEV(I$3:I$362)</f>
        <v>5.37816774089279</v>
      </c>
      <c r="J366" s="1" t="n">
        <f aca="false">STDEV(J$3:J$362)</f>
        <v>5.46478895717732</v>
      </c>
      <c r="K366" s="1" t="n">
        <f aca="false">STDEV(K$3:K$362)</f>
        <v>5.02095192341753</v>
      </c>
      <c r="L366" s="1"/>
      <c r="M366" s="1" t="n">
        <f aca="false">STDEV(M$3:M$362)</f>
        <v>1074910.28953115</v>
      </c>
      <c r="N366" s="1" t="n">
        <f aca="false">STDEV(N$3:N$362)</f>
        <v>1.78141847924762</v>
      </c>
      <c r="O366" s="1"/>
      <c r="P366" s="1" t="n">
        <f aca="false">STDEV(P$3:P$362)</f>
        <v>5.46478895717732</v>
      </c>
      <c r="Q366" s="1" t="n">
        <f aca="false">STDEV(Q$3:Q$362)</f>
        <v>0</v>
      </c>
      <c r="R366" s="1" t="n">
        <f aca="false">STDEV(R$3:R$362)</f>
        <v>269774.468257398</v>
      </c>
      <c r="S366" s="1" t="n">
        <f aca="false">STDEV(S$3:S$362)</f>
        <v>44125.7770252233</v>
      </c>
      <c r="T366" s="1" t="n">
        <f aca="false">STDEV(T$3:T$362)</f>
        <v>1011.86603586048</v>
      </c>
      <c r="U366" s="1" t="n">
        <f aca="false">STDEV(U$3:U$362)</f>
        <v>574408.901919832</v>
      </c>
      <c r="V366" s="1" t="n">
        <f aca="false">STDEV(V$3:V$362)</f>
        <v>0</v>
      </c>
      <c r="W366" s="1" t="n">
        <f aca="false">STDEV(W$3:W$362)</f>
        <v>269.339627085124</v>
      </c>
      <c r="X366" s="1" t="n">
        <f aca="false">STDEV(X$3:X$362)</f>
        <v>0</v>
      </c>
      <c r="Y366" s="1" t="n">
        <f aca="false">STDEV(Y$3:Y$362)</f>
        <v>0</v>
      </c>
      <c r="Z366" s="1" t="n">
        <f aca="false">STDEV(Z$3:Z$362)</f>
        <v>5.37816774089279</v>
      </c>
      <c r="AA366" s="1" t="n">
        <f aca="false">STDEV(AA$3:AA$362)</f>
        <v>5.46478895717732</v>
      </c>
      <c r="AB366" s="1" t="n">
        <f aca="false">STDEV(AB$3:AB$362)</f>
        <v>5.02095192341753</v>
      </c>
      <c r="AC366" s="1" t="n">
        <f aca="false">STDEV(AC$3:AC$362)</f>
        <v>1074910.28953115</v>
      </c>
      <c r="AD366" s="1" t="n">
        <f aca="false">STDEV(AD$3:AD$362)</f>
        <v>1.78141847924762</v>
      </c>
      <c r="AE366" s="1" t="n">
        <f aca="false">STDEV(AE$3:AE$362)</f>
        <v>5.46478895717732</v>
      </c>
      <c r="AF366" s="1" t="n">
        <f aca="false">STDEV(AF$3:AF$362)</f>
        <v>0</v>
      </c>
      <c r="AG366" s="1" t="n">
        <f aca="false">STDEV(AG$3:AG$362)</f>
        <v>269774.468257398</v>
      </c>
      <c r="AH366" s="1" t="n">
        <f aca="false">STDEV(AH$3:AH$362)</f>
        <v>44125.7770252233</v>
      </c>
      <c r="AI366" s="1" t="n">
        <f aca="false">STDEV(AI$3:AI$362)</f>
        <v>1011.86603586048</v>
      </c>
      <c r="AJ366" s="1" t="n">
        <f aca="false">STDEV(AJ$3:AJ$362)</f>
        <v>574408.901919832</v>
      </c>
      <c r="AK366" s="1" t="n">
        <f aca="false">STDEV(AK$3:AK$362)</f>
        <v>0</v>
      </c>
      <c r="AL366" s="1" t="n">
        <f aca="false">STDEV(AL$3:AL$362)</f>
        <v>269.339627085124</v>
      </c>
      <c r="AM366" s="1" t="n">
        <f aca="false">STDEV(AM$3:AM$362)</f>
        <v>0</v>
      </c>
      <c r="AN366" s="1" t="n">
        <f aca="false">STDEV(AN$3:AN$362)</f>
        <v>0</v>
      </c>
      <c r="AO366" s="1" t="n">
        <f aca="false">STDEV(AO$3:AO$362)</f>
        <v>5.37816774089279</v>
      </c>
      <c r="AP366" s="1" t="n">
        <f aca="false">STDEV(AP$3:AP$362)</f>
        <v>5.46478895717732</v>
      </c>
      <c r="AQ366" s="1" t="n">
        <f aca="false">STDEV(AQ$3:AQ$362)</f>
        <v>5.02095192341753</v>
      </c>
      <c r="AR366" s="1" t="n">
        <f aca="false">STDEV(AR$3:AR$362)</f>
        <v>1074910.28953115</v>
      </c>
      <c r="AS366" s="1" t="n">
        <f aca="false">STDEV(AS$3:AS$362)</f>
        <v>1.78141847924762</v>
      </c>
      <c r="AT366" s="1" t="n">
        <f aca="false">STDEV(AT$3:AT$362)</f>
        <v>5.46478895717732</v>
      </c>
      <c r="AU366" s="1" t="n">
        <f aca="false">STDEV(AU$3:AU$362)</f>
        <v>0</v>
      </c>
      <c r="AV366" s="1" t="n">
        <f aca="false">STDEV(AV$3:AV$362)</f>
        <v>269774.468257398</v>
      </c>
      <c r="AW366" s="1" t="n">
        <f aca="false">STDEV(AW$3:AW$362)</f>
        <v>44125.7770252233</v>
      </c>
      <c r="AX366" s="1" t="n">
        <f aca="false">STDEV(AX$3:AX$362)</f>
        <v>1011.86603586048</v>
      </c>
      <c r="AY366" s="1" t="n">
        <f aca="false">STDEV(AY$3:AY$362)</f>
        <v>574408.901919832</v>
      </c>
      <c r="AZ366" s="1" t="n">
        <f aca="false">STDEV(AZ$3:AZ$362)</f>
        <v>0</v>
      </c>
      <c r="BA366" s="1" t="n">
        <f aca="false">STDEV(BA$3:BA$362)</f>
        <v>269.339627085124</v>
      </c>
      <c r="BB366" s="1" t="n">
        <f aca="false">STDEV(BB$3:BB$362)</f>
        <v>0</v>
      </c>
      <c r="BC366" s="1" t="n">
        <f aca="false">STDEV(BC$3:BC$362)</f>
        <v>0</v>
      </c>
      <c r="BD366" s="1" t="n">
        <f aca="false">STDEV(BD$3:BD$362)</f>
        <v>5.37816774089279</v>
      </c>
      <c r="BE366" s="1" t="n">
        <f aca="false">STDEV(BE$3:BE$362)</f>
        <v>5.46478895717732</v>
      </c>
      <c r="BF366" s="1" t="n">
        <f aca="false">STDEV(BF$3:BF$362)</f>
        <v>5.02095192341753</v>
      </c>
      <c r="BG366" s="1" t="n">
        <f aca="false">STDEV(BG$3:BG$362)</f>
        <v>1074910.28953115</v>
      </c>
      <c r="BH366" s="1" t="n">
        <f aca="false">STDEV(BH$3:BH$362)</f>
        <v>1.78141847924762</v>
      </c>
      <c r="BI366" s="1" t="n">
        <f aca="false">STDEV(BI$3:BI$362)</f>
        <v>5.46478895717732</v>
      </c>
      <c r="BJ366" s="1" t="n">
        <f aca="false">STDEV(BJ$3:BJ$362)</f>
        <v>0</v>
      </c>
      <c r="BK366" s="1" t="n">
        <f aca="false">STDEV(BK$3:BK$362)</f>
        <v>269774.468257398</v>
      </c>
    </row>
    <row r="367" customFormat="false" ht="15" hidden="false" customHeight="false" outlineLevel="0" collapsed="false">
      <c r="A367" s="1" t="s">
        <v>383</v>
      </c>
      <c r="B367" s="1" t="n">
        <f aca="false">SUMPRODUCT(--(B$3:B$362-$S$3:$S$362)^2)^0.5</f>
        <v>0</v>
      </c>
      <c r="C367" s="1" t="n">
        <f aca="false">SUMPRODUCT(--(C$3:C$362-$T$3:$T$362)^2)^0.5</f>
        <v>0</v>
      </c>
      <c r="D367" s="1" t="n">
        <f aca="false">SUMPRODUCT(--(D$3:D$362-$U$3:$U$362)^2)^0.5</f>
        <v>0</v>
      </c>
      <c r="E367" s="1" t="n">
        <f aca="false">SUMPRODUCT(--(E$3:E$362-$V$3:$V$362)^2)^0.5</f>
        <v>0</v>
      </c>
      <c r="F367" s="1" t="n">
        <f aca="false">SUMPRODUCT(--(F$3:F$362-$W$3:$W$362)^2)^0.5</f>
        <v>0</v>
      </c>
      <c r="G367" s="1" t="n">
        <f aca="false">SUMPRODUCT(--(G$3:G$362-$X$3:$X$362)^2)^0.5</f>
        <v>0</v>
      </c>
      <c r="H367" s="1" t="n">
        <f aca="false">SUMPRODUCT(--(H$3:H$362-$Y$3:$Y$362)^2)^0.5</f>
        <v>0</v>
      </c>
      <c r="I367" s="1" t="n">
        <f aca="false">SUMPRODUCT(--(I$3:I$362-$Z$3:$Z$362)^2)^0.5</f>
        <v>0</v>
      </c>
      <c r="J367" s="1" t="n">
        <f aca="false">SUMPRODUCT(--(J$3:J$362-$AA$3:$AA$362)^2)^0.5</f>
        <v>0</v>
      </c>
      <c r="K367" s="1" t="n">
        <f aca="false">SUMPRODUCT(--(K$3:K$362-$AB$3:$AB$362)^2)^0.5</f>
        <v>0</v>
      </c>
      <c r="L367" s="1"/>
      <c r="M367" s="1" t="n">
        <f aca="false">SUMPRODUCT(--(M$3:M$362-$AC$3:$AC$362)^2)^0.5</f>
        <v>0</v>
      </c>
      <c r="N367" s="1" t="n">
        <f aca="false">SUMPRODUCT(--(N$3:N$362-$AD$3:$AD$362)^2)^0.5</f>
        <v>0</v>
      </c>
      <c r="O367" s="1"/>
      <c r="P367" s="1" t="n">
        <f aca="false">SUMPRODUCT(--(P$3:P$362-$AE$3:$AE$362)^2)^0.5</f>
        <v>0</v>
      </c>
      <c r="Q367" s="1" t="n">
        <f aca="false">SUMPRODUCT(--(Q$3:Q$362-$AF$3:$AF$362)^2)^0.5</f>
        <v>0</v>
      </c>
      <c r="R367" s="1" t="n">
        <f aca="false">SUMPRODUCT(--(R$3:R$362-$AG$3:$AG$362)^2)^0.5</f>
        <v>0</v>
      </c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</row>
    <row r="368" customFormat="false" ht="15" hidden="false" customHeight="false" outlineLevel="0" collapsed="false">
      <c r="A368" s="1" t="s">
        <v>384</v>
      </c>
      <c r="B368" s="1" t="n">
        <f aca="false">SUMPRODUCT(NOT(ISBLANK(B$3:B$362))*(B$3:B$362=$S$3:$S$362))</f>
        <v>360</v>
      </c>
      <c r="C368" s="1" t="n">
        <f aca="false">SUMPRODUCT(NOT(ISBLANK(C$3:C$362))*(C$3:C$362=$T$3:$T$362))</f>
        <v>360</v>
      </c>
      <c r="D368" s="1" t="n">
        <f aca="false">SUMPRODUCT(NOT(ISBLANK(D$3:D$362))*(D$3:D$362=$U$3:$U$362))</f>
        <v>360</v>
      </c>
      <c r="E368" s="1" t="n">
        <f aca="false">SUMPRODUCT(NOT(ISBLANK(E$3:E$362))*(E$3:E$362=$V$3:$V$362))</f>
        <v>360</v>
      </c>
      <c r="F368" s="1" t="n">
        <f aca="false">SUMPRODUCT(NOT(ISBLANK(F$3:F$362))*(F$3:F$362=$W$3:$W$362))</f>
        <v>360</v>
      </c>
      <c r="G368" s="1" t="n">
        <f aca="false">SUMPRODUCT(NOT(ISBLANK(G$3:G$362))*(G$3:G$362=$X$3:$X$362))</f>
        <v>360</v>
      </c>
      <c r="H368" s="1" t="n">
        <f aca="false">SUMPRODUCT(NOT(ISBLANK(H$3:H$362))*(H$3:H$362=$Y$3:$Y$362))</f>
        <v>360</v>
      </c>
      <c r="I368" s="1" t="n">
        <f aca="false">SUMPRODUCT(NOT(ISBLANK(I$3:I$362))*(I$3:I$362=$Z$3:$Z$362))</f>
        <v>360</v>
      </c>
      <c r="J368" s="1" t="n">
        <f aca="false">SUMPRODUCT(NOT(ISBLANK(J$3:J$362))*(J$3:J$362=$AA$3:$AA$362))</f>
        <v>360</v>
      </c>
      <c r="K368" s="1" t="n">
        <f aca="false">SUMPRODUCT(NOT(ISBLANK(K$3:K$362))*(K$3:K$362=$AB$3:$AB$362))</f>
        <v>360</v>
      </c>
      <c r="L368" s="1"/>
      <c r="M368" s="1" t="n">
        <f aca="false">SUMPRODUCT(NOT(ISBLANK(M$3:M$362))*(M$3:M$362=$AC$3:$AC$362))</f>
        <v>360</v>
      </c>
      <c r="N368" s="1" t="n">
        <f aca="false">SUMPRODUCT(NOT(ISBLANK(N$3:N$362))*(N$3:N$362=$AD$3:$AD$362))</f>
        <v>360</v>
      </c>
      <c r="O368" s="1"/>
      <c r="P368" s="1" t="n">
        <f aca="false">SUMPRODUCT(NOT(ISBLANK(P$3:P$362))*(P$3:P$362=$AE$3:$AE$362))</f>
        <v>360</v>
      </c>
      <c r="Q368" s="1" t="n">
        <f aca="false">SUMPRODUCT(NOT(ISBLANK(Q$3:Q$362))*(Q$3:Q$362=$AF$3:$AF$362))</f>
        <v>360</v>
      </c>
      <c r="R368" s="1" t="n">
        <f aca="false">SUMPRODUCT(NOT(ISBLANK(R$3:R$362))*(R$3:R$362=$AG$3:$AG$362))</f>
        <v>360</v>
      </c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</row>
    <row r="369" customFormat="false" ht="15" hidden="false" customHeight="false" outlineLevel="0" collapsed="false">
      <c r="A369" s="1" t="s">
        <v>385</v>
      </c>
      <c r="B369" s="1" t="n">
        <f aca="false">SUMPRODUCT(NOT(ISBLANK(B$3:B$362))*(B$3:B$362&lt;$AH$3:$AH$362))</f>
        <v>0</v>
      </c>
      <c r="C369" s="1" t="n">
        <f aca="false">SUMPRODUCT(NOT(ISBLANK(C$3:C$362))*(C$3:C$362&lt;$AI$3:$AI$362))</f>
        <v>0</v>
      </c>
      <c r="D369" s="1" t="n">
        <f aca="false">SUMPRODUCT(NOT(ISBLANK(D$3:D$362))*(D$3:D$362&lt;$AJ$3:$AJ$362))</f>
        <v>0</v>
      </c>
      <c r="E369" s="1" t="n">
        <f aca="false">SUMPRODUCT(NOT(ISBLANK(E$3:E$362))*(E$3:E$362&lt;$AK$3:$AK$362))</f>
        <v>0</v>
      </c>
      <c r="F369" s="1" t="n">
        <f aca="false">SUMPRODUCT(NOT(ISBLANK(F$3:F$362))*(F$3:F$362&lt;$AL$3:$AL$362))</f>
        <v>0</v>
      </c>
      <c r="G369" s="1" t="n">
        <f aca="false">SUMPRODUCT(NOT(ISBLANK(G$3:G$362))*(G$3:G$362&lt;$AM$3:$AM$362))</f>
        <v>0</v>
      </c>
      <c r="H369" s="1" t="n">
        <f aca="false">SUMPRODUCT(NOT(ISBLANK(H$3:H$362))*(H$3:H$362&lt;$AN$3:$AN$362))</f>
        <v>0</v>
      </c>
      <c r="I369" s="1" t="n">
        <f aca="false">SUMPRODUCT(NOT(ISBLANK(I$3:I$362))*(I$3:I$362&lt;$AO$3:$AO$362))</f>
        <v>0</v>
      </c>
      <c r="J369" s="1" t="n">
        <f aca="false">SUMPRODUCT(NOT(ISBLANK(J$3:J$362))*(J$3:J$362&lt;$AP$3:$AP$362))</f>
        <v>0</v>
      </c>
      <c r="K369" s="1" t="n">
        <f aca="false">SUMPRODUCT(NOT(ISBLANK(K$3:K$362))*(K$3:K$362&lt;$AQ$3:$AQ$362))</f>
        <v>0</v>
      </c>
      <c r="L369" s="1"/>
      <c r="M369" s="1" t="n">
        <f aca="false">SUMPRODUCT(NOT(ISBLANK(M$3:M$362))*(M$3:M$362&lt;$AR$3:$AR$362))</f>
        <v>0</v>
      </c>
      <c r="N369" s="1" t="n">
        <f aca="false">SUMPRODUCT(NOT(ISBLANK(N$3:N$362))*(N$3:N$362&lt;$AS$3:$AS$362))</f>
        <v>0</v>
      </c>
      <c r="O369" s="1"/>
      <c r="P369" s="1" t="n">
        <f aca="false">SUMPRODUCT(NOT(ISBLANK(P$3:P$362))*(P$3:P$362&lt;$AT$3:$AT$362))</f>
        <v>0</v>
      </c>
      <c r="Q369" s="1" t="n">
        <f aca="false">SUMPRODUCT(NOT(ISBLANK(Q$3:Q$362))*(Q$3:Q$362&lt;$AU$3:$AU$362))</f>
        <v>0</v>
      </c>
      <c r="R369" s="1" t="n">
        <f aca="false">SUMPRODUCT(NOT(ISBLANK(R$3:R$362))*(R$3:R$362&lt;$AV$3:$AV$362))</f>
        <v>0</v>
      </c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</row>
    <row r="370" customFormat="false" ht="15" hidden="false" customHeight="false" outlineLevel="0" collapsed="false">
      <c r="A370" s="1" t="s">
        <v>386</v>
      </c>
      <c r="B370" s="1" t="n">
        <f aca="false">SUMPRODUCT((NOT(ISBLANK(B$3:B$362))*(B$3:B$362&gt;$AH$3:$AH$362))+ISBLANK(B$3:B$362))</f>
        <v>0</v>
      </c>
      <c r="C370" s="1" t="n">
        <f aca="false">SUMPRODUCT((NOT(ISBLANK(C$3:C$362))*(C$3:C$362&gt;$AI$3:$AI$362))+ISBLANK(C$3:C$362))</f>
        <v>0</v>
      </c>
      <c r="D370" s="1" t="n">
        <f aca="false">SUMPRODUCT((NOT(ISBLANK(D$3:D$362))*(D$3:D$362&gt;$AJ$3:$AJ$362))+ISBLANK(D$3:D$362))</f>
        <v>0</v>
      </c>
      <c r="E370" s="1" t="n">
        <f aca="false">SUMPRODUCT((NOT(ISBLANK(E$3:E$362))*(E$3:E$362&gt;$AK$3:$AK$362))+ISBLANK(E$3:E$362))</f>
        <v>0</v>
      </c>
      <c r="F370" s="1" t="n">
        <f aca="false">SUMPRODUCT((NOT(ISBLANK(F$3:F$362))*(F$3:F$362&gt;$AL$3:$AL$362))+ISBLANK(F$3:F$362))</f>
        <v>0</v>
      </c>
      <c r="G370" s="1" t="n">
        <f aca="false">SUMPRODUCT((NOT(ISBLANK(G$3:G$362))*(G$3:G$362&gt;$AM$3:$AM$362))+ISBLANK(G$3:G$362))</f>
        <v>0</v>
      </c>
      <c r="H370" s="1" t="n">
        <f aca="false">SUMPRODUCT((NOT(ISBLANK(H$3:H$362))*(H$3:H$362&gt;$AN$3:$AN$362))+ISBLANK(H$3:H$362))</f>
        <v>0</v>
      </c>
      <c r="I370" s="1" t="n">
        <f aca="false">SUMPRODUCT((NOT(ISBLANK(I$3:I$362))*(I$3:I$362&gt;$AO$3:$AO$362))+ISBLANK(I$3:I$362))</f>
        <v>0</v>
      </c>
      <c r="J370" s="1" t="n">
        <f aca="false">SUMPRODUCT((NOT(ISBLANK(J$3:J$362))*(J$3:J$362&gt;$AP$3:$AP$362))+ISBLANK(J$3:J$362))</f>
        <v>0</v>
      </c>
      <c r="K370" s="1" t="n">
        <f aca="false">SUMPRODUCT((NOT(ISBLANK(K$3:K$362))*(K$3:K$362&gt;$AQ$3:$AQ$362))+ISBLANK(K$3:K$362))</f>
        <v>0</v>
      </c>
      <c r="L370" s="1"/>
      <c r="M370" s="1" t="n">
        <f aca="false">SUMPRODUCT((NOT(ISBLANK(M$3:M$362))*(M$3:M$362&gt;$AR$3:$AR$362))+ISBLANK(M$3:M$362))</f>
        <v>0</v>
      </c>
      <c r="N370" s="1" t="n">
        <f aca="false">SUMPRODUCT((NOT(ISBLANK(N$3:N$362))*(N$3:N$362&gt;$AS$3:$AS$362))+ISBLANK(N$3:N$362))</f>
        <v>0</v>
      </c>
      <c r="O370" s="1"/>
      <c r="P370" s="1" t="n">
        <f aca="false">SUMPRODUCT((NOT(ISBLANK(P$3:P$362))*(P$3:P$362&gt;$AT$3:$AT$362))+ISBLANK(P$3:P$362))</f>
        <v>0</v>
      </c>
      <c r="Q370" s="1" t="n">
        <f aca="false">SUMPRODUCT((NOT(ISBLANK(Q$3:Q$362))*(Q$3:Q$362&gt;$AU$3:$AU$362))+ISBLANK(Q$3:Q$362))</f>
        <v>0</v>
      </c>
      <c r="R370" s="1" t="n">
        <f aca="false">SUMPRODUCT((NOT(ISBLANK(R$3:R$362))*(R$3:R$362&gt;$AV$3:$AV$362))+ISBLANK(R$3:R$362))</f>
        <v>0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</row>
    <row r="371" customFormat="false" ht="15" hidden="false" customHeight="false" outlineLevel="0" collapsed="false">
      <c r="A371" s="1" t="s">
        <v>387</v>
      </c>
      <c r="B371" s="1" t="n">
        <f aca="false">SUMPRODUCT((NOT(ISBLANK(B$3:B$362))*(B$3:B$362=$AW$3:$AW$362))+ISBLANK(B$3:B$362))</f>
        <v>360</v>
      </c>
      <c r="C371" s="1" t="n">
        <f aca="false">SUMPRODUCT((NOT(ISBLANK(C$3:C$362))*(C$3:C$362=$AX$3:$AX$362))+ISBLANK(C$3:C$362))</f>
        <v>360</v>
      </c>
      <c r="D371" s="1" t="n">
        <f aca="false">SUMPRODUCT((NOT(ISBLANK(D$3:D$362))*(D$3:D$362=$AY$3:$AY$362))+ISBLANK(D$3:D$362))</f>
        <v>360</v>
      </c>
      <c r="E371" s="1" t="n">
        <f aca="false">SUMPRODUCT((NOT(ISBLANK(E$3:E$362))*(E$3:E$362=$AZ$3:$AZ$362))+ISBLANK(E$3:E$362))</f>
        <v>360</v>
      </c>
      <c r="F371" s="1" t="n">
        <f aca="false">SUMPRODUCT((NOT(ISBLANK(F$3:F$362))*(F$3:F$362=$BA$3:$BA$362))+ISBLANK(F$3:F$362))</f>
        <v>360</v>
      </c>
      <c r="G371" s="1" t="n">
        <f aca="false">SUMPRODUCT((NOT(ISBLANK(G$3:G$362))*(G$3:G$362=$BB$3:$BB$362))+ISBLANK(G$3:G$362))</f>
        <v>360</v>
      </c>
      <c r="H371" s="1" t="n">
        <f aca="false">SUMPRODUCT((NOT(ISBLANK(H$3:H$362))*(H$3:H$362=$BC$3:$BC$362))+ISBLANK(H$3:H$362))</f>
        <v>360</v>
      </c>
      <c r="I371" s="1" t="n">
        <f aca="false">SUMPRODUCT((NOT(ISBLANK(I$3:I$362))*(I$3:I$362=$BD$3:$BD$362))+ISBLANK(I$3:I$362))</f>
        <v>360</v>
      </c>
      <c r="J371" s="1" t="n">
        <f aca="false">SUMPRODUCT((NOT(ISBLANK(J$3:J$362))*(J$3:J$362=$BE$3:$BE$362))+ISBLANK(J$3:J$362))</f>
        <v>360</v>
      </c>
      <c r="K371" s="1" t="n">
        <f aca="false">SUMPRODUCT((NOT(ISBLANK(K$3:K$362))*(K$3:K$362=$BF$3:$BF$362))+ISBLANK(K$3:K$362))</f>
        <v>360</v>
      </c>
      <c r="L371" s="1"/>
      <c r="M371" s="1" t="n">
        <f aca="false">SUMPRODUCT((NOT(ISBLANK(M$3:M$362))*(M$3:M$362=$BG$3:$BG$362))+ISBLANK(M$3:M$362))</f>
        <v>360</v>
      </c>
      <c r="N371" s="1" t="n">
        <f aca="false">SUMPRODUCT((NOT(ISBLANK(N$3:N$362))*(N$3:N$362=$BH$3:$BH$362))+ISBLANK(N$3:N$362))</f>
        <v>360</v>
      </c>
      <c r="O371" s="1"/>
      <c r="P371" s="1" t="n">
        <f aca="false">SUMPRODUCT((NOT(ISBLANK(P$3:P$362))*(P$3:P$362=$BI$3:$BI$362))+ISBLANK(P$3:P$362))</f>
        <v>360</v>
      </c>
      <c r="Q371" s="1" t="n">
        <f aca="false">SUMPRODUCT((NOT(ISBLANK(Q$3:Q$362))*(Q$3:Q$362=$BJ$3:$BJ$362))+ISBLANK(Q$3:Q$362))</f>
        <v>360</v>
      </c>
      <c r="R371" s="1" t="n">
        <f aca="false">SUMPRODUCT((NOT(ISBLANK(R$3:R$362))*(R$3:R$362=$BK$3:$BK$362))+ISBLANK(R$3:R$362))</f>
        <v>360</v>
      </c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</row>
  </sheetData>
  <dataValidations count="1">
    <dataValidation allowBlank="true" errorStyle="stop" operator="between" prompt="Select merge criteria" showDropDown="false" showErrorMessage="true" showInputMessage="true" sqref="A2" type="list">
      <formula1>"average,median,min,max,diff"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1.43"/>
    <col collapsed="false" customWidth="true" hidden="false" outlineLevel="0" max="9" min="9" style="0" width="12"/>
    <col collapsed="false" customWidth="true" hidden="false" outlineLevel="0" max="13" min="10" style="0" width="11.43"/>
    <col collapsed="false" customWidth="true" hidden="false" outlineLevel="0" max="14" min="14" style="0" width="12.15"/>
    <col collapsed="false" customWidth="true" hidden="false" outlineLevel="0" max="25" min="15" style="0" width="11.43"/>
    <col collapsed="false" customWidth="true" hidden="false" outlineLevel="0" max="26" min="26" style="0" width="12"/>
    <col collapsed="false" customWidth="true" hidden="false" outlineLevel="0" max="29" min="27" style="0" width="11.43"/>
    <col collapsed="false" customWidth="true" hidden="false" outlineLevel="0" max="30" min="30" style="0" width="12.15"/>
    <col collapsed="false" customWidth="true" hidden="false" outlineLevel="0" max="40" min="31" style="0" width="11.43"/>
    <col collapsed="false" customWidth="true" hidden="false" outlineLevel="0" max="41" min="41" style="0" width="12"/>
    <col collapsed="false" customWidth="true" hidden="false" outlineLevel="0" max="44" min="42" style="0" width="11.43"/>
    <col collapsed="false" customWidth="true" hidden="false" outlineLevel="0" max="45" min="45" style="0" width="12.15"/>
    <col collapsed="false" customWidth="true" hidden="false" outlineLevel="0" max="55" min="46" style="0" width="11.43"/>
    <col collapsed="false" customWidth="true" hidden="false" outlineLevel="0" max="56" min="56" style="0" width="12"/>
    <col collapsed="false" customWidth="true" hidden="false" outlineLevel="0" max="59" min="57" style="0" width="11.43"/>
    <col collapsed="false" customWidth="true" hidden="false" outlineLevel="0" max="60" min="60" style="0" width="12.15"/>
    <col collapsed="false" customWidth="true" hidden="false" outlineLevel="0" max="63" min="61" style="0" width="11.43"/>
  </cols>
  <sheetData>
    <row r="1" customFormat="false" ht="15" hidden="false" customHeight="false" outlineLevel="0" collapsed="false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389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390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391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customFormat="false" ht="15" hidden="false" customHeight="false" outlineLevel="0" collapsed="false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</v>
      </c>
      <c r="T2" s="1" t="s">
        <v>2</v>
      </c>
      <c r="U2" s="1" t="s">
        <v>3</v>
      </c>
      <c r="V2" s="1" t="s">
        <v>4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12</v>
      </c>
      <c r="AD2" s="1" t="s">
        <v>13</v>
      </c>
      <c r="AE2" s="1" t="s">
        <v>15</v>
      </c>
      <c r="AF2" s="1" t="s">
        <v>16</v>
      </c>
      <c r="AG2" s="1" t="s">
        <v>17</v>
      </c>
      <c r="AH2" s="1" t="s">
        <v>1</v>
      </c>
      <c r="AI2" s="1" t="s">
        <v>2</v>
      </c>
      <c r="AJ2" s="1" t="s">
        <v>3</v>
      </c>
      <c r="AK2" s="1" t="s">
        <v>4</v>
      </c>
      <c r="AL2" s="1" t="s">
        <v>5</v>
      </c>
      <c r="AM2" s="1" t="s">
        <v>6</v>
      </c>
      <c r="AN2" s="1" t="s">
        <v>7</v>
      </c>
      <c r="AO2" s="1" t="s">
        <v>8</v>
      </c>
      <c r="AP2" s="1" t="s">
        <v>9</v>
      </c>
      <c r="AQ2" s="1" t="s">
        <v>10</v>
      </c>
      <c r="AR2" s="1" t="s">
        <v>12</v>
      </c>
      <c r="AS2" s="1" t="s">
        <v>13</v>
      </c>
      <c r="AT2" s="1" t="s">
        <v>15</v>
      </c>
      <c r="AU2" s="1" t="s">
        <v>16</v>
      </c>
      <c r="AV2" s="1" t="s">
        <v>17</v>
      </c>
      <c r="AW2" s="1" t="s">
        <v>1</v>
      </c>
      <c r="AX2" s="1" t="s">
        <v>2</v>
      </c>
      <c r="AY2" s="1" t="s">
        <v>3</v>
      </c>
      <c r="AZ2" s="1" t="s">
        <v>4</v>
      </c>
      <c r="BA2" s="1" t="s">
        <v>5</v>
      </c>
      <c r="BB2" s="1" t="s">
        <v>6</v>
      </c>
      <c r="BC2" s="1" t="s">
        <v>7</v>
      </c>
      <c r="BD2" s="1" t="s">
        <v>8</v>
      </c>
      <c r="BE2" s="1" t="s">
        <v>9</v>
      </c>
      <c r="BF2" s="1" t="s">
        <v>10</v>
      </c>
      <c r="BG2" s="1" t="s">
        <v>12</v>
      </c>
      <c r="BH2" s="1" t="s">
        <v>13</v>
      </c>
      <c r="BI2" s="1" t="s">
        <v>15</v>
      </c>
      <c r="BJ2" s="1" t="s">
        <v>16</v>
      </c>
      <c r="BK2" s="1" t="s">
        <v>17</v>
      </c>
    </row>
    <row r="3" customFormat="false" ht="15" hidden="false" customHeight="false" outlineLevel="0" collapsed="false">
      <c r="A3" s="1" t="s">
        <v>392</v>
      </c>
      <c r="B3" s="1" t="n">
        <f aca="false">AVERAGE(Instances!B3:B38)</f>
        <v>0</v>
      </c>
      <c r="C3" s="1" t="n">
        <f aca="false">AVERAGE(Instances!C3:C38)</f>
        <v>0</v>
      </c>
      <c r="D3" s="1" t="n">
        <f aca="false">AVERAGE(Instances!D3:D38)</f>
        <v>0</v>
      </c>
      <c r="E3" s="1" t="n">
        <f aca="false">AVERAGE(Instances!E3:E38)</f>
        <v>0</v>
      </c>
      <c r="F3" s="1" t="n">
        <f aca="false">AVERAGE(Instances!F3:F38)</f>
        <v>0</v>
      </c>
      <c r="G3" s="1" t="n">
        <f aca="false">AVERAGE(Instances!G3:G38)</f>
        <v>0</v>
      </c>
      <c r="H3" s="1" t="n">
        <f aca="false">AVERAGE(Instances!H3:H38)</f>
        <v>0</v>
      </c>
      <c r="I3" s="1" t="n">
        <f aca="false">AVERAGE(Instances!I3:I38)</f>
        <v>0</v>
      </c>
      <c r="J3" s="1" t="n">
        <f aca="false">AVERAGE(Instances!J3:J38)</f>
        <v>0</v>
      </c>
      <c r="K3" s="1" t="n">
        <f aca="false">AVERAGE(Instances!K3:K38)</f>
        <v>0</v>
      </c>
      <c r="L3" s="1"/>
      <c r="M3" s="1" t="n">
        <f aca="false">AVERAGE(Instances!M3:M38)</f>
        <v>0</v>
      </c>
      <c r="N3" s="1" t="n">
        <f aca="false">AVERAGE(Instances!N3:N38)</f>
        <v>0</v>
      </c>
      <c r="O3" s="1"/>
      <c r="P3" s="1" t="n">
        <f aca="false">AVERAGE(Instances!P3:P38)</f>
        <v>0</v>
      </c>
      <c r="Q3" s="1" t="n">
        <f aca="false">SUM(Instances!Q3:Q38)</f>
        <v>0</v>
      </c>
      <c r="R3" s="1" t="n">
        <f aca="false">AVERAGE(Instances!R3:R38)</f>
        <v>0</v>
      </c>
      <c r="S3" s="1" t="n">
        <f aca="false">MIN($B3)</f>
        <v>0</v>
      </c>
      <c r="T3" s="1" t="n">
        <f aca="false">MIN($C3)</f>
        <v>0</v>
      </c>
      <c r="U3" s="1" t="n">
        <f aca="false">MIN($D3)</f>
        <v>0</v>
      </c>
      <c r="V3" s="1" t="n">
        <f aca="false">MIN($E3)</f>
        <v>0</v>
      </c>
      <c r="W3" s="1" t="n">
        <f aca="false">MIN($F3)</f>
        <v>0</v>
      </c>
      <c r="X3" s="1" t="n">
        <f aca="false">MIN($G3)</f>
        <v>0</v>
      </c>
      <c r="Y3" s="1" t="n">
        <f aca="false">MIN($H3)</f>
        <v>0</v>
      </c>
      <c r="Z3" s="1" t="n">
        <f aca="false">MIN($I3)</f>
        <v>0</v>
      </c>
      <c r="AA3" s="1" t="n">
        <f aca="false">MIN($J3)</f>
        <v>0</v>
      </c>
      <c r="AB3" s="1" t="n">
        <f aca="false">MIN($K3)</f>
        <v>0</v>
      </c>
      <c r="AC3" s="1" t="n">
        <f aca="false">MIN($M3)</f>
        <v>0</v>
      </c>
      <c r="AD3" s="1" t="n">
        <f aca="false">MIN($N3)</f>
        <v>0</v>
      </c>
      <c r="AE3" s="1" t="n">
        <f aca="false">MIN($P3)</f>
        <v>0</v>
      </c>
      <c r="AF3" s="1" t="n">
        <f aca="false">MIN($Q3)</f>
        <v>0</v>
      </c>
      <c r="AG3" s="1" t="n">
        <f aca="false">MIN($R3)</f>
        <v>0</v>
      </c>
      <c r="AH3" s="1" t="n">
        <f aca="false">MEDIAN($B3)</f>
        <v>0</v>
      </c>
      <c r="AI3" s="1" t="n">
        <f aca="false">MEDIAN($C3)</f>
        <v>0</v>
      </c>
      <c r="AJ3" s="1" t="n">
        <f aca="false">MEDIAN($D3)</f>
        <v>0</v>
      </c>
      <c r="AK3" s="1" t="n">
        <f aca="false">MEDIAN($E3)</f>
        <v>0</v>
      </c>
      <c r="AL3" s="1" t="n">
        <f aca="false">MEDIAN($F3)</f>
        <v>0</v>
      </c>
      <c r="AM3" s="1" t="n">
        <f aca="false">MEDIAN($G3)</f>
        <v>0</v>
      </c>
      <c r="AN3" s="1" t="n">
        <f aca="false">MEDIAN($H3)</f>
        <v>0</v>
      </c>
      <c r="AO3" s="1" t="n">
        <f aca="false">MEDIAN($I3)</f>
        <v>0</v>
      </c>
      <c r="AP3" s="1" t="n">
        <f aca="false">MEDIAN($J3)</f>
        <v>0</v>
      </c>
      <c r="AQ3" s="1" t="n">
        <f aca="false">MEDIAN($K3)</f>
        <v>0</v>
      </c>
      <c r="AR3" s="1" t="n">
        <f aca="false">MEDIAN($M3)</f>
        <v>0</v>
      </c>
      <c r="AS3" s="1" t="n">
        <f aca="false">MEDIAN($N3)</f>
        <v>0</v>
      </c>
      <c r="AT3" s="1" t="n">
        <f aca="false">MEDIAN($P3)</f>
        <v>0</v>
      </c>
      <c r="AU3" s="1" t="n">
        <f aca="false">MEDIAN($Q3)</f>
        <v>0</v>
      </c>
      <c r="AV3" s="1" t="n">
        <f aca="false">MEDIAN($R3)</f>
        <v>0</v>
      </c>
      <c r="AW3" s="1" t="n">
        <f aca="false">MAX($B3)</f>
        <v>0</v>
      </c>
      <c r="AX3" s="1" t="n">
        <f aca="false">MAX($C3)</f>
        <v>0</v>
      </c>
      <c r="AY3" s="1" t="n">
        <f aca="false">MAX($D3)</f>
        <v>0</v>
      </c>
      <c r="AZ3" s="1" t="n">
        <f aca="false">MAX($E3)</f>
        <v>0</v>
      </c>
      <c r="BA3" s="1" t="n">
        <f aca="false">MAX($F3)</f>
        <v>0</v>
      </c>
      <c r="BB3" s="1" t="n">
        <f aca="false">MAX($G3)</f>
        <v>0</v>
      </c>
      <c r="BC3" s="1" t="n">
        <f aca="false">MAX($H3)</f>
        <v>0</v>
      </c>
      <c r="BD3" s="1" t="n">
        <f aca="false">MAX($I3)</f>
        <v>0</v>
      </c>
      <c r="BE3" s="1" t="n">
        <f aca="false">MAX($J3)</f>
        <v>0</v>
      </c>
      <c r="BF3" s="1" t="n">
        <f aca="false">MAX($K3)</f>
        <v>0</v>
      </c>
      <c r="BG3" s="1" t="n">
        <f aca="false">MAX($M3)</f>
        <v>0</v>
      </c>
      <c r="BH3" s="1" t="n">
        <f aca="false">MAX($N3)</f>
        <v>0</v>
      </c>
      <c r="BI3" s="1" t="n">
        <f aca="false">MAX($P3)</f>
        <v>0</v>
      </c>
      <c r="BJ3" s="1" t="n">
        <f aca="false">MAX($Q3)</f>
        <v>0</v>
      </c>
      <c r="BK3" s="1" t="n">
        <f aca="false">MAX($R3)</f>
        <v>0</v>
      </c>
    </row>
    <row r="4" customFormat="false" ht="15" hidden="false" customHeight="false" outlineLevel="0" collapsed="false">
      <c r="A4" s="1" t="s">
        <v>393</v>
      </c>
      <c r="B4" s="1" t="n">
        <f aca="false">AVERAGE(Instances!B39:B74)</f>
        <v>0</v>
      </c>
      <c r="C4" s="1" t="n">
        <f aca="false">AVERAGE(Instances!C39:C74)</f>
        <v>0</v>
      </c>
      <c r="D4" s="1" t="n">
        <f aca="false">AVERAGE(Instances!D39:D74)</f>
        <v>0</v>
      </c>
      <c r="E4" s="1" t="n">
        <f aca="false">AVERAGE(Instances!E39:E74)</f>
        <v>0</v>
      </c>
      <c r="F4" s="1" t="n">
        <f aca="false">AVERAGE(Instances!F39:F74)</f>
        <v>0</v>
      </c>
      <c r="G4" s="1" t="n">
        <f aca="false">AVERAGE(Instances!G39:G74)</f>
        <v>0</v>
      </c>
      <c r="H4" s="1" t="n">
        <f aca="false">AVERAGE(Instances!H39:H74)</f>
        <v>0</v>
      </c>
      <c r="I4" s="1" t="n">
        <f aca="false">AVERAGE(Instances!I39:I74)</f>
        <v>0</v>
      </c>
      <c r="J4" s="1" t="n">
        <f aca="false">AVERAGE(Instances!J39:J74)</f>
        <v>0</v>
      </c>
      <c r="K4" s="1" t="n">
        <f aca="false">AVERAGE(Instances!K39:K74)</f>
        <v>0</v>
      </c>
      <c r="L4" s="1"/>
      <c r="M4" s="1" t="n">
        <f aca="false">AVERAGE(Instances!M39:M74)</f>
        <v>0</v>
      </c>
      <c r="N4" s="1" t="n">
        <f aca="false">AVERAGE(Instances!N39:N74)</f>
        <v>0</v>
      </c>
      <c r="O4" s="1"/>
      <c r="P4" s="1" t="n">
        <f aca="false">AVERAGE(Instances!P39:P74)</f>
        <v>0</v>
      </c>
      <c r="Q4" s="1" t="n">
        <f aca="false">SUM(Instances!Q39:Q74)</f>
        <v>0</v>
      </c>
      <c r="R4" s="1" t="n">
        <f aca="false">AVERAGE(Instances!R39:R74)</f>
        <v>0</v>
      </c>
      <c r="S4" s="1" t="n">
        <f aca="false">MIN($B4)</f>
        <v>0</v>
      </c>
      <c r="T4" s="1" t="n">
        <f aca="false">MIN($C4)</f>
        <v>0</v>
      </c>
      <c r="U4" s="1" t="n">
        <f aca="false">MIN($D4)</f>
        <v>0</v>
      </c>
      <c r="V4" s="1" t="n">
        <f aca="false">MIN($E4)</f>
        <v>0</v>
      </c>
      <c r="W4" s="1" t="n">
        <f aca="false">MIN($F4)</f>
        <v>0</v>
      </c>
      <c r="X4" s="1" t="n">
        <f aca="false">MIN($G4)</f>
        <v>0</v>
      </c>
      <c r="Y4" s="1" t="n">
        <f aca="false">MIN($H4)</f>
        <v>0</v>
      </c>
      <c r="Z4" s="1" t="n">
        <f aca="false">MIN($I4)</f>
        <v>0</v>
      </c>
      <c r="AA4" s="1" t="n">
        <f aca="false">MIN($J4)</f>
        <v>0</v>
      </c>
      <c r="AB4" s="1" t="n">
        <f aca="false">MIN($K4)</f>
        <v>0</v>
      </c>
      <c r="AC4" s="1" t="n">
        <f aca="false">MIN($M4)</f>
        <v>0</v>
      </c>
      <c r="AD4" s="1" t="n">
        <f aca="false">MIN($N4)</f>
        <v>0</v>
      </c>
      <c r="AE4" s="1" t="n">
        <f aca="false">MIN($P4)</f>
        <v>0</v>
      </c>
      <c r="AF4" s="1" t="n">
        <f aca="false">MIN($Q4)</f>
        <v>0</v>
      </c>
      <c r="AG4" s="1" t="n">
        <f aca="false">MIN($R4)</f>
        <v>0</v>
      </c>
      <c r="AH4" s="1" t="n">
        <f aca="false">MEDIAN($B4)</f>
        <v>0</v>
      </c>
      <c r="AI4" s="1" t="n">
        <f aca="false">MEDIAN($C4)</f>
        <v>0</v>
      </c>
      <c r="AJ4" s="1" t="n">
        <f aca="false">MEDIAN($D4)</f>
        <v>0</v>
      </c>
      <c r="AK4" s="1" t="n">
        <f aca="false">MEDIAN($E4)</f>
        <v>0</v>
      </c>
      <c r="AL4" s="1" t="n">
        <f aca="false">MEDIAN($F4)</f>
        <v>0</v>
      </c>
      <c r="AM4" s="1" t="n">
        <f aca="false">MEDIAN($G4)</f>
        <v>0</v>
      </c>
      <c r="AN4" s="1" t="n">
        <f aca="false">MEDIAN($H4)</f>
        <v>0</v>
      </c>
      <c r="AO4" s="1" t="n">
        <f aca="false">MEDIAN($I4)</f>
        <v>0</v>
      </c>
      <c r="AP4" s="1" t="n">
        <f aca="false">MEDIAN($J4)</f>
        <v>0</v>
      </c>
      <c r="AQ4" s="1" t="n">
        <f aca="false">MEDIAN($K4)</f>
        <v>0</v>
      </c>
      <c r="AR4" s="1" t="n">
        <f aca="false">MEDIAN($M4)</f>
        <v>0</v>
      </c>
      <c r="AS4" s="1" t="n">
        <f aca="false">MEDIAN($N4)</f>
        <v>0</v>
      </c>
      <c r="AT4" s="1" t="n">
        <f aca="false">MEDIAN($P4)</f>
        <v>0</v>
      </c>
      <c r="AU4" s="1" t="n">
        <f aca="false">MEDIAN($Q4)</f>
        <v>0</v>
      </c>
      <c r="AV4" s="1" t="n">
        <f aca="false">MEDIAN($R4)</f>
        <v>0</v>
      </c>
      <c r="AW4" s="1" t="n">
        <f aca="false">MAX($B4)</f>
        <v>0</v>
      </c>
      <c r="AX4" s="1" t="n">
        <f aca="false">MAX($C4)</f>
        <v>0</v>
      </c>
      <c r="AY4" s="1" t="n">
        <f aca="false">MAX($D4)</f>
        <v>0</v>
      </c>
      <c r="AZ4" s="1" t="n">
        <f aca="false">MAX($E4)</f>
        <v>0</v>
      </c>
      <c r="BA4" s="1" t="n">
        <f aca="false">MAX($F4)</f>
        <v>0</v>
      </c>
      <c r="BB4" s="1" t="n">
        <f aca="false">MAX($G4)</f>
        <v>0</v>
      </c>
      <c r="BC4" s="1" t="n">
        <f aca="false">MAX($H4)</f>
        <v>0</v>
      </c>
      <c r="BD4" s="1" t="n">
        <f aca="false">MAX($I4)</f>
        <v>0</v>
      </c>
      <c r="BE4" s="1" t="n">
        <f aca="false">MAX($J4)</f>
        <v>0</v>
      </c>
      <c r="BF4" s="1" t="n">
        <f aca="false">MAX($K4)</f>
        <v>0</v>
      </c>
      <c r="BG4" s="1" t="n">
        <f aca="false">MAX($M4)</f>
        <v>0</v>
      </c>
      <c r="BH4" s="1" t="n">
        <f aca="false">MAX($N4)</f>
        <v>0</v>
      </c>
      <c r="BI4" s="1" t="n">
        <f aca="false">MAX($P4)</f>
        <v>0</v>
      </c>
      <c r="BJ4" s="1" t="n">
        <f aca="false">MAX($Q4)</f>
        <v>0</v>
      </c>
      <c r="BK4" s="1" t="n">
        <f aca="false">MAX($R4)</f>
        <v>0</v>
      </c>
    </row>
    <row r="5" customFormat="false" ht="15" hidden="false" customHeight="false" outlineLevel="0" collapsed="false">
      <c r="A5" s="1" t="s">
        <v>394</v>
      </c>
      <c r="B5" s="1" t="n">
        <f aca="false">AVERAGE(Instances!B75:B110)</f>
        <v>0</v>
      </c>
      <c r="C5" s="1" t="n">
        <f aca="false">AVERAGE(Instances!C75:C110)</f>
        <v>0</v>
      </c>
      <c r="D5" s="1" t="n">
        <f aca="false">AVERAGE(Instances!D75:D110)</f>
        <v>0</v>
      </c>
      <c r="E5" s="1" t="n">
        <f aca="false">AVERAGE(Instances!E75:E110)</f>
        <v>0</v>
      </c>
      <c r="F5" s="1" t="n">
        <f aca="false">AVERAGE(Instances!F75:F110)</f>
        <v>0</v>
      </c>
      <c r="G5" s="1" t="n">
        <f aca="false">AVERAGE(Instances!G75:G110)</f>
        <v>0</v>
      </c>
      <c r="H5" s="1" t="n">
        <f aca="false">AVERAGE(Instances!H75:H110)</f>
        <v>0</v>
      </c>
      <c r="I5" s="1" t="n">
        <f aca="false">AVERAGE(Instances!I75:I110)</f>
        <v>0</v>
      </c>
      <c r="J5" s="1" t="n">
        <f aca="false">AVERAGE(Instances!J75:J110)</f>
        <v>0</v>
      </c>
      <c r="K5" s="1" t="n">
        <f aca="false">AVERAGE(Instances!K75:K110)</f>
        <v>0</v>
      </c>
      <c r="L5" s="1"/>
      <c r="M5" s="1" t="n">
        <f aca="false">AVERAGE(Instances!M75:M110)</f>
        <v>0</v>
      </c>
      <c r="N5" s="1" t="n">
        <f aca="false">AVERAGE(Instances!N75:N110)</f>
        <v>0</v>
      </c>
      <c r="O5" s="1"/>
      <c r="P5" s="1" t="n">
        <f aca="false">AVERAGE(Instances!P75:P110)</f>
        <v>0</v>
      </c>
      <c r="Q5" s="1" t="n">
        <f aca="false">SUM(Instances!Q75:Q110)</f>
        <v>0</v>
      </c>
      <c r="R5" s="1" t="n">
        <f aca="false">AVERAGE(Instances!R75:R110)</f>
        <v>0</v>
      </c>
      <c r="S5" s="1" t="n">
        <f aca="false">MIN($B5)</f>
        <v>0</v>
      </c>
      <c r="T5" s="1" t="n">
        <f aca="false">MIN($C5)</f>
        <v>0</v>
      </c>
      <c r="U5" s="1" t="n">
        <f aca="false">MIN($D5)</f>
        <v>0</v>
      </c>
      <c r="V5" s="1" t="n">
        <f aca="false">MIN($E5)</f>
        <v>0</v>
      </c>
      <c r="W5" s="1" t="n">
        <f aca="false">MIN($F5)</f>
        <v>0</v>
      </c>
      <c r="X5" s="1" t="n">
        <f aca="false">MIN($G5)</f>
        <v>0</v>
      </c>
      <c r="Y5" s="1" t="n">
        <f aca="false">MIN($H5)</f>
        <v>0</v>
      </c>
      <c r="Z5" s="1" t="n">
        <f aca="false">MIN($I5)</f>
        <v>0</v>
      </c>
      <c r="AA5" s="1" t="n">
        <f aca="false">MIN($J5)</f>
        <v>0</v>
      </c>
      <c r="AB5" s="1" t="n">
        <f aca="false">MIN($K5)</f>
        <v>0</v>
      </c>
      <c r="AC5" s="1" t="n">
        <f aca="false">MIN($M5)</f>
        <v>0</v>
      </c>
      <c r="AD5" s="1" t="n">
        <f aca="false">MIN($N5)</f>
        <v>0</v>
      </c>
      <c r="AE5" s="1" t="n">
        <f aca="false">MIN($P5)</f>
        <v>0</v>
      </c>
      <c r="AF5" s="1" t="n">
        <f aca="false">MIN($Q5)</f>
        <v>0</v>
      </c>
      <c r="AG5" s="1" t="n">
        <f aca="false">MIN($R5)</f>
        <v>0</v>
      </c>
      <c r="AH5" s="1" t="n">
        <f aca="false">MEDIAN($B5)</f>
        <v>0</v>
      </c>
      <c r="AI5" s="1" t="n">
        <f aca="false">MEDIAN($C5)</f>
        <v>0</v>
      </c>
      <c r="AJ5" s="1" t="n">
        <f aca="false">MEDIAN($D5)</f>
        <v>0</v>
      </c>
      <c r="AK5" s="1" t="n">
        <f aca="false">MEDIAN($E5)</f>
        <v>0</v>
      </c>
      <c r="AL5" s="1" t="n">
        <f aca="false">MEDIAN($F5)</f>
        <v>0</v>
      </c>
      <c r="AM5" s="1" t="n">
        <f aca="false">MEDIAN($G5)</f>
        <v>0</v>
      </c>
      <c r="AN5" s="1" t="n">
        <f aca="false">MEDIAN($H5)</f>
        <v>0</v>
      </c>
      <c r="AO5" s="1" t="n">
        <f aca="false">MEDIAN($I5)</f>
        <v>0</v>
      </c>
      <c r="AP5" s="1" t="n">
        <f aca="false">MEDIAN($J5)</f>
        <v>0</v>
      </c>
      <c r="AQ5" s="1" t="n">
        <f aca="false">MEDIAN($K5)</f>
        <v>0</v>
      </c>
      <c r="AR5" s="1" t="n">
        <f aca="false">MEDIAN($M5)</f>
        <v>0</v>
      </c>
      <c r="AS5" s="1" t="n">
        <f aca="false">MEDIAN($N5)</f>
        <v>0</v>
      </c>
      <c r="AT5" s="1" t="n">
        <f aca="false">MEDIAN($P5)</f>
        <v>0</v>
      </c>
      <c r="AU5" s="1" t="n">
        <f aca="false">MEDIAN($Q5)</f>
        <v>0</v>
      </c>
      <c r="AV5" s="1" t="n">
        <f aca="false">MEDIAN($R5)</f>
        <v>0</v>
      </c>
      <c r="AW5" s="1" t="n">
        <f aca="false">MAX($B5)</f>
        <v>0</v>
      </c>
      <c r="AX5" s="1" t="n">
        <f aca="false">MAX($C5)</f>
        <v>0</v>
      </c>
      <c r="AY5" s="1" t="n">
        <f aca="false">MAX($D5)</f>
        <v>0</v>
      </c>
      <c r="AZ5" s="1" t="n">
        <f aca="false">MAX($E5)</f>
        <v>0</v>
      </c>
      <c r="BA5" s="1" t="n">
        <f aca="false">MAX($F5)</f>
        <v>0</v>
      </c>
      <c r="BB5" s="1" t="n">
        <f aca="false">MAX($G5)</f>
        <v>0</v>
      </c>
      <c r="BC5" s="1" t="n">
        <f aca="false">MAX($H5)</f>
        <v>0</v>
      </c>
      <c r="BD5" s="1" t="n">
        <f aca="false">MAX($I5)</f>
        <v>0</v>
      </c>
      <c r="BE5" s="1" t="n">
        <f aca="false">MAX($J5)</f>
        <v>0</v>
      </c>
      <c r="BF5" s="1" t="n">
        <f aca="false">MAX($K5)</f>
        <v>0</v>
      </c>
      <c r="BG5" s="1" t="n">
        <f aca="false">MAX($M5)</f>
        <v>0</v>
      </c>
      <c r="BH5" s="1" t="n">
        <f aca="false">MAX($N5)</f>
        <v>0</v>
      </c>
      <c r="BI5" s="1" t="n">
        <f aca="false">MAX($P5)</f>
        <v>0</v>
      </c>
      <c r="BJ5" s="1" t="n">
        <f aca="false">MAX($Q5)</f>
        <v>0</v>
      </c>
      <c r="BK5" s="1" t="n">
        <f aca="false">MAX($R5)</f>
        <v>0</v>
      </c>
    </row>
    <row r="6" customFormat="false" ht="15" hidden="false" customHeight="false" outlineLevel="0" collapsed="false">
      <c r="A6" s="1" t="s">
        <v>395</v>
      </c>
      <c r="B6" s="1" t="n">
        <f aca="false">AVERAGE(Instances!B111:B146)</f>
        <v>0</v>
      </c>
      <c r="C6" s="1" t="n">
        <f aca="false">AVERAGE(Instances!C111:C146)</f>
        <v>0</v>
      </c>
      <c r="D6" s="1" t="n">
        <f aca="false">AVERAGE(Instances!D111:D146)</f>
        <v>0</v>
      </c>
      <c r="E6" s="1" t="n">
        <f aca="false">AVERAGE(Instances!E111:E146)</f>
        <v>0</v>
      </c>
      <c r="F6" s="1" t="n">
        <f aca="false">AVERAGE(Instances!F111:F146)</f>
        <v>0</v>
      </c>
      <c r="G6" s="1" t="n">
        <f aca="false">AVERAGE(Instances!G111:G146)</f>
        <v>0</v>
      </c>
      <c r="H6" s="1" t="n">
        <f aca="false">AVERAGE(Instances!H111:H146)</f>
        <v>0</v>
      </c>
      <c r="I6" s="1" t="n">
        <f aca="false">AVERAGE(Instances!I111:I146)</f>
        <v>0</v>
      </c>
      <c r="J6" s="1" t="n">
        <f aca="false">AVERAGE(Instances!J111:J146)</f>
        <v>0</v>
      </c>
      <c r="K6" s="1" t="n">
        <f aca="false">AVERAGE(Instances!K111:K146)</f>
        <v>0</v>
      </c>
      <c r="L6" s="1"/>
      <c r="M6" s="1" t="n">
        <f aca="false">AVERAGE(Instances!M111:M146)</f>
        <v>0</v>
      </c>
      <c r="N6" s="1" t="n">
        <f aca="false">AVERAGE(Instances!N111:N146)</f>
        <v>0</v>
      </c>
      <c r="O6" s="1"/>
      <c r="P6" s="1" t="n">
        <f aca="false">AVERAGE(Instances!P111:P146)</f>
        <v>0</v>
      </c>
      <c r="Q6" s="1" t="n">
        <f aca="false">SUM(Instances!Q111:Q146)</f>
        <v>0</v>
      </c>
      <c r="R6" s="1" t="n">
        <f aca="false">AVERAGE(Instances!R111:R146)</f>
        <v>0</v>
      </c>
      <c r="S6" s="1" t="n">
        <f aca="false">MIN($B6)</f>
        <v>0</v>
      </c>
      <c r="T6" s="1" t="n">
        <f aca="false">MIN($C6)</f>
        <v>0</v>
      </c>
      <c r="U6" s="1" t="n">
        <f aca="false">MIN($D6)</f>
        <v>0</v>
      </c>
      <c r="V6" s="1" t="n">
        <f aca="false">MIN($E6)</f>
        <v>0</v>
      </c>
      <c r="W6" s="1" t="n">
        <f aca="false">MIN($F6)</f>
        <v>0</v>
      </c>
      <c r="X6" s="1" t="n">
        <f aca="false">MIN($G6)</f>
        <v>0</v>
      </c>
      <c r="Y6" s="1" t="n">
        <f aca="false">MIN($H6)</f>
        <v>0</v>
      </c>
      <c r="Z6" s="1" t="n">
        <f aca="false">MIN($I6)</f>
        <v>0</v>
      </c>
      <c r="AA6" s="1" t="n">
        <f aca="false">MIN($J6)</f>
        <v>0</v>
      </c>
      <c r="AB6" s="1" t="n">
        <f aca="false">MIN($K6)</f>
        <v>0</v>
      </c>
      <c r="AC6" s="1" t="n">
        <f aca="false">MIN($M6)</f>
        <v>0</v>
      </c>
      <c r="AD6" s="1" t="n">
        <f aca="false">MIN($N6)</f>
        <v>0</v>
      </c>
      <c r="AE6" s="1" t="n">
        <f aca="false">MIN($P6)</f>
        <v>0</v>
      </c>
      <c r="AF6" s="1" t="n">
        <f aca="false">MIN($Q6)</f>
        <v>0</v>
      </c>
      <c r="AG6" s="1" t="n">
        <f aca="false">MIN($R6)</f>
        <v>0</v>
      </c>
      <c r="AH6" s="1" t="n">
        <f aca="false">MEDIAN($B6)</f>
        <v>0</v>
      </c>
      <c r="AI6" s="1" t="n">
        <f aca="false">MEDIAN($C6)</f>
        <v>0</v>
      </c>
      <c r="AJ6" s="1" t="n">
        <f aca="false">MEDIAN($D6)</f>
        <v>0</v>
      </c>
      <c r="AK6" s="1" t="n">
        <f aca="false">MEDIAN($E6)</f>
        <v>0</v>
      </c>
      <c r="AL6" s="1" t="n">
        <f aca="false">MEDIAN($F6)</f>
        <v>0</v>
      </c>
      <c r="AM6" s="1" t="n">
        <f aca="false">MEDIAN($G6)</f>
        <v>0</v>
      </c>
      <c r="AN6" s="1" t="n">
        <f aca="false">MEDIAN($H6)</f>
        <v>0</v>
      </c>
      <c r="AO6" s="1" t="n">
        <f aca="false">MEDIAN($I6)</f>
        <v>0</v>
      </c>
      <c r="AP6" s="1" t="n">
        <f aca="false">MEDIAN($J6)</f>
        <v>0</v>
      </c>
      <c r="AQ6" s="1" t="n">
        <f aca="false">MEDIAN($K6)</f>
        <v>0</v>
      </c>
      <c r="AR6" s="1" t="n">
        <f aca="false">MEDIAN($M6)</f>
        <v>0</v>
      </c>
      <c r="AS6" s="1" t="n">
        <f aca="false">MEDIAN($N6)</f>
        <v>0</v>
      </c>
      <c r="AT6" s="1" t="n">
        <f aca="false">MEDIAN($P6)</f>
        <v>0</v>
      </c>
      <c r="AU6" s="1" t="n">
        <f aca="false">MEDIAN($Q6)</f>
        <v>0</v>
      </c>
      <c r="AV6" s="1" t="n">
        <f aca="false">MEDIAN($R6)</f>
        <v>0</v>
      </c>
      <c r="AW6" s="1" t="n">
        <f aca="false">MAX($B6)</f>
        <v>0</v>
      </c>
      <c r="AX6" s="1" t="n">
        <f aca="false">MAX($C6)</f>
        <v>0</v>
      </c>
      <c r="AY6" s="1" t="n">
        <f aca="false">MAX($D6)</f>
        <v>0</v>
      </c>
      <c r="AZ6" s="1" t="n">
        <f aca="false">MAX($E6)</f>
        <v>0</v>
      </c>
      <c r="BA6" s="1" t="n">
        <f aca="false">MAX($F6)</f>
        <v>0</v>
      </c>
      <c r="BB6" s="1" t="n">
        <f aca="false">MAX($G6)</f>
        <v>0</v>
      </c>
      <c r="BC6" s="1" t="n">
        <f aca="false">MAX($H6)</f>
        <v>0</v>
      </c>
      <c r="BD6" s="1" t="n">
        <f aca="false">MAX($I6)</f>
        <v>0</v>
      </c>
      <c r="BE6" s="1" t="n">
        <f aca="false">MAX($J6)</f>
        <v>0</v>
      </c>
      <c r="BF6" s="1" t="n">
        <f aca="false">MAX($K6)</f>
        <v>0</v>
      </c>
      <c r="BG6" s="1" t="n">
        <f aca="false">MAX($M6)</f>
        <v>0</v>
      </c>
      <c r="BH6" s="1" t="n">
        <f aca="false">MAX($N6)</f>
        <v>0</v>
      </c>
      <c r="BI6" s="1" t="n">
        <f aca="false">MAX($P6)</f>
        <v>0</v>
      </c>
      <c r="BJ6" s="1" t="n">
        <f aca="false">MAX($Q6)</f>
        <v>0</v>
      </c>
      <c r="BK6" s="1" t="n">
        <f aca="false">MAX($R6)</f>
        <v>0</v>
      </c>
    </row>
    <row r="7" customFormat="false" ht="15" hidden="false" customHeight="false" outlineLevel="0" collapsed="false">
      <c r="A7" s="1" t="s">
        <v>396</v>
      </c>
      <c r="B7" s="1" t="n">
        <f aca="false">AVERAGE(Instances!B147:B182)</f>
        <v>0</v>
      </c>
      <c r="C7" s="1" t="n">
        <f aca="false">AVERAGE(Instances!C147:C182)</f>
        <v>0</v>
      </c>
      <c r="D7" s="1" t="n">
        <f aca="false">AVERAGE(Instances!D147:D182)</f>
        <v>0</v>
      </c>
      <c r="E7" s="1" t="n">
        <f aca="false">AVERAGE(Instances!E147:E182)</f>
        <v>0</v>
      </c>
      <c r="F7" s="1" t="n">
        <f aca="false">AVERAGE(Instances!F147:F182)</f>
        <v>0</v>
      </c>
      <c r="G7" s="1" t="n">
        <f aca="false">AVERAGE(Instances!G147:G182)</f>
        <v>0</v>
      </c>
      <c r="H7" s="1" t="n">
        <f aca="false">AVERAGE(Instances!H147:H182)</f>
        <v>0</v>
      </c>
      <c r="I7" s="1" t="n">
        <f aca="false">AVERAGE(Instances!I147:I182)</f>
        <v>0</v>
      </c>
      <c r="J7" s="1" t="n">
        <f aca="false">AVERAGE(Instances!J147:J182)</f>
        <v>0</v>
      </c>
      <c r="K7" s="1" t="n">
        <f aca="false">AVERAGE(Instances!K147:K182)</f>
        <v>0</v>
      </c>
      <c r="L7" s="1"/>
      <c r="M7" s="1" t="n">
        <f aca="false">AVERAGE(Instances!M147:M182)</f>
        <v>0</v>
      </c>
      <c r="N7" s="1" t="n">
        <f aca="false">AVERAGE(Instances!N147:N182)</f>
        <v>0</v>
      </c>
      <c r="O7" s="1"/>
      <c r="P7" s="1" t="n">
        <f aca="false">AVERAGE(Instances!P147:P182)</f>
        <v>0</v>
      </c>
      <c r="Q7" s="1" t="n">
        <f aca="false">SUM(Instances!Q147:Q182)</f>
        <v>0</v>
      </c>
      <c r="R7" s="1" t="n">
        <f aca="false">AVERAGE(Instances!R147:R182)</f>
        <v>0</v>
      </c>
      <c r="S7" s="1" t="n">
        <f aca="false">MIN($B7)</f>
        <v>0</v>
      </c>
      <c r="T7" s="1" t="n">
        <f aca="false">MIN($C7)</f>
        <v>0</v>
      </c>
      <c r="U7" s="1" t="n">
        <f aca="false">MIN($D7)</f>
        <v>0</v>
      </c>
      <c r="V7" s="1" t="n">
        <f aca="false">MIN($E7)</f>
        <v>0</v>
      </c>
      <c r="W7" s="1" t="n">
        <f aca="false">MIN($F7)</f>
        <v>0</v>
      </c>
      <c r="X7" s="1" t="n">
        <f aca="false">MIN($G7)</f>
        <v>0</v>
      </c>
      <c r="Y7" s="1" t="n">
        <f aca="false">MIN($H7)</f>
        <v>0</v>
      </c>
      <c r="Z7" s="1" t="n">
        <f aca="false">MIN($I7)</f>
        <v>0</v>
      </c>
      <c r="AA7" s="1" t="n">
        <f aca="false">MIN($J7)</f>
        <v>0</v>
      </c>
      <c r="AB7" s="1" t="n">
        <f aca="false">MIN($K7)</f>
        <v>0</v>
      </c>
      <c r="AC7" s="1" t="n">
        <f aca="false">MIN($M7)</f>
        <v>0</v>
      </c>
      <c r="AD7" s="1" t="n">
        <f aca="false">MIN($N7)</f>
        <v>0</v>
      </c>
      <c r="AE7" s="1" t="n">
        <f aca="false">MIN($P7)</f>
        <v>0</v>
      </c>
      <c r="AF7" s="1" t="n">
        <f aca="false">MIN($Q7)</f>
        <v>0</v>
      </c>
      <c r="AG7" s="1" t="n">
        <f aca="false">MIN($R7)</f>
        <v>0</v>
      </c>
      <c r="AH7" s="1" t="n">
        <f aca="false">MEDIAN($B7)</f>
        <v>0</v>
      </c>
      <c r="AI7" s="1" t="n">
        <f aca="false">MEDIAN($C7)</f>
        <v>0</v>
      </c>
      <c r="AJ7" s="1" t="n">
        <f aca="false">MEDIAN($D7)</f>
        <v>0</v>
      </c>
      <c r="AK7" s="1" t="n">
        <f aca="false">MEDIAN($E7)</f>
        <v>0</v>
      </c>
      <c r="AL7" s="1" t="n">
        <f aca="false">MEDIAN($F7)</f>
        <v>0</v>
      </c>
      <c r="AM7" s="1" t="n">
        <f aca="false">MEDIAN($G7)</f>
        <v>0</v>
      </c>
      <c r="AN7" s="1" t="n">
        <f aca="false">MEDIAN($H7)</f>
        <v>0</v>
      </c>
      <c r="AO7" s="1" t="n">
        <f aca="false">MEDIAN($I7)</f>
        <v>0</v>
      </c>
      <c r="AP7" s="1" t="n">
        <f aca="false">MEDIAN($J7)</f>
        <v>0</v>
      </c>
      <c r="AQ7" s="1" t="n">
        <f aca="false">MEDIAN($K7)</f>
        <v>0</v>
      </c>
      <c r="AR7" s="1" t="n">
        <f aca="false">MEDIAN($M7)</f>
        <v>0</v>
      </c>
      <c r="AS7" s="1" t="n">
        <f aca="false">MEDIAN($N7)</f>
        <v>0</v>
      </c>
      <c r="AT7" s="1" t="n">
        <f aca="false">MEDIAN($P7)</f>
        <v>0</v>
      </c>
      <c r="AU7" s="1" t="n">
        <f aca="false">MEDIAN($Q7)</f>
        <v>0</v>
      </c>
      <c r="AV7" s="1" t="n">
        <f aca="false">MEDIAN($R7)</f>
        <v>0</v>
      </c>
      <c r="AW7" s="1" t="n">
        <f aca="false">MAX($B7)</f>
        <v>0</v>
      </c>
      <c r="AX7" s="1" t="n">
        <f aca="false">MAX($C7)</f>
        <v>0</v>
      </c>
      <c r="AY7" s="1" t="n">
        <f aca="false">MAX($D7)</f>
        <v>0</v>
      </c>
      <c r="AZ7" s="1" t="n">
        <f aca="false">MAX($E7)</f>
        <v>0</v>
      </c>
      <c r="BA7" s="1" t="n">
        <f aca="false">MAX($F7)</f>
        <v>0</v>
      </c>
      <c r="BB7" s="1" t="n">
        <f aca="false">MAX($G7)</f>
        <v>0</v>
      </c>
      <c r="BC7" s="1" t="n">
        <f aca="false">MAX($H7)</f>
        <v>0</v>
      </c>
      <c r="BD7" s="1" t="n">
        <f aca="false">MAX($I7)</f>
        <v>0</v>
      </c>
      <c r="BE7" s="1" t="n">
        <f aca="false">MAX($J7)</f>
        <v>0</v>
      </c>
      <c r="BF7" s="1" t="n">
        <f aca="false">MAX($K7)</f>
        <v>0</v>
      </c>
      <c r="BG7" s="1" t="n">
        <f aca="false">MAX($M7)</f>
        <v>0</v>
      </c>
      <c r="BH7" s="1" t="n">
        <f aca="false">MAX($N7)</f>
        <v>0</v>
      </c>
      <c r="BI7" s="1" t="n">
        <f aca="false">MAX($P7)</f>
        <v>0</v>
      </c>
      <c r="BJ7" s="1" t="n">
        <f aca="false">MAX($Q7)</f>
        <v>0</v>
      </c>
      <c r="BK7" s="1" t="n">
        <f aca="false">MAX($R7)</f>
        <v>0</v>
      </c>
    </row>
    <row r="8" customFormat="false" ht="15" hidden="false" customHeight="false" outlineLevel="0" collapsed="false">
      <c r="A8" s="1" t="s">
        <v>397</v>
      </c>
      <c r="B8" s="1" t="n">
        <f aca="false">AVERAGE(Instances!B183:B218)</f>
        <v>0</v>
      </c>
      <c r="C8" s="1" t="n">
        <f aca="false">AVERAGE(Instances!C183:C218)</f>
        <v>0</v>
      </c>
      <c r="D8" s="1" t="n">
        <f aca="false">AVERAGE(Instances!D183:D218)</f>
        <v>0</v>
      </c>
      <c r="E8" s="1" t="n">
        <f aca="false">AVERAGE(Instances!E183:E218)</f>
        <v>0</v>
      </c>
      <c r="F8" s="1" t="n">
        <f aca="false">AVERAGE(Instances!F183:F218)</f>
        <v>0</v>
      </c>
      <c r="G8" s="1" t="n">
        <f aca="false">AVERAGE(Instances!G183:G218)</f>
        <v>0</v>
      </c>
      <c r="H8" s="1" t="n">
        <f aca="false">AVERAGE(Instances!H183:H218)</f>
        <v>0</v>
      </c>
      <c r="I8" s="1" t="n">
        <f aca="false">AVERAGE(Instances!I183:I218)</f>
        <v>0</v>
      </c>
      <c r="J8" s="1" t="n">
        <f aca="false">AVERAGE(Instances!J183:J218)</f>
        <v>0</v>
      </c>
      <c r="K8" s="1" t="n">
        <f aca="false">AVERAGE(Instances!K183:K218)</f>
        <v>0</v>
      </c>
      <c r="L8" s="1"/>
      <c r="M8" s="1" t="n">
        <f aca="false">AVERAGE(Instances!M183:M218)</f>
        <v>0</v>
      </c>
      <c r="N8" s="1" t="n">
        <f aca="false">AVERAGE(Instances!N183:N218)</f>
        <v>0</v>
      </c>
      <c r="O8" s="1"/>
      <c r="P8" s="1" t="n">
        <f aca="false">AVERAGE(Instances!P183:P218)</f>
        <v>0</v>
      </c>
      <c r="Q8" s="1" t="n">
        <f aca="false">SUM(Instances!Q183:Q218)</f>
        <v>0</v>
      </c>
      <c r="R8" s="1" t="n">
        <f aca="false">AVERAGE(Instances!R183:R218)</f>
        <v>0</v>
      </c>
      <c r="S8" s="1" t="n">
        <f aca="false">MIN($B8)</f>
        <v>0</v>
      </c>
      <c r="T8" s="1" t="n">
        <f aca="false">MIN($C8)</f>
        <v>0</v>
      </c>
      <c r="U8" s="1" t="n">
        <f aca="false">MIN($D8)</f>
        <v>0</v>
      </c>
      <c r="V8" s="1" t="n">
        <f aca="false">MIN($E8)</f>
        <v>0</v>
      </c>
      <c r="W8" s="1" t="n">
        <f aca="false">MIN($F8)</f>
        <v>0</v>
      </c>
      <c r="X8" s="1" t="n">
        <f aca="false">MIN($G8)</f>
        <v>0</v>
      </c>
      <c r="Y8" s="1" t="n">
        <f aca="false">MIN($H8)</f>
        <v>0</v>
      </c>
      <c r="Z8" s="1" t="n">
        <f aca="false">MIN($I8)</f>
        <v>0</v>
      </c>
      <c r="AA8" s="1" t="n">
        <f aca="false">MIN($J8)</f>
        <v>0</v>
      </c>
      <c r="AB8" s="1" t="n">
        <f aca="false">MIN($K8)</f>
        <v>0</v>
      </c>
      <c r="AC8" s="1" t="n">
        <f aca="false">MIN($M8)</f>
        <v>0</v>
      </c>
      <c r="AD8" s="1" t="n">
        <f aca="false">MIN($N8)</f>
        <v>0</v>
      </c>
      <c r="AE8" s="1" t="n">
        <f aca="false">MIN($P8)</f>
        <v>0</v>
      </c>
      <c r="AF8" s="1" t="n">
        <f aca="false">MIN($Q8)</f>
        <v>0</v>
      </c>
      <c r="AG8" s="1" t="n">
        <f aca="false">MIN($R8)</f>
        <v>0</v>
      </c>
      <c r="AH8" s="1" t="n">
        <f aca="false">MEDIAN($B8)</f>
        <v>0</v>
      </c>
      <c r="AI8" s="1" t="n">
        <f aca="false">MEDIAN($C8)</f>
        <v>0</v>
      </c>
      <c r="AJ8" s="1" t="n">
        <f aca="false">MEDIAN($D8)</f>
        <v>0</v>
      </c>
      <c r="AK8" s="1" t="n">
        <f aca="false">MEDIAN($E8)</f>
        <v>0</v>
      </c>
      <c r="AL8" s="1" t="n">
        <f aca="false">MEDIAN($F8)</f>
        <v>0</v>
      </c>
      <c r="AM8" s="1" t="n">
        <f aca="false">MEDIAN($G8)</f>
        <v>0</v>
      </c>
      <c r="AN8" s="1" t="n">
        <f aca="false">MEDIAN($H8)</f>
        <v>0</v>
      </c>
      <c r="AO8" s="1" t="n">
        <f aca="false">MEDIAN($I8)</f>
        <v>0</v>
      </c>
      <c r="AP8" s="1" t="n">
        <f aca="false">MEDIAN($J8)</f>
        <v>0</v>
      </c>
      <c r="AQ8" s="1" t="n">
        <f aca="false">MEDIAN($K8)</f>
        <v>0</v>
      </c>
      <c r="AR8" s="1" t="n">
        <f aca="false">MEDIAN($M8)</f>
        <v>0</v>
      </c>
      <c r="AS8" s="1" t="n">
        <f aca="false">MEDIAN($N8)</f>
        <v>0</v>
      </c>
      <c r="AT8" s="1" t="n">
        <f aca="false">MEDIAN($P8)</f>
        <v>0</v>
      </c>
      <c r="AU8" s="1" t="n">
        <f aca="false">MEDIAN($Q8)</f>
        <v>0</v>
      </c>
      <c r="AV8" s="1" t="n">
        <f aca="false">MEDIAN($R8)</f>
        <v>0</v>
      </c>
      <c r="AW8" s="1" t="n">
        <f aca="false">MAX($B8)</f>
        <v>0</v>
      </c>
      <c r="AX8" s="1" t="n">
        <f aca="false">MAX($C8)</f>
        <v>0</v>
      </c>
      <c r="AY8" s="1" t="n">
        <f aca="false">MAX($D8)</f>
        <v>0</v>
      </c>
      <c r="AZ8" s="1" t="n">
        <f aca="false">MAX($E8)</f>
        <v>0</v>
      </c>
      <c r="BA8" s="1" t="n">
        <f aca="false">MAX($F8)</f>
        <v>0</v>
      </c>
      <c r="BB8" s="1" t="n">
        <f aca="false">MAX($G8)</f>
        <v>0</v>
      </c>
      <c r="BC8" s="1" t="n">
        <f aca="false">MAX($H8)</f>
        <v>0</v>
      </c>
      <c r="BD8" s="1" t="n">
        <f aca="false">MAX($I8)</f>
        <v>0</v>
      </c>
      <c r="BE8" s="1" t="n">
        <f aca="false">MAX($J8)</f>
        <v>0</v>
      </c>
      <c r="BF8" s="1" t="n">
        <f aca="false">MAX($K8)</f>
        <v>0</v>
      </c>
      <c r="BG8" s="1" t="n">
        <f aca="false">MAX($M8)</f>
        <v>0</v>
      </c>
      <c r="BH8" s="1" t="n">
        <f aca="false">MAX($N8)</f>
        <v>0</v>
      </c>
      <c r="BI8" s="1" t="n">
        <f aca="false">MAX($P8)</f>
        <v>0</v>
      </c>
      <c r="BJ8" s="1" t="n">
        <f aca="false">MAX($Q8)</f>
        <v>0</v>
      </c>
      <c r="BK8" s="1" t="n">
        <f aca="false">MAX($R8)</f>
        <v>0</v>
      </c>
    </row>
    <row r="9" customFormat="false" ht="15" hidden="false" customHeight="false" outlineLevel="0" collapsed="false">
      <c r="A9" s="1" t="s">
        <v>398</v>
      </c>
      <c r="B9" s="1" t="n">
        <f aca="false">AVERAGE(Instances!B219:B254)</f>
        <v>0</v>
      </c>
      <c r="C9" s="1" t="n">
        <f aca="false">AVERAGE(Instances!C219:C254)</f>
        <v>0</v>
      </c>
      <c r="D9" s="1" t="n">
        <f aca="false">AVERAGE(Instances!D219:D254)</f>
        <v>0</v>
      </c>
      <c r="E9" s="1" t="n">
        <f aca="false">AVERAGE(Instances!E219:E254)</f>
        <v>0</v>
      </c>
      <c r="F9" s="1" t="n">
        <f aca="false">AVERAGE(Instances!F219:F254)</f>
        <v>0</v>
      </c>
      <c r="G9" s="1" t="n">
        <f aca="false">AVERAGE(Instances!G219:G254)</f>
        <v>0</v>
      </c>
      <c r="H9" s="1" t="n">
        <f aca="false">AVERAGE(Instances!H219:H254)</f>
        <v>0</v>
      </c>
      <c r="I9" s="1" t="n">
        <f aca="false">AVERAGE(Instances!I219:I254)</f>
        <v>0</v>
      </c>
      <c r="J9" s="1" t="n">
        <f aca="false">AVERAGE(Instances!J219:J254)</f>
        <v>0</v>
      </c>
      <c r="K9" s="1" t="n">
        <f aca="false">AVERAGE(Instances!K219:K254)</f>
        <v>0</v>
      </c>
      <c r="L9" s="1"/>
      <c r="M9" s="1" t="n">
        <f aca="false">AVERAGE(Instances!M219:M254)</f>
        <v>0</v>
      </c>
      <c r="N9" s="1" t="n">
        <f aca="false">AVERAGE(Instances!N219:N254)</f>
        <v>0</v>
      </c>
      <c r="O9" s="1"/>
      <c r="P9" s="1" t="n">
        <f aca="false">AVERAGE(Instances!P219:P254)</f>
        <v>0</v>
      </c>
      <c r="Q9" s="1" t="n">
        <f aca="false">SUM(Instances!Q219:Q254)</f>
        <v>0</v>
      </c>
      <c r="R9" s="1" t="n">
        <f aca="false">AVERAGE(Instances!R219:R254)</f>
        <v>0</v>
      </c>
      <c r="S9" s="1" t="n">
        <f aca="false">MIN($B9)</f>
        <v>0</v>
      </c>
      <c r="T9" s="1" t="n">
        <f aca="false">MIN($C9)</f>
        <v>0</v>
      </c>
      <c r="U9" s="1" t="n">
        <f aca="false">MIN($D9)</f>
        <v>0</v>
      </c>
      <c r="V9" s="1" t="n">
        <f aca="false">MIN($E9)</f>
        <v>0</v>
      </c>
      <c r="W9" s="1" t="n">
        <f aca="false">MIN($F9)</f>
        <v>0</v>
      </c>
      <c r="X9" s="1" t="n">
        <f aca="false">MIN($G9)</f>
        <v>0</v>
      </c>
      <c r="Y9" s="1" t="n">
        <f aca="false">MIN($H9)</f>
        <v>0</v>
      </c>
      <c r="Z9" s="1" t="n">
        <f aca="false">MIN($I9)</f>
        <v>0</v>
      </c>
      <c r="AA9" s="1" t="n">
        <f aca="false">MIN($J9)</f>
        <v>0</v>
      </c>
      <c r="AB9" s="1" t="n">
        <f aca="false">MIN($K9)</f>
        <v>0</v>
      </c>
      <c r="AC9" s="1" t="n">
        <f aca="false">MIN($M9)</f>
        <v>0</v>
      </c>
      <c r="AD9" s="1" t="n">
        <f aca="false">MIN($N9)</f>
        <v>0</v>
      </c>
      <c r="AE9" s="1" t="n">
        <f aca="false">MIN($P9)</f>
        <v>0</v>
      </c>
      <c r="AF9" s="1" t="n">
        <f aca="false">MIN($Q9)</f>
        <v>0</v>
      </c>
      <c r="AG9" s="1" t="n">
        <f aca="false">MIN($R9)</f>
        <v>0</v>
      </c>
      <c r="AH9" s="1" t="n">
        <f aca="false">MEDIAN($B9)</f>
        <v>0</v>
      </c>
      <c r="AI9" s="1" t="n">
        <f aca="false">MEDIAN($C9)</f>
        <v>0</v>
      </c>
      <c r="AJ9" s="1" t="n">
        <f aca="false">MEDIAN($D9)</f>
        <v>0</v>
      </c>
      <c r="AK9" s="1" t="n">
        <f aca="false">MEDIAN($E9)</f>
        <v>0</v>
      </c>
      <c r="AL9" s="1" t="n">
        <f aca="false">MEDIAN($F9)</f>
        <v>0</v>
      </c>
      <c r="AM9" s="1" t="n">
        <f aca="false">MEDIAN($G9)</f>
        <v>0</v>
      </c>
      <c r="AN9" s="1" t="n">
        <f aca="false">MEDIAN($H9)</f>
        <v>0</v>
      </c>
      <c r="AO9" s="1" t="n">
        <f aca="false">MEDIAN($I9)</f>
        <v>0</v>
      </c>
      <c r="AP9" s="1" t="n">
        <f aca="false">MEDIAN($J9)</f>
        <v>0</v>
      </c>
      <c r="AQ9" s="1" t="n">
        <f aca="false">MEDIAN($K9)</f>
        <v>0</v>
      </c>
      <c r="AR9" s="1" t="n">
        <f aca="false">MEDIAN($M9)</f>
        <v>0</v>
      </c>
      <c r="AS9" s="1" t="n">
        <f aca="false">MEDIAN($N9)</f>
        <v>0</v>
      </c>
      <c r="AT9" s="1" t="n">
        <f aca="false">MEDIAN($P9)</f>
        <v>0</v>
      </c>
      <c r="AU9" s="1" t="n">
        <f aca="false">MEDIAN($Q9)</f>
        <v>0</v>
      </c>
      <c r="AV9" s="1" t="n">
        <f aca="false">MEDIAN($R9)</f>
        <v>0</v>
      </c>
      <c r="AW9" s="1" t="n">
        <f aca="false">MAX($B9)</f>
        <v>0</v>
      </c>
      <c r="AX9" s="1" t="n">
        <f aca="false">MAX($C9)</f>
        <v>0</v>
      </c>
      <c r="AY9" s="1" t="n">
        <f aca="false">MAX($D9)</f>
        <v>0</v>
      </c>
      <c r="AZ9" s="1" t="n">
        <f aca="false">MAX($E9)</f>
        <v>0</v>
      </c>
      <c r="BA9" s="1" t="n">
        <f aca="false">MAX($F9)</f>
        <v>0</v>
      </c>
      <c r="BB9" s="1" t="n">
        <f aca="false">MAX($G9)</f>
        <v>0</v>
      </c>
      <c r="BC9" s="1" t="n">
        <f aca="false">MAX($H9)</f>
        <v>0</v>
      </c>
      <c r="BD9" s="1" t="n">
        <f aca="false">MAX($I9)</f>
        <v>0</v>
      </c>
      <c r="BE9" s="1" t="n">
        <f aca="false">MAX($J9)</f>
        <v>0</v>
      </c>
      <c r="BF9" s="1" t="n">
        <f aca="false">MAX($K9)</f>
        <v>0</v>
      </c>
      <c r="BG9" s="1" t="n">
        <f aca="false">MAX($M9)</f>
        <v>0</v>
      </c>
      <c r="BH9" s="1" t="n">
        <f aca="false">MAX($N9)</f>
        <v>0</v>
      </c>
      <c r="BI9" s="1" t="n">
        <f aca="false">MAX($P9)</f>
        <v>0</v>
      </c>
      <c r="BJ9" s="1" t="n">
        <f aca="false">MAX($Q9)</f>
        <v>0</v>
      </c>
      <c r="BK9" s="1" t="n">
        <f aca="false">MAX($R9)</f>
        <v>0</v>
      </c>
    </row>
    <row r="10" customFormat="false" ht="15" hidden="false" customHeight="false" outlineLevel="0" collapsed="false">
      <c r="A10" s="1" t="s">
        <v>399</v>
      </c>
      <c r="B10" s="1" t="n">
        <f aca="false">AVERAGE(Instances!B255:B290)</f>
        <v>0</v>
      </c>
      <c r="C10" s="1" t="n">
        <f aca="false">AVERAGE(Instances!C255:C290)</f>
        <v>0</v>
      </c>
      <c r="D10" s="1" t="n">
        <f aca="false">AVERAGE(Instances!D255:D290)</f>
        <v>0</v>
      </c>
      <c r="E10" s="1" t="n">
        <f aca="false">AVERAGE(Instances!E255:E290)</f>
        <v>0</v>
      </c>
      <c r="F10" s="1" t="n">
        <f aca="false">AVERAGE(Instances!F255:F290)</f>
        <v>0</v>
      </c>
      <c r="G10" s="1" t="n">
        <f aca="false">AVERAGE(Instances!G255:G290)</f>
        <v>0</v>
      </c>
      <c r="H10" s="1" t="n">
        <f aca="false">AVERAGE(Instances!H255:H290)</f>
        <v>0</v>
      </c>
      <c r="I10" s="1" t="n">
        <f aca="false">AVERAGE(Instances!I255:I290)</f>
        <v>0</v>
      </c>
      <c r="J10" s="1" t="n">
        <f aca="false">AVERAGE(Instances!J255:J290)</f>
        <v>0</v>
      </c>
      <c r="K10" s="1" t="n">
        <f aca="false">AVERAGE(Instances!K255:K290)</f>
        <v>0</v>
      </c>
      <c r="L10" s="1"/>
      <c r="M10" s="1" t="n">
        <f aca="false">AVERAGE(Instances!M255:M290)</f>
        <v>0</v>
      </c>
      <c r="N10" s="1" t="n">
        <f aca="false">AVERAGE(Instances!N255:N290)</f>
        <v>0</v>
      </c>
      <c r="O10" s="1"/>
      <c r="P10" s="1" t="n">
        <f aca="false">AVERAGE(Instances!P255:P290)</f>
        <v>0</v>
      </c>
      <c r="Q10" s="1" t="n">
        <f aca="false">SUM(Instances!Q255:Q290)</f>
        <v>0</v>
      </c>
      <c r="R10" s="1" t="n">
        <f aca="false">AVERAGE(Instances!R255:R290)</f>
        <v>0</v>
      </c>
      <c r="S10" s="1" t="n">
        <f aca="false">MIN($B10)</f>
        <v>0</v>
      </c>
      <c r="T10" s="1" t="n">
        <f aca="false">MIN($C10)</f>
        <v>0</v>
      </c>
      <c r="U10" s="1" t="n">
        <f aca="false">MIN($D10)</f>
        <v>0</v>
      </c>
      <c r="V10" s="1" t="n">
        <f aca="false">MIN($E10)</f>
        <v>0</v>
      </c>
      <c r="W10" s="1" t="n">
        <f aca="false">MIN($F10)</f>
        <v>0</v>
      </c>
      <c r="X10" s="1" t="n">
        <f aca="false">MIN($G10)</f>
        <v>0</v>
      </c>
      <c r="Y10" s="1" t="n">
        <f aca="false">MIN($H10)</f>
        <v>0</v>
      </c>
      <c r="Z10" s="1" t="n">
        <f aca="false">MIN($I10)</f>
        <v>0</v>
      </c>
      <c r="AA10" s="1" t="n">
        <f aca="false">MIN($J10)</f>
        <v>0</v>
      </c>
      <c r="AB10" s="1" t="n">
        <f aca="false">MIN($K10)</f>
        <v>0</v>
      </c>
      <c r="AC10" s="1" t="n">
        <f aca="false">MIN($M10)</f>
        <v>0</v>
      </c>
      <c r="AD10" s="1" t="n">
        <f aca="false">MIN($N10)</f>
        <v>0</v>
      </c>
      <c r="AE10" s="1" t="n">
        <f aca="false">MIN($P10)</f>
        <v>0</v>
      </c>
      <c r="AF10" s="1" t="n">
        <f aca="false">MIN($Q10)</f>
        <v>0</v>
      </c>
      <c r="AG10" s="1" t="n">
        <f aca="false">MIN($R10)</f>
        <v>0</v>
      </c>
      <c r="AH10" s="1" t="n">
        <f aca="false">MEDIAN($B10)</f>
        <v>0</v>
      </c>
      <c r="AI10" s="1" t="n">
        <f aca="false">MEDIAN($C10)</f>
        <v>0</v>
      </c>
      <c r="AJ10" s="1" t="n">
        <f aca="false">MEDIAN($D10)</f>
        <v>0</v>
      </c>
      <c r="AK10" s="1" t="n">
        <f aca="false">MEDIAN($E10)</f>
        <v>0</v>
      </c>
      <c r="AL10" s="1" t="n">
        <f aca="false">MEDIAN($F10)</f>
        <v>0</v>
      </c>
      <c r="AM10" s="1" t="n">
        <f aca="false">MEDIAN($G10)</f>
        <v>0</v>
      </c>
      <c r="AN10" s="1" t="n">
        <f aca="false">MEDIAN($H10)</f>
        <v>0</v>
      </c>
      <c r="AO10" s="1" t="n">
        <f aca="false">MEDIAN($I10)</f>
        <v>0</v>
      </c>
      <c r="AP10" s="1" t="n">
        <f aca="false">MEDIAN($J10)</f>
        <v>0</v>
      </c>
      <c r="AQ10" s="1" t="n">
        <f aca="false">MEDIAN($K10)</f>
        <v>0</v>
      </c>
      <c r="AR10" s="1" t="n">
        <f aca="false">MEDIAN($M10)</f>
        <v>0</v>
      </c>
      <c r="AS10" s="1" t="n">
        <f aca="false">MEDIAN($N10)</f>
        <v>0</v>
      </c>
      <c r="AT10" s="1" t="n">
        <f aca="false">MEDIAN($P10)</f>
        <v>0</v>
      </c>
      <c r="AU10" s="1" t="n">
        <f aca="false">MEDIAN($Q10)</f>
        <v>0</v>
      </c>
      <c r="AV10" s="1" t="n">
        <f aca="false">MEDIAN($R10)</f>
        <v>0</v>
      </c>
      <c r="AW10" s="1" t="n">
        <f aca="false">MAX($B10)</f>
        <v>0</v>
      </c>
      <c r="AX10" s="1" t="n">
        <f aca="false">MAX($C10)</f>
        <v>0</v>
      </c>
      <c r="AY10" s="1" t="n">
        <f aca="false">MAX($D10)</f>
        <v>0</v>
      </c>
      <c r="AZ10" s="1" t="n">
        <f aca="false">MAX($E10)</f>
        <v>0</v>
      </c>
      <c r="BA10" s="1" t="n">
        <f aca="false">MAX($F10)</f>
        <v>0</v>
      </c>
      <c r="BB10" s="1" t="n">
        <f aca="false">MAX($G10)</f>
        <v>0</v>
      </c>
      <c r="BC10" s="1" t="n">
        <f aca="false">MAX($H10)</f>
        <v>0</v>
      </c>
      <c r="BD10" s="1" t="n">
        <f aca="false">MAX($I10)</f>
        <v>0</v>
      </c>
      <c r="BE10" s="1" t="n">
        <f aca="false">MAX($J10)</f>
        <v>0</v>
      </c>
      <c r="BF10" s="1" t="n">
        <f aca="false">MAX($K10)</f>
        <v>0</v>
      </c>
      <c r="BG10" s="1" t="n">
        <f aca="false">MAX($M10)</f>
        <v>0</v>
      </c>
      <c r="BH10" s="1" t="n">
        <f aca="false">MAX($N10)</f>
        <v>0</v>
      </c>
      <c r="BI10" s="1" t="n">
        <f aca="false">MAX($P10)</f>
        <v>0</v>
      </c>
      <c r="BJ10" s="1" t="n">
        <f aca="false">MAX($Q10)</f>
        <v>0</v>
      </c>
      <c r="BK10" s="1" t="n">
        <f aca="false">MAX($R10)</f>
        <v>0</v>
      </c>
    </row>
    <row r="11" customFormat="false" ht="15" hidden="false" customHeight="false" outlineLevel="0" collapsed="false">
      <c r="A11" s="1" t="s">
        <v>400</v>
      </c>
      <c r="B11" s="1" t="n">
        <f aca="false">AVERAGE(Instances!B291:B326)</f>
        <v>0</v>
      </c>
      <c r="C11" s="1" t="n">
        <f aca="false">AVERAGE(Instances!C291:C326)</f>
        <v>0</v>
      </c>
      <c r="D11" s="1" t="n">
        <f aca="false">AVERAGE(Instances!D291:D326)</f>
        <v>0</v>
      </c>
      <c r="E11" s="1" t="n">
        <f aca="false">AVERAGE(Instances!E291:E326)</f>
        <v>0</v>
      </c>
      <c r="F11" s="1" t="n">
        <f aca="false">AVERAGE(Instances!F291:F326)</f>
        <v>0</v>
      </c>
      <c r="G11" s="1" t="n">
        <f aca="false">AVERAGE(Instances!G291:G326)</f>
        <v>0</v>
      </c>
      <c r="H11" s="1" t="n">
        <f aca="false">AVERAGE(Instances!H291:H326)</f>
        <v>0</v>
      </c>
      <c r="I11" s="1" t="n">
        <f aca="false">AVERAGE(Instances!I291:I326)</f>
        <v>0</v>
      </c>
      <c r="J11" s="1" t="n">
        <f aca="false">AVERAGE(Instances!J291:J326)</f>
        <v>0</v>
      </c>
      <c r="K11" s="1" t="n">
        <f aca="false">AVERAGE(Instances!K291:K326)</f>
        <v>0</v>
      </c>
      <c r="L11" s="1"/>
      <c r="M11" s="1" t="n">
        <f aca="false">AVERAGE(Instances!M291:M326)</f>
        <v>0</v>
      </c>
      <c r="N11" s="1" t="n">
        <f aca="false">AVERAGE(Instances!N291:N326)</f>
        <v>0</v>
      </c>
      <c r="O11" s="1"/>
      <c r="P11" s="1" t="n">
        <f aca="false">AVERAGE(Instances!P291:P326)</f>
        <v>0</v>
      </c>
      <c r="Q11" s="1" t="n">
        <f aca="false">SUM(Instances!Q291:Q326)</f>
        <v>0</v>
      </c>
      <c r="R11" s="1" t="n">
        <f aca="false">AVERAGE(Instances!R291:R326)</f>
        <v>0</v>
      </c>
      <c r="S11" s="1" t="n">
        <f aca="false">MIN($B11)</f>
        <v>0</v>
      </c>
      <c r="T11" s="1" t="n">
        <f aca="false">MIN($C11)</f>
        <v>0</v>
      </c>
      <c r="U11" s="1" t="n">
        <f aca="false">MIN($D11)</f>
        <v>0</v>
      </c>
      <c r="V11" s="1" t="n">
        <f aca="false">MIN($E11)</f>
        <v>0</v>
      </c>
      <c r="W11" s="1" t="n">
        <f aca="false">MIN($F11)</f>
        <v>0</v>
      </c>
      <c r="X11" s="1" t="n">
        <f aca="false">MIN($G11)</f>
        <v>0</v>
      </c>
      <c r="Y11" s="1" t="n">
        <f aca="false">MIN($H11)</f>
        <v>0</v>
      </c>
      <c r="Z11" s="1" t="n">
        <f aca="false">MIN($I11)</f>
        <v>0</v>
      </c>
      <c r="AA11" s="1" t="n">
        <f aca="false">MIN($J11)</f>
        <v>0</v>
      </c>
      <c r="AB11" s="1" t="n">
        <f aca="false">MIN($K11)</f>
        <v>0</v>
      </c>
      <c r="AC11" s="1" t="n">
        <f aca="false">MIN($M11)</f>
        <v>0</v>
      </c>
      <c r="AD11" s="1" t="n">
        <f aca="false">MIN($N11)</f>
        <v>0</v>
      </c>
      <c r="AE11" s="1" t="n">
        <f aca="false">MIN($P11)</f>
        <v>0</v>
      </c>
      <c r="AF11" s="1" t="n">
        <f aca="false">MIN($Q11)</f>
        <v>0</v>
      </c>
      <c r="AG11" s="1" t="n">
        <f aca="false">MIN($R11)</f>
        <v>0</v>
      </c>
      <c r="AH11" s="1" t="n">
        <f aca="false">MEDIAN($B11)</f>
        <v>0</v>
      </c>
      <c r="AI11" s="1" t="n">
        <f aca="false">MEDIAN($C11)</f>
        <v>0</v>
      </c>
      <c r="AJ11" s="1" t="n">
        <f aca="false">MEDIAN($D11)</f>
        <v>0</v>
      </c>
      <c r="AK11" s="1" t="n">
        <f aca="false">MEDIAN($E11)</f>
        <v>0</v>
      </c>
      <c r="AL11" s="1" t="n">
        <f aca="false">MEDIAN($F11)</f>
        <v>0</v>
      </c>
      <c r="AM11" s="1" t="n">
        <f aca="false">MEDIAN($G11)</f>
        <v>0</v>
      </c>
      <c r="AN11" s="1" t="n">
        <f aca="false">MEDIAN($H11)</f>
        <v>0</v>
      </c>
      <c r="AO11" s="1" t="n">
        <f aca="false">MEDIAN($I11)</f>
        <v>0</v>
      </c>
      <c r="AP11" s="1" t="n">
        <f aca="false">MEDIAN($J11)</f>
        <v>0</v>
      </c>
      <c r="AQ11" s="1" t="n">
        <f aca="false">MEDIAN($K11)</f>
        <v>0</v>
      </c>
      <c r="AR11" s="1" t="n">
        <f aca="false">MEDIAN($M11)</f>
        <v>0</v>
      </c>
      <c r="AS11" s="1" t="n">
        <f aca="false">MEDIAN($N11)</f>
        <v>0</v>
      </c>
      <c r="AT11" s="1" t="n">
        <f aca="false">MEDIAN($P11)</f>
        <v>0</v>
      </c>
      <c r="AU11" s="1" t="n">
        <f aca="false">MEDIAN($Q11)</f>
        <v>0</v>
      </c>
      <c r="AV11" s="1" t="n">
        <f aca="false">MEDIAN($R11)</f>
        <v>0</v>
      </c>
      <c r="AW11" s="1" t="n">
        <f aca="false">MAX($B11)</f>
        <v>0</v>
      </c>
      <c r="AX11" s="1" t="n">
        <f aca="false">MAX($C11)</f>
        <v>0</v>
      </c>
      <c r="AY11" s="1" t="n">
        <f aca="false">MAX($D11)</f>
        <v>0</v>
      </c>
      <c r="AZ11" s="1" t="n">
        <f aca="false">MAX($E11)</f>
        <v>0</v>
      </c>
      <c r="BA11" s="1" t="n">
        <f aca="false">MAX($F11)</f>
        <v>0</v>
      </c>
      <c r="BB11" s="1" t="n">
        <f aca="false">MAX($G11)</f>
        <v>0</v>
      </c>
      <c r="BC11" s="1" t="n">
        <f aca="false">MAX($H11)</f>
        <v>0</v>
      </c>
      <c r="BD11" s="1" t="n">
        <f aca="false">MAX($I11)</f>
        <v>0</v>
      </c>
      <c r="BE11" s="1" t="n">
        <f aca="false">MAX($J11)</f>
        <v>0</v>
      </c>
      <c r="BF11" s="1" t="n">
        <f aca="false">MAX($K11)</f>
        <v>0</v>
      </c>
      <c r="BG11" s="1" t="n">
        <f aca="false">MAX($M11)</f>
        <v>0</v>
      </c>
      <c r="BH11" s="1" t="n">
        <f aca="false">MAX($N11)</f>
        <v>0</v>
      </c>
      <c r="BI11" s="1" t="n">
        <f aca="false">MAX($P11)</f>
        <v>0</v>
      </c>
      <c r="BJ11" s="1" t="n">
        <f aca="false">MAX($Q11)</f>
        <v>0</v>
      </c>
      <c r="BK11" s="1" t="n">
        <f aca="false">MAX($R11)</f>
        <v>0</v>
      </c>
    </row>
    <row r="12" customFormat="false" ht="15" hidden="false" customHeight="false" outlineLevel="0" collapsed="false">
      <c r="A12" s="1" t="s">
        <v>401</v>
      </c>
      <c r="B12" s="1" t="n">
        <f aca="false">AVERAGE(Instances!B327:B362)</f>
        <v>0</v>
      </c>
      <c r="C12" s="1" t="n">
        <f aca="false">AVERAGE(Instances!C327:C362)</f>
        <v>0</v>
      </c>
      <c r="D12" s="1" t="n">
        <f aca="false">AVERAGE(Instances!D327:D362)</f>
        <v>0</v>
      </c>
      <c r="E12" s="1" t="n">
        <f aca="false">AVERAGE(Instances!E327:E362)</f>
        <v>0</v>
      </c>
      <c r="F12" s="1" t="n">
        <f aca="false">AVERAGE(Instances!F327:F362)</f>
        <v>0</v>
      </c>
      <c r="G12" s="1" t="n">
        <f aca="false">AVERAGE(Instances!G327:G362)</f>
        <v>0</v>
      </c>
      <c r="H12" s="1" t="n">
        <f aca="false">AVERAGE(Instances!H327:H362)</f>
        <v>0</v>
      </c>
      <c r="I12" s="1" t="n">
        <f aca="false">AVERAGE(Instances!I327:I362)</f>
        <v>0</v>
      </c>
      <c r="J12" s="1" t="n">
        <f aca="false">AVERAGE(Instances!J327:J362)</f>
        <v>0</v>
      </c>
      <c r="K12" s="1" t="n">
        <f aca="false">AVERAGE(Instances!K327:K362)</f>
        <v>0</v>
      </c>
      <c r="L12" s="1"/>
      <c r="M12" s="1" t="n">
        <f aca="false">AVERAGE(Instances!M327:M362)</f>
        <v>0</v>
      </c>
      <c r="N12" s="1" t="n">
        <f aca="false">AVERAGE(Instances!N327:N362)</f>
        <v>0</v>
      </c>
      <c r="O12" s="1"/>
      <c r="P12" s="1" t="n">
        <f aca="false">AVERAGE(Instances!P327:P362)</f>
        <v>0</v>
      </c>
      <c r="Q12" s="1" t="n">
        <f aca="false">SUM(Instances!Q327:Q362)</f>
        <v>0</v>
      </c>
      <c r="R12" s="1" t="n">
        <f aca="false">AVERAGE(Instances!R327:R362)</f>
        <v>0</v>
      </c>
      <c r="S12" s="1" t="n">
        <f aca="false">MIN($B12)</f>
        <v>0</v>
      </c>
      <c r="T12" s="1" t="n">
        <f aca="false">MIN($C12)</f>
        <v>0</v>
      </c>
      <c r="U12" s="1" t="n">
        <f aca="false">MIN($D12)</f>
        <v>0</v>
      </c>
      <c r="V12" s="1" t="n">
        <f aca="false">MIN($E12)</f>
        <v>0</v>
      </c>
      <c r="W12" s="1" t="n">
        <f aca="false">MIN($F12)</f>
        <v>0</v>
      </c>
      <c r="X12" s="1" t="n">
        <f aca="false">MIN($G12)</f>
        <v>0</v>
      </c>
      <c r="Y12" s="1" t="n">
        <f aca="false">MIN($H12)</f>
        <v>0</v>
      </c>
      <c r="Z12" s="1" t="n">
        <f aca="false">MIN($I12)</f>
        <v>0</v>
      </c>
      <c r="AA12" s="1" t="n">
        <f aca="false">MIN($J12)</f>
        <v>0</v>
      </c>
      <c r="AB12" s="1" t="n">
        <f aca="false">MIN($K12)</f>
        <v>0</v>
      </c>
      <c r="AC12" s="1" t="n">
        <f aca="false">MIN($M12)</f>
        <v>0</v>
      </c>
      <c r="AD12" s="1" t="n">
        <f aca="false">MIN($N12)</f>
        <v>0</v>
      </c>
      <c r="AE12" s="1" t="n">
        <f aca="false">MIN($P12)</f>
        <v>0</v>
      </c>
      <c r="AF12" s="1" t="n">
        <f aca="false">MIN($Q12)</f>
        <v>0</v>
      </c>
      <c r="AG12" s="1" t="n">
        <f aca="false">MIN($R12)</f>
        <v>0</v>
      </c>
      <c r="AH12" s="1" t="n">
        <f aca="false">MEDIAN($B12)</f>
        <v>0</v>
      </c>
      <c r="AI12" s="1" t="n">
        <f aca="false">MEDIAN($C12)</f>
        <v>0</v>
      </c>
      <c r="AJ12" s="1" t="n">
        <f aca="false">MEDIAN($D12)</f>
        <v>0</v>
      </c>
      <c r="AK12" s="1" t="n">
        <f aca="false">MEDIAN($E12)</f>
        <v>0</v>
      </c>
      <c r="AL12" s="1" t="n">
        <f aca="false">MEDIAN($F12)</f>
        <v>0</v>
      </c>
      <c r="AM12" s="1" t="n">
        <f aca="false">MEDIAN($G12)</f>
        <v>0</v>
      </c>
      <c r="AN12" s="1" t="n">
        <f aca="false">MEDIAN($H12)</f>
        <v>0</v>
      </c>
      <c r="AO12" s="1" t="n">
        <f aca="false">MEDIAN($I12)</f>
        <v>0</v>
      </c>
      <c r="AP12" s="1" t="n">
        <f aca="false">MEDIAN($J12)</f>
        <v>0</v>
      </c>
      <c r="AQ12" s="1" t="n">
        <f aca="false">MEDIAN($K12)</f>
        <v>0</v>
      </c>
      <c r="AR12" s="1" t="n">
        <f aca="false">MEDIAN($M12)</f>
        <v>0</v>
      </c>
      <c r="AS12" s="1" t="n">
        <f aca="false">MEDIAN($N12)</f>
        <v>0</v>
      </c>
      <c r="AT12" s="1" t="n">
        <f aca="false">MEDIAN($P12)</f>
        <v>0</v>
      </c>
      <c r="AU12" s="1" t="n">
        <f aca="false">MEDIAN($Q12)</f>
        <v>0</v>
      </c>
      <c r="AV12" s="1" t="n">
        <f aca="false">MEDIAN($R12)</f>
        <v>0</v>
      </c>
      <c r="AW12" s="1" t="n">
        <f aca="false">MAX($B12)</f>
        <v>0</v>
      </c>
      <c r="AX12" s="1" t="n">
        <f aca="false">MAX($C12)</f>
        <v>0</v>
      </c>
      <c r="AY12" s="1" t="n">
        <f aca="false">MAX($D12)</f>
        <v>0</v>
      </c>
      <c r="AZ12" s="1" t="n">
        <f aca="false">MAX($E12)</f>
        <v>0</v>
      </c>
      <c r="BA12" s="1" t="n">
        <f aca="false">MAX($F12)</f>
        <v>0</v>
      </c>
      <c r="BB12" s="1" t="n">
        <f aca="false">MAX($G12)</f>
        <v>0</v>
      </c>
      <c r="BC12" s="1" t="n">
        <f aca="false">MAX($H12)</f>
        <v>0</v>
      </c>
      <c r="BD12" s="1" t="n">
        <f aca="false">MAX($I12)</f>
        <v>0</v>
      </c>
      <c r="BE12" s="1" t="n">
        <f aca="false">MAX($J12)</f>
        <v>0</v>
      </c>
      <c r="BF12" s="1" t="n">
        <f aca="false">MAX($K12)</f>
        <v>0</v>
      </c>
      <c r="BG12" s="1" t="n">
        <f aca="false">MAX($M12)</f>
        <v>0</v>
      </c>
      <c r="BH12" s="1" t="n">
        <f aca="false">MAX($N12)</f>
        <v>0</v>
      </c>
      <c r="BI12" s="1" t="n">
        <f aca="false">MAX($P12)</f>
        <v>0</v>
      </c>
      <c r="BJ12" s="1" t="n">
        <f aca="false">MAX($Q12)</f>
        <v>0</v>
      </c>
      <c r="BK12" s="1" t="n">
        <f aca="false">MAX($R12)</f>
        <v>0</v>
      </c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</row>
    <row r="14" customFormat="false" ht="15" hidden="false" customHeight="false" outlineLevel="0" collapsed="false">
      <c r="A14" s="1" t="s">
        <v>380</v>
      </c>
      <c r="B14" s="1" t="n">
        <f aca="false">SUM(B$3:B$12)</f>
        <v>0</v>
      </c>
      <c r="C14" s="1" t="n">
        <f aca="false">SUM(C$3:C$12)</f>
        <v>0</v>
      </c>
      <c r="D14" s="1" t="n">
        <f aca="false">SUM(D$3:D$12)</f>
        <v>0</v>
      </c>
      <c r="E14" s="1" t="n">
        <f aca="false">SUM(E$3:E$12)</f>
        <v>0</v>
      </c>
      <c r="F14" s="1" t="n">
        <f aca="false">SUM(F$3:F$12)</f>
        <v>0</v>
      </c>
      <c r="G14" s="1" t="n">
        <f aca="false">SUM(G$3:G$12)</f>
        <v>0</v>
      </c>
      <c r="H14" s="1" t="n">
        <f aca="false">SUM(H$3:H$12)</f>
        <v>0</v>
      </c>
      <c r="I14" s="1" t="n">
        <f aca="false">SUM(I$3:I$12)</f>
        <v>0</v>
      </c>
      <c r="J14" s="1" t="n">
        <f aca="false">SUM(J$3:J$12)</f>
        <v>0</v>
      </c>
      <c r="K14" s="1" t="n">
        <f aca="false">SUM(K$3:K$12)</f>
        <v>0</v>
      </c>
      <c r="L14" s="1"/>
      <c r="M14" s="1" t="n">
        <f aca="false">SUM(M$3:M$12)</f>
        <v>0</v>
      </c>
      <c r="N14" s="1" t="n">
        <f aca="false">SUM(N$3:N$12)</f>
        <v>0</v>
      </c>
      <c r="O14" s="1"/>
      <c r="P14" s="1" t="n">
        <f aca="false">SUM(P$3:P$12)</f>
        <v>0</v>
      </c>
      <c r="Q14" s="1" t="n">
        <f aca="false">SUM(Q$3:Q$12)</f>
        <v>0</v>
      </c>
      <c r="R14" s="1" t="n">
        <f aca="false">SUM(R$3:R$12)</f>
        <v>0</v>
      </c>
      <c r="S14" s="1" t="n">
        <f aca="false">SUM(S$3:S$12)</f>
        <v>0</v>
      </c>
      <c r="T14" s="1" t="n">
        <f aca="false">SUM(T$3:T$12)</f>
        <v>0</v>
      </c>
      <c r="U14" s="1" t="n">
        <f aca="false">SUM(U$3:U$12)</f>
        <v>0</v>
      </c>
      <c r="V14" s="1" t="n">
        <f aca="false">SUM(V$3:V$12)</f>
        <v>0</v>
      </c>
      <c r="W14" s="1" t="n">
        <f aca="false">SUM(W$3:W$12)</f>
        <v>0</v>
      </c>
      <c r="X14" s="1" t="n">
        <f aca="false">SUM(X$3:X$12)</f>
        <v>0</v>
      </c>
      <c r="Y14" s="1" t="n">
        <f aca="false">SUM(Y$3:Y$12)</f>
        <v>0</v>
      </c>
      <c r="Z14" s="1" t="n">
        <f aca="false">SUM(Z$3:Z$12)</f>
        <v>0</v>
      </c>
      <c r="AA14" s="1" t="n">
        <f aca="false">SUM(AA$3:AA$12)</f>
        <v>0</v>
      </c>
      <c r="AB14" s="1" t="n">
        <f aca="false">SUM(AB$3:AB$12)</f>
        <v>0</v>
      </c>
      <c r="AC14" s="1" t="n">
        <f aca="false">SUM(AC$3:AC$12)</f>
        <v>0</v>
      </c>
      <c r="AD14" s="1" t="n">
        <f aca="false">SUM(AD$3:AD$12)</f>
        <v>0</v>
      </c>
      <c r="AE14" s="1" t="n">
        <f aca="false">SUM(AE$3:AE$12)</f>
        <v>0</v>
      </c>
      <c r="AF14" s="1" t="n">
        <f aca="false">SUM(AF$3:AF$12)</f>
        <v>0</v>
      </c>
      <c r="AG14" s="1" t="n">
        <f aca="false">SUM(AG$3:AG$12)</f>
        <v>0</v>
      </c>
      <c r="AH14" s="1" t="n">
        <f aca="false">SUM(AH$3:AH$12)</f>
        <v>0</v>
      </c>
      <c r="AI14" s="1" t="n">
        <f aca="false">SUM(AI$3:AI$12)</f>
        <v>0</v>
      </c>
      <c r="AJ14" s="1" t="n">
        <f aca="false">SUM(AJ$3:AJ$12)</f>
        <v>0</v>
      </c>
      <c r="AK14" s="1" t="n">
        <f aca="false">SUM(AK$3:AK$12)</f>
        <v>0</v>
      </c>
      <c r="AL14" s="1" t="n">
        <f aca="false">SUM(AL$3:AL$12)</f>
        <v>0</v>
      </c>
      <c r="AM14" s="1" t="n">
        <f aca="false">SUM(AM$3:AM$12)</f>
        <v>0</v>
      </c>
      <c r="AN14" s="1" t="n">
        <f aca="false">SUM(AN$3:AN$12)</f>
        <v>0</v>
      </c>
      <c r="AO14" s="1" t="n">
        <f aca="false">SUM(AO$3:AO$12)</f>
        <v>0</v>
      </c>
      <c r="AP14" s="1" t="n">
        <f aca="false">SUM(AP$3:AP$12)</f>
        <v>0</v>
      </c>
      <c r="AQ14" s="1" t="n">
        <f aca="false">SUM(AQ$3:AQ$12)</f>
        <v>0</v>
      </c>
      <c r="AR14" s="1" t="n">
        <f aca="false">SUM(AR$3:AR$12)</f>
        <v>0</v>
      </c>
      <c r="AS14" s="1" t="n">
        <f aca="false">SUM(AS$3:AS$12)</f>
        <v>0</v>
      </c>
      <c r="AT14" s="1" t="n">
        <f aca="false">SUM(AT$3:AT$12)</f>
        <v>0</v>
      </c>
      <c r="AU14" s="1" t="n">
        <f aca="false">SUM(AU$3:AU$12)</f>
        <v>0</v>
      </c>
      <c r="AV14" s="1" t="n">
        <f aca="false">SUM(AV$3:AV$12)</f>
        <v>0</v>
      </c>
      <c r="AW14" s="1" t="n">
        <f aca="false">SUM(AW$3:AW$12)</f>
        <v>0</v>
      </c>
      <c r="AX14" s="1" t="n">
        <f aca="false">SUM(AX$3:AX$12)</f>
        <v>0</v>
      </c>
      <c r="AY14" s="1" t="n">
        <f aca="false">SUM(AY$3:AY$12)</f>
        <v>0</v>
      </c>
      <c r="AZ14" s="1" t="n">
        <f aca="false">SUM(AZ$3:AZ$12)</f>
        <v>0</v>
      </c>
      <c r="BA14" s="1" t="n">
        <f aca="false">SUM(BA$3:BA$12)</f>
        <v>0</v>
      </c>
      <c r="BB14" s="1" t="n">
        <f aca="false">SUM(BB$3:BB$12)</f>
        <v>0</v>
      </c>
      <c r="BC14" s="1" t="n">
        <f aca="false">SUM(BC$3:BC$12)</f>
        <v>0</v>
      </c>
      <c r="BD14" s="1" t="n">
        <f aca="false">SUM(BD$3:BD$12)</f>
        <v>0</v>
      </c>
      <c r="BE14" s="1" t="n">
        <f aca="false">SUM(BE$3:BE$12)</f>
        <v>0</v>
      </c>
      <c r="BF14" s="1" t="n">
        <f aca="false">SUM(BF$3:BF$12)</f>
        <v>0</v>
      </c>
      <c r="BG14" s="1" t="n">
        <f aca="false">SUM(BG$3:BG$12)</f>
        <v>0</v>
      </c>
      <c r="BH14" s="1" t="n">
        <f aca="false">SUM(BH$3:BH$12)</f>
        <v>0</v>
      </c>
      <c r="BI14" s="1" t="n">
        <f aca="false">SUM(BI$3:BI$12)</f>
        <v>0</v>
      </c>
      <c r="BJ14" s="1" t="n">
        <f aca="false">SUM(BJ$3:BJ$12)</f>
        <v>0</v>
      </c>
      <c r="BK14" s="1" t="n">
        <f aca="false">SUM(BK$3:BK$12)</f>
        <v>0</v>
      </c>
    </row>
    <row r="15" customFormat="false" ht="15" hidden="false" customHeight="false" outlineLevel="0" collapsed="false">
      <c r="A15" s="1" t="s">
        <v>381</v>
      </c>
      <c r="B15" s="1" t="n">
        <f aca="false">AVERAGE(B$3:B$12)</f>
        <v>0</v>
      </c>
      <c r="C15" s="1" t="n">
        <f aca="false">AVERAGE(C$3:C$12)</f>
        <v>0</v>
      </c>
      <c r="D15" s="1" t="n">
        <f aca="false">AVERAGE(D$3:D$12)</f>
        <v>0</v>
      </c>
      <c r="E15" s="1" t="n">
        <f aca="false">AVERAGE(E$3:E$12)</f>
        <v>0</v>
      </c>
      <c r="F15" s="1" t="n">
        <f aca="false">AVERAGE(F$3:F$12)</f>
        <v>0</v>
      </c>
      <c r="G15" s="1" t="n">
        <f aca="false">AVERAGE(G$3:G$12)</f>
        <v>0</v>
      </c>
      <c r="H15" s="1" t="n">
        <f aca="false">AVERAGE(H$3:H$12)</f>
        <v>0</v>
      </c>
      <c r="I15" s="1" t="n">
        <f aca="false">AVERAGE(I$3:I$12)</f>
        <v>0</v>
      </c>
      <c r="J15" s="1" t="n">
        <f aca="false">AVERAGE(J$3:J$12)</f>
        <v>0</v>
      </c>
      <c r="K15" s="1" t="n">
        <f aca="false">AVERAGE(K$3:K$12)</f>
        <v>0</v>
      </c>
      <c r="L15" s="1"/>
      <c r="M15" s="1" t="n">
        <f aca="false">AVERAGE(M$3:M$12)</f>
        <v>0</v>
      </c>
      <c r="N15" s="1" t="n">
        <f aca="false">AVERAGE(N$3:N$12)</f>
        <v>0</v>
      </c>
      <c r="O15" s="1"/>
      <c r="P15" s="1" t="n">
        <f aca="false">AVERAGE(P$3:P$12)</f>
        <v>0</v>
      </c>
      <c r="Q15" s="1" t="n">
        <f aca="false">AVERAGE(Q$3:Q$12)</f>
        <v>0</v>
      </c>
      <c r="R15" s="1" t="n">
        <f aca="false">AVERAGE(R$3:R$12)</f>
        <v>0</v>
      </c>
      <c r="S15" s="1" t="n">
        <f aca="false">AVERAGE(S$3:S$12)</f>
        <v>0</v>
      </c>
      <c r="T15" s="1" t="n">
        <f aca="false">AVERAGE(T$3:T$12)</f>
        <v>0</v>
      </c>
      <c r="U15" s="1" t="n">
        <f aca="false">AVERAGE(U$3:U$12)</f>
        <v>0</v>
      </c>
      <c r="V15" s="1" t="n">
        <f aca="false">AVERAGE(V$3:V$12)</f>
        <v>0</v>
      </c>
      <c r="W15" s="1" t="n">
        <f aca="false">AVERAGE(W$3:W$12)</f>
        <v>0</v>
      </c>
      <c r="X15" s="1" t="n">
        <f aca="false">AVERAGE(X$3:X$12)</f>
        <v>0</v>
      </c>
      <c r="Y15" s="1" t="n">
        <f aca="false">AVERAGE(Y$3:Y$12)</f>
        <v>0</v>
      </c>
      <c r="Z15" s="1" t="n">
        <f aca="false">AVERAGE(Z$3:Z$12)</f>
        <v>0</v>
      </c>
      <c r="AA15" s="1" t="n">
        <f aca="false">AVERAGE(AA$3:AA$12)</f>
        <v>0</v>
      </c>
      <c r="AB15" s="1" t="n">
        <f aca="false">AVERAGE(AB$3:AB$12)</f>
        <v>0</v>
      </c>
      <c r="AC15" s="1" t="n">
        <f aca="false">AVERAGE(AC$3:AC$12)</f>
        <v>0</v>
      </c>
      <c r="AD15" s="1" t="n">
        <f aca="false">AVERAGE(AD$3:AD$12)</f>
        <v>0</v>
      </c>
      <c r="AE15" s="1" t="n">
        <f aca="false">AVERAGE(AE$3:AE$12)</f>
        <v>0</v>
      </c>
      <c r="AF15" s="1" t="n">
        <f aca="false">AVERAGE(AF$3:AF$12)</f>
        <v>0</v>
      </c>
      <c r="AG15" s="1" t="n">
        <f aca="false">AVERAGE(AG$3:AG$12)</f>
        <v>0</v>
      </c>
      <c r="AH15" s="1" t="n">
        <f aca="false">AVERAGE(AH$3:AH$12)</f>
        <v>0</v>
      </c>
      <c r="AI15" s="1" t="n">
        <f aca="false">AVERAGE(AI$3:AI$12)</f>
        <v>0</v>
      </c>
      <c r="AJ15" s="1" t="n">
        <f aca="false">AVERAGE(AJ$3:AJ$12)</f>
        <v>0</v>
      </c>
      <c r="AK15" s="1" t="n">
        <f aca="false">AVERAGE(AK$3:AK$12)</f>
        <v>0</v>
      </c>
      <c r="AL15" s="1" t="n">
        <f aca="false">AVERAGE(AL$3:AL$12)</f>
        <v>0</v>
      </c>
      <c r="AM15" s="1" t="n">
        <f aca="false">AVERAGE(AM$3:AM$12)</f>
        <v>0</v>
      </c>
      <c r="AN15" s="1" t="n">
        <f aca="false">AVERAGE(AN$3:AN$12)</f>
        <v>0</v>
      </c>
      <c r="AO15" s="1" t="n">
        <f aca="false">AVERAGE(AO$3:AO$12)</f>
        <v>0</v>
      </c>
      <c r="AP15" s="1" t="n">
        <f aca="false">AVERAGE(AP$3:AP$12)</f>
        <v>0</v>
      </c>
      <c r="AQ15" s="1" t="n">
        <f aca="false">AVERAGE(AQ$3:AQ$12)</f>
        <v>0</v>
      </c>
      <c r="AR15" s="1" t="n">
        <f aca="false">AVERAGE(AR$3:AR$12)</f>
        <v>0</v>
      </c>
      <c r="AS15" s="1" t="n">
        <f aca="false">AVERAGE(AS$3:AS$12)</f>
        <v>0</v>
      </c>
      <c r="AT15" s="1" t="n">
        <f aca="false">AVERAGE(AT$3:AT$12)</f>
        <v>0</v>
      </c>
      <c r="AU15" s="1" t="n">
        <f aca="false">AVERAGE(AU$3:AU$12)</f>
        <v>0</v>
      </c>
      <c r="AV15" s="1" t="n">
        <f aca="false">AVERAGE(AV$3:AV$12)</f>
        <v>0</v>
      </c>
      <c r="AW15" s="1" t="n">
        <f aca="false">AVERAGE(AW$3:AW$12)</f>
        <v>0</v>
      </c>
      <c r="AX15" s="1" t="n">
        <f aca="false">AVERAGE(AX$3:AX$12)</f>
        <v>0</v>
      </c>
      <c r="AY15" s="1" t="n">
        <f aca="false">AVERAGE(AY$3:AY$12)</f>
        <v>0</v>
      </c>
      <c r="AZ15" s="1" t="n">
        <f aca="false">AVERAGE(AZ$3:AZ$12)</f>
        <v>0</v>
      </c>
      <c r="BA15" s="1" t="n">
        <f aca="false">AVERAGE(BA$3:BA$12)</f>
        <v>0</v>
      </c>
      <c r="BB15" s="1" t="n">
        <f aca="false">AVERAGE(BB$3:BB$12)</f>
        <v>0</v>
      </c>
      <c r="BC15" s="1" t="n">
        <f aca="false">AVERAGE(BC$3:BC$12)</f>
        <v>0</v>
      </c>
      <c r="BD15" s="1" t="n">
        <f aca="false">AVERAGE(BD$3:BD$12)</f>
        <v>0</v>
      </c>
      <c r="BE15" s="1" t="n">
        <f aca="false">AVERAGE(BE$3:BE$12)</f>
        <v>0</v>
      </c>
      <c r="BF15" s="1" t="n">
        <f aca="false">AVERAGE(BF$3:BF$12)</f>
        <v>0</v>
      </c>
      <c r="BG15" s="1" t="n">
        <f aca="false">AVERAGE(BG$3:BG$12)</f>
        <v>0</v>
      </c>
      <c r="BH15" s="1" t="n">
        <f aca="false">AVERAGE(BH$3:BH$12)</f>
        <v>0</v>
      </c>
      <c r="BI15" s="1" t="n">
        <f aca="false">AVERAGE(BI$3:BI$12)</f>
        <v>0</v>
      </c>
      <c r="BJ15" s="1" t="n">
        <f aca="false">AVERAGE(BJ$3:BJ$12)</f>
        <v>0</v>
      </c>
      <c r="BK15" s="1" t="n">
        <f aca="false">AVERAGE(BK$3:BK$12)</f>
        <v>0</v>
      </c>
    </row>
    <row r="16" customFormat="false" ht="15" hidden="false" customHeight="false" outlineLevel="0" collapsed="false">
      <c r="A16" s="1" t="s">
        <v>382</v>
      </c>
      <c r="B16" s="1" t="n">
        <f aca="false">STDEV(B$3:B$12)</f>
        <v>0</v>
      </c>
      <c r="C16" s="1" t="n">
        <f aca="false">STDEV(C$3:C$12)</f>
        <v>0</v>
      </c>
      <c r="D16" s="1" t="n">
        <f aca="false">STDEV(D$3:D$12)</f>
        <v>0</v>
      </c>
      <c r="E16" s="1" t="n">
        <f aca="false">STDEV(E$3:E$12)</f>
        <v>0</v>
      </c>
      <c r="F16" s="1" t="n">
        <f aca="false">STDEV(F$3:F$12)</f>
        <v>0</v>
      </c>
      <c r="G16" s="1" t="n">
        <f aca="false">STDEV(G$3:G$12)</f>
        <v>0</v>
      </c>
      <c r="H16" s="1" t="n">
        <f aca="false">STDEV(H$3:H$12)</f>
        <v>0</v>
      </c>
      <c r="I16" s="1" t="n">
        <f aca="false">STDEV(I$3:I$12)</f>
        <v>0</v>
      </c>
      <c r="J16" s="1" t="n">
        <f aca="false">STDEV(J$3:J$12)</f>
        <v>0</v>
      </c>
      <c r="K16" s="1" t="n">
        <f aca="false">STDEV(K$3:K$12)</f>
        <v>0</v>
      </c>
      <c r="L16" s="1"/>
      <c r="M16" s="1" t="n">
        <f aca="false">STDEV(M$3:M$12)</f>
        <v>0</v>
      </c>
      <c r="N16" s="1" t="n">
        <f aca="false">STDEV(N$3:N$12)</f>
        <v>0</v>
      </c>
      <c r="O16" s="1"/>
      <c r="P16" s="1" t="n">
        <f aca="false">STDEV(P$3:P$12)</f>
        <v>0</v>
      </c>
      <c r="Q16" s="1" t="n">
        <f aca="false">STDEV(Q$3:Q$12)</f>
        <v>0</v>
      </c>
      <c r="R16" s="1" t="n">
        <f aca="false">STDEV(R$3:R$12)</f>
        <v>0</v>
      </c>
      <c r="S16" s="1" t="n">
        <f aca="false">STDEV(S$3:S$12)</f>
        <v>0</v>
      </c>
      <c r="T16" s="1" t="n">
        <f aca="false">STDEV(T$3:T$12)</f>
        <v>0</v>
      </c>
      <c r="U16" s="1" t="n">
        <f aca="false">STDEV(U$3:U$12)</f>
        <v>0</v>
      </c>
      <c r="V16" s="1" t="n">
        <f aca="false">STDEV(V$3:V$12)</f>
        <v>0</v>
      </c>
      <c r="W16" s="1" t="n">
        <f aca="false">STDEV(W$3:W$12)</f>
        <v>0</v>
      </c>
      <c r="X16" s="1" t="n">
        <f aca="false">STDEV(X$3:X$12)</f>
        <v>0</v>
      </c>
      <c r="Y16" s="1" t="n">
        <f aca="false">STDEV(Y$3:Y$12)</f>
        <v>0</v>
      </c>
      <c r="Z16" s="1" t="n">
        <f aca="false">STDEV(Z$3:Z$12)</f>
        <v>0</v>
      </c>
      <c r="AA16" s="1" t="n">
        <f aca="false">STDEV(AA$3:AA$12)</f>
        <v>0</v>
      </c>
      <c r="AB16" s="1" t="n">
        <f aca="false">STDEV(AB$3:AB$12)</f>
        <v>0</v>
      </c>
      <c r="AC16" s="1" t="n">
        <f aca="false">STDEV(AC$3:AC$12)</f>
        <v>0</v>
      </c>
      <c r="AD16" s="1" t="n">
        <f aca="false">STDEV(AD$3:AD$12)</f>
        <v>0</v>
      </c>
      <c r="AE16" s="1" t="n">
        <f aca="false">STDEV(AE$3:AE$12)</f>
        <v>0</v>
      </c>
      <c r="AF16" s="1" t="n">
        <f aca="false">STDEV(AF$3:AF$12)</f>
        <v>0</v>
      </c>
      <c r="AG16" s="1" t="n">
        <f aca="false">STDEV(AG$3:AG$12)</f>
        <v>0</v>
      </c>
      <c r="AH16" s="1" t="n">
        <f aca="false">STDEV(AH$3:AH$12)</f>
        <v>0</v>
      </c>
      <c r="AI16" s="1" t="n">
        <f aca="false">STDEV(AI$3:AI$12)</f>
        <v>0</v>
      </c>
      <c r="AJ16" s="1" t="n">
        <f aca="false">STDEV(AJ$3:AJ$12)</f>
        <v>0</v>
      </c>
      <c r="AK16" s="1" t="n">
        <f aca="false">STDEV(AK$3:AK$12)</f>
        <v>0</v>
      </c>
      <c r="AL16" s="1" t="n">
        <f aca="false">STDEV(AL$3:AL$12)</f>
        <v>0</v>
      </c>
      <c r="AM16" s="1" t="n">
        <f aca="false">STDEV(AM$3:AM$12)</f>
        <v>0</v>
      </c>
      <c r="AN16" s="1" t="n">
        <f aca="false">STDEV(AN$3:AN$12)</f>
        <v>0</v>
      </c>
      <c r="AO16" s="1" t="n">
        <f aca="false">STDEV(AO$3:AO$12)</f>
        <v>0</v>
      </c>
      <c r="AP16" s="1" t="n">
        <f aca="false">STDEV(AP$3:AP$12)</f>
        <v>0</v>
      </c>
      <c r="AQ16" s="1" t="n">
        <f aca="false">STDEV(AQ$3:AQ$12)</f>
        <v>0</v>
      </c>
      <c r="AR16" s="1" t="n">
        <f aca="false">STDEV(AR$3:AR$12)</f>
        <v>0</v>
      </c>
      <c r="AS16" s="1" t="n">
        <f aca="false">STDEV(AS$3:AS$12)</f>
        <v>0</v>
      </c>
      <c r="AT16" s="1" t="n">
        <f aca="false">STDEV(AT$3:AT$12)</f>
        <v>0</v>
      </c>
      <c r="AU16" s="1" t="n">
        <f aca="false">STDEV(AU$3:AU$12)</f>
        <v>0</v>
      </c>
      <c r="AV16" s="1" t="n">
        <f aca="false">STDEV(AV$3:AV$12)</f>
        <v>0</v>
      </c>
      <c r="AW16" s="1" t="n">
        <f aca="false">STDEV(AW$3:AW$12)</f>
        <v>0</v>
      </c>
      <c r="AX16" s="1" t="n">
        <f aca="false">STDEV(AX$3:AX$12)</f>
        <v>0</v>
      </c>
      <c r="AY16" s="1" t="n">
        <f aca="false">STDEV(AY$3:AY$12)</f>
        <v>0</v>
      </c>
      <c r="AZ16" s="1" t="n">
        <f aca="false">STDEV(AZ$3:AZ$12)</f>
        <v>0</v>
      </c>
      <c r="BA16" s="1" t="n">
        <f aca="false">STDEV(BA$3:BA$12)</f>
        <v>0</v>
      </c>
      <c r="BB16" s="1" t="n">
        <f aca="false">STDEV(BB$3:BB$12)</f>
        <v>0</v>
      </c>
      <c r="BC16" s="1" t="n">
        <f aca="false">STDEV(BC$3:BC$12)</f>
        <v>0</v>
      </c>
      <c r="BD16" s="1" t="n">
        <f aca="false">STDEV(BD$3:BD$12)</f>
        <v>0</v>
      </c>
      <c r="BE16" s="1" t="n">
        <f aca="false">STDEV(BE$3:BE$12)</f>
        <v>0</v>
      </c>
      <c r="BF16" s="1" t="n">
        <f aca="false">STDEV(BF$3:BF$12)</f>
        <v>0</v>
      </c>
      <c r="BG16" s="1" t="n">
        <f aca="false">STDEV(BG$3:BG$12)</f>
        <v>0</v>
      </c>
      <c r="BH16" s="1" t="n">
        <f aca="false">STDEV(BH$3:BH$12)</f>
        <v>0</v>
      </c>
      <c r="BI16" s="1" t="n">
        <f aca="false">STDEV(BI$3:BI$12)</f>
        <v>0</v>
      </c>
      <c r="BJ16" s="1" t="n">
        <f aca="false">STDEV(BJ$3:BJ$12)</f>
        <v>0</v>
      </c>
      <c r="BK16" s="1" t="n">
        <f aca="false">STDEV(BK$3:BK$12)</f>
        <v>0</v>
      </c>
    </row>
    <row r="17" customFormat="false" ht="15" hidden="false" customHeight="false" outlineLevel="0" collapsed="false">
      <c r="A17" s="1" t="s">
        <v>383</v>
      </c>
      <c r="B17" s="1" t="n">
        <f aca="false">SUMPRODUCT(--(B$3:B$12-$S$3:$S$12)^2)^0.5</f>
        <v>0</v>
      </c>
      <c r="C17" s="1" t="n">
        <f aca="false">SUMPRODUCT(--(C$3:C$12-$T$3:$T$12)^2)^0.5</f>
        <v>0</v>
      </c>
      <c r="D17" s="1" t="n">
        <f aca="false">SUMPRODUCT(--(D$3:D$12-$U$3:$U$12)^2)^0.5</f>
        <v>0</v>
      </c>
      <c r="E17" s="1" t="n">
        <f aca="false">SUMPRODUCT(--(E$3:E$12-$V$3:$V$12)^2)^0.5</f>
        <v>0</v>
      </c>
      <c r="F17" s="1" t="n">
        <f aca="false">SUMPRODUCT(--(F$3:F$12-$W$3:$W$12)^2)^0.5</f>
        <v>0</v>
      </c>
      <c r="G17" s="1" t="n">
        <f aca="false">SUMPRODUCT(--(G$3:G$12-$X$3:$X$12)^2)^0.5</f>
        <v>0</v>
      </c>
      <c r="H17" s="1" t="n">
        <f aca="false">SUMPRODUCT(--(H$3:H$12-$Y$3:$Y$12)^2)^0.5</f>
        <v>0</v>
      </c>
      <c r="I17" s="1" t="n">
        <f aca="false">SUMPRODUCT(--(I$3:I$12-$Z$3:$Z$12)^2)^0.5</f>
        <v>0</v>
      </c>
      <c r="J17" s="1" t="n">
        <f aca="false">SUMPRODUCT(--(J$3:J$12-$AA$3:$AA$12)^2)^0.5</f>
        <v>0</v>
      </c>
      <c r="K17" s="1" t="n">
        <f aca="false">SUMPRODUCT(--(K$3:K$12-$AB$3:$AB$12)^2)^0.5</f>
        <v>0</v>
      </c>
      <c r="L17" s="1"/>
      <c r="M17" s="1" t="n">
        <f aca="false">SUMPRODUCT(--(M$3:M$12-$AC$3:$AC$12)^2)^0.5</f>
        <v>0</v>
      </c>
      <c r="N17" s="1" t="n">
        <f aca="false">SUMPRODUCT(--(N$3:N$12-$AD$3:$AD$12)^2)^0.5</f>
        <v>0</v>
      </c>
      <c r="O17" s="1"/>
      <c r="P17" s="1" t="n">
        <f aca="false">SUMPRODUCT(--(P$3:P$12-$AE$3:$AE$12)^2)^0.5</f>
        <v>0</v>
      </c>
      <c r="Q17" s="1" t="n">
        <f aca="false">SUMPRODUCT(--(Q$3:Q$12-$AF$3:$AF$12)^2)^0.5</f>
        <v>0</v>
      </c>
      <c r="R17" s="1" t="n">
        <f aca="false">SUMPRODUCT(--(R$3:R$12-$AG$3:$AG$12)^2)^0.5</f>
        <v>0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</row>
    <row r="18" customFormat="false" ht="15" hidden="false" customHeight="false" outlineLevel="0" collapsed="false">
      <c r="A18" s="1" t="s">
        <v>384</v>
      </c>
      <c r="B18" s="1" t="n">
        <f aca="false">SUMPRODUCT(NOT(ISBLANK(B$3:B$12))*(B$3:B$12=$S$3:$S$12))</f>
        <v>0</v>
      </c>
      <c r="C18" s="1" t="n">
        <f aca="false">SUMPRODUCT(NOT(ISBLANK(C$3:C$12))*(C$3:C$12=$T$3:$T$12))</f>
        <v>0</v>
      </c>
      <c r="D18" s="1" t="n">
        <f aca="false">SUMPRODUCT(NOT(ISBLANK(D$3:D$12))*(D$3:D$12=$U$3:$U$12))</f>
        <v>0</v>
      </c>
      <c r="E18" s="1" t="n">
        <f aca="false">SUMPRODUCT(NOT(ISBLANK(E$3:E$12))*(E$3:E$12=$V$3:$V$12))</f>
        <v>0</v>
      </c>
      <c r="F18" s="1" t="n">
        <f aca="false">SUMPRODUCT(NOT(ISBLANK(F$3:F$12))*(F$3:F$12=$W$3:$W$12))</f>
        <v>0</v>
      </c>
      <c r="G18" s="1" t="n">
        <f aca="false">SUMPRODUCT(NOT(ISBLANK(G$3:G$12))*(G$3:G$12=$X$3:$X$12))</f>
        <v>0</v>
      </c>
      <c r="H18" s="1" t="n">
        <f aca="false">SUMPRODUCT(NOT(ISBLANK(H$3:H$12))*(H$3:H$12=$Y$3:$Y$12))</f>
        <v>0</v>
      </c>
      <c r="I18" s="1" t="n">
        <f aca="false">SUMPRODUCT(NOT(ISBLANK(I$3:I$12))*(I$3:I$12=$Z$3:$Z$12))</f>
        <v>0</v>
      </c>
      <c r="J18" s="1" t="n">
        <f aca="false">SUMPRODUCT(NOT(ISBLANK(J$3:J$12))*(J$3:J$12=$AA$3:$AA$12))</f>
        <v>0</v>
      </c>
      <c r="K18" s="1" t="n">
        <f aca="false">SUMPRODUCT(NOT(ISBLANK(K$3:K$12))*(K$3:K$12=$AB$3:$AB$12))</f>
        <v>0</v>
      </c>
      <c r="L18" s="1"/>
      <c r="M18" s="1" t="n">
        <f aca="false">SUMPRODUCT(NOT(ISBLANK(M$3:M$12))*(M$3:M$12=$AC$3:$AC$12))</f>
        <v>0</v>
      </c>
      <c r="N18" s="1" t="n">
        <f aca="false">SUMPRODUCT(NOT(ISBLANK(N$3:N$12))*(N$3:N$12=$AD$3:$AD$12))</f>
        <v>0</v>
      </c>
      <c r="O18" s="1"/>
      <c r="P18" s="1" t="n">
        <f aca="false">SUMPRODUCT(NOT(ISBLANK(P$3:P$12))*(P$3:P$12=$AE$3:$AE$12))</f>
        <v>0</v>
      </c>
      <c r="Q18" s="1" t="n">
        <f aca="false">SUMPRODUCT(NOT(ISBLANK(Q$3:Q$12))*(Q$3:Q$12=$AF$3:$AF$12))</f>
        <v>0</v>
      </c>
      <c r="R18" s="1" t="n">
        <f aca="false">SUMPRODUCT(NOT(ISBLANK(R$3:R$12))*(R$3:R$12=$AG$3:$AG$12))</f>
        <v>0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</row>
    <row r="19" customFormat="false" ht="15" hidden="false" customHeight="false" outlineLevel="0" collapsed="false">
      <c r="A19" s="1" t="s">
        <v>385</v>
      </c>
      <c r="B19" s="1" t="n">
        <f aca="false">SUMPRODUCT(NOT(ISBLANK(B$3:B$12))*(B$3:B$12&lt;$AH$3:$AH$12))</f>
        <v>0</v>
      </c>
      <c r="C19" s="1" t="n">
        <f aca="false">SUMPRODUCT(NOT(ISBLANK(C$3:C$12))*(C$3:C$12&lt;$AI$3:$AI$12))</f>
        <v>0</v>
      </c>
      <c r="D19" s="1" t="n">
        <f aca="false">SUMPRODUCT(NOT(ISBLANK(D$3:D$12))*(D$3:D$12&lt;$AJ$3:$AJ$12))</f>
        <v>0</v>
      </c>
      <c r="E19" s="1" t="n">
        <f aca="false">SUMPRODUCT(NOT(ISBLANK(E$3:E$12))*(E$3:E$12&lt;$AK$3:$AK$12))</f>
        <v>0</v>
      </c>
      <c r="F19" s="1" t="n">
        <f aca="false">SUMPRODUCT(NOT(ISBLANK(F$3:F$12))*(F$3:F$12&lt;$AL$3:$AL$12))</f>
        <v>0</v>
      </c>
      <c r="G19" s="1" t="n">
        <f aca="false">SUMPRODUCT(NOT(ISBLANK(G$3:G$12))*(G$3:G$12&lt;$AM$3:$AM$12))</f>
        <v>0</v>
      </c>
      <c r="H19" s="1" t="n">
        <f aca="false">SUMPRODUCT(NOT(ISBLANK(H$3:H$12))*(H$3:H$12&lt;$AN$3:$AN$12))</f>
        <v>0</v>
      </c>
      <c r="I19" s="1" t="n">
        <f aca="false">SUMPRODUCT(NOT(ISBLANK(I$3:I$12))*(I$3:I$12&lt;$AO$3:$AO$12))</f>
        <v>0</v>
      </c>
      <c r="J19" s="1" t="n">
        <f aca="false">SUMPRODUCT(NOT(ISBLANK(J$3:J$12))*(J$3:J$12&lt;$AP$3:$AP$12))</f>
        <v>0</v>
      </c>
      <c r="K19" s="1" t="n">
        <f aca="false">SUMPRODUCT(NOT(ISBLANK(K$3:K$12))*(K$3:K$12&lt;$AQ$3:$AQ$12))</f>
        <v>0</v>
      </c>
      <c r="L19" s="1"/>
      <c r="M19" s="1" t="n">
        <f aca="false">SUMPRODUCT(NOT(ISBLANK(M$3:M$12))*(M$3:M$12&lt;$AR$3:$AR$12))</f>
        <v>0</v>
      </c>
      <c r="N19" s="1" t="n">
        <f aca="false">SUMPRODUCT(NOT(ISBLANK(N$3:N$12))*(N$3:N$12&lt;$AS$3:$AS$12))</f>
        <v>0</v>
      </c>
      <c r="O19" s="1"/>
      <c r="P19" s="1" t="n">
        <f aca="false">SUMPRODUCT(NOT(ISBLANK(P$3:P$12))*(P$3:P$12&lt;$AT$3:$AT$12))</f>
        <v>0</v>
      </c>
      <c r="Q19" s="1" t="n">
        <f aca="false">SUMPRODUCT(NOT(ISBLANK(Q$3:Q$12))*(Q$3:Q$12&lt;$AU$3:$AU$12))</f>
        <v>0</v>
      </c>
      <c r="R19" s="1" t="n">
        <f aca="false">SUMPRODUCT(NOT(ISBLANK(R$3:R$12))*(R$3:R$12&lt;$AV$3:$AV$12))</f>
        <v>0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</row>
    <row r="20" customFormat="false" ht="15" hidden="false" customHeight="false" outlineLevel="0" collapsed="false">
      <c r="A20" s="1" t="s">
        <v>386</v>
      </c>
      <c r="B20" s="1" t="n">
        <f aca="false">SUMPRODUCT((NOT(ISBLANK(B$3:B$12))*(B$3:B$12&gt;$AH$3:$AH$12))+ISBLANK(B$3:B$12))</f>
        <v>0</v>
      </c>
      <c r="C20" s="1" t="n">
        <f aca="false">SUMPRODUCT((NOT(ISBLANK(C$3:C$12))*(C$3:C$12&gt;$AI$3:$AI$12))+ISBLANK(C$3:C$12))</f>
        <v>0</v>
      </c>
      <c r="D20" s="1" t="n">
        <f aca="false">SUMPRODUCT((NOT(ISBLANK(D$3:D$12))*(D$3:D$12&gt;$AJ$3:$AJ$12))+ISBLANK(D$3:D$12))</f>
        <v>0</v>
      </c>
      <c r="E20" s="1" t="n">
        <f aca="false">SUMPRODUCT((NOT(ISBLANK(E$3:E$12))*(E$3:E$12&gt;$AK$3:$AK$12))+ISBLANK(E$3:E$12))</f>
        <v>0</v>
      </c>
      <c r="F20" s="1" t="n">
        <f aca="false">SUMPRODUCT((NOT(ISBLANK(F$3:F$12))*(F$3:F$12&gt;$AL$3:$AL$12))+ISBLANK(F$3:F$12))</f>
        <v>0</v>
      </c>
      <c r="G20" s="1" t="n">
        <f aca="false">SUMPRODUCT((NOT(ISBLANK(G$3:G$12))*(G$3:G$12&gt;$AM$3:$AM$12))+ISBLANK(G$3:G$12))</f>
        <v>0</v>
      </c>
      <c r="H20" s="1" t="n">
        <f aca="false">SUMPRODUCT((NOT(ISBLANK(H$3:H$12))*(H$3:H$12&gt;$AN$3:$AN$12))+ISBLANK(H$3:H$12))</f>
        <v>0</v>
      </c>
      <c r="I20" s="1" t="n">
        <f aca="false">SUMPRODUCT((NOT(ISBLANK(I$3:I$12))*(I$3:I$12&gt;$AO$3:$AO$12))+ISBLANK(I$3:I$12))</f>
        <v>0</v>
      </c>
      <c r="J20" s="1" t="n">
        <f aca="false">SUMPRODUCT((NOT(ISBLANK(J$3:J$12))*(J$3:J$12&gt;$AP$3:$AP$12))+ISBLANK(J$3:J$12))</f>
        <v>0</v>
      </c>
      <c r="K20" s="1" t="n">
        <f aca="false">SUMPRODUCT((NOT(ISBLANK(K$3:K$12))*(K$3:K$12&gt;$AQ$3:$AQ$12))+ISBLANK(K$3:K$12))</f>
        <v>0</v>
      </c>
      <c r="L20" s="1"/>
      <c r="M20" s="1" t="n">
        <f aca="false">SUMPRODUCT((NOT(ISBLANK(M$3:M$12))*(M$3:M$12&gt;$AR$3:$AR$12))+ISBLANK(M$3:M$12))</f>
        <v>0</v>
      </c>
      <c r="N20" s="1" t="n">
        <f aca="false">SUMPRODUCT((NOT(ISBLANK(N$3:N$12))*(N$3:N$12&gt;$AS$3:$AS$12))+ISBLANK(N$3:N$12))</f>
        <v>0</v>
      </c>
      <c r="O20" s="1"/>
      <c r="P20" s="1" t="n">
        <f aca="false">SUMPRODUCT((NOT(ISBLANK(P$3:P$12))*(P$3:P$12&gt;$AT$3:$AT$12))+ISBLANK(P$3:P$12))</f>
        <v>0</v>
      </c>
      <c r="Q20" s="1" t="n">
        <f aca="false">SUMPRODUCT((NOT(ISBLANK(Q$3:Q$12))*(Q$3:Q$12&gt;$AU$3:$AU$12))+ISBLANK(Q$3:Q$12))</f>
        <v>0</v>
      </c>
      <c r="R20" s="1" t="n">
        <f aca="false">SUMPRODUCT((NOT(ISBLANK(R$3:R$12))*(R$3:R$12&gt;$AV$3:$AV$12))+ISBLANK(R$3:R$12))</f>
        <v>0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</row>
    <row r="21" customFormat="false" ht="15" hidden="false" customHeight="false" outlineLevel="0" collapsed="false">
      <c r="A21" s="1" t="s">
        <v>387</v>
      </c>
      <c r="B21" s="1" t="n">
        <f aca="false">SUMPRODUCT((NOT(ISBLANK(B$3:B$12))*(B$3:B$12=$AW$3:$AW$12))+ISBLANK(B$3:B$12))</f>
        <v>0</v>
      </c>
      <c r="C21" s="1" t="n">
        <f aca="false">SUMPRODUCT((NOT(ISBLANK(C$3:C$12))*(C$3:C$12=$AX$3:$AX$12))+ISBLANK(C$3:C$12))</f>
        <v>0</v>
      </c>
      <c r="D21" s="1" t="n">
        <f aca="false">SUMPRODUCT((NOT(ISBLANK(D$3:D$12))*(D$3:D$12=$AY$3:$AY$12))+ISBLANK(D$3:D$12))</f>
        <v>0</v>
      </c>
      <c r="E21" s="1" t="n">
        <f aca="false">SUMPRODUCT((NOT(ISBLANK(E$3:E$12))*(E$3:E$12=$AZ$3:$AZ$12))+ISBLANK(E$3:E$12))</f>
        <v>0</v>
      </c>
      <c r="F21" s="1" t="n">
        <f aca="false">SUMPRODUCT((NOT(ISBLANK(F$3:F$12))*(F$3:F$12=$BA$3:$BA$12))+ISBLANK(F$3:F$12))</f>
        <v>0</v>
      </c>
      <c r="G21" s="1" t="n">
        <f aca="false">SUMPRODUCT((NOT(ISBLANK(G$3:G$12))*(G$3:G$12=$BB$3:$BB$12))+ISBLANK(G$3:G$12))</f>
        <v>0</v>
      </c>
      <c r="H21" s="1" t="n">
        <f aca="false">SUMPRODUCT((NOT(ISBLANK(H$3:H$12))*(H$3:H$12=$BC$3:$BC$12))+ISBLANK(H$3:H$12))</f>
        <v>0</v>
      </c>
      <c r="I21" s="1" t="n">
        <f aca="false">SUMPRODUCT((NOT(ISBLANK(I$3:I$12))*(I$3:I$12=$BD$3:$BD$12))+ISBLANK(I$3:I$12))</f>
        <v>0</v>
      </c>
      <c r="J21" s="1" t="n">
        <f aca="false">SUMPRODUCT((NOT(ISBLANK(J$3:J$12))*(J$3:J$12=$BE$3:$BE$12))+ISBLANK(J$3:J$12))</f>
        <v>0</v>
      </c>
      <c r="K21" s="1" t="n">
        <f aca="false">SUMPRODUCT((NOT(ISBLANK(K$3:K$12))*(K$3:K$12=$BF$3:$BF$12))+ISBLANK(K$3:K$12))</f>
        <v>0</v>
      </c>
      <c r="L21" s="1"/>
      <c r="M21" s="1" t="n">
        <f aca="false">SUMPRODUCT((NOT(ISBLANK(M$3:M$12))*(M$3:M$12=$BG$3:$BG$12))+ISBLANK(M$3:M$12))</f>
        <v>0</v>
      </c>
      <c r="N21" s="1" t="n">
        <f aca="false">SUMPRODUCT((NOT(ISBLANK(N$3:N$12))*(N$3:N$12=$BH$3:$BH$12))+ISBLANK(N$3:N$12))</f>
        <v>0</v>
      </c>
      <c r="O21" s="1"/>
      <c r="P21" s="1" t="n">
        <f aca="false">SUMPRODUCT((NOT(ISBLANK(P$3:P$12))*(P$3:P$12=$BI$3:$BI$12))+ISBLANK(P$3:P$12))</f>
        <v>0</v>
      </c>
      <c r="Q21" s="1" t="n">
        <f aca="false">SUMPRODUCT((NOT(ISBLANK(Q$3:Q$12))*(Q$3:Q$12=$BJ$3:$BJ$12))+ISBLANK(Q$3:Q$12))</f>
        <v>0</v>
      </c>
      <c r="R21" s="1" t="n">
        <f aca="false">SUMPRODUCT((NOT(ISBLANK(R$3:R$12))*(R$3:R$12=$BK$3:$BK$12))+ISBLANK(R$3:R$12))</f>
        <v>0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T25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2" customFormat="false" ht="15" hidden="false" customHeight="false" outlineLevel="0" collapsed="false">
      <c r="A2" s="0" t="s">
        <v>1</v>
      </c>
      <c r="B2" s="0" t="n">
        <v>1</v>
      </c>
      <c r="E2" s="0" t="n">
        <f aca="false">VLOOKUP(Charts!$F$3,A2:B16,2,FALSE())</f>
        <v>0</v>
      </c>
      <c r="K2" s="0" t="n">
        <f aca="false">E2</f>
        <v>0</v>
      </c>
      <c r="Q2" s="0" t="n">
        <f aca="false">VLOOKUP(Charts!$F$3,A2:B16,2,FALSE())</f>
        <v>0</v>
      </c>
    </row>
    <row r="3" customFormat="false" ht="15" hidden="false" customHeight="false" outlineLevel="0" collapsed="false">
      <c r="A3" s="0" t="s">
        <v>2</v>
      </c>
      <c r="B3" s="0" t="n">
        <v>2</v>
      </c>
      <c r="D3" s="0" t="s">
        <v>402</v>
      </c>
      <c r="E3" s="0" t="n">
        <f aca="false">Instances!B1</f>
        <v>0</v>
      </c>
      <c r="J3" s="0" t="s">
        <v>402</v>
      </c>
      <c r="K3" s="0" t="n">
        <f aca="false">E3</f>
        <v>0</v>
      </c>
      <c r="Q3" s="0" t="n">
        <f aca="false">Instances!B1</f>
        <v>0</v>
      </c>
    </row>
    <row r="4" customFormat="false" ht="15" hidden="false" customHeight="false" outlineLevel="0" collapsed="false">
      <c r="A4" s="0" t="s">
        <v>3</v>
      </c>
      <c r="B4" s="0" t="n">
        <v>3</v>
      </c>
      <c r="D4" s="0" t="s">
        <v>403</v>
      </c>
      <c r="E4" s="0" t="s">
        <v>404</v>
      </c>
      <c r="F4" s="0" t="s">
        <v>405</v>
      </c>
      <c r="H4" s="0" t="s">
        <v>406</v>
      </c>
      <c r="J4" s="0" t="s">
        <v>403</v>
      </c>
      <c r="K4" s="0" t="s">
        <v>404</v>
      </c>
      <c r="L4" s="0" t="s">
        <v>405</v>
      </c>
      <c r="N4" s="0" t="s">
        <v>406</v>
      </c>
      <c r="P4" s="0" t="s">
        <v>407</v>
      </c>
      <c r="Q4" s="0" t="s">
        <v>403</v>
      </c>
      <c r="R4" s="0" t="s">
        <v>405</v>
      </c>
      <c r="S4" s="0" t="s">
        <v>403</v>
      </c>
      <c r="T4" s="0" t="s">
        <v>406</v>
      </c>
    </row>
    <row r="5" customFormat="false" ht="15" hidden="false" customHeight="false" outlineLevel="0" collapsed="false">
      <c r="A5" s="0" t="s">
        <v>4</v>
      </c>
      <c r="B5" s="0" t="n">
        <v>4</v>
      </c>
      <c r="D5" s="0" t="n">
        <v>1</v>
      </c>
      <c r="E5" s="0" t="str">
        <f aca="true">IF(INDIRECT(ADDRESS($D5+2,E$2+1,,,"Instances"))="","",INDIRECT(ADDRESS($D5+2,E$2+1,,,"Instances")))</f>
        <v>Level_0/2-0000101</v>
      </c>
      <c r="F5" s="0" t="str">
        <f aca="false">IFERROR(SMALL(E5:E364,ROW()-ROW($F$5)+1),"")</f>
        <v/>
      </c>
      <c r="H5" s="0" t="n">
        <f aca="false">IFERROR(SUM(F5:F5),"")</f>
        <v>0</v>
      </c>
      <c r="J5" s="0" t="n">
        <v>1</v>
      </c>
      <c r="K5" s="0" t="e">
        <f aca="true" t="array" ref="K5:K5">_xlfn.SWITCH(Charts!$B$3,"average", AVERAGE(INDIRECT(ADDRESS(0+3,K$2+1,,,"Instances") &amp; ":" &amp; ADDRESS(0+3,K$2+1))),"median", MEDIAN(INDIRECT(ADDRESS(0+3,K$2+1,,,"Instances") &amp; ":" &amp; ADDRESS(0+3,K$2+1))),"min", MIN(INDIRECT(ADDRESS(0+3,K$2+1,,,"Instances") &amp; ":" &amp; ADDRESS(0+3,K$2+1))),"max", MAX(INDIRECT(ADDRESS(0+3,K$2+1,,,"Instances") &amp; ":" &amp; ADDRESS(0+3,K$2+1))),"diff", MAX(INDIRECT(ADDRESS(0+3,K$2+1,,,"Instances") &amp; ":" &amp; ADDRESS(0+3,K$2+1)))-MIN(INDIRECT(ADDRESS(0+3,K$2+1,,,"Instances") &amp; ":" &amp; ADDRESS(0+3,K$2+1))))</f>
        <v>#N/A</v>
      </c>
      <c r="L5" s="0" t="str">
        <f aca="false">IFERROR(SMALL(K5:K364,ROW()-ROW($L$5)+1),"")</f>
        <v/>
      </c>
      <c r="N5" s="0" t="n">
        <f aca="false">IFERROR(SUM(L5:L5),"")</f>
        <v>0</v>
      </c>
      <c r="Q5" s="0" t="n">
        <f aca="false">IF(Charts!$B$3="none",E1812,IF(K1812="",NA(),K1812))</f>
        <v>0</v>
      </c>
      <c r="R5" s="0" t="n">
        <f aca="false">IF(Charts!$B$3="none",F1812,IF(L1812="",NA(),L1812))</f>
        <v>0</v>
      </c>
      <c r="S5" s="0" t="n">
        <f aca="false">IF(Charts!$B$3="none",G1812,IF(M1812="",NA(),M1812))</f>
        <v>0</v>
      </c>
      <c r="T5" s="0" t="n">
        <f aca="false">IF(Charts!$B$3="none",H1812,IF(N1812="",NA(),N1812))</f>
        <v>0</v>
      </c>
    </row>
    <row r="6" customFormat="false" ht="15" hidden="false" customHeight="false" outlineLevel="0" collapsed="false">
      <c r="A6" s="0" t="s">
        <v>5</v>
      </c>
      <c r="B6" s="0" t="n">
        <v>5</v>
      </c>
      <c r="D6" s="0" t="n">
        <v>2</v>
      </c>
      <c r="E6" s="0" t="str">
        <f aca="true">IF(INDIRECT(ADDRESS($D6+2,E$2+1,,,"Instances"))="","",INDIRECT(ADDRESS($D6+2,E$2+1,,,"Instances")))</f>
        <v>Level_0/2-0000110</v>
      </c>
      <c r="F6" s="0" t="str">
        <f aca="false">IFERROR(SMALL(E5:E364,ROW()-ROW($F$5)+1),"")</f>
        <v/>
      </c>
      <c r="H6" s="0" t="n">
        <f aca="false">IFERROR(SUM(F5:F6),"")</f>
        <v>0</v>
      </c>
      <c r="J6" s="0" t="n">
        <v>2</v>
      </c>
      <c r="K6" s="0" t="e">
        <f aca="true" t="array" ref="K6:K6">_xlfn.SWITCH(Charts!$B$3,"average", AVERAGE(INDIRECT(ADDRESS(1+3,K$2+1,,,"Instances") &amp; ":" &amp; ADDRESS(1+3,K$2+1))),"median", MEDIAN(INDIRECT(ADDRESS(1+3,K$2+1,,,"Instances") &amp; ":" &amp; ADDRESS(1+3,K$2+1))),"min", MIN(INDIRECT(ADDRESS(1+3,K$2+1,,,"Instances") &amp; ":" &amp; ADDRESS(1+3,K$2+1))),"max", MAX(INDIRECT(ADDRESS(1+3,K$2+1,,,"Instances") &amp; ":" &amp; ADDRESS(1+3,K$2+1))),"diff", MAX(INDIRECT(ADDRESS(1+3,K$2+1,,,"Instances") &amp; ":" &amp; ADDRESS(1+3,K$2+1)))-MIN(INDIRECT(ADDRESS(1+3,K$2+1,,,"Instances") &amp; ":" &amp; ADDRESS(1+3,K$2+1))))</f>
        <v>#N/A</v>
      </c>
      <c r="L6" s="0" t="str">
        <f aca="false">IFERROR(SMALL(K5:K364,ROW()-ROW($L$5)+1),"")</f>
        <v/>
      </c>
      <c r="N6" s="0" t="n">
        <f aca="false">IFERROR(SUM(L5:L6),"")</f>
        <v>0</v>
      </c>
      <c r="Q6" s="0" t="n">
        <f aca="false">IF(Charts!$B$3="none",E1813,IF(K1813="",NA(),K1813))</f>
        <v>0</v>
      </c>
      <c r="R6" s="0" t="n">
        <f aca="false">IF(Charts!$B$3="none",F1813,IF(L1813="",NA(),L1813))</f>
        <v>0</v>
      </c>
      <c r="S6" s="0" t="e">
        <f aca="false">IF(Charts!$B$3="none",G1813,IF(M1813="",NA(),M1813))</f>
        <v>#N/A</v>
      </c>
      <c r="T6" s="0" t="e">
        <f aca="false">IF(Charts!$B$3="none",H1813,IF(N1813="",NA(),N1813))</f>
        <v>#N/A</v>
      </c>
    </row>
    <row r="7" customFormat="false" ht="15" hidden="false" customHeight="false" outlineLevel="0" collapsed="false">
      <c r="A7" s="0" t="s">
        <v>6</v>
      </c>
      <c r="B7" s="0" t="n">
        <v>6</v>
      </c>
      <c r="D7" s="0" t="n">
        <v>3</v>
      </c>
      <c r="E7" s="0" t="str">
        <f aca="true">IF(INDIRECT(ADDRESS($D7+2,E$2+1,,,"Instances"))="","",INDIRECT(ADDRESS($D7+2,E$2+1,,,"Instances")))</f>
        <v>Level_0/2-0001001</v>
      </c>
      <c r="F7" s="0" t="str">
        <f aca="false">IFERROR(SMALL(E5:E364,ROW()-ROW($F$5)+1),"")</f>
        <v/>
      </c>
      <c r="H7" s="0" t="n">
        <f aca="false">IFERROR(SUM(F5:F7),"")</f>
        <v>0</v>
      </c>
      <c r="J7" s="0" t="n">
        <v>3</v>
      </c>
      <c r="K7" s="0" t="e">
        <f aca="true" t="array" ref="K7:K7">_xlfn.SWITCH(Charts!$B$3,"average", AVERAGE(INDIRECT(ADDRESS(2+3,K$2+1,,,"Instances") &amp; ":" &amp; ADDRESS(2+3,K$2+1))),"median", MEDIAN(INDIRECT(ADDRESS(2+3,K$2+1,,,"Instances") &amp; ":" &amp; ADDRESS(2+3,K$2+1))),"min", MIN(INDIRECT(ADDRESS(2+3,K$2+1,,,"Instances") &amp; ":" &amp; ADDRESS(2+3,K$2+1))),"max", MAX(INDIRECT(ADDRESS(2+3,K$2+1,,,"Instances") &amp; ":" &amp; ADDRESS(2+3,K$2+1))),"diff", MAX(INDIRECT(ADDRESS(2+3,K$2+1,,,"Instances") &amp; ":" &amp; ADDRESS(2+3,K$2+1)))-MIN(INDIRECT(ADDRESS(2+3,K$2+1,,,"Instances") &amp; ":" &amp; ADDRESS(2+3,K$2+1))))</f>
        <v>#N/A</v>
      </c>
      <c r="L7" s="0" t="str">
        <f aca="false">IFERROR(SMALL(K5:K364,ROW()-ROW($L$5)+1),"")</f>
        <v/>
      </c>
      <c r="N7" s="0" t="n">
        <f aca="false">IFERROR(SUM(L5:L7),"")</f>
        <v>0</v>
      </c>
      <c r="Q7" s="0" t="e">
        <f aca="false">IF(Charts!$B$3="none",E1814,IF(K1814="",NA(),K1814))</f>
        <v>#N/A</v>
      </c>
      <c r="R7" s="0" t="e">
        <f aca="false">IF(Charts!$B$3="none",F1814,IF(L1814="",NA(),L1814))</f>
        <v>#N/A</v>
      </c>
      <c r="S7" s="0" t="e">
        <f aca="false">IF(Charts!$B$3="none",G1814,IF(M1814="",NA(),M1814))</f>
        <v>#N/A</v>
      </c>
      <c r="T7" s="0" t="e">
        <f aca="false">IF(Charts!$B$3="none",H1814,IF(N1814="",NA(),N1814))</f>
        <v>#N/A</v>
      </c>
    </row>
    <row r="8" customFormat="false" ht="15" hidden="false" customHeight="false" outlineLevel="0" collapsed="false">
      <c r="A8" s="0" t="s">
        <v>7</v>
      </c>
      <c r="B8" s="0" t="n">
        <v>7</v>
      </c>
      <c r="D8" s="0" t="n">
        <v>4</v>
      </c>
      <c r="E8" s="0" t="str">
        <f aca="true">IF(INDIRECT(ADDRESS($D8+2,E$2+1,,,"Instances"))="","",INDIRECT(ADDRESS($D8+2,E$2+1,,,"Instances")))</f>
        <v>Level_0/2-0001010</v>
      </c>
      <c r="F8" s="0" t="str">
        <f aca="false">IFERROR(SMALL(E5:E364,ROW()-ROW($F$5)+1),"")</f>
        <v/>
      </c>
      <c r="H8" s="0" t="n">
        <f aca="false">IFERROR(SUM(F5:F8),"")</f>
        <v>0</v>
      </c>
      <c r="J8" s="0" t="n">
        <v>4</v>
      </c>
      <c r="K8" s="0" t="e">
        <f aca="true" t="array" ref="K8:K8">_xlfn.SWITCH(Charts!$B$3,"average", AVERAGE(INDIRECT(ADDRESS(3+3,K$2+1,,,"Instances") &amp; ":" &amp; ADDRESS(3+3,K$2+1))),"median", MEDIAN(INDIRECT(ADDRESS(3+3,K$2+1,,,"Instances") &amp; ":" &amp; ADDRESS(3+3,K$2+1))),"min", MIN(INDIRECT(ADDRESS(3+3,K$2+1,,,"Instances") &amp; ":" &amp; ADDRESS(3+3,K$2+1))),"max", MAX(INDIRECT(ADDRESS(3+3,K$2+1,,,"Instances") &amp; ":" &amp; ADDRESS(3+3,K$2+1))),"diff", MAX(INDIRECT(ADDRESS(3+3,K$2+1,,,"Instances") &amp; ":" &amp; ADDRESS(3+3,K$2+1)))-MIN(INDIRECT(ADDRESS(3+3,K$2+1,,,"Instances") &amp; ":" &amp; ADDRESS(3+3,K$2+1))))</f>
        <v>#N/A</v>
      </c>
      <c r="L8" s="0" t="str">
        <f aca="false">IFERROR(SMALL(K5:K364,ROW()-ROW($L$5)+1),"")</f>
        <v/>
      </c>
      <c r="N8" s="0" t="n">
        <f aca="false">IFERROR(SUM(L5:L8),"")</f>
        <v>0</v>
      </c>
      <c r="Q8" s="0" t="e">
        <f aca="false">IF(Charts!$B$3="none",E1815,IF(K1815="",NA(),K1815))</f>
        <v>#N/A</v>
      </c>
      <c r="R8" s="0" t="e">
        <f aca="false">IF(Charts!$B$3="none",F1815,IF(L1815="",NA(),L1815))</f>
        <v>#N/A</v>
      </c>
      <c r="S8" s="0" t="e">
        <f aca="false">IF(Charts!$B$3="none",G1815,IF(M1815="",NA(),M1815))</f>
        <v>#N/A</v>
      </c>
      <c r="T8" s="0" t="e">
        <f aca="false">IF(Charts!$B$3="none",H1815,IF(N1815="",NA(),N1815))</f>
        <v>#N/A</v>
      </c>
    </row>
    <row r="9" customFormat="false" ht="15" hidden="false" customHeight="false" outlineLevel="0" collapsed="false">
      <c r="A9" s="0" t="s">
        <v>8</v>
      </c>
      <c r="B9" s="0" t="n">
        <v>8</v>
      </c>
      <c r="D9" s="0" t="n">
        <v>5</v>
      </c>
      <c r="E9" s="0" t="str">
        <f aca="true">IF(INDIRECT(ADDRESS($D9+2,E$2+1,,,"Instances"))="","",INDIRECT(ADDRESS($D9+2,E$2+1,,,"Instances")))</f>
        <v>Level_0/2-0001100</v>
      </c>
      <c r="F9" s="0" t="str">
        <f aca="false">IFERROR(SMALL(E5:E364,ROW()-ROW($F$5)+1),"")</f>
        <v/>
      </c>
      <c r="H9" s="0" t="n">
        <f aca="false">IFERROR(SUM(F5:F9),"")</f>
        <v>0</v>
      </c>
      <c r="J9" s="0" t="n">
        <v>5</v>
      </c>
      <c r="K9" s="0" t="e">
        <f aca="true" t="array" ref="K9:K9">_xlfn.SWITCH(Charts!$B$3,"average", AVERAGE(INDIRECT(ADDRESS(4+3,K$2+1,,,"Instances") &amp; ":" &amp; ADDRESS(4+3,K$2+1))),"median", MEDIAN(INDIRECT(ADDRESS(4+3,K$2+1,,,"Instances") &amp; ":" &amp; ADDRESS(4+3,K$2+1))),"min", MIN(INDIRECT(ADDRESS(4+3,K$2+1,,,"Instances") &amp; ":" &amp; ADDRESS(4+3,K$2+1))),"max", MAX(INDIRECT(ADDRESS(4+3,K$2+1,,,"Instances") &amp; ":" &amp; ADDRESS(4+3,K$2+1))),"diff", MAX(INDIRECT(ADDRESS(4+3,K$2+1,,,"Instances") &amp; ":" &amp; ADDRESS(4+3,K$2+1)))-MIN(INDIRECT(ADDRESS(4+3,K$2+1,,,"Instances") &amp; ":" &amp; ADDRESS(4+3,K$2+1))))</f>
        <v>#N/A</v>
      </c>
      <c r="L9" s="0" t="str">
        <f aca="false">IFERROR(SMALL(K5:K364,ROW()-ROW($L$5)+1),"")</f>
        <v/>
      </c>
      <c r="N9" s="0" t="n">
        <f aca="false">IFERROR(SUM(L5:L9),"")</f>
        <v>0</v>
      </c>
      <c r="Q9" s="0" t="e">
        <f aca="false">IF(Charts!$B$3="none",E1816,IF(K1816="",NA(),K1816))</f>
        <v>#N/A</v>
      </c>
      <c r="R9" s="0" t="e">
        <f aca="false">IF(Charts!$B$3="none",F1816,IF(L1816="",NA(),L1816))</f>
        <v>#N/A</v>
      </c>
      <c r="S9" s="0" t="e">
        <f aca="false">IF(Charts!$B$3="none",G1816,IF(M1816="",NA(),M1816))</f>
        <v>#N/A</v>
      </c>
      <c r="T9" s="0" t="e">
        <f aca="false">IF(Charts!$B$3="none",H1816,IF(N1816="",NA(),N1816))</f>
        <v>#N/A</v>
      </c>
    </row>
    <row r="10" customFormat="false" ht="15" hidden="false" customHeight="false" outlineLevel="0" collapsed="false">
      <c r="A10" s="0" t="s">
        <v>9</v>
      </c>
      <c r="B10" s="0" t="n">
        <v>9</v>
      </c>
      <c r="D10" s="0" t="n">
        <v>6</v>
      </c>
      <c r="E10" s="0" t="str">
        <f aca="true">IF(INDIRECT(ADDRESS($D10+2,E$2+1,,,"Instances"))="","",INDIRECT(ADDRESS($D10+2,E$2+1,,,"Instances")))</f>
        <v>Level_0/2-0100001</v>
      </c>
      <c r="F10" s="0" t="str">
        <f aca="false">IFERROR(SMALL(E5:E364,ROW()-ROW($F$5)+1),"")</f>
        <v/>
      </c>
      <c r="H10" s="0" t="n">
        <f aca="false">IFERROR(SUM(F5:F10),"")</f>
        <v>0</v>
      </c>
      <c r="J10" s="0" t="n">
        <v>6</v>
      </c>
      <c r="K10" s="0" t="e">
        <f aca="true" t="array" ref="K10:K10">_xlfn.SWITCH(Charts!$B$3,"average", AVERAGE(INDIRECT(ADDRESS(5+3,K$2+1,,,"Instances") &amp; ":" &amp; ADDRESS(5+3,K$2+1))),"median", MEDIAN(INDIRECT(ADDRESS(5+3,K$2+1,,,"Instances") &amp; ":" &amp; ADDRESS(5+3,K$2+1))),"min", MIN(INDIRECT(ADDRESS(5+3,K$2+1,,,"Instances") &amp; ":" &amp; ADDRESS(5+3,K$2+1))),"max", MAX(INDIRECT(ADDRESS(5+3,K$2+1,,,"Instances") &amp; ":" &amp; ADDRESS(5+3,K$2+1))),"diff", MAX(INDIRECT(ADDRESS(5+3,K$2+1,,,"Instances") &amp; ":" &amp; ADDRESS(5+3,K$2+1)))-MIN(INDIRECT(ADDRESS(5+3,K$2+1,,,"Instances") &amp; ":" &amp; ADDRESS(5+3,K$2+1))))</f>
        <v>#N/A</v>
      </c>
      <c r="L10" s="0" t="str">
        <f aca="false">IFERROR(SMALL(K5:K364,ROW()-ROW($L$5)+1),"")</f>
        <v/>
      </c>
      <c r="N10" s="0" t="n">
        <f aca="false">IFERROR(SUM(L5:L10),"")</f>
        <v>0</v>
      </c>
      <c r="Q10" s="0" t="e">
        <f aca="false">IF(Charts!$B$3="none",E1817,IF(K1817="",NA(),K1817))</f>
        <v>#N/A</v>
      </c>
      <c r="R10" s="0" t="e">
        <f aca="false">IF(Charts!$B$3="none",F1817,IF(L1817="",NA(),L1817))</f>
        <v>#N/A</v>
      </c>
      <c r="S10" s="0" t="e">
        <f aca="false">IF(Charts!$B$3="none",G1817,IF(M1817="",NA(),M1817))</f>
        <v>#N/A</v>
      </c>
      <c r="T10" s="0" t="e">
        <f aca="false">IF(Charts!$B$3="none",H1817,IF(N1817="",NA(),N1817))</f>
        <v>#N/A</v>
      </c>
    </row>
    <row r="11" customFormat="false" ht="15" hidden="false" customHeight="false" outlineLevel="0" collapsed="false">
      <c r="A11" s="0" t="s">
        <v>10</v>
      </c>
      <c r="B11" s="0" t="n">
        <v>10</v>
      </c>
      <c r="D11" s="0" t="n">
        <v>7</v>
      </c>
      <c r="E11" s="0" t="str">
        <f aca="true">IF(INDIRECT(ADDRESS($D11+2,E$2+1,,,"Instances"))="","",INDIRECT(ADDRESS($D11+2,E$2+1,,,"Instances")))</f>
        <v>Level_0/2-0100100</v>
      </c>
      <c r="F11" s="0" t="str">
        <f aca="false">IFERROR(SMALL(E5:E364,ROW()-ROW($F$5)+1),"")</f>
        <v/>
      </c>
      <c r="H11" s="0" t="n">
        <f aca="false">IFERROR(SUM(F5:F11),"")</f>
        <v>0</v>
      </c>
      <c r="J11" s="0" t="n">
        <v>7</v>
      </c>
      <c r="K11" s="0" t="e">
        <f aca="true" t="array" ref="K11:K11">_xlfn.SWITCH(Charts!$B$3,"average", AVERAGE(INDIRECT(ADDRESS(6+3,K$2+1,,,"Instances") &amp; ":" &amp; ADDRESS(6+3,K$2+1))),"median", MEDIAN(INDIRECT(ADDRESS(6+3,K$2+1,,,"Instances") &amp; ":" &amp; ADDRESS(6+3,K$2+1))),"min", MIN(INDIRECT(ADDRESS(6+3,K$2+1,,,"Instances") &amp; ":" &amp; ADDRESS(6+3,K$2+1))),"max", MAX(INDIRECT(ADDRESS(6+3,K$2+1,,,"Instances") &amp; ":" &amp; ADDRESS(6+3,K$2+1))),"diff", MAX(INDIRECT(ADDRESS(6+3,K$2+1,,,"Instances") &amp; ":" &amp; ADDRESS(6+3,K$2+1)))-MIN(INDIRECT(ADDRESS(6+3,K$2+1,,,"Instances") &amp; ":" &amp; ADDRESS(6+3,K$2+1))))</f>
        <v>#N/A</v>
      </c>
      <c r="L11" s="0" t="str">
        <f aca="false">IFERROR(SMALL(K5:K364,ROW()-ROW($L$5)+1),"")</f>
        <v/>
      </c>
      <c r="N11" s="0" t="n">
        <f aca="false">IFERROR(SUM(L5:L11),"")</f>
        <v>0</v>
      </c>
      <c r="Q11" s="0" t="e">
        <f aca="false">IF(Charts!$B$3="none",E1818,IF(K1818="",NA(),K1818))</f>
        <v>#N/A</v>
      </c>
      <c r="R11" s="0" t="e">
        <f aca="false">IF(Charts!$B$3="none",F1818,IF(L1818="",NA(),L1818))</f>
        <v>#N/A</v>
      </c>
      <c r="S11" s="0" t="e">
        <f aca="false">IF(Charts!$B$3="none",G1818,IF(M1818="",NA(),M1818))</f>
        <v>#N/A</v>
      </c>
      <c r="T11" s="0" t="e">
        <f aca="false">IF(Charts!$B$3="none",H1818,IF(N1818="",NA(),N1818))</f>
        <v>#N/A</v>
      </c>
    </row>
    <row r="12" customFormat="false" ht="15" hidden="false" customHeight="false" outlineLevel="0" collapsed="false">
      <c r="A12" s="0" t="s">
        <v>12</v>
      </c>
      <c r="B12" s="0" t="n">
        <v>12</v>
      </c>
      <c r="D12" s="0" t="n">
        <v>8</v>
      </c>
      <c r="E12" s="0" t="str">
        <f aca="true">IF(INDIRECT(ADDRESS($D12+2,E$2+1,,,"Instances"))="","",INDIRECT(ADDRESS($D12+2,E$2+1,,,"Instances")))</f>
        <v>Level_0/3-0001101</v>
      </c>
      <c r="F12" s="0" t="str">
        <f aca="false">IFERROR(SMALL(E5:E364,ROW()-ROW($F$5)+1),"")</f>
        <v/>
      </c>
      <c r="H12" s="0" t="n">
        <f aca="false">IFERROR(SUM(F5:F12),"")</f>
        <v>0</v>
      </c>
      <c r="J12" s="0" t="n">
        <v>8</v>
      </c>
      <c r="K12" s="0" t="e">
        <f aca="true" t="array" ref="K12:K12">_xlfn.SWITCH(Charts!$B$3,"average", AVERAGE(INDIRECT(ADDRESS(7+3,K$2+1,,,"Instances") &amp; ":" &amp; ADDRESS(7+3,K$2+1))),"median", MEDIAN(INDIRECT(ADDRESS(7+3,K$2+1,,,"Instances") &amp; ":" &amp; ADDRESS(7+3,K$2+1))),"min", MIN(INDIRECT(ADDRESS(7+3,K$2+1,,,"Instances") &amp; ":" &amp; ADDRESS(7+3,K$2+1))),"max", MAX(INDIRECT(ADDRESS(7+3,K$2+1,,,"Instances") &amp; ":" &amp; ADDRESS(7+3,K$2+1))),"diff", MAX(INDIRECT(ADDRESS(7+3,K$2+1,,,"Instances") &amp; ":" &amp; ADDRESS(7+3,K$2+1)))-MIN(INDIRECT(ADDRESS(7+3,K$2+1,,,"Instances") &amp; ":" &amp; ADDRESS(7+3,K$2+1))))</f>
        <v>#N/A</v>
      </c>
      <c r="L12" s="0" t="str">
        <f aca="false">IFERROR(SMALL(K5:K364,ROW()-ROW($L$5)+1),"")</f>
        <v/>
      </c>
      <c r="N12" s="0" t="n">
        <f aca="false">IFERROR(SUM(L5:L12),"")</f>
        <v>0</v>
      </c>
      <c r="Q12" s="0" t="e">
        <f aca="false">IF(Charts!$B$3="none",E1819,IF(K1819="",NA(),K1819))</f>
        <v>#N/A</v>
      </c>
      <c r="R12" s="0" t="e">
        <f aca="false">IF(Charts!$B$3="none",F1819,IF(L1819="",NA(),L1819))</f>
        <v>#N/A</v>
      </c>
      <c r="S12" s="0" t="e">
        <f aca="false">IF(Charts!$B$3="none",G1819,IF(M1819="",NA(),M1819))</f>
        <v>#N/A</v>
      </c>
      <c r="T12" s="0" t="e">
        <f aca="false">IF(Charts!$B$3="none",H1819,IF(N1819="",NA(),N1819))</f>
        <v>#N/A</v>
      </c>
    </row>
    <row r="13" customFormat="false" ht="15" hidden="false" customHeight="false" outlineLevel="0" collapsed="false">
      <c r="A13" s="0" t="s">
        <v>13</v>
      </c>
      <c r="B13" s="0" t="n">
        <v>13</v>
      </c>
      <c r="D13" s="0" t="n">
        <v>9</v>
      </c>
      <c r="E13" s="0" t="str">
        <f aca="true">IF(INDIRECT(ADDRESS($D13+2,E$2+1,,,"Instances"))="","",INDIRECT(ADDRESS($D13+2,E$2+1,,,"Instances")))</f>
        <v>Level_0/3-0001110</v>
      </c>
      <c r="F13" s="0" t="str">
        <f aca="false">IFERROR(SMALL(E5:E364,ROW()-ROW($F$5)+1),"")</f>
        <v/>
      </c>
      <c r="H13" s="0" t="n">
        <f aca="false">IFERROR(SUM(F5:F13),"")</f>
        <v>0</v>
      </c>
      <c r="J13" s="0" t="n">
        <v>9</v>
      </c>
      <c r="K13" s="0" t="e">
        <f aca="true" t="array" ref="K13:K13">_xlfn.SWITCH(Charts!$B$3,"average", AVERAGE(INDIRECT(ADDRESS(8+3,K$2+1,,,"Instances") &amp; ":" &amp; ADDRESS(8+3,K$2+1))),"median", MEDIAN(INDIRECT(ADDRESS(8+3,K$2+1,,,"Instances") &amp; ":" &amp; ADDRESS(8+3,K$2+1))),"min", MIN(INDIRECT(ADDRESS(8+3,K$2+1,,,"Instances") &amp; ":" &amp; ADDRESS(8+3,K$2+1))),"max", MAX(INDIRECT(ADDRESS(8+3,K$2+1,,,"Instances") &amp; ":" &amp; ADDRESS(8+3,K$2+1))),"diff", MAX(INDIRECT(ADDRESS(8+3,K$2+1,,,"Instances") &amp; ":" &amp; ADDRESS(8+3,K$2+1)))-MIN(INDIRECT(ADDRESS(8+3,K$2+1,,,"Instances") &amp; ":" &amp; ADDRESS(8+3,K$2+1))))</f>
        <v>#N/A</v>
      </c>
      <c r="L13" s="0" t="str">
        <f aca="false">IFERROR(SMALL(K5:K364,ROW()-ROW($L$5)+1),"")</f>
        <v/>
      </c>
      <c r="N13" s="0" t="n">
        <f aca="false">IFERROR(SUM(L5:L13),"")</f>
        <v>0</v>
      </c>
      <c r="Q13" s="0" t="e">
        <f aca="false">IF(Charts!$B$3="none",E1820,IF(K1820="",NA(),K1820))</f>
        <v>#N/A</v>
      </c>
      <c r="R13" s="0" t="e">
        <f aca="false">IF(Charts!$B$3="none",F1820,IF(L1820="",NA(),L1820))</f>
        <v>#N/A</v>
      </c>
      <c r="S13" s="0" t="e">
        <f aca="false">IF(Charts!$B$3="none",G1820,IF(M1820="",NA(),M1820))</f>
        <v>#N/A</v>
      </c>
      <c r="T13" s="0" t="e">
        <f aca="false">IF(Charts!$B$3="none",H1820,IF(N1820="",NA(),N1820))</f>
        <v>#N/A</v>
      </c>
    </row>
    <row r="14" customFormat="false" ht="15" hidden="false" customHeight="false" outlineLevel="0" collapsed="false">
      <c r="A14" s="0" t="s">
        <v>15</v>
      </c>
      <c r="B14" s="0" t="n">
        <v>15</v>
      </c>
      <c r="D14" s="0" t="n">
        <v>10</v>
      </c>
      <c r="E14" s="0" t="str">
        <f aca="true">IF(INDIRECT(ADDRESS($D14+2,E$2+1,,,"Instances"))="","",INDIRECT(ADDRESS($D14+2,E$2+1,,,"Instances")))</f>
        <v>Level_0/3-0101001</v>
      </c>
      <c r="F14" s="0" t="str">
        <f aca="false">IFERROR(SMALL(E5:E364,ROW()-ROW($F$5)+1),"")</f>
        <v/>
      </c>
      <c r="H14" s="0" t="n">
        <f aca="false">IFERROR(SUM(F5:F14),"")</f>
        <v>0</v>
      </c>
      <c r="J14" s="0" t="n">
        <v>10</v>
      </c>
      <c r="K14" s="0" t="e">
        <f aca="true" t="array" ref="K14:K14">_xlfn.SWITCH(Charts!$B$3,"average", AVERAGE(INDIRECT(ADDRESS(9+3,K$2+1,,,"Instances") &amp; ":" &amp; ADDRESS(9+3,K$2+1))),"median", MEDIAN(INDIRECT(ADDRESS(9+3,K$2+1,,,"Instances") &amp; ":" &amp; ADDRESS(9+3,K$2+1))),"min", MIN(INDIRECT(ADDRESS(9+3,K$2+1,,,"Instances") &amp; ":" &amp; ADDRESS(9+3,K$2+1))),"max", MAX(INDIRECT(ADDRESS(9+3,K$2+1,,,"Instances") &amp; ":" &amp; ADDRESS(9+3,K$2+1))),"diff", MAX(INDIRECT(ADDRESS(9+3,K$2+1,,,"Instances") &amp; ":" &amp; ADDRESS(9+3,K$2+1)))-MIN(INDIRECT(ADDRESS(9+3,K$2+1,,,"Instances") &amp; ":" &amp; ADDRESS(9+3,K$2+1))))</f>
        <v>#N/A</v>
      </c>
      <c r="L14" s="0" t="str">
        <f aca="false">IFERROR(SMALL(K5:K364,ROW()-ROW($L$5)+1),"")</f>
        <v/>
      </c>
      <c r="N14" s="0" t="n">
        <f aca="false">IFERROR(SUM(L5:L14),"")</f>
        <v>0</v>
      </c>
      <c r="Q14" s="0" t="e">
        <f aca="false">IF(Charts!$B$3="none",E1821,IF(K1821="",NA(),K1821))</f>
        <v>#N/A</v>
      </c>
      <c r="R14" s="0" t="e">
        <f aca="false">IF(Charts!$B$3="none",F1821,IF(L1821="",NA(),L1821))</f>
        <v>#N/A</v>
      </c>
      <c r="S14" s="0" t="e">
        <f aca="false">IF(Charts!$B$3="none",G1821,IF(M1821="",NA(),M1821))</f>
        <v>#N/A</v>
      </c>
      <c r="T14" s="0" t="e">
        <f aca="false">IF(Charts!$B$3="none",H1821,IF(N1821="",NA(),N1821))</f>
        <v>#N/A</v>
      </c>
    </row>
    <row r="15" customFormat="false" ht="15" hidden="false" customHeight="false" outlineLevel="0" collapsed="false">
      <c r="A15" s="0" t="s">
        <v>16</v>
      </c>
      <c r="B15" s="0" t="n">
        <v>16</v>
      </c>
      <c r="D15" s="0" t="n">
        <v>11</v>
      </c>
      <c r="E15" s="0" t="str">
        <f aca="true">IF(INDIRECT(ADDRESS($D15+2,E$2+1,,,"Instances"))="","",INDIRECT(ADDRESS($D15+2,E$2+1,,,"Instances")))</f>
        <v>Level_0/3-1011000</v>
      </c>
      <c r="F15" s="0" t="str">
        <f aca="false">IFERROR(SMALL(E5:E364,ROW()-ROW($F$5)+1),"")</f>
        <v/>
      </c>
      <c r="H15" s="0" t="n">
        <f aca="false">IFERROR(SUM(F5:F15),"")</f>
        <v>0</v>
      </c>
      <c r="J15" s="0" t="n">
        <v>11</v>
      </c>
      <c r="K15" s="0" t="e">
        <f aca="true" t="array" ref="K15:K15">_xlfn.SWITCH(Charts!$B$3,"average", AVERAGE(INDIRECT(ADDRESS(10+3,K$2+1,,,"Instances") &amp; ":" &amp; ADDRESS(10+3,K$2+1))),"median", MEDIAN(INDIRECT(ADDRESS(10+3,K$2+1,,,"Instances") &amp; ":" &amp; ADDRESS(10+3,K$2+1))),"min", MIN(INDIRECT(ADDRESS(10+3,K$2+1,,,"Instances") &amp; ":" &amp; ADDRESS(10+3,K$2+1))),"max", MAX(INDIRECT(ADDRESS(10+3,K$2+1,,,"Instances") &amp; ":" &amp; ADDRESS(10+3,K$2+1))),"diff", MAX(INDIRECT(ADDRESS(10+3,K$2+1,,,"Instances") &amp; ":" &amp; ADDRESS(10+3,K$2+1)))-MIN(INDIRECT(ADDRESS(10+3,K$2+1,,,"Instances") &amp; ":" &amp; ADDRESS(10+3,K$2+1))))</f>
        <v>#N/A</v>
      </c>
      <c r="L15" s="0" t="str">
        <f aca="false">IFERROR(SMALL(K5:K364,ROW()-ROW($L$5)+1),"")</f>
        <v/>
      </c>
      <c r="N15" s="0" t="n">
        <f aca="false">IFERROR(SUM(L5:L15),"")</f>
        <v>0</v>
      </c>
      <c r="Q15" s="0" t="e">
        <f aca="false">IF(Charts!$B$3="none",E1822,IF(K1822="",NA(),K1822))</f>
        <v>#N/A</v>
      </c>
      <c r="R15" s="0" t="e">
        <f aca="false">IF(Charts!$B$3="none",F1822,IF(L1822="",NA(),L1822))</f>
        <v>#N/A</v>
      </c>
      <c r="S15" s="0" t="e">
        <f aca="false">IF(Charts!$B$3="none",G1822,IF(M1822="",NA(),M1822))</f>
        <v>#N/A</v>
      </c>
      <c r="T15" s="0" t="e">
        <f aca="false">IF(Charts!$B$3="none",H1822,IF(N1822="",NA(),N1822))</f>
        <v>#N/A</v>
      </c>
    </row>
    <row r="16" customFormat="false" ht="15" hidden="false" customHeight="false" outlineLevel="0" collapsed="false">
      <c r="A16" s="0" t="s">
        <v>17</v>
      </c>
      <c r="B16" s="0" t="n">
        <v>17</v>
      </c>
      <c r="D16" s="0" t="n">
        <v>12</v>
      </c>
      <c r="E16" s="0" t="str">
        <f aca="true">IF(INDIRECT(ADDRESS($D16+2,E$2+1,,,"Instances"))="","",INDIRECT(ADDRESS($D16+2,E$2+1,,,"Instances")))</f>
        <v>Level_0/3-1100010</v>
      </c>
      <c r="F16" s="0" t="str">
        <f aca="false">IFERROR(SMALL(E5:E364,ROW()-ROW($F$5)+1),"")</f>
        <v/>
      </c>
      <c r="H16" s="0" t="n">
        <f aca="false">IFERROR(SUM(F5:F16),"")</f>
        <v>0</v>
      </c>
      <c r="J16" s="0" t="n">
        <v>12</v>
      </c>
      <c r="K16" s="0" t="e">
        <f aca="true" t="array" ref="K16:K16">_xlfn.SWITCH(Charts!$B$3,"average", AVERAGE(INDIRECT(ADDRESS(11+3,K$2+1,,,"Instances") &amp; ":" &amp; ADDRESS(11+3,K$2+1))),"median", MEDIAN(INDIRECT(ADDRESS(11+3,K$2+1,,,"Instances") &amp; ":" &amp; ADDRESS(11+3,K$2+1))),"min", MIN(INDIRECT(ADDRESS(11+3,K$2+1,,,"Instances") &amp; ":" &amp; ADDRESS(11+3,K$2+1))),"max", MAX(INDIRECT(ADDRESS(11+3,K$2+1,,,"Instances") &amp; ":" &amp; ADDRESS(11+3,K$2+1))),"diff", MAX(INDIRECT(ADDRESS(11+3,K$2+1,,,"Instances") &amp; ":" &amp; ADDRESS(11+3,K$2+1)))-MIN(INDIRECT(ADDRESS(11+3,K$2+1,,,"Instances") &amp; ":" &amp; ADDRESS(11+3,K$2+1))))</f>
        <v>#N/A</v>
      </c>
      <c r="L16" s="0" t="str">
        <f aca="false">IFERROR(SMALL(K5:K364,ROW()-ROW($L$5)+1),"")</f>
        <v/>
      </c>
      <c r="N16" s="0" t="n">
        <f aca="false">IFERROR(SUM(L5:L16),"")</f>
        <v>0</v>
      </c>
      <c r="Q16" s="0" t="e">
        <f aca="false">IF(Charts!$B$3="none",E1823,IF(K1823="",NA(),K1823))</f>
        <v>#N/A</v>
      </c>
      <c r="R16" s="0" t="e">
        <f aca="false">IF(Charts!$B$3="none",F1823,IF(L1823="",NA(),L1823))</f>
        <v>#N/A</v>
      </c>
      <c r="S16" s="0" t="e">
        <f aca="false">IF(Charts!$B$3="none",G1823,IF(M1823="",NA(),M1823))</f>
        <v>#N/A</v>
      </c>
      <c r="T16" s="0" t="e">
        <f aca="false">IF(Charts!$B$3="none",H1823,IF(N1823="",NA(),N1823))</f>
        <v>#N/A</v>
      </c>
    </row>
    <row r="17" customFormat="false" ht="15" hidden="false" customHeight="false" outlineLevel="0" collapsed="false">
      <c r="D17" s="0" t="n">
        <v>13</v>
      </c>
      <c r="E17" s="0" t="str">
        <f aca="true">IF(INDIRECT(ADDRESS($D17+2,E$2+1,,,"Instances"))="","",INDIRECT(ADDRESS($D17+2,E$2+1,,,"Instances")))</f>
        <v>Level_0/3-1100100</v>
      </c>
      <c r="F17" s="0" t="str">
        <f aca="false">IFERROR(SMALL(E5:E364,ROW()-ROW($F$5)+1),"")</f>
        <v/>
      </c>
      <c r="H17" s="0" t="n">
        <f aca="false">IFERROR(SUM(F5:F17),"")</f>
        <v>0</v>
      </c>
      <c r="J17" s="0" t="n">
        <v>13</v>
      </c>
      <c r="K17" s="0" t="e">
        <f aca="true" t="array" ref="K17:K17">_xlfn.SWITCH(Charts!$B$3,"average", AVERAGE(INDIRECT(ADDRESS(12+3,K$2+1,,,"Instances") &amp; ":" &amp; ADDRESS(12+3,K$2+1))),"median", MEDIAN(INDIRECT(ADDRESS(12+3,K$2+1,,,"Instances") &amp; ":" &amp; ADDRESS(12+3,K$2+1))),"min", MIN(INDIRECT(ADDRESS(12+3,K$2+1,,,"Instances") &amp; ":" &amp; ADDRESS(12+3,K$2+1))),"max", MAX(INDIRECT(ADDRESS(12+3,K$2+1,,,"Instances") &amp; ":" &amp; ADDRESS(12+3,K$2+1))),"diff", MAX(INDIRECT(ADDRESS(12+3,K$2+1,,,"Instances") &amp; ":" &amp; ADDRESS(12+3,K$2+1)))-MIN(INDIRECT(ADDRESS(12+3,K$2+1,,,"Instances") &amp; ":" &amp; ADDRESS(12+3,K$2+1))))</f>
        <v>#N/A</v>
      </c>
      <c r="L17" s="0" t="str">
        <f aca="false">IFERROR(SMALL(K5:K364,ROW()-ROW($L$5)+1),"")</f>
        <v/>
      </c>
      <c r="N17" s="0" t="n">
        <f aca="false">IFERROR(SUM(L5:L17),"")</f>
        <v>0</v>
      </c>
      <c r="Q17" s="0" t="e">
        <f aca="false">IF(Charts!$B$3="none",E1824,IF(K1824="",NA(),K1824))</f>
        <v>#N/A</v>
      </c>
      <c r="R17" s="0" t="e">
        <f aca="false">IF(Charts!$B$3="none",F1824,IF(L1824="",NA(),L1824))</f>
        <v>#N/A</v>
      </c>
      <c r="S17" s="0" t="e">
        <f aca="false">IF(Charts!$B$3="none",G1824,IF(M1824="",NA(),M1824))</f>
        <v>#N/A</v>
      </c>
      <c r="T17" s="0" t="e">
        <f aca="false">IF(Charts!$B$3="none",H1824,IF(N1824="",NA(),N1824))</f>
        <v>#N/A</v>
      </c>
    </row>
    <row r="18" customFormat="false" ht="15" hidden="false" customHeight="false" outlineLevel="0" collapsed="false">
      <c r="D18" s="0" t="n">
        <v>14</v>
      </c>
      <c r="E18" s="0" t="str">
        <f aca="true">IF(INDIRECT(ADDRESS($D18+2,E$2+1,,,"Instances"))="","",INDIRECT(ADDRESS($D18+2,E$2+1,,,"Instances")))</f>
        <v>Level_0/3-1101000</v>
      </c>
      <c r="F18" s="0" t="str">
        <f aca="false">IFERROR(SMALL(E5:E364,ROW()-ROW($F$5)+1),"")</f>
        <v/>
      </c>
      <c r="H18" s="0" t="n">
        <f aca="false">IFERROR(SUM(F5:F18),"")</f>
        <v>0</v>
      </c>
      <c r="J18" s="0" t="n">
        <v>14</v>
      </c>
      <c r="K18" s="0" t="e">
        <f aca="true" t="array" ref="K18:K18">_xlfn.SWITCH(Charts!$B$3,"average", AVERAGE(INDIRECT(ADDRESS(13+3,K$2+1,,,"Instances") &amp; ":" &amp; ADDRESS(13+3,K$2+1))),"median", MEDIAN(INDIRECT(ADDRESS(13+3,K$2+1,,,"Instances") &amp; ":" &amp; ADDRESS(13+3,K$2+1))),"min", MIN(INDIRECT(ADDRESS(13+3,K$2+1,,,"Instances") &amp; ":" &amp; ADDRESS(13+3,K$2+1))),"max", MAX(INDIRECT(ADDRESS(13+3,K$2+1,,,"Instances") &amp; ":" &amp; ADDRESS(13+3,K$2+1))),"diff", MAX(INDIRECT(ADDRESS(13+3,K$2+1,,,"Instances") &amp; ":" &amp; ADDRESS(13+3,K$2+1)))-MIN(INDIRECT(ADDRESS(13+3,K$2+1,,,"Instances") &amp; ":" &amp; ADDRESS(13+3,K$2+1))))</f>
        <v>#N/A</v>
      </c>
      <c r="L18" s="0" t="str">
        <f aca="false">IFERROR(SMALL(K5:K364,ROW()-ROW($L$5)+1),"")</f>
        <v/>
      </c>
      <c r="N18" s="0" t="n">
        <f aca="false">IFERROR(SUM(L5:L18),"")</f>
        <v>0</v>
      </c>
      <c r="Q18" s="0" t="e">
        <f aca="false">IF(Charts!$B$3="none",E1825,IF(K1825="",NA(),K1825))</f>
        <v>#N/A</v>
      </c>
      <c r="R18" s="0" t="e">
        <f aca="false">IF(Charts!$B$3="none",F1825,IF(L1825="",NA(),L1825))</f>
        <v>#N/A</v>
      </c>
      <c r="S18" s="0" t="e">
        <f aca="false">IF(Charts!$B$3="none",G1825,IF(M1825="",NA(),M1825))</f>
        <v>#N/A</v>
      </c>
      <c r="T18" s="0" t="e">
        <f aca="false">IF(Charts!$B$3="none",H1825,IF(N1825="",NA(),N1825))</f>
        <v>#N/A</v>
      </c>
    </row>
    <row r="19" customFormat="false" ht="15" hidden="false" customHeight="false" outlineLevel="0" collapsed="false">
      <c r="D19" s="0" t="n">
        <v>15</v>
      </c>
      <c r="E19" s="0" t="str">
        <f aca="true">IF(INDIRECT(ADDRESS($D19+2,E$2+1,,,"Instances"))="","",INDIRECT(ADDRESS($D19+2,E$2+1,,,"Instances")))</f>
        <v>Level_0/4-0010111</v>
      </c>
      <c r="F19" s="0" t="str">
        <f aca="false">IFERROR(SMALL(E5:E364,ROW()-ROW($F$5)+1),"")</f>
        <v/>
      </c>
      <c r="H19" s="0" t="n">
        <f aca="false">IFERROR(SUM(F5:F19),"")</f>
        <v>0</v>
      </c>
      <c r="J19" s="0" t="n">
        <v>15</v>
      </c>
      <c r="K19" s="0" t="e">
        <f aca="true" t="array" ref="K19:K19">_xlfn.SWITCH(Charts!$B$3,"average", AVERAGE(INDIRECT(ADDRESS(14+3,K$2+1,,,"Instances") &amp; ":" &amp; ADDRESS(14+3,K$2+1))),"median", MEDIAN(INDIRECT(ADDRESS(14+3,K$2+1,,,"Instances") &amp; ":" &amp; ADDRESS(14+3,K$2+1))),"min", MIN(INDIRECT(ADDRESS(14+3,K$2+1,,,"Instances") &amp; ":" &amp; ADDRESS(14+3,K$2+1))),"max", MAX(INDIRECT(ADDRESS(14+3,K$2+1,,,"Instances") &amp; ":" &amp; ADDRESS(14+3,K$2+1))),"diff", MAX(INDIRECT(ADDRESS(14+3,K$2+1,,,"Instances") &amp; ":" &amp; ADDRESS(14+3,K$2+1)))-MIN(INDIRECT(ADDRESS(14+3,K$2+1,,,"Instances") &amp; ":" &amp; ADDRESS(14+3,K$2+1))))</f>
        <v>#N/A</v>
      </c>
      <c r="L19" s="0" t="str">
        <f aca="false">IFERROR(SMALL(K5:K364,ROW()-ROW($L$5)+1),"")</f>
        <v/>
      </c>
      <c r="N19" s="0" t="n">
        <f aca="false">IFERROR(SUM(L5:L19),"")</f>
        <v>0</v>
      </c>
      <c r="Q19" s="0" t="e">
        <f aca="false">IF(Charts!$B$3="none",E1826,IF(K1826="",NA(),K1826))</f>
        <v>#N/A</v>
      </c>
      <c r="R19" s="0" t="e">
        <f aca="false">IF(Charts!$B$3="none",F1826,IF(L1826="",NA(),L1826))</f>
        <v>#N/A</v>
      </c>
      <c r="S19" s="0" t="e">
        <f aca="false">IF(Charts!$B$3="none",G1826,IF(M1826="",NA(),M1826))</f>
        <v>#N/A</v>
      </c>
      <c r="T19" s="0" t="e">
        <f aca="false">IF(Charts!$B$3="none",H1826,IF(N1826="",NA(),N1826))</f>
        <v>#N/A</v>
      </c>
    </row>
    <row r="20" customFormat="false" ht="15" hidden="false" customHeight="false" outlineLevel="0" collapsed="false">
      <c r="D20" s="0" t="n">
        <v>16</v>
      </c>
      <c r="E20" s="0" t="str">
        <f aca="true">IF(INDIRECT(ADDRESS($D20+2,E$2+1,,,"Instances"))="","",INDIRECT(ADDRESS($D20+2,E$2+1,,,"Instances")))</f>
        <v>Level_0/4-0011110</v>
      </c>
      <c r="F20" s="0" t="str">
        <f aca="false">IFERROR(SMALL(E5:E364,ROW()-ROW($F$5)+1),"")</f>
        <v/>
      </c>
      <c r="H20" s="0" t="n">
        <f aca="false">IFERROR(SUM(F5:F20),"")</f>
        <v>0</v>
      </c>
      <c r="J20" s="0" t="n">
        <v>16</v>
      </c>
      <c r="K20" s="0" t="e">
        <f aca="true" t="array" ref="K20:K20">_xlfn.SWITCH(Charts!$B$3,"average", AVERAGE(INDIRECT(ADDRESS(15+3,K$2+1,,,"Instances") &amp; ":" &amp; ADDRESS(15+3,K$2+1))),"median", MEDIAN(INDIRECT(ADDRESS(15+3,K$2+1,,,"Instances") &amp; ":" &amp; ADDRESS(15+3,K$2+1))),"min", MIN(INDIRECT(ADDRESS(15+3,K$2+1,,,"Instances") &amp; ":" &amp; ADDRESS(15+3,K$2+1))),"max", MAX(INDIRECT(ADDRESS(15+3,K$2+1,,,"Instances") &amp; ":" &amp; ADDRESS(15+3,K$2+1))),"diff", MAX(INDIRECT(ADDRESS(15+3,K$2+1,,,"Instances") &amp; ":" &amp; ADDRESS(15+3,K$2+1)))-MIN(INDIRECT(ADDRESS(15+3,K$2+1,,,"Instances") &amp; ":" &amp; ADDRESS(15+3,K$2+1))))</f>
        <v>#N/A</v>
      </c>
      <c r="L20" s="0" t="str">
        <f aca="false">IFERROR(SMALL(K5:K364,ROW()-ROW($L$5)+1),"")</f>
        <v/>
      </c>
      <c r="N20" s="0" t="n">
        <f aca="false">IFERROR(SUM(L5:L20),"")</f>
        <v>0</v>
      </c>
      <c r="Q20" s="0" t="e">
        <f aca="false">IF(Charts!$B$3="none",E1827,IF(K1827="",NA(),K1827))</f>
        <v>#N/A</v>
      </c>
      <c r="R20" s="0" t="e">
        <f aca="false">IF(Charts!$B$3="none",F1827,IF(L1827="",NA(),L1827))</f>
        <v>#N/A</v>
      </c>
      <c r="S20" s="0" t="e">
        <f aca="false">IF(Charts!$B$3="none",G1827,IF(M1827="",NA(),M1827))</f>
        <v>#N/A</v>
      </c>
      <c r="T20" s="0" t="e">
        <f aca="false">IF(Charts!$B$3="none",H1827,IF(N1827="",NA(),N1827))</f>
        <v>#N/A</v>
      </c>
    </row>
    <row r="21" customFormat="false" ht="15" hidden="false" customHeight="false" outlineLevel="0" collapsed="false">
      <c r="D21" s="0" t="n">
        <v>17</v>
      </c>
      <c r="E21" s="0" t="str">
        <f aca="true">IF(INDIRECT(ADDRESS($D21+2,E$2+1,,,"Instances"))="","",INDIRECT(ADDRESS($D21+2,E$2+1,,,"Instances")))</f>
        <v>Level_0/4-0100111</v>
      </c>
      <c r="F21" s="0" t="str">
        <f aca="false">IFERROR(SMALL(E5:E364,ROW()-ROW($F$5)+1),"")</f>
        <v/>
      </c>
      <c r="H21" s="0" t="n">
        <f aca="false">IFERROR(SUM(F5:F21),"")</f>
        <v>0</v>
      </c>
      <c r="J21" s="0" t="n">
        <v>17</v>
      </c>
      <c r="K21" s="0" t="e">
        <f aca="true" t="array" ref="K21:K21">_xlfn.SWITCH(Charts!$B$3,"average", AVERAGE(INDIRECT(ADDRESS(16+3,K$2+1,,,"Instances") &amp; ":" &amp; ADDRESS(16+3,K$2+1))),"median", MEDIAN(INDIRECT(ADDRESS(16+3,K$2+1,,,"Instances") &amp; ":" &amp; ADDRESS(16+3,K$2+1))),"min", MIN(INDIRECT(ADDRESS(16+3,K$2+1,,,"Instances") &amp; ":" &amp; ADDRESS(16+3,K$2+1))),"max", MAX(INDIRECT(ADDRESS(16+3,K$2+1,,,"Instances") &amp; ":" &amp; ADDRESS(16+3,K$2+1))),"diff", MAX(INDIRECT(ADDRESS(16+3,K$2+1,,,"Instances") &amp; ":" &amp; ADDRESS(16+3,K$2+1)))-MIN(INDIRECT(ADDRESS(16+3,K$2+1,,,"Instances") &amp; ":" &amp; ADDRESS(16+3,K$2+1))))</f>
        <v>#N/A</v>
      </c>
      <c r="L21" s="0" t="str">
        <f aca="false">IFERROR(SMALL(K5:K364,ROW()-ROW($L$5)+1),"")</f>
        <v/>
      </c>
      <c r="N21" s="0" t="n">
        <f aca="false">IFERROR(SUM(L5:L21),"")</f>
        <v>0</v>
      </c>
      <c r="Q21" s="0" t="e">
        <f aca="false">IF(Charts!$B$3="none",E1828,IF(K1828="",NA(),K1828))</f>
        <v>#N/A</v>
      </c>
      <c r="R21" s="0" t="e">
        <f aca="false">IF(Charts!$B$3="none",F1828,IF(L1828="",NA(),L1828))</f>
        <v>#N/A</v>
      </c>
      <c r="S21" s="0" t="e">
        <f aca="false">IF(Charts!$B$3="none",G1828,IF(M1828="",NA(),M1828))</f>
        <v>#N/A</v>
      </c>
      <c r="T21" s="0" t="e">
        <f aca="false">IF(Charts!$B$3="none",H1828,IF(N1828="",NA(),N1828))</f>
        <v>#N/A</v>
      </c>
    </row>
    <row r="22" customFormat="false" ht="15" hidden="false" customHeight="false" outlineLevel="0" collapsed="false">
      <c r="D22" s="0" t="n">
        <v>18</v>
      </c>
      <c r="E22" s="0" t="str">
        <f aca="true">IF(INDIRECT(ADDRESS($D22+2,E$2+1,,,"Instances"))="","",INDIRECT(ADDRESS($D22+2,E$2+1,,,"Instances")))</f>
        <v>Level_0/4-1000111</v>
      </c>
      <c r="F22" s="0" t="str">
        <f aca="false">IFERROR(SMALL(E5:E364,ROW()-ROW($F$5)+1),"")</f>
        <v/>
      </c>
      <c r="H22" s="0" t="n">
        <f aca="false">IFERROR(SUM(F5:F22),"")</f>
        <v>0</v>
      </c>
      <c r="J22" s="0" t="n">
        <v>18</v>
      </c>
      <c r="K22" s="0" t="e">
        <f aca="true" t="array" ref="K22:K22">_xlfn.SWITCH(Charts!$B$3,"average", AVERAGE(INDIRECT(ADDRESS(17+3,K$2+1,,,"Instances") &amp; ":" &amp; ADDRESS(17+3,K$2+1))),"median", MEDIAN(INDIRECT(ADDRESS(17+3,K$2+1,,,"Instances") &amp; ":" &amp; ADDRESS(17+3,K$2+1))),"min", MIN(INDIRECT(ADDRESS(17+3,K$2+1,,,"Instances") &amp; ":" &amp; ADDRESS(17+3,K$2+1))),"max", MAX(INDIRECT(ADDRESS(17+3,K$2+1,,,"Instances") &amp; ":" &amp; ADDRESS(17+3,K$2+1))),"diff", MAX(INDIRECT(ADDRESS(17+3,K$2+1,,,"Instances") &amp; ":" &amp; ADDRESS(17+3,K$2+1)))-MIN(INDIRECT(ADDRESS(17+3,K$2+1,,,"Instances") &amp; ":" &amp; ADDRESS(17+3,K$2+1))))</f>
        <v>#N/A</v>
      </c>
      <c r="L22" s="0" t="str">
        <f aca="false">IFERROR(SMALL(K5:K364,ROW()-ROW($L$5)+1),"")</f>
        <v/>
      </c>
      <c r="N22" s="0" t="n">
        <f aca="false">IFERROR(SUM(L5:L22),"")</f>
        <v>0</v>
      </c>
      <c r="Q22" s="0" t="e">
        <f aca="false">IF(Charts!$B$3="none",E1829,IF(K1829="",NA(),K1829))</f>
        <v>#N/A</v>
      </c>
      <c r="R22" s="0" t="e">
        <f aca="false">IF(Charts!$B$3="none",F1829,IF(L1829="",NA(),L1829))</f>
        <v>#N/A</v>
      </c>
      <c r="S22" s="0" t="e">
        <f aca="false">IF(Charts!$B$3="none",G1829,IF(M1829="",NA(),M1829))</f>
        <v>#N/A</v>
      </c>
      <c r="T22" s="0" t="e">
        <f aca="false">IF(Charts!$B$3="none",H1829,IF(N1829="",NA(),N1829))</f>
        <v>#N/A</v>
      </c>
    </row>
    <row r="23" customFormat="false" ht="15" hidden="false" customHeight="false" outlineLevel="0" collapsed="false">
      <c r="D23" s="0" t="n">
        <v>19</v>
      </c>
      <c r="E23" s="0" t="str">
        <f aca="true">IF(INDIRECT(ADDRESS($D23+2,E$2+1,,,"Instances"))="","",INDIRECT(ADDRESS($D23+2,E$2+1,,,"Instances")))</f>
        <v>Level_0/4-1001110</v>
      </c>
      <c r="F23" s="0" t="str">
        <f aca="false">IFERROR(SMALL(E5:E364,ROW()-ROW($F$5)+1),"")</f>
        <v/>
      </c>
      <c r="H23" s="0" t="n">
        <f aca="false">IFERROR(SUM(F5:F23),"")</f>
        <v>0</v>
      </c>
      <c r="J23" s="0" t="n">
        <v>19</v>
      </c>
      <c r="K23" s="0" t="e">
        <f aca="true" t="array" ref="K23:K23">_xlfn.SWITCH(Charts!$B$3,"average", AVERAGE(INDIRECT(ADDRESS(18+3,K$2+1,,,"Instances") &amp; ":" &amp; ADDRESS(18+3,K$2+1))),"median", MEDIAN(INDIRECT(ADDRESS(18+3,K$2+1,,,"Instances") &amp; ":" &amp; ADDRESS(18+3,K$2+1))),"min", MIN(INDIRECT(ADDRESS(18+3,K$2+1,,,"Instances") &amp; ":" &amp; ADDRESS(18+3,K$2+1))),"max", MAX(INDIRECT(ADDRESS(18+3,K$2+1,,,"Instances") &amp; ":" &amp; ADDRESS(18+3,K$2+1))),"diff", MAX(INDIRECT(ADDRESS(18+3,K$2+1,,,"Instances") &amp; ":" &amp; ADDRESS(18+3,K$2+1)))-MIN(INDIRECT(ADDRESS(18+3,K$2+1,,,"Instances") &amp; ":" &amp; ADDRESS(18+3,K$2+1))))</f>
        <v>#N/A</v>
      </c>
      <c r="L23" s="0" t="str">
        <f aca="false">IFERROR(SMALL(K5:K364,ROW()-ROW($L$5)+1),"")</f>
        <v/>
      </c>
      <c r="N23" s="0" t="n">
        <f aca="false">IFERROR(SUM(L5:L23),"")</f>
        <v>0</v>
      </c>
      <c r="Q23" s="0" t="e">
        <f aca="false">IF(Charts!$B$3="none",E1830,IF(K1830="",NA(),K1830))</f>
        <v>#N/A</v>
      </c>
      <c r="R23" s="0" t="e">
        <f aca="false">IF(Charts!$B$3="none",F1830,IF(L1830="",NA(),L1830))</f>
        <v>#N/A</v>
      </c>
      <c r="S23" s="0" t="e">
        <f aca="false">IF(Charts!$B$3="none",G1830,IF(M1830="",NA(),M1830))</f>
        <v>#N/A</v>
      </c>
      <c r="T23" s="0" t="e">
        <f aca="false">IF(Charts!$B$3="none",H1830,IF(N1830="",NA(),N1830))</f>
        <v>#N/A</v>
      </c>
    </row>
    <row r="24" customFormat="false" ht="15" hidden="false" customHeight="false" outlineLevel="0" collapsed="false">
      <c r="D24" s="0" t="n">
        <v>20</v>
      </c>
      <c r="E24" s="0" t="str">
        <f aca="true">IF(INDIRECT(ADDRESS($D24+2,E$2+1,,,"Instances"))="","",INDIRECT(ADDRESS($D24+2,E$2+1,,,"Instances")))</f>
        <v>Level_0/4-1100101</v>
      </c>
      <c r="F24" s="0" t="str">
        <f aca="false">IFERROR(SMALL(E5:E364,ROW()-ROW($F$5)+1),"")</f>
        <v/>
      </c>
      <c r="H24" s="0" t="n">
        <f aca="false">IFERROR(SUM(F5:F24),"")</f>
        <v>0</v>
      </c>
      <c r="J24" s="0" t="n">
        <v>20</v>
      </c>
      <c r="K24" s="0" t="e">
        <f aca="true" t="array" ref="K24:K24">_xlfn.SWITCH(Charts!$B$3,"average", AVERAGE(INDIRECT(ADDRESS(19+3,K$2+1,,,"Instances") &amp; ":" &amp; ADDRESS(19+3,K$2+1))),"median", MEDIAN(INDIRECT(ADDRESS(19+3,K$2+1,,,"Instances") &amp; ":" &amp; ADDRESS(19+3,K$2+1))),"min", MIN(INDIRECT(ADDRESS(19+3,K$2+1,,,"Instances") &amp; ":" &amp; ADDRESS(19+3,K$2+1))),"max", MAX(INDIRECT(ADDRESS(19+3,K$2+1,,,"Instances") &amp; ":" &amp; ADDRESS(19+3,K$2+1))),"diff", MAX(INDIRECT(ADDRESS(19+3,K$2+1,,,"Instances") &amp; ":" &amp; ADDRESS(19+3,K$2+1)))-MIN(INDIRECT(ADDRESS(19+3,K$2+1,,,"Instances") &amp; ":" &amp; ADDRESS(19+3,K$2+1))))</f>
        <v>#N/A</v>
      </c>
      <c r="L24" s="0" t="str">
        <f aca="false">IFERROR(SMALL(K5:K364,ROW()-ROW($L$5)+1),"")</f>
        <v/>
      </c>
      <c r="N24" s="0" t="n">
        <f aca="false">IFERROR(SUM(L5:L24),"")</f>
        <v>0</v>
      </c>
      <c r="Q24" s="0" t="e">
        <f aca="false">IF(Charts!$B$3="none",E1831,IF(K1831="",NA(),K1831))</f>
        <v>#N/A</v>
      </c>
      <c r="R24" s="0" t="e">
        <f aca="false">IF(Charts!$B$3="none",F1831,IF(L1831="",NA(),L1831))</f>
        <v>#N/A</v>
      </c>
      <c r="S24" s="0" t="e">
        <f aca="false">IF(Charts!$B$3="none",G1831,IF(M1831="",NA(),M1831))</f>
        <v>#N/A</v>
      </c>
      <c r="T24" s="0" t="e">
        <f aca="false">IF(Charts!$B$3="none",H1831,IF(N1831="",NA(),N1831))</f>
        <v>#N/A</v>
      </c>
    </row>
    <row r="25" customFormat="false" ht="15" hidden="false" customHeight="false" outlineLevel="0" collapsed="false">
      <c r="D25" s="0" t="n">
        <v>21</v>
      </c>
      <c r="E25" s="0" t="str">
        <f aca="true">IF(INDIRECT(ADDRESS($D25+2,E$2+1,,,"Instances"))="","",INDIRECT(ADDRESS($D25+2,E$2+1,,,"Instances")))</f>
        <v>Level_0/4-1100110</v>
      </c>
      <c r="F25" s="0" t="str">
        <f aca="false">IFERROR(SMALL(E5:E364,ROW()-ROW($F$5)+1),"")</f>
        <v/>
      </c>
      <c r="H25" s="0" t="n">
        <f aca="false">IFERROR(SUM(F5:F25),"")</f>
        <v>0</v>
      </c>
      <c r="J25" s="0" t="n">
        <v>21</v>
      </c>
      <c r="K25" s="0" t="e">
        <f aca="true" t="array" ref="K25:K25">_xlfn.SWITCH(Charts!$B$3,"average", AVERAGE(INDIRECT(ADDRESS(20+3,K$2+1,,,"Instances") &amp; ":" &amp; ADDRESS(20+3,K$2+1))),"median", MEDIAN(INDIRECT(ADDRESS(20+3,K$2+1,,,"Instances") &amp; ":" &amp; ADDRESS(20+3,K$2+1))),"min", MIN(INDIRECT(ADDRESS(20+3,K$2+1,,,"Instances") &amp; ":" &amp; ADDRESS(20+3,K$2+1))),"max", MAX(INDIRECT(ADDRESS(20+3,K$2+1,,,"Instances") &amp; ":" &amp; ADDRESS(20+3,K$2+1))),"diff", MAX(INDIRECT(ADDRESS(20+3,K$2+1,,,"Instances") &amp; ":" &amp; ADDRESS(20+3,K$2+1)))-MIN(INDIRECT(ADDRESS(20+3,K$2+1,,,"Instances") &amp; ":" &amp; ADDRESS(20+3,K$2+1))))</f>
        <v>#N/A</v>
      </c>
      <c r="L25" s="0" t="str">
        <f aca="false">IFERROR(SMALL(K5:K364,ROW()-ROW($L$5)+1),"")</f>
        <v/>
      </c>
      <c r="N25" s="0" t="n">
        <f aca="false">IFERROR(SUM(L5:L25),"")</f>
        <v>0</v>
      </c>
      <c r="Q25" s="0" t="e">
        <f aca="false">IF(Charts!$B$3="none",E1832,IF(K1832="",NA(),K1832))</f>
        <v>#N/A</v>
      </c>
      <c r="R25" s="0" t="e">
        <f aca="false">IF(Charts!$B$3="none",F1832,IF(L1832="",NA(),L1832))</f>
        <v>#N/A</v>
      </c>
      <c r="S25" s="0" t="e">
        <f aca="false">IF(Charts!$B$3="none",G1832,IF(M1832="",NA(),M1832))</f>
        <v>#N/A</v>
      </c>
      <c r="T25" s="0" t="e">
        <f aca="false">IF(Charts!$B$3="none",H1832,IF(N1832="",NA(),N1832))</f>
        <v>#N/A</v>
      </c>
    </row>
    <row r="26" customFormat="false" ht="15" hidden="false" customHeight="false" outlineLevel="0" collapsed="false">
      <c r="D26" s="0" t="n">
        <v>22</v>
      </c>
      <c r="E26" s="0" t="str">
        <f aca="true">IF(INDIRECT(ADDRESS($D26+2,E$2+1,,,"Instances"))="","",INDIRECT(ADDRESS($D26+2,E$2+1,,,"Instances")))</f>
        <v>Level_0/5-0101111</v>
      </c>
      <c r="F26" s="0" t="str">
        <f aca="false">IFERROR(SMALL(E5:E364,ROW()-ROW($F$5)+1),"")</f>
        <v/>
      </c>
      <c r="H26" s="0" t="n">
        <f aca="false">IFERROR(SUM(F5:F26),"")</f>
        <v>0</v>
      </c>
      <c r="J26" s="0" t="n">
        <v>22</v>
      </c>
      <c r="K26" s="0" t="e">
        <f aca="true" t="array" ref="K26:K26">_xlfn.SWITCH(Charts!$B$3,"average", AVERAGE(INDIRECT(ADDRESS(21+3,K$2+1,,,"Instances") &amp; ":" &amp; ADDRESS(21+3,K$2+1))),"median", MEDIAN(INDIRECT(ADDRESS(21+3,K$2+1,,,"Instances") &amp; ":" &amp; ADDRESS(21+3,K$2+1))),"min", MIN(INDIRECT(ADDRESS(21+3,K$2+1,,,"Instances") &amp; ":" &amp; ADDRESS(21+3,K$2+1))),"max", MAX(INDIRECT(ADDRESS(21+3,K$2+1,,,"Instances") &amp; ":" &amp; ADDRESS(21+3,K$2+1))),"diff", MAX(INDIRECT(ADDRESS(21+3,K$2+1,,,"Instances") &amp; ":" &amp; ADDRESS(21+3,K$2+1)))-MIN(INDIRECT(ADDRESS(21+3,K$2+1,,,"Instances") &amp; ":" &amp; ADDRESS(21+3,K$2+1))))</f>
        <v>#N/A</v>
      </c>
      <c r="L26" s="0" t="str">
        <f aca="false">IFERROR(SMALL(K5:K364,ROW()-ROW($L$5)+1),"")</f>
        <v/>
      </c>
      <c r="N26" s="0" t="n">
        <f aca="false">IFERROR(SUM(L5:L26),"")</f>
        <v>0</v>
      </c>
      <c r="Q26" s="0" t="e">
        <f aca="false">IF(Charts!$B$3="none",E1833,IF(K1833="",NA(),K1833))</f>
        <v>#N/A</v>
      </c>
      <c r="R26" s="0" t="e">
        <f aca="false">IF(Charts!$B$3="none",F1833,IF(L1833="",NA(),L1833))</f>
        <v>#N/A</v>
      </c>
      <c r="S26" s="0" t="e">
        <f aca="false">IF(Charts!$B$3="none",G1833,IF(M1833="",NA(),M1833))</f>
        <v>#N/A</v>
      </c>
      <c r="T26" s="0" t="e">
        <f aca="false">IF(Charts!$B$3="none",H1833,IF(N1833="",NA(),N1833))</f>
        <v>#N/A</v>
      </c>
    </row>
    <row r="27" customFormat="false" ht="15" hidden="false" customHeight="false" outlineLevel="0" collapsed="false">
      <c r="D27" s="0" t="n">
        <v>23</v>
      </c>
      <c r="E27" s="0" t="str">
        <f aca="true">IF(INDIRECT(ADDRESS($D27+2,E$2+1,,,"Instances"))="","",INDIRECT(ADDRESS($D27+2,E$2+1,,,"Instances")))</f>
        <v>Level_0/5-0111011</v>
      </c>
      <c r="F27" s="0" t="str">
        <f aca="false">IFERROR(SMALL(E5:E364,ROW()-ROW($F$5)+1),"")</f>
        <v/>
      </c>
      <c r="H27" s="0" t="n">
        <f aca="false">IFERROR(SUM(F5:F27),"")</f>
        <v>0</v>
      </c>
      <c r="J27" s="0" t="n">
        <v>23</v>
      </c>
      <c r="K27" s="0" t="e">
        <f aca="true" t="array" ref="K27:K27">_xlfn.SWITCH(Charts!$B$3,"average", AVERAGE(INDIRECT(ADDRESS(22+3,K$2+1,,,"Instances") &amp; ":" &amp; ADDRESS(22+3,K$2+1))),"median", MEDIAN(INDIRECT(ADDRESS(22+3,K$2+1,,,"Instances") &amp; ":" &amp; ADDRESS(22+3,K$2+1))),"min", MIN(INDIRECT(ADDRESS(22+3,K$2+1,,,"Instances") &amp; ":" &amp; ADDRESS(22+3,K$2+1))),"max", MAX(INDIRECT(ADDRESS(22+3,K$2+1,,,"Instances") &amp; ":" &amp; ADDRESS(22+3,K$2+1))),"diff", MAX(INDIRECT(ADDRESS(22+3,K$2+1,,,"Instances") &amp; ":" &amp; ADDRESS(22+3,K$2+1)))-MIN(INDIRECT(ADDRESS(22+3,K$2+1,,,"Instances") &amp; ":" &amp; ADDRESS(22+3,K$2+1))))</f>
        <v>#N/A</v>
      </c>
      <c r="L27" s="0" t="str">
        <f aca="false">IFERROR(SMALL(K5:K364,ROW()-ROW($L$5)+1),"")</f>
        <v/>
      </c>
      <c r="N27" s="0" t="n">
        <f aca="false">IFERROR(SUM(L5:L27),"")</f>
        <v>0</v>
      </c>
      <c r="Q27" s="0" t="e">
        <f aca="false">IF(Charts!$B$3="none",E1834,IF(K1834="",NA(),K1834))</f>
        <v>#N/A</v>
      </c>
      <c r="R27" s="0" t="e">
        <f aca="false">IF(Charts!$B$3="none",F1834,IF(L1834="",NA(),L1834))</f>
        <v>#N/A</v>
      </c>
      <c r="S27" s="0" t="e">
        <f aca="false">IF(Charts!$B$3="none",G1834,IF(M1834="",NA(),M1834))</f>
        <v>#N/A</v>
      </c>
      <c r="T27" s="0" t="e">
        <f aca="false">IF(Charts!$B$3="none",H1834,IF(N1834="",NA(),N1834))</f>
        <v>#N/A</v>
      </c>
    </row>
    <row r="28" customFormat="false" ht="15" hidden="false" customHeight="false" outlineLevel="0" collapsed="false">
      <c r="D28" s="0" t="n">
        <v>24</v>
      </c>
      <c r="E28" s="0" t="str">
        <f aca="true">IF(INDIRECT(ADDRESS($D28+2,E$2+1,,,"Instances"))="","",INDIRECT(ADDRESS($D28+2,E$2+1,,,"Instances")))</f>
        <v>Level_0/5-1010111</v>
      </c>
      <c r="F28" s="0" t="str">
        <f aca="false">IFERROR(SMALL(E5:E364,ROW()-ROW($F$5)+1),"")</f>
        <v/>
      </c>
      <c r="H28" s="0" t="n">
        <f aca="false">IFERROR(SUM(F5:F28),"")</f>
        <v>0</v>
      </c>
      <c r="J28" s="0" t="n">
        <v>24</v>
      </c>
      <c r="K28" s="0" t="e">
        <f aca="true" t="array" ref="K28:K28">_xlfn.SWITCH(Charts!$B$3,"average", AVERAGE(INDIRECT(ADDRESS(23+3,K$2+1,,,"Instances") &amp; ":" &amp; ADDRESS(23+3,K$2+1))),"median", MEDIAN(INDIRECT(ADDRESS(23+3,K$2+1,,,"Instances") &amp; ":" &amp; ADDRESS(23+3,K$2+1))),"min", MIN(INDIRECT(ADDRESS(23+3,K$2+1,,,"Instances") &amp; ":" &amp; ADDRESS(23+3,K$2+1))),"max", MAX(INDIRECT(ADDRESS(23+3,K$2+1,,,"Instances") &amp; ":" &amp; ADDRESS(23+3,K$2+1))),"diff", MAX(INDIRECT(ADDRESS(23+3,K$2+1,,,"Instances") &amp; ":" &amp; ADDRESS(23+3,K$2+1)))-MIN(INDIRECT(ADDRESS(23+3,K$2+1,,,"Instances") &amp; ":" &amp; ADDRESS(23+3,K$2+1))))</f>
        <v>#N/A</v>
      </c>
      <c r="L28" s="0" t="str">
        <f aca="false">IFERROR(SMALL(K5:K364,ROW()-ROW($L$5)+1),"")</f>
        <v/>
      </c>
      <c r="N28" s="0" t="n">
        <f aca="false">IFERROR(SUM(L5:L28),"")</f>
        <v>0</v>
      </c>
      <c r="Q28" s="0" t="e">
        <f aca="false">IF(Charts!$B$3="none",E1835,IF(K1835="",NA(),K1835))</f>
        <v>#N/A</v>
      </c>
      <c r="R28" s="0" t="e">
        <f aca="false">IF(Charts!$B$3="none",F1835,IF(L1835="",NA(),L1835))</f>
        <v>#N/A</v>
      </c>
      <c r="S28" s="0" t="e">
        <f aca="false">IF(Charts!$B$3="none",G1835,IF(M1835="",NA(),M1835))</f>
        <v>#N/A</v>
      </c>
      <c r="T28" s="0" t="e">
        <f aca="false">IF(Charts!$B$3="none",H1835,IF(N1835="",NA(),N1835))</f>
        <v>#N/A</v>
      </c>
    </row>
    <row r="29" customFormat="false" ht="15" hidden="false" customHeight="false" outlineLevel="0" collapsed="false">
      <c r="D29" s="0" t="n">
        <v>25</v>
      </c>
      <c r="E29" s="0" t="str">
        <f aca="true">IF(INDIRECT(ADDRESS($D29+2,E$2+1,,,"Instances"))="","",INDIRECT(ADDRESS($D29+2,E$2+1,,,"Instances")))</f>
        <v>Level_0/5-1101011</v>
      </c>
      <c r="F29" s="0" t="str">
        <f aca="false">IFERROR(SMALL(E5:E364,ROW()-ROW($F$5)+1),"")</f>
        <v/>
      </c>
      <c r="H29" s="0" t="n">
        <f aca="false">IFERROR(SUM(F5:F29),"")</f>
        <v>0</v>
      </c>
      <c r="J29" s="0" t="n">
        <v>25</v>
      </c>
      <c r="K29" s="0" t="e">
        <f aca="true" t="array" ref="K29:K29">_xlfn.SWITCH(Charts!$B$3,"average", AVERAGE(INDIRECT(ADDRESS(24+3,K$2+1,,,"Instances") &amp; ":" &amp; ADDRESS(24+3,K$2+1))),"median", MEDIAN(INDIRECT(ADDRESS(24+3,K$2+1,,,"Instances") &amp; ":" &amp; ADDRESS(24+3,K$2+1))),"min", MIN(INDIRECT(ADDRESS(24+3,K$2+1,,,"Instances") &amp; ":" &amp; ADDRESS(24+3,K$2+1))),"max", MAX(INDIRECT(ADDRESS(24+3,K$2+1,,,"Instances") &amp; ":" &amp; ADDRESS(24+3,K$2+1))),"diff", MAX(INDIRECT(ADDRESS(24+3,K$2+1,,,"Instances") &amp; ":" &amp; ADDRESS(24+3,K$2+1)))-MIN(INDIRECT(ADDRESS(24+3,K$2+1,,,"Instances") &amp; ":" &amp; ADDRESS(24+3,K$2+1))))</f>
        <v>#N/A</v>
      </c>
      <c r="L29" s="0" t="str">
        <f aca="false">IFERROR(SMALL(K5:K364,ROW()-ROW($L$5)+1),"")</f>
        <v/>
      </c>
      <c r="N29" s="0" t="n">
        <f aca="false">IFERROR(SUM(L5:L29),"")</f>
        <v>0</v>
      </c>
      <c r="Q29" s="0" t="e">
        <f aca="false">IF(Charts!$B$3="none",E1836,IF(K1836="",NA(),K1836))</f>
        <v>#N/A</v>
      </c>
      <c r="R29" s="0" t="e">
        <f aca="false">IF(Charts!$B$3="none",F1836,IF(L1836="",NA(),L1836))</f>
        <v>#N/A</v>
      </c>
      <c r="S29" s="0" t="e">
        <f aca="false">IF(Charts!$B$3="none",G1836,IF(M1836="",NA(),M1836))</f>
        <v>#N/A</v>
      </c>
      <c r="T29" s="0" t="e">
        <f aca="false">IF(Charts!$B$3="none",H1836,IF(N1836="",NA(),N1836))</f>
        <v>#N/A</v>
      </c>
    </row>
    <row r="30" customFormat="false" ht="15" hidden="false" customHeight="false" outlineLevel="0" collapsed="false">
      <c r="D30" s="0" t="n">
        <v>26</v>
      </c>
      <c r="E30" s="0" t="str">
        <f aca="true">IF(INDIRECT(ADDRESS($D30+2,E$2+1,,,"Instances"))="","",INDIRECT(ADDRESS($D30+2,E$2+1,,,"Instances")))</f>
        <v>Level_0/5-1110110</v>
      </c>
      <c r="F30" s="0" t="str">
        <f aca="false">IFERROR(SMALL(E5:E364,ROW()-ROW($F$5)+1),"")</f>
        <v/>
      </c>
      <c r="H30" s="0" t="n">
        <f aca="false">IFERROR(SUM(F5:F30),"")</f>
        <v>0</v>
      </c>
      <c r="J30" s="0" t="n">
        <v>26</v>
      </c>
      <c r="K30" s="0" t="e">
        <f aca="true" t="array" ref="K30:K30">_xlfn.SWITCH(Charts!$B$3,"average", AVERAGE(INDIRECT(ADDRESS(25+3,K$2+1,,,"Instances") &amp; ":" &amp; ADDRESS(25+3,K$2+1))),"median", MEDIAN(INDIRECT(ADDRESS(25+3,K$2+1,,,"Instances") &amp; ":" &amp; ADDRESS(25+3,K$2+1))),"min", MIN(INDIRECT(ADDRESS(25+3,K$2+1,,,"Instances") &amp; ":" &amp; ADDRESS(25+3,K$2+1))),"max", MAX(INDIRECT(ADDRESS(25+3,K$2+1,,,"Instances") &amp; ":" &amp; ADDRESS(25+3,K$2+1))),"diff", MAX(INDIRECT(ADDRESS(25+3,K$2+1,,,"Instances") &amp; ":" &amp; ADDRESS(25+3,K$2+1)))-MIN(INDIRECT(ADDRESS(25+3,K$2+1,,,"Instances") &amp; ":" &amp; ADDRESS(25+3,K$2+1))))</f>
        <v>#N/A</v>
      </c>
      <c r="L30" s="0" t="str">
        <f aca="false">IFERROR(SMALL(K5:K364,ROW()-ROW($L$5)+1),"")</f>
        <v/>
      </c>
      <c r="N30" s="0" t="n">
        <f aca="false">IFERROR(SUM(L5:L30),"")</f>
        <v>0</v>
      </c>
      <c r="Q30" s="0" t="e">
        <f aca="false">IF(Charts!$B$3="none",E1837,IF(K1837="",NA(),K1837))</f>
        <v>#N/A</v>
      </c>
      <c r="R30" s="0" t="e">
        <f aca="false">IF(Charts!$B$3="none",F1837,IF(L1837="",NA(),L1837))</f>
        <v>#N/A</v>
      </c>
      <c r="S30" s="0" t="e">
        <f aca="false">IF(Charts!$B$3="none",G1837,IF(M1837="",NA(),M1837))</f>
        <v>#N/A</v>
      </c>
      <c r="T30" s="0" t="e">
        <f aca="false">IF(Charts!$B$3="none",H1837,IF(N1837="",NA(),N1837))</f>
        <v>#N/A</v>
      </c>
    </row>
    <row r="31" customFormat="false" ht="15" hidden="false" customHeight="false" outlineLevel="0" collapsed="false">
      <c r="D31" s="0" t="n">
        <v>27</v>
      </c>
      <c r="E31" s="0" t="str">
        <f aca="true">IF(INDIRECT(ADDRESS($D31+2,E$2+1,,,"Instances"))="","",INDIRECT(ADDRESS($D31+2,E$2+1,,,"Instances")))</f>
        <v>Level_0/5-1111001</v>
      </c>
      <c r="F31" s="0" t="str">
        <f aca="false">IFERROR(SMALL(E5:E364,ROW()-ROW($F$5)+1),"")</f>
        <v/>
      </c>
      <c r="H31" s="0" t="n">
        <f aca="false">IFERROR(SUM(F5:F31),"")</f>
        <v>0</v>
      </c>
      <c r="J31" s="0" t="n">
        <v>27</v>
      </c>
      <c r="K31" s="0" t="e">
        <f aca="true" t="array" ref="K31:K31">_xlfn.SWITCH(Charts!$B$3,"average", AVERAGE(INDIRECT(ADDRESS(26+3,K$2+1,,,"Instances") &amp; ":" &amp; ADDRESS(26+3,K$2+1))),"median", MEDIAN(INDIRECT(ADDRESS(26+3,K$2+1,,,"Instances") &amp; ":" &amp; ADDRESS(26+3,K$2+1))),"min", MIN(INDIRECT(ADDRESS(26+3,K$2+1,,,"Instances") &amp; ":" &amp; ADDRESS(26+3,K$2+1))),"max", MAX(INDIRECT(ADDRESS(26+3,K$2+1,,,"Instances") &amp; ":" &amp; ADDRESS(26+3,K$2+1))),"diff", MAX(INDIRECT(ADDRESS(26+3,K$2+1,,,"Instances") &amp; ":" &amp; ADDRESS(26+3,K$2+1)))-MIN(INDIRECT(ADDRESS(26+3,K$2+1,,,"Instances") &amp; ":" &amp; ADDRESS(26+3,K$2+1))))</f>
        <v>#N/A</v>
      </c>
      <c r="L31" s="0" t="str">
        <f aca="false">IFERROR(SMALL(K5:K364,ROW()-ROW($L$5)+1),"")</f>
        <v/>
      </c>
      <c r="N31" s="0" t="n">
        <f aca="false">IFERROR(SUM(L5:L31),"")</f>
        <v>0</v>
      </c>
      <c r="Q31" s="0" t="e">
        <f aca="false">IF(Charts!$B$3="none",E1838,IF(K1838="",NA(),K1838))</f>
        <v>#N/A</v>
      </c>
      <c r="R31" s="0" t="e">
        <f aca="false">IF(Charts!$B$3="none",F1838,IF(L1838="",NA(),L1838))</f>
        <v>#N/A</v>
      </c>
      <c r="S31" s="0" t="e">
        <f aca="false">IF(Charts!$B$3="none",G1838,IF(M1838="",NA(),M1838))</f>
        <v>#N/A</v>
      </c>
      <c r="T31" s="0" t="e">
        <f aca="false">IF(Charts!$B$3="none",H1838,IF(N1838="",NA(),N1838))</f>
        <v>#N/A</v>
      </c>
    </row>
    <row r="32" customFormat="false" ht="15" hidden="false" customHeight="false" outlineLevel="0" collapsed="false">
      <c r="D32" s="0" t="n">
        <v>28</v>
      </c>
      <c r="E32" s="0" t="str">
        <f aca="true">IF(INDIRECT(ADDRESS($D32+2,E$2+1,,,"Instances"))="","",INDIRECT(ADDRESS($D32+2,E$2+1,,,"Instances")))</f>
        <v>Level_0/5-1111100</v>
      </c>
      <c r="F32" s="0" t="str">
        <f aca="false">IFERROR(SMALL(E5:E364,ROW()-ROW($F$5)+1),"")</f>
        <v/>
      </c>
      <c r="H32" s="0" t="n">
        <f aca="false">IFERROR(SUM(F5:F32),"")</f>
        <v>0</v>
      </c>
      <c r="J32" s="0" t="n">
        <v>28</v>
      </c>
      <c r="K32" s="0" t="e">
        <f aca="true" t="array" ref="K32:K32">_xlfn.SWITCH(Charts!$B$3,"average", AVERAGE(INDIRECT(ADDRESS(27+3,K$2+1,,,"Instances") &amp; ":" &amp; ADDRESS(27+3,K$2+1))),"median", MEDIAN(INDIRECT(ADDRESS(27+3,K$2+1,,,"Instances") &amp; ":" &amp; ADDRESS(27+3,K$2+1))),"min", MIN(INDIRECT(ADDRESS(27+3,K$2+1,,,"Instances") &amp; ":" &amp; ADDRESS(27+3,K$2+1))),"max", MAX(INDIRECT(ADDRESS(27+3,K$2+1,,,"Instances") &amp; ":" &amp; ADDRESS(27+3,K$2+1))),"diff", MAX(INDIRECT(ADDRESS(27+3,K$2+1,,,"Instances") &amp; ":" &amp; ADDRESS(27+3,K$2+1)))-MIN(INDIRECT(ADDRESS(27+3,K$2+1,,,"Instances") &amp; ":" &amp; ADDRESS(27+3,K$2+1))))</f>
        <v>#N/A</v>
      </c>
      <c r="L32" s="0" t="str">
        <f aca="false">IFERROR(SMALL(K5:K364,ROW()-ROW($L$5)+1),"")</f>
        <v/>
      </c>
      <c r="N32" s="0" t="n">
        <f aca="false">IFERROR(SUM(L5:L32),"")</f>
        <v>0</v>
      </c>
      <c r="Q32" s="0" t="e">
        <f aca="false">IF(Charts!$B$3="none",E1839,IF(K1839="",NA(),K1839))</f>
        <v>#N/A</v>
      </c>
      <c r="R32" s="0" t="e">
        <f aca="false">IF(Charts!$B$3="none",F1839,IF(L1839="",NA(),L1839))</f>
        <v>#N/A</v>
      </c>
      <c r="S32" s="0" t="e">
        <f aca="false">IF(Charts!$B$3="none",G1839,IF(M1839="",NA(),M1839))</f>
        <v>#N/A</v>
      </c>
      <c r="T32" s="0" t="e">
        <f aca="false">IF(Charts!$B$3="none",H1839,IF(N1839="",NA(),N1839))</f>
        <v>#N/A</v>
      </c>
    </row>
    <row r="33" customFormat="false" ht="15" hidden="false" customHeight="false" outlineLevel="0" collapsed="false">
      <c r="D33" s="0" t="n">
        <v>29</v>
      </c>
      <c r="E33" s="0" t="str">
        <f aca="true">IF(INDIRECT(ADDRESS($D33+2,E$2+1,,,"Instances"))="","",INDIRECT(ADDRESS($D33+2,E$2+1,,,"Instances")))</f>
        <v>Level_0/6-0111111</v>
      </c>
      <c r="F33" s="0" t="str">
        <f aca="false">IFERROR(SMALL(E5:E364,ROW()-ROW($F$5)+1),"")</f>
        <v/>
      </c>
      <c r="H33" s="0" t="n">
        <f aca="false">IFERROR(SUM(F5:F33),"")</f>
        <v>0</v>
      </c>
      <c r="J33" s="0" t="n">
        <v>29</v>
      </c>
      <c r="K33" s="0" t="e">
        <f aca="true" t="array" ref="K33:K33">_xlfn.SWITCH(Charts!$B$3,"average", AVERAGE(INDIRECT(ADDRESS(28+3,K$2+1,,,"Instances") &amp; ":" &amp; ADDRESS(28+3,K$2+1))),"median", MEDIAN(INDIRECT(ADDRESS(28+3,K$2+1,,,"Instances") &amp; ":" &amp; ADDRESS(28+3,K$2+1))),"min", MIN(INDIRECT(ADDRESS(28+3,K$2+1,,,"Instances") &amp; ":" &amp; ADDRESS(28+3,K$2+1))),"max", MAX(INDIRECT(ADDRESS(28+3,K$2+1,,,"Instances") &amp; ":" &amp; ADDRESS(28+3,K$2+1))),"diff", MAX(INDIRECT(ADDRESS(28+3,K$2+1,,,"Instances") &amp; ":" &amp; ADDRESS(28+3,K$2+1)))-MIN(INDIRECT(ADDRESS(28+3,K$2+1,,,"Instances") &amp; ":" &amp; ADDRESS(28+3,K$2+1))))</f>
        <v>#N/A</v>
      </c>
      <c r="L33" s="0" t="str">
        <f aca="false">IFERROR(SMALL(K5:K364,ROW()-ROW($L$5)+1),"")</f>
        <v/>
      </c>
      <c r="N33" s="0" t="n">
        <f aca="false">IFERROR(SUM(L5:L33),"")</f>
        <v>0</v>
      </c>
      <c r="Q33" s="0" t="e">
        <f aca="false">IF(Charts!$B$3="none",E1840,IF(K1840="",NA(),K1840))</f>
        <v>#N/A</v>
      </c>
      <c r="R33" s="0" t="e">
        <f aca="false">IF(Charts!$B$3="none",F1840,IF(L1840="",NA(),L1840))</f>
        <v>#N/A</v>
      </c>
      <c r="S33" s="0" t="e">
        <f aca="false">IF(Charts!$B$3="none",G1840,IF(M1840="",NA(),M1840))</f>
        <v>#N/A</v>
      </c>
      <c r="T33" s="0" t="e">
        <f aca="false">IF(Charts!$B$3="none",H1840,IF(N1840="",NA(),N1840))</f>
        <v>#N/A</v>
      </c>
    </row>
    <row r="34" customFormat="false" ht="15" hidden="false" customHeight="false" outlineLevel="0" collapsed="false">
      <c r="D34" s="0" t="n">
        <v>30</v>
      </c>
      <c r="E34" s="0" t="str">
        <f aca="true">IF(INDIRECT(ADDRESS($D34+2,E$2+1,,,"Instances"))="","",INDIRECT(ADDRESS($D34+2,E$2+1,,,"Instances")))</f>
        <v>Level_0/6-1011111</v>
      </c>
      <c r="F34" s="0" t="str">
        <f aca="false">IFERROR(SMALL(E5:E364,ROW()-ROW($F$5)+1),"")</f>
        <v/>
      </c>
      <c r="H34" s="0" t="n">
        <f aca="false">IFERROR(SUM(F5:F34),"")</f>
        <v>0</v>
      </c>
      <c r="J34" s="0" t="n">
        <v>30</v>
      </c>
      <c r="K34" s="0" t="e">
        <f aca="true" t="array" ref="K34:K34">_xlfn.SWITCH(Charts!$B$3,"average", AVERAGE(INDIRECT(ADDRESS(29+3,K$2+1,,,"Instances") &amp; ":" &amp; ADDRESS(29+3,K$2+1))),"median", MEDIAN(INDIRECT(ADDRESS(29+3,K$2+1,,,"Instances") &amp; ":" &amp; ADDRESS(29+3,K$2+1))),"min", MIN(INDIRECT(ADDRESS(29+3,K$2+1,,,"Instances") &amp; ":" &amp; ADDRESS(29+3,K$2+1))),"max", MAX(INDIRECT(ADDRESS(29+3,K$2+1,,,"Instances") &amp; ":" &amp; ADDRESS(29+3,K$2+1))),"diff", MAX(INDIRECT(ADDRESS(29+3,K$2+1,,,"Instances") &amp; ":" &amp; ADDRESS(29+3,K$2+1)))-MIN(INDIRECT(ADDRESS(29+3,K$2+1,,,"Instances") &amp; ":" &amp; ADDRESS(29+3,K$2+1))))</f>
        <v>#N/A</v>
      </c>
      <c r="L34" s="0" t="str">
        <f aca="false">IFERROR(SMALL(K5:K364,ROW()-ROW($L$5)+1),"")</f>
        <v/>
      </c>
      <c r="N34" s="0" t="n">
        <f aca="false">IFERROR(SUM(L5:L34),"")</f>
        <v>0</v>
      </c>
      <c r="Q34" s="0" t="e">
        <f aca="false">IF(Charts!$B$3="none",E1841,IF(K1841="",NA(),K1841))</f>
        <v>#N/A</v>
      </c>
      <c r="R34" s="0" t="e">
        <f aca="false">IF(Charts!$B$3="none",F1841,IF(L1841="",NA(),L1841))</f>
        <v>#N/A</v>
      </c>
      <c r="S34" s="0" t="e">
        <f aca="false">IF(Charts!$B$3="none",G1841,IF(M1841="",NA(),M1841))</f>
        <v>#N/A</v>
      </c>
      <c r="T34" s="0" t="e">
        <f aca="false">IF(Charts!$B$3="none",H1841,IF(N1841="",NA(),N1841))</f>
        <v>#N/A</v>
      </c>
    </row>
    <row r="35" customFormat="false" ht="15" hidden="false" customHeight="false" outlineLevel="0" collapsed="false">
      <c r="D35" s="0" t="n">
        <v>31</v>
      </c>
      <c r="E35" s="0" t="str">
        <f aca="true">IF(INDIRECT(ADDRESS($D35+2,E$2+1,,,"Instances"))="","",INDIRECT(ADDRESS($D35+2,E$2+1,,,"Instances")))</f>
        <v>Level_0/6-1101111</v>
      </c>
      <c r="F35" s="0" t="str">
        <f aca="false">IFERROR(SMALL(E5:E364,ROW()-ROW($F$5)+1),"")</f>
        <v/>
      </c>
      <c r="H35" s="0" t="n">
        <f aca="false">IFERROR(SUM(F5:F35),"")</f>
        <v>0</v>
      </c>
      <c r="J35" s="0" t="n">
        <v>31</v>
      </c>
      <c r="K35" s="0" t="e">
        <f aca="true" t="array" ref="K35:K35">_xlfn.SWITCH(Charts!$B$3,"average", AVERAGE(INDIRECT(ADDRESS(30+3,K$2+1,,,"Instances") &amp; ":" &amp; ADDRESS(30+3,K$2+1))),"median", MEDIAN(INDIRECT(ADDRESS(30+3,K$2+1,,,"Instances") &amp; ":" &amp; ADDRESS(30+3,K$2+1))),"min", MIN(INDIRECT(ADDRESS(30+3,K$2+1,,,"Instances") &amp; ":" &amp; ADDRESS(30+3,K$2+1))),"max", MAX(INDIRECT(ADDRESS(30+3,K$2+1,,,"Instances") &amp; ":" &amp; ADDRESS(30+3,K$2+1))),"diff", MAX(INDIRECT(ADDRESS(30+3,K$2+1,,,"Instances") &amp; ":" &amp; ADDRESS(30+3,K$2+1)))-MIN(INDIRECT(ADDRESS(30+3,K$2+1,,,"Instances") &amp; ":" &amp; ADDRESS(30+3,K$2+1))))</f>
        <v>#N/A</v>
      </c>
      <c r="L35" s="0" t="str">
        <f aca="false">IFERROR(SMALL(K5:K364,ROW()-ROW($L$5)+1),"")</f>
        <v/>
      </c>
      <c r="N35" s="0" t="n">
        <f aca="false">IFERROR(SUM(L5:L35),"")</f>
        <v>0</v>
      </c>
      <c r="Q35" s="0" t="e">
        <f aca="false">IF(Charts!$B$3="none",E1842,IF(K1842="",NA(),K1842))</f>
        <v>#N/A</v>
      </c>
      <c r="R35" s="0" t="e">
        <f aca="false">IF(Charts!$B$3="none",F1842,IF(L1842="",NA(),L1842))</f>
        <v>#N/A</v>
      </c>
      <c r="S35" s="0" t="e">
        <f aca="false">IF(Charts!$B$3="none",G1842,IF(M1842="",NA(),M1842))</f>
        <v>#N/A</v>
      </c>
      <c r="T35" s="0" t="e">
        <f aca="false">IF(Charts!$B$3="none",H1842,IF(N1842="",NA(),N1842))</f>
        <v>#N/A</v>
      </c>
    </row>
    <row r="36" customFormat="false" ht="15" hidden="false" customHeight="false" outlineLevel="0" collapsed="false">
      <c r="D36" s="0" t="n">
        <v>32</v>
      </c>
      <c r="E36" s="0" t="str">
        <f aca="true">IF(INDIRECT(ADDRESS($D36+2,E$2+1,,,"Instances"))="","",INDIRECT(ADDRESS($D36+2,E$2+1,,,"Instances")))</f>
        <v>Level_0/6-1110111</v>
      </c>
      <c r="F36" s="0" t="str">
        <f aca="false">IFERROR(SMALL(E5:E364,ROW()-ROW($F$5)+1),"")</f>
        <v/>
      </c>
      <c r="H36" s="0" t="n">
        <f aca="false">IFERROR(SUM(F5:F36),"")</f>
        <v>0</v>
      </c>
      <c r="J36" s="0" t="n">
        <v>32</v>
      </c>
      <c r="K36" s="0" t="e">
        <f aca="true" t="array" ref="K36:K36">_xlfn.SWITCH(Charts!$B$3,"average", AVERAGE(INDIRECT(ADDRESS(31+3,K$2+1,,,"Instances") &amp; ":" &amp; ADDRESS(31+3,K$2+1))),"median", MEDIAN(INDIRECT(ADDRESS(31+3,K$2+1,,,"Instances") &amp; ":" &amp; ADDRESS(31+3,K$2+1))),"min", MIN(INDIRECT(ADDRESS(31+3,K$2+1,,,"Instances") &amp; ":" &amp; ADDRESS(31+3,K$2+1))),"max", MAX(INDIRECT(ADDRESS(31+3,K$2+1,,,"Instances") &amp; ":" &amp; ADDRESS(31+3,K$2+1))),"diff", MAX(INDIRECT(ADDRESS(31+3,K$2+1,,,"Instances") &amp; ":" &amp; ADDRESS(31+3,K$2+1)))-MIN(INDIRECT(ADDRESS(31+3,K$2+1,,,"Instances") &amp; ":" &amp; ADDRESS(31+3,K$2+1))))</f>
        <v>#N/A</v>
      </c>
      <c r="L36" s="0" t="str">
        <f aca="false">IFERROR(SMALL(K5:K364,ROW()-ROW($L$5)+1),"")</f>
        <v/>
      </c>
      <c r="N36" s="0" t="n">
        <f aca="false">IFERROR(SUM(L5:L36),"")</f>
        <v>0</v>
      </c>
      <c r="Q36" s="0" t="e">
        <f aca="false">IF(Charts!$B$3="none",E1843,IF(K1843="",NA(),K1843))</f>
        <v>#N/A</v>
      </c>
      <c r="R36" s="0" t="e">
        <f aca="false">IF(Charts!$B$3="none",F1843,IF(L1843="",NA(),L1843))</f>
        <v>#N/A</v>
      </c>
      <c r="S36" s="0" t="e">
        <f aca="false">IF(Charts!$B$3="none",G1843,IF(M1843="",NA(),M1843))</f>
        <v>#N/A</v>
      </c>
      <c r="T36" s="0" t="e">
        <f aca="false">IF(Charts!$B$3="none",H1843,IF(N1843="",NA(),N1843))</f>
        <v>#N/A</v>
      </c>
    </row>
    <row r="37" customFormat="false" ht="15" hidden="false" customHeight="false" outlineLevel="0" collapsed="false">
      <c r="D37" s="0" t="n">
        <v>33</v>
      </c>
      <c r="E37" s="0" t="str">
        <f aca="true">IF(INDIRECT(ADDRESS($D37+2,E$2+1,,,"Instances"))="","",INDIRECT(ADDRESS($D37+2,E$2+1,,,"Instances")))</f>
        <v>Level_0/6-1111011</v>
      </c>
      <c r="F37" s="0" t="str">
        <f aca="false">IFERROR(SMALL(E5:E364,ROW()-ROW($F$5)+1),"")</f>
        <v/>
      </c>
      <c r="H37" s="0" t="n">
        <f aca="false">IFERROR(SUM(F5:F37),"")</f>
        <v>0</v>
      </c>
      <c r="J37" s="0" t="n">
        <v>33</v>
      </c>
      <c r="K37" s="0" t="e">
        <f aca="true" t="array" ref="K37:K37">_xlfn.SWITCH(Charts!$B$3,"average", AVERAGE(INDIRECT(ADDRESS(32+3,K$2+1,,,"Instances") &amp; ":" &amp; ADDRESS(32+3,K$2+1))),"median", MEDIAN(INDIRECT(ADDRESS(32+3,K$2+1,,,"Instances") &amp; ":" &amp; ADDRESS(32+3,K$2+1))),"min", MIN(INDIRECT(ADDRESS(32+3,K$2+1,,,"Instances") &amp; ":" &amp; ADDRESS(32+3,K$2+1))),"max", MAX(INDIRECT(ADDRESS(32+3,K$2+1,,,"Instances") &amp; ":" &amp; ADDRESS(32+3,K$2+1))),"diff", MAX(INDIRECT(ADDRESS(32+3,K$2+1,,,"Instances") &amp; ":" &amp; ADDRESS(32+3,K$2+1)))-MIN(INDIRECT(ADDRESS(32+3,K$2+1,,,"Instances") &amp; ":" &amp; ADDRESS(32+3,K$2+1))))</f>
        <v>#N/A</v>
      </c>
      <c r="L37" s="0" t="str">
        <f aca="false">IFERROR(SMALL(K5:K364,ROW()-ROW($L$5)+1),"")</f>
        <v/>
      </c>
      <c r="N37" s="0" t="n">
        <f aca="false">IFERROR(SUM(L5:L37),"")</f>
        <v>0</v>
      </c>
      <c r="Q37" s="0" t="e">
        <f aca="false">IF(Charts!$B$3="none",E1844,IF(K1844="",NA(),K1844))</f>
        <v>#N/A</v>
      </c>
      <c r="R37" s="0" t="e">
        <f aca="false">IF(Charts!$B$3="none",F1844,IF(L1844="",NA(),L1844))</f>
        <v>#N/A</v>
      </c>
      <c r="S37" s="0" t="e">
        <f aca="false">IF(Charts!$B$3="none",G1844,IF(M1844="",NA(),M1844))</f>
        <v>#N/A</v>
      </c>
      <c r="T37" s="0" t="e">
        <f aca="false">IF(Charts!$B$3="none",H1844,IF(N1844="",NA(),N1844))</f>
        <v>#N/A</v>
      </c>
    </row>
    <row r="38" customFormat="false" ht="15" hidden="false" customHeight="false" outlineLevel="0" collapsed="false">
      <c r="D38" s="0" t="n">
        <v>34</v>
      </c>
      <c r="E38" s="0" t="str">
        <f aca="true">IF(INDIRECT(ADDRESS($D38+2,E$2+1,,,"Instances"))="","",INDIRECT(ADDRESS($D38+2,E$2+1,,,"Instances")))</f>
        <v>Level_0/6-1111101</v>
      </c>
      <c r="F38" s="0" t="str">
        <f aca="false">IFERROR(SMALL(E5:E364,ROW()-ROW($F$5)+1),"")</f>
        <v/>
      </c>
      <c r="H38" s="0" t="n">
        <f aca="false">IFERROR(SUM(F5:F38),"")</f>
        <v>0</v>
      </c>
      <c r="J38" s="0" t="n">
        <v>34</v>
      </c>
      <c r="K38" s="0" t="e">
        <f aca="true" t="array" ref="K38:K38">_xlfn.SWITCH(Charts!$B$3,"average", AVERAGE(INDIRECT(ADDRESS(33+3,K$2+1,,,"Instances") &amp; ":" &amp; ADDRESS(33+3,K$2+1))),"median", MEDIAN(INDIRECT(ADDRESS(33+3,K$2+1,,,"Instances") &amp; ":" &amp; ADDRESS(33+3,K$2+1))),"min", MIN(INDIRECT(ADDRESS(33+3,K$2+1,,,"Instances") &amp; ":" &amp; ADDRESS(33+3,K$2+1))),"max", MAX(INDIRECT(ADDRESS(33+3,K$2+1,,,"Instances") &amp; ":" &amp; ADDRESS(33+3,K$2+1))),"diff", MAX(INDIRECT(ADDRESS(33+3,K$2+1,,,"Instances") &amp; ":" &amp; ADDRESS(33+3,K$2+1)))-MIN(INDIRECT(ADDRESS(33+3,K$2+1,,,"Instances") &amp; ":" &amp; ADDRESS(33+3,K$2+1))))</f>
        <v>#N/A</v>
      </c>
      <c r="L38" s="0" t="str">
        <f aca="false">IFERROR(SMALL(K5:K364,ROW()-ROW($L$5)+1),"")</f>
        <v/>
      </c>
      <c r="N38" s="0" t="n">
        <f aca="false">IFERROR(SUM(L5:L38),"")</f>
        <v>0</v>
      </c>
      <c r="Q38" s="0" t="e">
        <f aca="false">IF(Charts!$B$3="none",E1845,IF(K1845="",NA(),K1845))</f>
        <v>#N/A</v>
      </c>
      <c r="R38" s="0" t="e">
        <f aca="false">IF(Charts!$B$3="none",F1845,IF(L1845="",NA(),L1845))</f>
        <v>#N/A</v>
      </c>
      <c r="S38" s="0" t="e">
        <f aca="false">IF(Charts!$B$3="none",G1845,IF(M1845="",NA(),M1845))</f>
        <v>#N/A</v>
      </c>
      <c r="T38" s="0" t="e">
        <f aca="false">IF(Charts!$B$3="none",H1845,IF(N1845="",NA(),N1845))</f>
        <v>#N/A</v>
      </c>
    </row>
    <row r="39" customFormat="false" ht="15" hidden="false" customHeight="false" outlineLevel="0" collapsed="false">
      <c r="D39" s="0" t="n">
        <v>35</v>
      </c>
      <c r="E39" s="0" t="str">
        <f aca="true">IF(INDIRECT(ADDRESS($D39+2,E$2+1,,,"Instances"))="","",INDIRECT(ADDRESS($D39+2,E$2+1,,,"Instances")))</f>
        <v>Level_0/6-1111110</v>
      </c>
      <c r="F39" s="0" t="str">
        <f aca="false">IFERROR(SMALL(E5:E364,ROW()-ROW($F$5)+1),"")</f>
        <v/>
      </c>
      <c r="H39" s="0" t="n">
        <f aca="false">IFERROR(SUM(F5:F39),"")</f>
        <v>0</v>
      </c>
      <c r="J39" s="0" t="n">
        <v>35</v>
      </c>
      <c r="K39" s="0" t="e">
        <f aca="true" t="array" ref="K39:K39">_xlfn.SWITCH(Charts!$B$3,"average", AVERAGE(INDIRECT(ADDRESS(34+3,K$2+1,,,"Instances") &amp; ":" &amp; ADDRESS(34+3,K$2+1))),"median", MEDIAN(INDIRECT(ADDRESS(34+3,K$2+1,,,"Instances") &amp; ":" &amp; ADDRESS(34+3,K$2+1))),"min", MIN(INDIRECT(ADDRESS(34+3,K$2+1,,,"Instances") &amp; ":" &amp; ADDRESS(34+3,K$2+1))),"max", MAX(INDIRECT(ADDRESS(34+3,K$2+1,,,"Instances") &amp; ":" &amp; ADDRESS(34+3,K$2+1))),"diff", MAX(INDIRECT(ADDRESS(34+3,K$2+1,,,"Instances") &amp; ":" &amp; ADDRESS(34+3,K$2+1)))-MIN(INDIRECT(ADDRESS(34+3,K$2+1,,,"Instances") &amp; ":" &amp; ADDRESS(34+3,K$2+1))))</f>
        <v>#N/A</v>
      </c>
      <c r="L39" s="0" t="str">
        <f aca="false">IFERROR(SMALL(K5:K364,ROW()-ROW($L$5)+1),"")</f>
        <v/>
      </c>
      <c r="N39" s="0" t="n">
        <f aca="false">IFERROR(SUM(L5:L39),"")</f>
        <v>0</v>
      </c>
      <c r="Q39" s="0" t="e">
        <f aca="false">IF(Charts!$B$3="none",E1846,IF(K1846="",NA(),K1846))</f>
        <v>#N/A</v>
      </c>
      <c r="R39" s="0" t="e">
        <f aca="false">IF(Charts!$B$3="none",F1846,IF(L1846="",NA(),L1846))</f>
        <v>#N/A</v>
      </c>
      <c r="S39" s="0" t="e">
        <f aca="false">IF(Charts!$B$3="none",G1846,IF(M1846="",NA(),M1846))</f>
        <v>#N/A</v>
      </c>
      <c r="T39" s="0" t="e">
        <f aca="false">IF(Charts!$B$3="none",H1846,IF(N1846="",NA(),N1846))</f>
        <v>#N/A</v>
      </c>
    </row>
    <row r="40" customFormat="false" ht="15" hidden="false" customHeight="false" outlineLevel="0" collapsed="false">
      <c r="D40" s="0" t="n">
        <v>36</v>
      </c>
      <c r="E40" s="0" t="str">
        <f aca="true">IF(INDIRECT(ADDRESS($D40+2,E$2+1,,,"Instances"))="","",INDIRECT(ADDRESS($D40+2,E$2+1,,,"Instances")))</f>
        <v>Level_0/7-1111111</v>
      </c>
      <c r="F40" s="0" t="str">
        <f aca="false">IFERROR(SMALL(E5:E364,ROW()-ROW($F$5)+1),"")</f>
        <v/>
      </c>
      <c r="H40" s="0" t="n">
        <f aca="false">IFERROR(SUM(F5:F40),"")</f>
        <v>0</v>
      </c>
      <c r="J40" s="0" t="n">
        <v>36</v>
      </c>
      <c r="K40" s="0" t="e">
        <f aca="true" t="array" ref="K40:K40">_xlfn.SWITCH(Charts!$B$3,"average", AVERAGE(INDIRECT(ADDRESS(35+3,K$2+1,,,"Instances") &amp; ":" &amp; ADDRESS(35+3,K$2+1))),"median", MEDIAN(INDIRECT(ADDRESS(35+3,K$2+1,,,"Instances") &amp; ":" &amp; ADDRESS(35+3,K$2+1))),"min", MIN(INDIRECT(ADDRESS(35+3,K$2+1,,,"Instances") &amp; ":" &amp; ADDRESS(35+3,K$2+1))),"max", MAX(INDIRECT(ADDRESS(35+3,K$2+1,,,"Instances") &amp; ":" &amp; ADDRESS(35+3,K$2+1))),"diff", MAX(INDIRECT(ADDRESS(35+3,K$2+1,,,"Instances") &amp; ":" &amp; ADDRESS(35+3,K$2+1)))-MIN(INDIRECT(ADDRESS(35+3,K$2+1,,,"Instances") &amp; ":" &amp; ADDRESS(35+3,K$2+1))))</f>
        <v>#N/A</v>
      </c>
      <c r="L40" s="0" t="str">
        <f aca="false">IFERROR(SMALL(K5:K364,ROW()-ROW($L$5)+1),"")</f>
        <v/>
      </c>
      <c r="N40" s="0" t="n">
        <f aca="false">IFERROR(SUM(L5:L40),"")</f>
        <v>0</v>
      </c>
      <c r="Q40" s="0" t="e">
        <f aca="false">IF(Charts!$B$3="none",E1847,IF(K1847="",NA(),K1847))</f>
        <v>#N/A</v>
      </c>
      <c r="R40" s="0" t="e">
        <f aca="false">IF(Charts!$B$3="none",F1847,IF(L1847="",NA(),L1847))</f>
        <v>#N/A</v>
      </c>
      <c r="S40" s="0" t="e">
        <f aca="false">IF(Charts!$B$3="none",G1847,IF(M1847="",NA(),M1847))</f>
        <v>#N/A</v>
      </c>
      <c r="T40" s="0" t="e">
        <f aca="false">IF(Charts!$B$3="none",H1847,IF(N1847="",NA(),N1847))</f>
        <v>#N/A</v>
      </c>
    </row>
    <row r="41" customFormat="false" ht="15" hidden="false" customHeight="false" outlineLevel="0" collapsed="false">
      <c r="D41" s="0" t="n">
        <v>37</v>
      </c>
      <c r="E41" s="0" t="str">
        <f aca="true">IF(INDIRECT(ADDRESS($D41+2,E$2+1,,,"Instances"))="","",INDIRECT(ADDRESS($D41+2,E$2+1,,,"Instances")))</f>
        <v>Level_1/2-0000101</v>
      </c>
      <c r="F41" s="0" t="str">
        <f aca="false">IFERROR(SMALL(E5:E364,ROW()-ROW($F$5)+1),"")</f>
        <v/>
      </c>
      <c r="H41" s="0" t="n">
        <f aca="false">IFERROR(SUM(F5:F41),"")</f>
        <v>0</v>
      </c>
      <c r="J41" s="0" t="n">
        <v>37</v>
      </c>
      <c r="K41" s="0" t="e">
        <f aca="true" t="array" ref="K41:K41">_xlfn.SWITCH(Charts!$B$3,"average", AVERAGE(INDIRECT(ADDRESS(36+3,K$2+1,,,"Instances") &amp; ":" &amp; ADDRESS(36+3,K$2+1))),"median", MEDIAN(INDIRECT(ADDRESS(36+3,K$2+1,,,"Instances") &amp; ":" &amp; ADDRESS(36+3,K$2+1))),"min", MIN(INDIRECT(ADDRESS(36+3,K$2+1,,,"Instances") &amp; ":" &amp; ADDRESS(36+3,K$2+1))),"max", MAX(INDIRECT(ADDRESS(36+3,K$2+1,,,"Instances") &amp; ":" &amp; ADDRESS(36+3,K$2+1))),"diff", MAX(INDIRECT(ADDRESS(36+3,K$2+1,,,"Instances") &amp; ":" &amp; ADDRESS(36+3,K$2+1)))-MIN(INDIRECT(ADDRESS(36+3,K$2+1,,,"Instances") &amp; ":" &amp; ADDRESS(36+3,K$2+1))))</f>
        <v>#N/A</v>
      </c>
      <c r="L41" s="0" t="str">
        <f aca="false">IFERROR(SMALL(K5:K364,ROW()-ROW($L$5)+1),"")</f>
        <v/>
      </c>
      <c r="N41" s="0" t="n">
        <f aca="false">IFERROR(SUM(L5:L41),"")</f>
        <v>0</v>
      </c>
      <c r="Q41" s="0" t="e">
        <f aca="false">IF(Charts!$B$3="none",E1848,IF(K1848="",NA(),K1848))</f>
        <v>#N/A</v>
      </c>
      <c r="R41" s="0" t="e">
        <f aca="false">IF(Charts!$B$3="none",F1848,IF(L1848="",NA(),L1848))</f>
        <v>#N/A</v>
      </c>
      <c r="S41" s="0" t="e">
        <f aca="false">IF(Charts!$B$3="none",G1848,IF(M1848="",NA(),M1848))</f>
        <v>#N/A</v>
      </c>
      <c r="T41" s="0" t="e">
        <f aca="false">IF(Charts!$B$3="none",H1848,IF(N1848="",NA(),N1848))</f>
        <v>#N/A</v>
      </c>
    </row>
    <row r="42" customFormat="false" ht="15" hidden="false" customHeight="false" outlineLevel="0" collapsed="false">
      <c r="D42" s="0" t="n">
        <v>38</v>
      </c>
      <c r="E42" s="0" t="str">
        <f aca="true">IF(INDIRECT(ADDRESS($D42+2,E$2+1,,,"Instances"))="","",INDIRECT(ADDRESS($D42+2,E$2+1,,,"Instances")))</f>
        <v>Level_1/2-0001010</v>
      </c>
      <c r="F42" s="0" t="str">
        <f aca="false">IFERROR(SMALL(E5:E364,ROW()-ROW($F$5)+1),"")</f>
        <v/>
      </c>
      <c r="H42" s="0" t="n">
        <f aca="false">IFERROR(SUM(F5:F42),"")</f>
        <v>0</v>
      </c>
      <c r="J42" s="0" t="n">
        <v>38</v>
      </c>
      <c r="K42" s="0" t="e">
        <f aca="true" t="array" ref="K42:K42">_xlfn.SWITCH(Charts!$B$3,"average", AVERAGE(INDIRECT(ADDRESS(37+3,K$2+1,,,"Instances") &amp; ":" &amp; ADDRESS(37+3,K$2+1))),"median", MEDIAN(INDIRECT(ADDRESS(37+3,K$2+1,,,"Instances") &amp; ":" &amp; ADDRESS(37+3,K$2+1))),"min", MIN(INDIRECT(ADDRESS(37+3,K$2+1,,,"Instances") &amp; ":" &amp; ADDRESS(37+3,K$2+1))),"max", MAX(INDIRECT(ADDRESS(37+3,K$2+1,,,"Instances") &amp; ":" &amp; ADDRESS(37+3,K$2+1))),"diff", MAX(INDIRECT(ADDRESS(37+3,K$2+1,,,"Instances") &amp; ":" &amp; ADDRESS(37+3,K$2+1)))-MIN(INDIRECT(ADDRESS(37+3,K$2+1,,,"Instances") &amp; ":" &amp; ADDRESS(37+3,K$2+1))))</f>
        <v>#N/A</v>
      </c>
      <c r="L42" s="0" t="str">
        <f aca="false">IFERROR(SMALL(K5:K364,ROW()-ROW($L$5)+1),"")</f>
        <v/>
      </c>
      <c r="N42" s="0" t="n">
        <f aca="false">IFERROR(SUM(L5:L42),"")</f>
        <v>0</v>
      </c>
      <c r="Q42" s="0" t="e">
        <f aca="false">IF(Charts!$B$3="none",E1849,IF(K1849="",NA(),K1849))</f>
        <v>#N/A</v>
      </c>
      <c r="R42" s="0" t="e">
        <f aca="false">IF(Charts!$B$3="none",F1849,IF(L1849="",NA(),L1849))</f>
        <v>#N/A</v>
      </c>
      <c r="S42" s="0" t="e">
        <f aca="false">IF(Charts!$B$3="none",G1849,IF(M1849="",NA(),M1849))</f>
        <v>#N/A</v>
      </c>
      <c r="T42" s="0" t="e">
        <f aca="false">IF(Charts!$B$3="none",H1849,IF(N1849="",NA(),N1849))</f>
        <v>#N/A</v>
      </c>
    </row>
    <row r="43" customFormat="false" ht="15" hidden="false" customHeight="false" outlineLevel="0" collapsed="false">
      <c r="D43" s="0" t="n">
        <v>39</v>
      </c>
      <c r="E43" s="0" t="str">
        <f aca="true">IF(INDIRECT(ADDRESS($D43+2,E$2+1,,,"Instances"))="","",INDIRECT(ADDRESS($D43+2,E$2+1,,,"Instances")))</f>
        <v>Level_1/2-0010100</v>
      </c>
      <c r="F43" s="0" t="str">
        <f aca="false">IFERROR(SMALL(E5:E364,ROW()-ROW($F$5)+1),"")</f>
        <v/>
      </c>
      <c r="H43" s="0" t="n">
        <f aca="false">IFERROR(SUM(F5:F43),"")</f>
        <v>0</v>
      </c>
      <c r="J43" s="0" t="n">
        <v>39</v>
      </c>
      <c r="K43" s="0" t="e">
        <f aca="true" t="array" ref="K43:K43">_xlfn.SWITCH(Charts!$B$3,"average", AVERAGE(INDIRECT(ADDRESS(38+3,K$2+1,,,"Instances") &amp; ":" &amp; ADDRESS(38+3,K$2+1))),"median", MEDIAN(INDIRECT(ADDRESS(38+3,K$2+1,,,"Instances") &amp; ":" &amp; ADDRESS(38+3,K$2+1))),"min", MIN(INDIRECT(ADDRESS(38+3,K$2+1,,,"Instances") &amp; ":" &amp; ADDRESS(38+3,K$2+1))),"max", MAX(INDIRECT(ADDRESS(38+3,K$2+1,,,"Instances") &amp; ":" &amp; ADDRESS(38+3,K$2+1))),"diff", MAX(INDIRECT(ADDRESS(38+3,K$2+1,,,"Instances") &amp; ":" &amp; ADDRESS(38+3,K$2+1)))-MIN(INDIRECT(ADDRESS(38+3,K$2+1,,,"Instances") &amp; ":" &amp; ADDRESS(38+3,K$2+1))))</f>
        <v>#N/A</v>
      </c>
      <c r="L43" s="0" t="str">
        <f aca="false">IFERROR(SMALL(K5:K364,ROW()-ROW($L$5)+1),"")</f>
        <v/>
      </c>
      <c r="N43" s="0" t="n">
        <f aca="false">IFERROR(SUM(L5:L43),"")</f>
        <v>0</v>
      </c>
      <c r="Q43" s="0" t="e">
        <f aca="false">IF(Charts!$B$3="none",E1850,IF(K1850="",NA(),K1850))</f>
        <v>#N/A</v>
      </c>
      <c r="R43" s="0" t="e">
        <f aca="false">IF(Charts!$B$3="none",F1850,IF(L1850="",NA(),L1850))</f>
        <v>#N/A</v>
      </c>
      <c r="S43" s="0" t="e">
        <f aca="false">IF(Charts!$B$3="none",G1850,IF(M1850="",NA(),M1850))</f>
        <v>#N/A</v>
      </c>
      <c r="T43" s="0" t="e">
        <f aca="false">IF(Charts!$B$3="none",H1850,IF(N1850="",NA(),N1850))</f>
        <v>#N/A</v>
      </c>
    </row>
    <row r="44" customFormat="false" ht="15" hidden="false" customHeight="false" outlineLevel="0" collapsed="false">
      <c r="D44" s="0" t="n">
        <v>40</v>
      </c>
      <c r="E44" s="0" t="str">
        <f aca="true">IF(INDIRECT(ADDRESS($D44+2,E$2+1,,,"Instances"))="","",INDIRECT(ADDRESS($D44+2,E$2+1,,,"Instances")))</f>
        <v>Level_1/2-0011000</v>
      </c>
      <c r="F44" s="0" t="str">
        <f aca="false">IFERROR(SMALL(E5:E364,ROW()-ROW($F$5)+1),"")</f>
        <v/>
      </c>
      <c r="H44" s="0" t="n">
        <f aca="false">IFERROR(SUM(F5:F44),"")</f>
        <v>0</v>
      </c>
      <c r="J44" s="0" t="n">
        <v>40</v>
      </c>
      <c r="K44" s="0" t="e">
        <f aca="true" t="array" ref="K44:K44">_xlfn.SWITCH(Charts!$B$3,"average", AVERAGE(INDIRECT(ADDRESS(39+3,K$2+1,,,"Instances") &amp; ":" &amp; ADDRESS(39+3,K$2+1))),"median", MEDIAN(INDIRECT(ADDRESS(39+3,K$2+1,,,"Instances") &amp; ":" &amp; ADDRESS(39+3,K$2+1))),"min", MIN(INDIRECT(ADDRESS(39+3,K$2+1,,,"Instances") &amp; ":" &amp; ADDRESS(39+3,K$2+1))),"max", MAX(INDIRECT(ADDRESS(39+3,K$2+1,,,"Instances") &amp; ":" &amp; ADDRESS(39+3,K$2+1))),"diff", MAX(INDIRECT(ADDRESS(39+3,K$2+1,,,"Instances") &amp; ":" &amp; ADDRESS(39+3,K$2+1)))-MIN(INDIRECT(ADDRESS(39+3,K$2+1,,,"Instances") &amp; ":" &amp; ADDRESS(39+3,K$2+1))))</f>
        <v>#N/A</v>
      </c>
      <c r="L44" s="0" t="str">
        <f aca="false">IFERROR(SMALL(K5:K364,ROW()-ROW($L$5)+1),"")</f>
        <v/>
      </c>
      <c r="N44" s="0" t="n">
        <f aca="false">IFERROR(SUM(L5:L44),"")</f>
        <v>0</v>
      </c>
      <c r="Q44" s="0" t="e">
        <f aca="false">IF(Charts!$B$3="none",E1851,IF(K1851="",NA(),K1851))</f>
        <v>#N/A</v>
      </c>
      <c r="R44" s="0" t="e">
        <f aca="false">IF(Charts!$B$3="none",F1851,IF(L1851="",NA(),L1851))</f>
        <v>#N/A</v>
      </c>
      <c r="S44" s="0" t="e">
        <f aca="false">IF(Charts!$B$3="none",G1851,IF(M1851="",NA(),M1851))</f>
        <v>#N/A</v>
      </c>
      <c r="T44" s="0" t="e">
        <f aca="false">IF(Charts!$B$3="none",H1851,IF(N1851="",NA(),N1851))</f>
        <v>#N/A</v>
      </c>
    </row>
    <row r="45" customFormat="false" ht="15" hidden="false" customHeight="false" outlineLevel="0" collapsed="false">
      <c r="D45" s="0" t="n">
        <v>41</v>
      </c>
      <c r="E45" s="0" t="str">
        <f aca="true">IF(INDIRECT(ADDRESS($D45+2,E$2+1,,,"Instances"))="","",INDIRECT(ADDRESS($D45+2,E$2+1,,,"Instances")))</f>
        <v>Level_1/2-0101000</v>
      </c>
      <c r="F45" s="0" t="str">
        <f aca="false">IFERROR(SMALL(E5:E364,ROW()-ROW($F$5)+1),"")</f>
        <v/>
      </c>
      <c r="H45" s="0" t="n">
        <f aca="false">IFERROR(SUM(F5:F45),"")</f>
        <v>0</v>
      </c>
      <c r="J45" s="0" t="n">
        <v>41</v>
      </c>
      <c r="K45" s="0" t="e">
        <f aca="true" t="array" ref="K45:K45">_xlfn.SWITCH(Charts!$B$3,"average", AVERAGE(INDIRECT(ADDRESS(40+3,K$2+1,,,"Instances") &amp; ":" &amp; ADDRESS(40+3,K$2+1))),"median", MEDIAN(INDIRECT(ADDRESS(40+3,K$2+1,,,"Instances") &amp; ":" &amp; ADDRESS(40+3,K$2+1))),"min", MIN(INDIRECT(ADDRESS(40+3,K$2+1,,,"Instances") &amp; ":" &amp; ADDRESS(40+3,K$2+1))),"max", MAX(INDIRECT(ADDRESS(40+3,K$2+1,,,"Instances") &amp; ":" &amp; ADDRESS(40+3,K$2+1))),"diff", MAX(INDIRECT(ADDRESS(40+3,K$2+1,,,"Instances") &amp; ":" &amp; ADDRESS(40+3,K$2+1)))-MIN(INDIRECT(ADDRESS(40+3,K$2+1,,,"Instances") &amp; ":" &amp; ADDRESS(40+3,K$2+1))))</f>
        <v>#N/A</v>
      </c>
      <c r="L45" s="0" t="str">
        <f aca="false">IFERROR(SMALL(K5:K364,ROW()-ROW($L$5)+1),"")</f>
        <v/>
      </c>
      <c r="N45" s="0" t="n">
        <f aca="false">IFERROR(SUM(L5:L45),"")</f>
        <v>0</v>
      </c>
      <c r="Q45" s="0" t="e">
        <f aca="false">IF(Charts!$B$3="none",E1852,IF(K1852="",NA(),K1852))</f>
        <v>#N/A</v>
      </c>
      <c r="R45" s="0" t="e">
        <f aca="false">IF(Charts!$B$3="none",F1852,IF(L1852="",NA(),L1852))</f>
        <v>#N/A</v>
      </c>
      <c r="S45" s="0" t="e">
        <f aca="false">IF(Charts!$B$3="none",G1852,IF(M1852="",NA(),M1852))</f>
        <v>#N/A</v>
      </c>
      <c r="T45" s="0" t="e">
        <f aca="false">IF(Charts!$B$3="none",H1852,IF(N1852="",NA(),N1852))</f>
        <v>#N/A</v>
      </c>
    </row>
    <row r="46" customFormat="false" ht="15" hidden="false" customHeight="false" outlineLevel="0" collapsed="false">
      <c r="D46" s="0" t="n">
        <v>42</v>
      </c>
      <c r="E46" s="0" t="str">
        <f aca="true">IF(INDIRECT(ADDRESS($D46+2,E$2+1,,,"Instances"))="","",INDIRECT(ADDRESS($D46+2,E$2+1,,,"Instances")))</f>
        <v>Level_1/2-1000100</v>
      </c>
      <c r="F46" s="0" t="str">
        <f aca="false">IFERROR(SMALL(E5:E364,ROW()-ROW($F$5)+1),"")</f>
        <v/>
      </c>
      <c r="H46" s="0" t="n">
        <f aca="false">IFERROR(SUM(F5:F46),"")</f>
        <v>0</v>
      </c>
      <c r="J46" s="0" t="n">
        <v>42</v>
      </c>
      <c r="K46" s="0" t="e">
        <f aca="true" t="array" ref="K46:K46">_xlfn.SWITCH(Charts!$B$3,"average", AVERAGE(INDIRECT(ADDRESS(41+3,K$2+1,,,"Instances") &amp; ":" &amp; ADDRESS(41+3,K$2+1))),"median", MEDIAN(INDIRECT(ADDRESS(41+3,K$2+1,,,"Instances") &amp; ":" &amp; ADDRESS(41+3,K$2+1))),"min", MIN(INDIRECT(ADDRESS(41+3,K$2+1,,,"Instances") &amp; ":" &amp; ADDRESS(41+3,K$2+1))),"max", MAX(INDIRECT(ADDRESS(41+3,K$2+1,,,"Instances") &amp; ":" &amp; ADDRESS(41+3,K$2+1))),"diff", MAX(INDIRECT(ADDRESS(41+3,K$2+1,,,"Instances") &amp; ":" &amp; ADDRESS(41+3,K$2+1)))-MIN(INDIRECT(ADDRESS(41+3,K$2+1,,,"Instances") &amp; ":" &amp; ADDRESS(41+3,K$2+1))))</f>
        <v>#N/A</v>
      </c>
      <c r="L46" s="0" t="str">
        <f aca="false">IFERROR(SMALL(K5:K364,ROW()-ROW($L$5)+1),"")</f>
        <v/>
      </c>
      <c r="N46" s="0" t="n">
        <f aca="false">IFERROR(SUM(L5:L46),"")</f>
        <v>0</v>
      </c>
      <c r="Q46" s="0" t="e">
        <f aca="false">IF(Charts!$B$3="none",E1853,IF(K1853="",NA(),K1853))</f>
        <v>#N/A</v>
      </c>
      <c r="R46" s="0" t="e">
        <f aca="false">IF(Charts!$B$3="none",F1853,IF(L1853="",NA(),L1853))</f>
        <v>#N/A</v>
      </c>
      <c r="S46" s="0" t="e">
        <f aca="false">IF(Charts!$B$3="none",G1853,IF(M1853="",NA(),M1853))</f>
        <v>#N/A</v>
      </c>
      <c r="T46" s="0" t="e">
        <f aca="false">IF(Charts!$B$3="none",H1853,IF(N1853="",NA(),N1853))</f>
        <v>#N/A</v>
      </c>
    </row>
    <row r="47" customFormat="false" ht="15" hidden="false" customHeight="false" outlineLevel="0" collapsed="false">
      <c r="D47" s="0" t="n">
        <v>43</v>
      </c>
      <c r="E47" s="0" t="str">
        <f aca="true">IF(INDIRECT(ADDRESS($D47+2,E$2+1,,,"Instances"))="","",INDIRECT(ADDRESS($D47+2,E$2+1,,,"Instances")))</f>
        <v>Level_1/2-1001000</v>
      </c>
      <c r="F47" s="0" t="str">
        <f aca="false">IFERROR(SMALL(E5:E364,ROW()-ROW($F$5)+1),"")</f>
        <v/>
      </c>
      <c r="H47" s="0" t="n">
        <f aca="false">IFERROR(SUM(F5:F47),"")</f>
        <v>0</v>
      </c>
      <c r="J47" s="0" t="n">
        <v>43</v>
      </c>
      <c r="K47" s="0" t="e">
        <f aca="true" t="array" ref="K47:K47">_xlfn.SWITCH(Charts!$B$3,"average", AVERAGE(INDIRECT(ADDRESS(42+3,K$2+1,,,"Instances") &amp; ":" &amp; ADDRESS(42+3,K$2+1))),"median", MEDIAN(INDIRECT(ADDRESS(42+3,K$2+1,,,"Instances") &amp; ":" &amp; ADDRESS(42+3,K$2+1))),"min", MIN(INDIRECT(ADDRESS(42+3,K$2+1,,,"Instances") &amp; ":" &amp; ADDRESS(42+3,K$2+1))),"max", MAX(INDIRECT(ADDRESS(42+3,K$2+1,,,"Instances") &amp; ":" &amp; ADDRESS(42+3,K$2+1))),"diff", MAX(INDIRECT(ADDRESS(42+3,K$2+1,,,"Instances") &amp; ":" &amp; ADDRESS(42+3,K$2+1)))-MIN(INDIRECT(ADDRESS(42+3,K$2+1,,,"Instances") &amp; ":" &amp; ADDRESS(42+3,K$2+1))))</f>
        <v>#N/A</v>
      </c>
      <c r="L47" s="0" t="str">
        <f aca="false">IFERROR(SMALL(K5:K364,ROW()-ROW($L$5)+1),"")</f>
        <v/>
      </c>
      <c r="N47" s="0" t="n">
        <f aca="false">IFERROR(SUM(L5:L47),"")</f>
        <v>0</v>
      </c>
      <c r="Q47" s="0" t="e">
        <f aca="false">IF(Charts!$B$3="none",E1854,IF(K1854="",NA(),K1854))</f>
        <v>#N/A</v>
      </c>
      <c r="R47" s="0" t="e">
        <f aca="false">IF(Charts!$B$3="none",F1854,IF(L1854="",NA(),L1854))</f>
        <v>#N/A</v>
      </c>
      <c r="S47" s="0" t="e">
        <f aca="false">IF(Charts!$B$3="none",G1854,IF(M1854="",NA(),M1854))</f>
        <v>#N/A</v>
      </c>
      <c r="T47" s="0" t="e">
        <f aca="false">IF(Charts!$B$3="none",H1854,IF(N1854="",NA(),N1854))</f>
        <v>#N/A</v>
      </c>
    </row>
    <row r="48" customFormat="false" ht="15" hidden="false" customHeight="false" outlineLevel="0" collapsed="false">
      <c r="D48" s="0" t="n">
        <v>44</v>
      </c>
      <c r="E48" s="0" t="str">
        <f aca="true">IF(INDIRECT(ADDRESS($D48+2,E$2+1,,,"Instances"))="","",INDIRECT(ADDRESS($D48+2,E$2+1,,,"Instances")))</f>
        <v>Level_1/3-0010110</v>
      </c>
      <c r="F48" s="0" t="str">
        <f aca="false">IFERROR(SMALL(E5:E364,ROW()-ROW($F$5)+1),"")</f>
        <v/>
      </c>
      <c r="H48" s="0" t="n">
        <f aca="false">IFERROR(SUM(F5:F48),"")</f>
        <v>0</v>
      </c>
      <c r="J48" s="0" t="n">
        <v>44</v>
      </c>
      <c r="K48" s="0" t="e">
        <f aca="true" t="array" ref="K48:K48">_xlfn.SWITCH(Charts!$B$3,"average", AVERAGE(INDIRECT(ADDRESS(43+3,K$2+1,,,"Instances") &amp; ":" &amp; ADDRESS(43+3,K$2+1))),"median", MEDIAN(INDIRECT(ADDRESS(43+3,K$2+1,,,"Instances") &amp; ":" &amp; ADDRESS(43+3,K$2+1))),"min", MIN(INDIRECT(ADDRESS(43+3,K$2+1,,,"Instances") &amp; ":" &amp; ADDRESS(43+3,K$2+1))),"max", MAX(INDIRECT(ADDRESS(43+3,K$2+1,,,"Instances") &amp; ":" &amp; ADDRESS(43+3,K$2+1))),"diff", MAX(INDIRECT(ADDRESS(43+3,K$2+1,,,"Instances") &amp; ":" &amp; ADDRESS(43+3,K$2+1)))-MIN(INDIRECT(ADDRESS(43+3,K$2+1,,,"Instances") &amp; ":" &amp; ADDRESS(43+3,K$2+1))))</f>
        <v>#N/A</v>
      </c>
      <c r="L48" s="0" t="str">
        <f aca="false">IFERROR(SMALL(K5:K364,ROW()-ROW($L$5)+1),"")</f>
        <v/>
      </c>
      <c r="N48" s="0" t="n">
        <f aca="false">IFERROR(SUM(L5:L48),"")</f>
        <v>0</v>
      </c>
      <c r="Q48" s="0" t="e">
        <f aca="false">IF(Charts!$B$3="none",E1855,IF(K1855="",NA(),K1855))</f>
        <v>#N/A</v>
      </c>
      <c r="R48" s="0" t="e">
        <f aca="false">IF(Charts!$B$3="none",F1855,IF(L1855="",NA(),L1855))</f>
        <v>#N/A</v>
      </c>
      <c r="S48" s="0" t="e">
        <f aca="false">IF(Charts!$B$3="none",G1855,IF(M1855="",NA(),M1855))</f>
        <v>#N/A</v>
      </c>
      <c r="T48" s="0" t="e">
        <f aca="false">IF(Charts!$B$3="none",H1855,IF(N1855="",NA(),N1855))</f>
        <v>#N/A</v>
      </c>
    </row>
    <row r="49" customFormat="false" ht="15" hidden="false" customHeight="false" outlineLevel="0" collapsed="false">
      <c r="D49" s="0" t="n">
        <v>45</v>
      </c>
      <c r="E49" s="0" t="str">
        <f aca="true">IF(INDIRECT(ADDRESS($D49+2,E$2+1,,,"Instances"))="","",INDIRECT(ADDRESS($D49+2,E$2+1,,,"Instances")))</f>
        <v>Level_1/3-0011001</v>
      </c>
      <c r="F49" s="0" t="str">
        <f aca="false">IFERROR(SMALL(E5:E364,ROW()-ROW($F$5)+1),"")</f>
        <v/>
      </c>
      <c r="H49" s="0" t="n">
        <f aca="false">IFERROR(SUM(F5:F49),"")</f>
        <v>0</v>
      </c>
      <c r="J49" s="0" t="n">
        <v>45</v>
      </c>
      <c r="K49" s="0" t="e">
        <f aca="true" t="array" ref="K49:K49">_xlfn.SWITCH(Charts!$B$3,"average", AVERAGE(INDIRECT(ADDRESS(44+3,K$2+1,,,"Instances") &amp; ":" &amp; ADDRESS(44+3,K$2+1))),"median", MEDIAN(INDIRECT(ADDRESS(44+3,K$2+1,,,"Instances") &amp; ":" &amp; ADDRESS(44+3,K$2+1))),"min", MIN(INDIRECT(ADDRESS(44+3,K$2+1,,,"Instances") &amp; ":" &amp; ADDRESS(44+3,K$2+1))),"max", MAX(INDIRECT(ADDRESS(44+3,K$2+1,,,"Instances") &amp; ":" &amp; ADDRESS(44+3,K$2+1))),"diff", MAX(INDIRECT(ADDRESS(44+3,K$2+1,,,"Instances") &amp; ":" &amp; ADDRESS(44+3,K$2+1)))-MIN(INDIRECT(ADDRESS(44+3,K$2+1,,,"Instances") &amp; ":" &amp; ADDRESS(44+3,K$2+1))))</f>
        <v>#N/A</v>
      </c>
      <c r="L49" s="0" t="str">
        <f aca="false">IFERROR(SMALL(K5:K364,ROW()-ROW($L$5)+1),"")</f>
        <v/>
      </c>
      <c r="N49" s="0" t="n">
        <f aca="false">IFERROR(SUM(L5:L49),"")</f>
        <v>0</v>
      </c>
      <c r="Q49" s="0" t="e">
        <f aca="false">IF(Charts!$B$3="none",E1856,IF(K1856="",NA(),K1856))</f>
        <v>#N/A</v>
      </c>
      <c r="R49" s="0" t="e">
        <f aca="false">IF(Charts!$B$3="none",F1856,IF(L1856="",NA(),L1856))</f>
        <v>#N/A</v>
      </c>
      <c r="S49" s="0" t="e">
        <f aca="false">IF(Charts!$B$3="none",G1856,IF(M1856="",NA(),M1856))</f>
        <v>#N/A</v>
      </c>
      <c r="T49" s="0" t="e">
        <f aca="false">IF(Charts!$B$3="none",H1856,IF(N1856="",NA(),N1856))</f>
        <v>#N/A</v>
      </c>
    </row>
    <row r="50" customFormat="false" ht="15" hidden="false" customHeight="false" outlineLevel="0" collapsed="false">
      <c r="D50" s="0" t="n">
        <v>46</v>
      </c>
      <c r="E50" s="0" t="str">
        <f aca="true">IF(INDIRECT(ADDRESS($D50+2,E$2+1,,,"Instances"))="","",INDIRECT(ADDRESS($D50+2,E$2+1,,,"Instances")))</f>
        <v>Level_1/3-0100101</v>
      </c>
      <c r="F50" s="0" t="str">
        <f aca="false">IFERROR(SMALL(E5:E364,ROW()-ROW($F$5)+1),"")</f>
        <v/>
      </c>
      <c r="H50" s="0" t="n">
        <f aca="false">IFERROR(SUM(F5:F50),"")</f>
        <v>0</v>
      </c>
      <c r="J50" s="0" t="n">
        <v>46</v>
      </c>
      <c r="K50" s="0" t="e">
        <f aca="true" t="array" ref="K50:K50">_xlfn.SWITCH(Charts!$B$3,"average", AVERAGE(INDIRECT(ADDRESS(45+3,K$2+1,,,"Instances") &amp; ":" &amp; ADDRESS(45+3,K$2+1))),"median", MEDIAN(INDIRECT(ADDRESS(45+3,K$2+1,,,"Instances") &amp; ":" &amp; ADDRESS(45+3,K$2+1))),"min", MIN(INDIRECT(ADDRESS(45+3,K$2+1,,,"Instances") &amp; ":" &amp; ADDRESS(45+3,K$2+1))),"max", MAX(INDIRECT(ADDRESS(45+3,K$2+1,,,"Instances") &amp; ":" &amp; ADDRESS(45+3,K$2+1))),"diff", MAX(INDIRECT(ADDRESS(45+3,K$2+1,,,"Instances") &amp; ":" &amp; ADDRESS(45+3,K$2+1)))-MIN(INDIRECT(ADDRESS(45+3,K$2+1,,,"Instances") &amp; ":" &amp; ADDRESS(45+3,K$2+1))))</f>
        <v>#N/A</v>
      </c>
      <c r="L50" s="0" t="str">
        <f aca="false">IFERROR(SMALL(K5:K364,ROW()-ROW($L$5)+1),"")</f>
        <v/>
      </c>
      <c r="N50" s="0" t="n">
        <f aca="false">IFERROR(SUM(L5:L50),"")</f>
        <v>0</v>
      </c>
      <c r="Q50" s="0" t="e">
        <f aca="false">IF(Charts!$B$3="none",E1857,IF(K1857="",NA(),K1857))</f>
        <v>#N/A</v>
      </c>
      <c r="R50" s="0" t="e">
        <f aca="false">IF(Charts!$B$3="none",F1857,IF(L1857="",NA(),L1857))</f>
        <v>#N/A</v>
      </c>
      <c r="S50" s="0" t="e">
        <f aca="false">IF(Charts!$B$3="none",G1857,IF(M1857="",NA(),M1857))</f>
        <v>#N/A</v>
      </c>
      <c r="T50" s="0" t="e">
        <f aca="false">IF(Charts!$B$3="none",H1857,IF(N1857="",NA(),N1857))</f>
        <v>#N/A</v>
      </c>
    </row>
    <row r="51" customFormat="false" ht="15" hidden="false" customHeight="false" outlineLevel="0" collapsed="false">
      <c r="D51" s="0" t="n">
        <v>47</v>
      </c>
      <c r="E51" s="0" t="str">
        <f aca="true">IF(INDIRECT(ADDRESS($D51+2,E$2+1,,,"Instances"))="","",INDIRECT(ADDRESS($D51+2,E$2+1,,,"Instances")))</f>
        <v>Level_1/3-0110100</v>
      </c>
      <c r="F51" s="0" t="str">
        <f aca="false">IFERROR(SMALL(E5:E364,ROW()-ROW($F$5)+1),"")</f>
        <v/>
      </c>
      <c r="H51" s="0" t="n">
        <f aca="false">IFERROR(SUM(F5:F51),"")</f>
        <v>0</v>
      </c>
      <c r="J51" s="0" t="n">
        <v>47</v>
      </c>
      <c r="K51" s="0" t="e">
        <f aca="true" t="array" ref="K51:K51">_xlfn.SWITCH(Charts!$B$3,"average", AVERAGE(INDIRECT(ADDRESS(46+3,K$2+1,,,"Instances") &amp; ":" &amp; ADDRESS(46+3,K$2+1))),"median", MEDIAN(INDIRECT(ADDRESS(46+3,K$2+1,,,"Instances") &amp; ":" &amp; ADDRESS(46+3,K$2+1))),"min", MIN(INDIRECT(ADDRESS(46+3,K$2+1,,,"Instances") &amp; ":" &amp; ADDRESS(46+3,K$2+1))),"max", MAX(INDIRECT(ADDRESS(46+3,K$2+1,,,"Instances") &amp; ":" &amp; ADDRESS(46+3,K$2+1))),"diff", MAX(INDIRECT(ADDRESS(46+3,K$2+1,,,"Instances") &amp; ":" &amp; ADDRESS(46+3,K$2+1)))-MIN(INDIRECT(ADDRESS(46+3,K$2+1,,,"Instances") &amp; ":" &amp; ADDRESS(46+3,K$2+1))))</f>
        <v>#N/A</v>
      </c>
      <c r="L51" s="0" t="str">
        <f aca="false">IFERROR(SMALL(K5:K364,ROW()-ROW($L$5)+1),"")</f>
        <v/>
      </c>
      <c r="N51" s="0" t="n">
        <f aca="false">IFERROR(SUM(L5:L51),"")</f>
        <v>0</v>
      </c>
      <c r="Q51" s="0" t="e">
        <f aca="false">IF(Charts!$B$3="none",E1858,IF(K1858="",NA(),K1858))</f>
        <v>#N/A</v>
      </c>
      <c r="R51" s="0" t="e">
        <f aca="false">IF(Charts!$B$3="none",F1858,IF(L1858="",NA(),L1858))</f>
        <v>#N/A</v>
      </c>
      <c r="S51" s="0" t="e">
        <f aca="false">IF(Charts!$B$3="none",G1858,IF(M1858="",NA(),M1858))</f>
        <v>#N/A</v>
      </c>
      <c r="T51" s="0" t="e">
        <f aca="false">IF(Charts!$B$3="none",H1858,IF(N1858="",NA(),N1858))</f>
        <v>#N/A</v>
      </c>
    </row>
    <row r="52" customFormat="false" ht="15" hidden="false" customHeight="false" outlineLevel="0" collapsed="false">
      <c r="D52" s="0" t="n">
        <v>48</v>
      </c>
      <c r="E52" s="0" t="str">
        <f aca="true">IF(INDIRECT(ADDRESS($D52+2,E$2+1,,,"Instances"))="","",INDIRECT(ADDRESS($D52+2,E$2+1,,,"Instances")))</f>
        <v>Level_1/3-0111000</v>
      </c>
      <c r="F52" s="0" t="str">
        <f aca="false">IFERROR(SMALL(E5:E364,ROW()-ROW($F$5)+1),"")</f>
        <v/>
      </c>
      <c r="H52" s="0" t="n">
        <f aca="false">IFERROR(SUM(F5:F52),"")</f>
        <v>0</v>
      </c>
      <c r="J52" s="0" t="n">
        <v>48</v>
      </c>
      <c r="K52" s="0" t="e">
        <f aca="true" t="array" ref="K52:K52">_xlfn.SWITCH(Charts!$B$3,"average", AVERAGE(INDIRECT(ADDRESS(47+3,K$2+1,,,"Instances") &amp; ":" &amp; ADDRESS(47+3,K$2+1))),"median", MEDIAN(INDIRECT(ADDRESS(47+3,K$2+1,,,"Instances") &amp; ":" &amp; ADDRESS(47+3,K$2+1))),"min", MIN(INDIRECT(ADDRESS(47+3,K$2+1,,,"Instances") &amp; ":" &amp; ADDRESS(47+3,K$2+1))),"max", MAX(INDIRECT(ADDRESS(47+3,K$2+1,,,"Instances") &amp; ":" &amp; ADDRESS(47+3,K$2+1))),"diff", MAX(INDIRECT(ADDRESS(47+3,K$2+1,,,"Instances") &amp; ":" &amp; ADDRESS(47+3,K$2+1)))-MIN(INDIRECT(ADDRESS(47+3,K$2+1,,,"Instances") &amp; ":" &amp; ADDRESS(47+3,K$2+1))))</f>
        <v>#N/A</v>
      </c>
      <c r="L52" s="0" t="str">
        <f aca="false">IFERROR(SMALL(K5:K364,ROW()-ROW($L$5)+1),"")</f>
        <v/>
      </c>
      <c r="N52" s="0" t="n">
        <f aca="false">IFERROR(SUM(L5:L52),"")</f>
        <v>0</v>
      </c>
      <c r="Q52" s="0" t="e">
        <f aca="false">IF(Charts!$B$3="none",E1859,IF(K1859="",NA(),K1859))</f>
        <v>#N/A</v>
      </c>
      <c r="R52" s="0" t="e">
        <f aca="false">IF(Charts!$B$3="none",F1859,IF(L1859="",NA(),L1859))</f>
        <v>#N/A</v>
      </c>
      <c r="S52" s="0" t="e">
        <f aca="false">IF(Charts!$B$3="none",G1859,IF(M1859="",NA(),M1859))</f>
        <v>#N/A</v>
      </c>
      <c r="T52" s="0" t="e">
        <f aca="false">IF(Charts!$B$3="none",H1859,IF(N1859="",NA(),N1859))</f>
        <v>#N/A</v>
      </c>
    </row>
    <row r="53" customFormat="false" ht="15" hidden="false" customHeight="false" outlineLevel="0" collapsed="false">
      <c r="D53" s="0" t="n">
        <v>49</v>
      </c>
      <c r="E53" s="0" t="str">
        <f aca="true">IF(INDIRECT(ADDRESS($D53+2,E$2+1,,,"Instances"))="","",INDIRECT(ADDRESS($D53+2,E$2+1,,,"Instances")))</f>
        <v>Level_1/3-1000011</v>
      </c>
      <c r="F53" s="0" t="str">
        <f aca="false">IFERROR(SMALL(E5:E364,ROW()-ROW($F$5)+1),"")</f>
        <v/>
      </c>
      <c r="H53" s="0" t="n">
        <f aca="false">IFERROR(SUM(F5:F53),"")</f>
        <v>0</v>
      </c>
      <c r="J53" s="0" t="n">
        <v>49</v>
      </c>
      <c r="K53" s="0" t="e">
        <f aca="true" t="array" ref="K53:K53">_xlfn.SWITCH(Charts!$B$3,"average", AVERAGE(INDIRECT(ADDRESS(48+3,K$2+1,,,"Instances") &amp; ":" &amp; ADDRESS(48+3,K$2+1))),"median", MEDIAN(INDIRECT(ADDRESS(48+3,K$2+1,,,"Instances") &amp; ":" &amp; ADDRESS(48+3,K$2+1))),"min", MIN(INDIRECT(ADDRESS(48+3,K$2+1,,,"Instances") &amp; ":" &amp; ADDRESS(48+3,K$2+1))),"max", MAX(INDIRECT(ADDRESS(48+3,K$2+1,,,"Instances") &amp; ":" &amp; ADDRESS(48+3,K$2+1))),"diff", MAX(INDIRECT(ADDRESS(48+3,K$2+1,,,"Instances") &amp; ":" &amp; ADDRESS(48+3,K$2+1)))-MIN(INDIRECT(ADDRESS(48+3,K$2+1,,,"Instances") &amp; ":" &amp; ADDRESS(48+3,K$2+1))))</f>
        <v>#N/A</v>
      </c>
      <c r="L53" s="0" t="str">
        <f aca="false">IFERROR(SMALL(K5:K364,ROW()-ROW($L$5)+1),"")</f>
        <v/>
      </c>
      <c r="N53" s="0" t="n">
        <f aca="false">IFERROR(SUM(L5:L53),"")</f>
        <v>0</v>
      </c>
      <c r="Q53" s="0" t="e">
        <f aca="false">IF(Charts!$B$3="none",E1860,IF(K1860="",NA(),K1860))</f>
        <v>#N/A</v>
      </c>
      <c r="R53" s="0" t="e">
        <f aca="false">IF(Charts!$B$3="none",F1860,IF(L1860="",NA(),L1860))</f>
        <v>#N/A</v>
      </c>
      <c r="S53" s="0" t="e">
        <f aca="false">IF(Charts!$B$3="none",G1860,IF(M1860="",NA(),M1860))</f>
        <v>#N/A</v>
      </c>
      <c r="T53" s="0" t="e">
        <f aca="false">IF(Charts!$B$3="none",H1860,IF(N1860="",NA(),N1860))</f>
        <v>#N/A</v>
      </c>
    </row>
    <row r="54" customFormat="false" ht="15" hidden="false" customHeight="false" outlineLevel="0" collapsed="false">
      <c r="D54" s="0" t="n">
        <v>50</v>
      </c>
      <c r="E54" s="0" t="str">
        <f aca="true">IF(INDIRECT(ADDRESS($D54+2,E$2+1,,,"Instances"))="","",INDIRECT(ADDRESS($D54+2,E$2+1,,,"Instances")))</f>
        <v>Level_1/3-1100001</v>
      </c>
      <c r="F54" s="0" t="str">
        <f aca="false">IFERROR(SMALL(E5:E364,ROW()-ROW($F$5)+1),"")</f>
        <v/>
      </c>
      <c r="H54" s="0" t="n">
        <f aca="false">IFERROR(SUM(F5:F54),"")</f>
        <v>0</v>
      </c>
      <c r="J54" s="0" t="n">
        <v>50</v>
      </c>
      <c r="K54" s="0" t="e">
        <f aca="true" t="array" ref="K54:K54">_xlfn.SWITCH(Charts!$B$3,"average", AVERAGE(INDIRECT(ADDRESS(49+3,K$2+1,,,"Instances") &amp; ":" &amp; ADDRESS(49+3,K$2+1))),"median", MEDIAN(INDIRECT(ADDRESS(49+3,K$2+1,,,"Instances") &amp; ":" &amp; ADDRESS(49+3,K$2+1))),"min", MIN(INDIRECT(ADDRESS(49+3,K$2+1,,,"Instances") &amp; ":" &amp; ADDRESS(49+3,K$2+1))),"max", MAX(INDIRECT(ADDRESS(49+3,K$2+1,,,"Instances") &amp; ":" &amp; ADDRESS(49+3,K$2+1))),"diff", MAX(INDIRECT(ADDRESS(49+3,K$2+1,,,"Instances") &amp; ":" &amp; ADDRESS(49+3,K$2+1)))-MIN(INDIRECT(ADDRESS(49+3,K$2+1,,,"Instances") &amp; ":" &amp; ADDRESS(49+3,K$2+1))))</f>
        <v>#N/A</v>
      </c>
      <c r="L54" s="0" t="str">
        <f aca="false">IFERROR(SMALL(K5:K364,ROW()-ROW($L$5)+1),"")</f>
        <v/>
      </c>
      <c r="N54" s="0" t="n">
        <f aca="false">IFERROR(SUM(L5:L54),"")</f>
        <v>0</v>
      </c>
      <c r="Q54" s="0" t="e">
        <f aca="false">IF(Charts!$B$3="none",E1861,IF(K1861="",NA(),K1861))</f>
        <v>#N/A</v>
      </c>
      <c r="R54" s="0" t="e">
        <f aca="false">IF(Charts!$B$3="none",F1861,IF(L1861="",NA(),L1861))</f>
        <v>#N/A</v>
      </c>
      <c r="S54" s="0" t="e">
        <f aca="false">IF(Charts!$B$3="none",G1861,IF(M1861="",NA(),M1861))</f>
        <v>#N/A</v>
      </c>
      <c r="T54" s="0" t="e">
        <f aca="false">IF(Charts!$B$3="none",H1861,IF(N1861="",NA(),N1861))</f>
        <v>#N/A</v>
      </c>
    </row>
    <row r="55" customFormat="false" ht="15" hidden="false" customHeight="false" outlineLevel="0" collapsed="false">
      <c r="D55" s="0" t="n">
        <v>51</v>
      </c>
      <c r="E55" s="0" t="str">
        <f aca="true">IF(INDIRECT(ADDRESS($D55+2,E$2+1,,,"Instances"))="","",INDIRECT(ADDRESS($D55+2,E$2+1,,,"Instances")))</f>
        <v>Level_1/4-0010111</v>
      </c>
      <c r="F55" s="0" t="str">
        <f aca="false">IFERROR(SMALL(E5:E364,ROW()-ROW($F$5)+1),"")</f>
        <v/>
      </c>
      <c r="H55" s="0" t="n">
        <f aca="false">IFERROR(SUM(F5:F55),"")</f>
        <v>0</v>
      </c>
      <c r="J55" s="0" t="n">
        <v>51</v>
      </c>
      <c r="K55" s="0" t="e">
        <f aca="true" t="array" ref="K55:K55">_xlfn.SWITCH(Charts!$B$3,"average", AVERAGE(INDIRECT(ADDRESS(50+3,K$2+1,,,"Instances") &amp; ":" &amp; ADDRESS(50+3,K$2+1))),"median", MEDIAN(INDIRECT(ADDRESS(50+3,K$2+1,,,"Instances") &amp; ":" &amp; ADDRESS(50+3,K$2+1))),"min", MIN(INDIRECT(ADDRESS(50+3,K$2+1,,,"Instances") &amp; ":" &amp; ADDRESS(50+3,K$2+1))),"max", MAX(INDIRECT(ADDRESS(50+3,K$2+1,,,"Instances") &amp; ":" &amp; ADDRESS(50+3,K$2+1))),"diff", MAX(INDIRECT(ADDRESS(50+3,K$2+1,,,"Instances") &amp; ":" &amp; ADDRESS(50+3,K$2+1)))-MIN(INDIRECT(ADDRESS(50+3,K$2+1,,,"Instances") &amp; ":" &amp; ADDRESS(50+3,K$2+1))))</f>
        <v>#N/A</v>
      </c>
      <c r="L55" s="0" t="str">
        <f aca="false">IFERROR(SMALL(K5:K364,ROW()-ROW($L$5)+1),"")</f>
        <v/>
      </c>
      <c r="N55" s="0" t="n">
        <f aca="false">IFERROR(SUM(L5:L55),"")</f>
        <v>0</v>
      </c>
      <c r="Q55" s="0" t="e">
        <f aca="false">IF(Charts!$B$3="none",E1862,IF(K1862="",NA(),K1862))</f>
        <v>#N/A</v>
      </c>
      <c r="R55" s="0" t="e">
        <f aca="false">IF(Charts!$B$3="none",F1862,IF(L1862="",NA(),L1862))</f>
        <v>#N/A</v>
      </c>
      <c r="S55" s="0" t="e">
        <f aca="false">IF(Charts!$B$3="none",G1862,IF(M1862="",NA(),M1862))</f>
        <v>#N/A</v>
      </c>
      <c r="T55" s="0" t="e">
        <f aca="false">IF(Charts!$B$3="none",H1862,IF(N1862="",NA(),N1862))</f>
        <v>#N/A</v>
      </c>
    </row>
    <row r="56" customFormat="false" ht="15" hidden="false" customHeight="false" outlineLevel="0" collapsed="false">
      <c r="D56" s="0" t="n">
        <v>52</v>
      </c>
      <c r="E56" s="0" t="str">
        <f aca="true">IF(INDIRECT(ADDRESS($D56+2,E$2+1,,,"Instances"))="","",INDIRECT(ADDRESS($D56+2,E$2+1,,,"Instances")))</f>
        <v>Level_1/4-0011110</v>
      </c>
      <c r="F56" s="0" t="str">
        <f aca="false">IFERROR(SMALL(E5:E364,ROW()-ROW($F$5)+1),"")</f>
        <v/>
      </c>
      <c r="H56" s="0" t="n">
        <f aca="false">IFERROR(SUM(F5:F56),"")</f>
        <v>0</v>
      </c>
      <c r="J56" s="0" t="n">
        <v>52</v>
      </c>
      <c r="K56" s="0" t="e">
        <f aca="true" t="array" ref="K56:K56">_xlfn.SWITCH(Charts!$B$3,"average", AVERAGE(INDIRECT(ADDRESS(51+3,K$2+1,,,"Instances") &amp; ":" &amp; ADDRESS(51+3,K$2+1))),"median", MEDIAN(INDIRECT(ADDRESS(51+3,K$2+1,,,"Instances") &amp; ":" &amp; ADDRESS(51+3,K$2+1))),"min", MIN(INDIRECT(ADDRESS(51+3,K$2+1,,,"Instances") &amp; ":" &amp; ADDRESS(51+3,K$2+1))),"max", MAX(INDIRECT(ADDRESS(51+3,K$2+1,,,"Instances") &amp; ":" &amp; ADDRESS(51+3,K$2+1))),"diff", MAX(INDIRECT(ADDRESS(51+3,K$2+1,,,"Instances") &amp; ":" &amp; ADDRESS(51+3,K$2+1)))-MIN(INDIRECT(ADDRESS(51+3,K$2+1,,,"Instances") &amp; ":" &amp; ADDRESS(51+3,K$2+1))))</f>
        <v>#N/A</v>
      </c>
      <c r="L56" s="0" t="str">
        <f aca="false">IFERROR(SMALL(K5:K364,ROW()-ROW($L$5)+1),"")</f>
        <v/>
      </c>
      <c r="N56" s="0" t="n">
        <f aca="false">IFERROR(SUM(L5:L56),"")</f>
        <v>0</v>
      </c>
      <c r="Q56" s="0" t="e">
        <f aca="false">IF(Charts!$B$3="none",E1863,IF(K1863="",NA(),K1863))</f>
        <v>#N/A</v>
      </c>
      <c r="R56" s="0" t="e">
        <f aca="false">IF(Charts!$B$3="none",F1863,IF(L1863="",NA(),L1863))</f>
        <v>#N/A</v>
      </c>
      <c r="S56" s="0" t="e">
        <f aca="false">IF(Charts!$B$3="none",G1863,IF(M1863="",NA(),M1863))</f>
        <v>#N/A</v>
      </c>
      <c r="T56" s="0" t="e">
        <f aca="false">IF(Charts!$B$3="none",H1863,IF(N1863="",NA(),N1863))</f>
        <v>#N/A</v>
      </c>
    </row>
    <row r="57" customFormat="false" ht="15" hidden="false" customHeight="false" outlineLevel="0" collapsed="false">
      <c r="D57" s="0" t="n">
        <v>53</v>
      </c>
      <c r="E57" s="0" t="str">
        <f aca="true">IF(INDIRECT(ADDRESS($D57+2,E$2+1,,,"Instances"))="","",INDIRECT(ADDRESS($D57+2,E$2+1,,,"Instances")))</f>
        <v>Level_1/4-0101011</v>
      </c>
      <c r="F57" s="0" t="str">
        <f aca="false">IFERROR(SMALL(E5:E364,ROW()-ROW($F$5)+1),"")</f>
        <v/>
      </c>
      <c r="H57" s="0" t="n">
        <f aca="false">IFERROR(SUM(F5:F57),"")</f>
        <v>0</v>
      </c>
      <c r="J57" s="0" t="n">
        <v>53</v>
      </c>
      <c r="K57" s="0" t="e">
        <f aca="true" t="array" ref="K57:K57">_xlfn.SWITCH(Charts!$B$3,"average", AVERAGE(INDIRECT(ADDRESS(52+3,K$2+1,,,"Instances") &amp; ":" &amp; ADDRESS(52+3,K$2+1))),"median", MEDIAN(INDIRECT(ADDRESS(52+3,K$2+1,,,"Instances") &amp; ":" &amp; ADDRESS(52+3,K$2+1))),"min", MIN(INDIRECT(ADDRESS(52+3,K$2+1,,,"Instances") &amp; ":" &amp; ADDRESS(52+3,K$2+1))),"max", MAX(INDIRECT(ADDRESS(52+3,K$2+1,,,"Instances") &amp; ":" &amp; ADDRESS(52+3,K$2+1))),"diff", MAX(INDIRECT(ADDRESS(52+3,K$2+1,,,"Instances") &amp; ":" &amp; ADDRESS(52+3,K$2+1)))-MIN(INDIRECT(ADDRESS(52+3,K$2+1,,,"Instances") &amp; ":" &amp; ADDRESS(52+3,K$2+1))))</f>
        <v>#N/A</v>
      </c>
      <c r="L57" s="0" t="str">
        <f aca="false">IFERROR(SMALL(K5:K364,ROW()-ROW($L$5)+1),"")</f>
        <v/>
      </c>
      <c r="N57" s="0" t="n">
        <f aca="false">IFERROR(SUM(L5:L57),"")</f>
        <v>0</v>
      </c>
      <c r="Q57" s="0" t="e">
        <f aca="false">IF(Charts!$B$3="none",E1864,IF(K1864="",NA(),K1864))</f>
        <v>#N/A</v>
      </c>
      <c r="R57" s="0" t="e">
        <f aca="false">IF(Charts!$B$3="none",F1864,IF(L1864="",NA(),L1864))</f>
        <v>#N/A</v>
      </c>
      <c r="S57" s="0" t="e">
        <f aca="false">IF(Charts!$B$3="none",G1864,IF(M1864="",NA(),M1864))</f>
        <v>#N/A</v>
      </c>
      <c r="T57" s="0" t="e">
        <f aca="false">IF(Charts!$B$3="none",H1864,IF(N1864="",NA(),N1864))</f>
        <v>#N/A</v>
      </c>
    </row>
    <row r="58" customFormat="false" ht="15" hidden="false" customHeight="false" outlineLevel="0" collapsed="false">
      <c r="D58" s="0" t="n">
        <v>54</v>
      </c>
      <c r="E58" s="0" t="str">
        <f aca="true">IF(INDIRECT(ADDRESS($D58+2,E$2+1,,,"Instances"))="","",INDIRECT(ADDRESS($D58+2,E$2+1,,,"Instances")))</f>
        <v>Level_1/4-0111001</v>
      </c>
      <c r="F58" s="0" t="str">
        <f aca="false">IFERROR(SMALL(E5:E364,ROW()-ROW($F$5)+1),"")</f>
        <v/>
      </c>
      <c r="H58" s="0" t="n">
        <f aca="false">IFERROR(SUM(F5:F58),"")</f>
        <v>0</v>
      </c>
      <c r="J58" s="0" t="n">
        <v>54</v>
      </c>
      <c r="K58" s="0" t="e">
        <f aca="true" t="array" ref="K58:K58">_xlfn.SWITCH(Charts!$B$3,"average", AVERAGE(INDIRECT(ADDRESS(53+3,K$2+1,,,"Instances") &amp; ":" &amp; ADDRESS(53+3,K$2+1))),"median", MEDIAN(INDIRECT(ADDRESS(53+3,K$2+1,,,"Instances") &amp; ":" &amp; ADDRESS(53+3,K$2+1))),"min", MIN(INDIRECT(ADDRESS(53+3,K$2+1,,,"Instances") &amp; ":" &amp; ADDRESS(53+3,K$2+1))),"max", MAX(INDIRECT(ADDRESS(53+3,K$2+1,,,"Instances") &amp; ":" &amp; ADDRESS(53+3,K$2+1))),"diff", MAX(INDIRECT(ADDRESS(53+3,K$2+1,,,"Instances") &amp; ":" &amp; ADDRESS(53+3,K$2+1)))-MIN(INDIRECT(ADDRESS(53+3,K$2+1,,,"Instances") &amp; ":" &amp; ADDRESS(53+3,K$2+1))))</f>
        <v>#N/A</v>
      </c>
      <c r="L58" s="0" t="str">
        <f aca="false">IFERROR(SMALL(K5:K364,ROW()-ROW($L$5)+1),"")</f>
        <v/>
      </c>
      <c r="N58" s="0" t="n">
        <f aca="false">IFERROR(SUM(L5:L58),"")</f>
        <v>0</v>
      </c>
      <c r="Q58" s="0" t="e">
        <f aca="false">IF(Charts!$B$3="none",E1865,IF(K1865="",NA(),K1865))</f>
        <v>#N/A</v>
      </c>
      <c r="R58" s="0" t="e">
        <f aca="false">IF(Charts!$B$3="none",F1865,IF(L1865="",NA(),L1865))</f>
        <v>#N/A</v>
      </c>
      <c r="S58" s="0" t="e">
        <f aca="false">IF(Charts!$B$3="none",G1865,IF(M1865="",NA(),M1865))</f>
        <v>#N/A</v>
      </c>
      <c r="T58" s="0" t="e">
        <f aca="false">IF(Charts!$B$3="none",H1865,IF(N1865="",NA(),N1865))</f>
        <v>#N/A</v>
      </c>
    </row>
    <row r="59" customFormat="false" ht="15" hidden="false" customHeight="false" outlineLevel="0" collapsed="false">
      <c r="D59" s="0" t="n">
        <v>55</v>
      </c>
      <c r="E59" s="0" t="str">
        <f aca="true">IF(INDIRECT(ADDRESS($D59+2,E$2+1,,,"Instances"))="","",INDIRECT(ADDRESS($D59+2,E$2+1,,,"Instances")))</f>
        <v>Level_1/4-1001110</v>
      </c>
      <c r="F59" s="0" t="str">
        <f aca="false">IFERROR(SMALL(E5:E364,ROW()-ROW($F$5)+1),"")</f>
        <v/>
      </c>
      <c r="H59" s="0" t="n">
        <f aca="false">IFERROR(SUM(F5:F59),"")</f>
        <v>0</v>
      </c>
      <c r="J59" s="0" t="n">
        <v>55</v>
      </c>
      <c r="K59" s="0" t="e">
        <f aca="true" t="array" ref="K59:K59">_xlfn.SWITCH(Charts!$B$3,"average", AVERAGE(INDIRECT(ADDRESS(54+3,K$2+1,,,"Instances") &amp; ":" &amp; ADDRESS(54+3,K$2+1))),"median", MEDIAN(INDIRECT(ADDRESS(54+3,K$2+1,,,"Instances") &amp; ":" &amp; ADDRESS(54+3,K$2+1))),"min", MIN(INDIRECT(ADDRESS(54+3,K$2+1,,,"Instances") &amp; ":" &amp; ADDRESS(54+3,K$2+1))),"max", MAX(INDIRECT(ADDRESS(54+3,K$2+1,,,"Instances") &amp; ":" &amp; ADDRESS(54+3,K$2+1))),"diff", MAX(INDIRECT(ADDRESS(54+3,K$2+1,,,"Instances") &amp; ":" &amp; ADDRESS(54+3,K$2+1)))-MIN(INDIRECT(ADDRESS(54+3,K$2+1,,,"Instances") &amp; ":" &amp; ADDRESS(54+3,K$2+1))))</f>
        <v>#N/A</v>
      </c>
      <c r="L59" s="0" t="str">
        <f aca="false">IFERROR(SMALL(K5:K364,ROW()-ROW($L$5)+1),"")</f>
        <v/>
      </c>
      <c r="N59" s="0" t="n">
        <f aca="false">IFERROR(SUM(L5:L59),"")</f>
        <v>0</v>
      </c>
      <c r="Q59" s="0" t="e">
        <f aca="false">IF(Charts!$B$3="none",E1866,IF(K1866="",NA(),K1866))</f>
        <v>#N/A</v>
      </c>
      <c r="R59" s="0" t="e">
        <f aca="false">IF(Charts!$B$3="none",F1866,IF(L1866="",NA(),L1866))</f>
        <v>#N/A</v>
      </c>
      <c r="S59" s="0" t="e">
        <f aca="false">IF(Charts!$B$3="none",G1866,IF(M1866="",NA(),M1866))</f>
        <v>#N/A</v>
      </c>
      <c r="T59" s="0" t="e">
        <f aca="false">IF(Charts!$B$3="none",H1866,IF(N1866="",NA(),N1866))</f>
        <v>#N/A</v>
      </c>
    </row>
    <row r="60" customFormat="false" ht="15" hidden="false" customHeight="false" outlineLevel="0" collapsed="false">
      <c r="D60" s="0" t="n">
        <v>56</v>
      </c>
      <c r="E60" s="0" t="str">
        <f aca="true">IF(INDIRECT(ADDRESS($D60+2,E$2+1,,,"Instances"))="","",INDIRECT(ADDRESS($D60+2,E$2+1,,,"Instances")))</f>
        <v>Level_1/4-1010011</v>
      </c>
      <c r="F60" s="0" t="str">
        <f aca="false">IFERROR(SMALL(E5:E364,ROW()-ROW($F$5)+1),"")</f>
        <v/>
      </c>
      <c r="H60" s="0" t="n">
        <f aca="false">IFERROR(SUM(F5:F60),"")</f>
        <v>0</v>
      </c>
      <c r="J60" s="0" t="n">
        <v>56</v>
      </c>
      <c r="K60" s="0" t="e">
        <f aca="true" t="array" ref="K60:K60">_xlfn.SWITCH(Charts!$B$3,"average", AVERAGE(INDIRECT(ADDRESS(55+3,K$2+1,,,"Instances") &amp; ":" &amp; ADDRESS(55+3,K$2+1))),"median", MEDIAN(INDIRECT(ADDRESS(55+3,K$2+1,,,"Instances") &amp; ":" &amp; ADDRESS(55+3,K$2+1))),"min", MIN(INDIRECT(ADDRESS(55+3,K$2+1,,,"Instances") &amp; ":" &amp; ADDRESS(55+3,K$2+1))),"max", MAX(INDIRECT(ADDRESS(55+3,K$2+1,,,"Instances") &amp; ":" &amp; ADDRESS(55+3,K$2+1))),"diff", MAX(INDIRECT(ADDRESS(55+3,K$2+1,,,"Instances") &amp; ":" &amp; ADDRESS(55+3,K$2+1)))-MIN(INDIRECT(ADDRESS(55+3,K$2+1,,,"Instances") &amp; ":" &amp; ADDRESS(55+3,K$2+1))))</f>
        <v>#N/A</v>
      </c>
      <c r="L60" s="0" t="str">
        <f aca="false">IFERROR(SMALL(K5:K364,ROW()-ROW($L$5)+1),"")</f>
        <v/>
      </c>
      <c r="N60" s="0" t="n">
        <f aca="false">IFERROR(SUM(L5:L60),"")</f>
        <v>0</v>
      </c>
      <c r="Q60" s="0" t="e">
        <f aca="false">IF(Charts!$B$3="none",E1867,IF(K1867="",NA(),K1867))</f>
        <v>#N/A</v>
      </c>
      <c r="R60" s="0" t="e">
        <f aca="false">IF(Charts!$B$3="none",F1867,IF(L1867="",NA(),L1867))</f>
        <v>#N/A</v>
      </c>
      <c r="S60" s="0" t="e">
        <f aca="false">IF(Charts!$B$3="none",G1867,IF(M1867="",NA(),M1867))</f>
        <v>#N/A</v>
      </c>
      <c r="T60" s="0" t="e">
        <f aca="false">IF(Charts!$B$3="none",H1867,IF(N1867="",NA(),N1867))</f>
        <v>#N/A</v>
      </c>
    </row>
    <row r="61" customFormat="false" ht="15" hidden="false" customHeight="false" outlineLevel="0" collapsed="false">
      <c r="D61" s="0" t="n">
        <v>57</v>
      </c>
      <c r="E61" s="0" t="str">
        <f aca="true">IF(INDIRECT(ADDRESS($D61+2,E$2+1,,,"Instances"))="","",INDIRECT(ADDRESS($D61+2,E$2+1,,,"Instances")))</f>
        <v>Level_1/4-1011010</v>
      </c>
      <c r="F61" s="0" t="str">
        <f aca="false">IFERROR(SMALL(E5:E364,ROW()-ROW($F$5)+1),"")</f>
        <v/>
      </c>
      <c r="H61" s="0" t="n">
        <f aca="false">IFERROR(SUM(F5:F61),"")</f>
        <v>0</v>
      </c>
      <c r="J61" s="0" t="n">
        <v>57</v>
      </c>
      <c r="K61" s="0" t="e">
        <f aca="true" t="array" ref="K61:K61">_xlfn.SWITCH(Charts!$B$3,"average", AVERAGE(INDIRECT(ADDRESS(56+3,K$2+1,,,"Instances") &amp; ":" &amp; ADDRESS(56+3,K$2+1))),"median", MEDIAN(INDIRECT(ADDRESS(56+3,K$2+1,,,"Instances") &amp; ":" &amp; ADDRESS(56+3,K$2+1))),"min", MIN(INDIRECT(ADDRESS(56+3,K$2+1,,,"Instances") &amp; ":" &amp; ADDRESS(56+3,K$2+1))),"max", MAX(INDIRECT(ADDRESS(56+3,K$2+1,,,"Instances") &amp; ":" &amp; ADDRESS(56+3,K$2+1))),"diff", MAX(INDIRECT(ADDRESS(56+3,K$2+1,,,"Instances") &amp; ":" &amp; ADDRESS(56+3,K$2+1)))-MIN(INDIRECT(ADDRESS(56+3,K$2+1,,,"Instances") &amp; ":" &amp; ADDRESS(56+3,K$2+1))))</f>
        <v>#N/A</v>
      </c>
      <c r="L61" s="0" t="str">
        <f aca="false">IFERROR(SMALL(K5:K364,ROW()-ROW($L$5)+1),"")</f>
        <v/>
      </c>
      <c r="N61" s="0" t="n">
        <f aca="false">IFERROR(SUM(L5:L61),"")</f>
        <v>0</v>
      </c>
      <c r="Q61" s="0" t="e">
        <f aca="false">IF(Charts!$B$3="none",E1868,IF(K1868="",NA(),K1868))</f>
        <v>#N/A</v>
      </c>
      <c r="R61" s="0" t="e">
        <f aca="false">IF(Charts!$B$3="none",F1868,IF(L1868="",NA(),L1868))</f>
        <v>#N/A</v>
      </c>
      <c r="S61" s="0" t="e">
        <f aca="false">IF(Charts!$B$3="none",G1868,IF(M1868="",NA(),M1868))</f>
        <v>#N/A</v>
      </c>
      <c r="T61" s="0" t="e">
        <f aca="false">IF(Charts!$B$3="none",H1868,IF(N1868="",NA(),N1868))</f>
        <v>#N/A</v>
      </c>
    </row>
    <row r="62" customFormat="false" ht="15" hidden="false" customHeight="false" outlineLevel="0" collapsed="false">
      <c r="D62" s="0" t="n">
        <v>58</v>
      </c>
      <c r="E62" s="0" t="str">
        <f aca="true">IF(INDIRECT(ADDRESS($D62+2,E$2+1,,,"Instances"))="","",INDIRECT(ADDRESS($D62+2,E$2+1,,,"Instances")))</f>
        <v>Level_1/5-1001111</v>
      </c>
      <c r="F62" s="0" t="str">
        <f aca="false">IFERROR(SMALL(E5:E364,ROW()-ROW($F$5)+1),"")</f>
        <v/>
      </c>
      <c r="H62" s="0" t="n">
        <f aca="false">IFERROR(SUM(F5:F62),"")</f>
        <v>0</v>
      </c>
      <c r="J62" s="0" t="n">
        <v>58</v>
      </c>
      <c r="K62" s="0" t="e">
        <f aca="true" t="array" ref="K62:K62">_xlfn.SWITCH(Charts!$B$3,"average", AVERAGE(INDIRECT(ADDRESS(57+3,K$2+1,,,"Instances") &amp; ":" &amp; ADDRESS(57+3,K$2+1))),"median", MEDIAN(INDIRECT(ADDRESS(57+3,K$2+1,,,"Instances") &amp; ":" &amp; ADDRESS(57+3,K$2+1))),"min", MIN(INDIRECT(ADDRESS(57+3,K$2+1,,,"Instances") &amp; ":" &amp; ADDRESS(57+3,K$2+1))),"max", MAX(INDIRECT(ADDRESS(57+3,K$2+1,,,"Instances") &amp; ":" &amp; ADDRESS(57+3,K$2+1))),"diff", MAX(INDIRECT(ADDRESS(57+3,K$2+1,,,"Instances") &amp; ":" &amp; ADDRESS(57+3,K$2+1)))-MIN(INDIRECT(ADDRESS(57+3,K$2+1,,,"Instances") &amp; ":" &amp; ADDRESS(57+3,K$2+1))))</f>
        <v>#N/A</v>
      </c>
      <c r="L62" s="0" t="str">
        <f aca="false">IFERROR(SMALL(K5:K364,ROW()-ROW($L$5)+1),"")</f>
        <v/>
      </c>
      <c r="N62" s="0" t="n">
        <f aca="false">IFERROR(SUM(L5:L62),"")</f>
        <v>0</v>
      </c>
      <c r="Q62" s="0" t="e">
        <f aca="false">IF(Charts!$B$3="none",E1869,IF(K1869="",NA(),K1869))</f>
        <v>#N/A</v>
      </c>
      <c r="R62" s="0" t="e">
        <f aca="false">IF(Charts!$B$3="none",F1869,IF(L1869="",NA(),L1869))</f>
        <v>#N/A</v>
      </c>
      <c r="S62" s="0" t="e">
        <f aca="false">IF(Charts!$B$3="none",G1869,IF(M1869="",NA(),M1869))</f>
        <v>#N/A</v>
      </c>
      <c r="T62" s="0" t="e">
        <f aca="false">IF(Charts!$B$3="none",H1869,IF(N1869="",NA(),N1869))</f>
        <v>#N/A</v>
      </c>
    </row>
    <row r="63" customFormat="false" ht="15" hidden="false" customHeight="false" outlineLevel="0" collapsed="false">
      <c r="D63" s="0" t="n">
        <v>59</v>
      </c>
      <c r="E63" s="0" t="str">
        <f aca="true">IF(INDIRECT(ADDRESS($D63+2,E$2+1,,,"Instances"))="","",INDIRECT(ADDRESS($D63+2,E$2+1,,,"Instances")))</f>
        <v>Level_1/5-1011101</v>
      </c>
      <c r="F63" s="0" t="str">
        <f aca="false">IFERROR(SMALL(E5:E364,ROW()-ROW($F$5)+1),"")</f>
        <v/>
      </c>
      <c r="H63" s="0" t="n">
        <f aca="false">IFERROR(SUM(F5:F63),"")</f>
        <v>0</v>
      </c>
      <c r="J63" s="0" t="n">
        <v>59</v>
      </c>
      <c r="K63" s="0" t="e">
        <f aca="true" t="array" ref="K63:K63">_xlfn.SWITCH(Charts!$B$3,"average", AVERAGE(INDIRECT(ADDRESS(58+3,K$2+1,,,"Instances") &amp; ":" &amp; ADDRESS(58+3,K$2+1))),"median", MEDIAN(INDIRECT(ADDRESS(58+3,K$2+1,,,"Instances") &amp; ":" &amp; ADDRESS(58+3,K$2+1))),"min", MIN(INDIRECT(ADDRESS(58+3,K$2+1,,,"Instances") &amp; ":" &amp; ADDRESS(58+3,K$2+1))),"max", MAX(INDIRECT(ADDRESS(58+3,K$2+1,,,"Instances") &amp; ":" &amp; ADDRESS(58+3,K$2+1))),"diff", MAX(INDIRECT(ADDRESS(58+3,K$2+1,,,"Instances") &amp; ":" &amp; ADDRESS(58+3,K$2+1)))-MIN(INDIRECT(ADDRESS(58+3,K$2+1,,,"Instances") &amp; ":" &amp; ADDRESS(58+3,K$2+1))))</f>
        <v>#N/A</v>
      </c>
      <c r="L63" s="0" t="str">
        <f aca="false">IFERROR(SMALL(K5:K364,ROW()-ROW($L$5)+1),"")</f>
        <v/>
      </c>
      <c r="N63" s="0" t="n">
        <f aca="false">IFERROR(SUM(L5:L63),"")</f>
        <v>0</v>
      </c>
      <c r="Q63" s="0" t="e">
        <f aca="false">IF(Charts!$B$3="none",E1870,IF(K1870="",NA(),K1870))</f>
        <v>#N/A</v>
      </c>
      <c r="R63" s="0" t="e">
        <f aca="false">IF(Charts!$B$3="none",F1870,IF(L1870="",NA(),L1870))</f>
        <v>#N/A</v>
      </c>
      <c r="S63" s="0" t="e">
        <f aca="false">IF(Charts!$B$3="none",G1870,IF(M1870="",NA(),M1870))</f>
        <v>#N/A</v>
      </c>
      <c r="T63" s="0" t="e">
        <f aca="false">IF(Charts!$B$3="none",H1870,IF(N1870="",NA(),N1870))</f>
        <v>#N/A</v>
      </c>
    </row>
    <row r="64" customFormat="false" ht="15" hidden="false" customHeight="false" outlineLevel="0" collapsed="false">
      <c r="D64" s="0" t="n">
        <v>60</v>
      </c>
      <c r="E64" s="0" t="str">
        <f aca="true">IF(INDIRECT(ADDRESS($D64+2,E$2+1,,,"Instances"))="","",INDIRECT(ADDRESS($D64+2,E$2+1,,,"Instances")))</f>
        <v>Level_1/5-1011110</v>
      </c>
      <c r="F64" s="0" t="str">
        <f aca="false">IFERROR(SMALL(E5:E364,ROW()-ROW($F$5)+1),"")</f>
        <v/>
      </c>
      <c r="H64" s="0" t="n">
        <f aca="false">IFERROR(SUM(F5:F64),"")</f>
        <v>0</v>
      </c>
      <c r="J64" s="0" t="n">
        <v>60</v>
      </c>
      <c r="K64" s="0" t="e">
        <f aca="true" t="array" ref="K64:K64">_xlfn.SWITCH(Charts!$B$3,"average", AVERAGE(INDIRECT(ADDRESS(59+3,K$2+1,,,"Instances") &amp; ":" &amp; ADDRESS(59+3,K$2+1))),"median", MEDIAN(INDIRECT(ADDRESS(59+3,K$2+1,,,"Instances") &amp; ":" &amp; ADDRESS(59+3,K$2+1))),"min", MIN(INDIRECT(ADDRESS(59+3,K$2+1,,,"Instances") &amp; ":" &amp; ADDRESS(59+3,K$2+1))),"max", MAX(INDIRECT(ADDRESS(59+3,K$2+1,,,"Instances") &amp; ":" &amp; ADDRESS(59+3,K$2+1))),"diff", MAX(INDIRECT(ADDRESS(59+3,K$2+1,,,"Instances") &amp; ":" &amp; ADDRESS(59+3,K$2+1)))-MIN(INDIRECT(ADDRESS(59+3,K$2+1,,,"Instances") &amp; ":" &amp; ADDRESS(59+3,K$2+1))))</f>
        <v>#N/A</v>
      </c>
      <c r="L64" s="0" t="str">
        <f aca="false">IFERROR(SMALL(K5:K364,ROW()-ROW($L$5)+1),"")</f>
        <v/>
      </c>
      <c r="N64" s="0" t="n">
        <f aca="false">IFERROR(SUM(L5:L64),"")</f>
        <v>0</v>
      </c>
      <c r="Q64" s="0" t="e">
        <f aca="false">IF(Charts!$B$3="none",E1871,IF(K1871="",NA(),K1871))</f>
        <v>#N/A</v>
      </c>
      <c r="R64" s="0" t="e">
        <f aca="false">IF(Charts!$B$3="none",F1871,IF(L1871="",NA(),L1871))</f>
        <v>#N/A</v>
      </c>
      <c r="S64" s="0" t="e">
        <f aca="false">IF(Charts!$B$3="none",G1871,IF(M1871="",NA(),M1871))</f>
        <v>#N/A</v>
      </c>
      <c r="T64" s="0" t="e">
        <f aca="false">IF(Charts!$B$3="none",H1871,IF(N1871="",NA(),N1871))</f>
        <v>#N/A</v>
      </c>
    </row>
    <row r="65" customFormat="false" ht="15" hidden="false" customHeight="false" outlineLevel="0" collapsed="false">
      <c r="D65" s="0" t="n">
        <v>61</v>
      </c>
      <c r="E65" s="0" t="str">
        <f aca="true">IF(INDIRECT(ADDRESS($D65+2,E$2+1,,,"Instances"))="","",INDIRECT(ADDRESS($D65+2,E$2+1,,,"Instances")))</f>
        <v>Level_1/5-1101101</v>
      </c>
      <c r="F65" s="0" t="str">
        <f aca="false">IFERROR(SMALL(E5:E364,ROW()-ROW($F$5)+1),"")</f>
        <v/>
      </c>
      <c r="H65" s="0" t="n">
        <f aca="false">IFERROR(SUM(F5:F65),"")</f>
        <v>0</v>
      </c>
      <c r="J65" s="0" t="n">
        <v>61</v>
      </c>
      <c r="K65" s="0" t="e">
        <f aca="true" t="array" ref="K65:K65">_xlfn.SWITCH(Charts!$B$3,"average", AVERAGE(INDIRECT(ADDRESS(60+3,K$2+1,,,"Instances") &amp; ":" &amp; ADDRESS(60+3,K$2+1))),"median", MEDIAN(INDIRECT(ADDRESS(60+3,K$2+1,,,"Instances") &amp; ":" &amp; ADDRESS(60+3,K$2+1))),"min", MIN(INDIRECT(ADDRESS(60+3,K$2+1,,,"Instances") &amp; ":" &amp; ADDRESS(60+3,K$2+1))),"max", MAX(INDIRECT(ADDRESS(60+3,K$2+1,,,"Instances") &amp; ":" &amp; ADDRESS(60+3,K$2+1))),"diff", MAX(INDIRECT(ADDRESS(60+3,K$2+1,,,"Instances") &amp; ":" &amp; ADDRESS(60+3,K$2+1)))-MIN(INDIRECT(ADDRESS(60+3,K$2+1,,,"Instances") &amp; ":" &amp; ADDRESS(60+3,K$2+1))))</f>
        <v>#N/A</v>
      </c>
      <c r="L65" s="0" t="str">
        <f aca="false">IFERROR(SMALL(K5:K364,ROW()-ROW($L$5)+1),"")</f>
        <v/>
      </c>
      <c r="N65" s="0" t="n">
        <f aca="false">IFERROR(SUM(L5:L65),"")</f>
        <v>0</v>
      </c>
      <c r="Q65" s="0" t="e">
        <f aca="false">IF(Charts!$B$3="none",E1872,IF(K1872="",NA(),K1872))</f>
        <v>#N/A</v>
      </c>
      <c r="R65" s="0" t="e">
        <f aca="false">IF(Charts!$B$3="none",F1872,IF(L1872="",NA(),L1872))</f>
        <v>#N/A</v>
      </c>
      <c r="S65" s="0" t="e">
        <f aca="false">IF(Charts!$B$3="none",G1872,IF(M1872="",NA(),M1872))</f>
        <v>#N/A</v>
      </c>
      <c r="T65" s="0" t="e">
        <f aca="false">IF(Charts!$B$3="none",H1872,IF(N1872="",NA(),N1872))</f>
        <v>#N/A</v>
      </c>
    </row>
    <row r="66" customFormat="false" ht="15" hidden="false" customHeight="false" outlineLevel="0" collapsed="false">
      <c r="D66" s="0" t="n">
        <v>62</v>
      </c>
      <c r="E66" s="0" t="str">
        <f aca="true">IF(INDIRECT(ADDRESS($D66+2,E$2+1,,,"Instances"))="","",INDIRECT(ADDRESS($D66+2,E$2+1,,,"Instances")))</f>
        <v>Level_1/5-1101110</v>
      </c>
      <c r="F66" s="0" t="str">
        <f aca="false">IFERROR(SMALL(E5:E364,ROW()-ROW($F$5)+1),"")</f>
        <v/>
      </c>
      <c r="H66" s="0" t="n">
        <f aca="false">IFERROR(SUM(F5:F66),"")</f>
        <v>0</v>
      </c>
      <c r="J66" s="0" t="n">
        <v>62</v>
      </c>
      <c r="K66" s="0" t="e">
        <f aca="true" t="array" ref="K66:K66">_xlfn.SWITCH(Charts!$B$3,"average", AVERAGE(INDIRECT(ADDRESS(61+3,K$2+1,,,"Instances") &amp; ":" &amp; ADDRESS(61+3,K$2+1))),"median", MEDIAN(INDIRECT(ADDRESS(61+3,K$2+1,,,"Instances") &amp; ":" &amp; ADDRESS(61+3,K$2+1))),"min", MIN(INDIRECT(ADDRESS(61+3,K$2+1,,,"Instances") &amp; ":" &amp; ADDRESS(61+3,K$2+1))),"max", MAX(INDIRECT(ADDRESS(61+3,K$2+1,,,"Instances") &amp; ":" &amp; ADDRESS(61+3,K$2+1))),"diff", MAX(INDIRECT(ADDRESS(61+3,K$2+1,,,"Instances") &amp; ":" &amp; ADDRESS(61+3,K$2+1)))-MIN(INDIRECT(ADDRESS(61+3,K$2+1,,,"Instances") &amp; ":" &amp; ADDRESS(61+3,K$2+1))))</f>
        <v>#N/A</v>
      </c>
      <c r="L66" s="0" t="str">
        <f aca="false">IFERROR(SMALL(K5:K364,ROW()-ROW($L$5)+1),"")</f>
        <v/>
      </c>
      <c r="N66" s="0" t="n">
        <f aca="false">IFERROR(SUM(L5:L66),"")</f>
        <v>0</v>
      </c>
      <c r="Q66" s="0" t="e">
        <f aca="false">IF(Charts!$B$3="none",E1873,IF(K1873="",NA(),K1873))</f>
        <v>#N/A</v>
      </c>
      <c r="R66" s="0" t="e">
        <f aca="false">IF(Charts!$B$3="none",F1873,IF(L1873="",NA(),L1873))</f>
        <v>#N/A</v>
      </c>
      <c r="S66" s="0" t="e">
        <f aca="false">IF(Charts!$B$3="none",G1873,IF(M1873="",NA(),M1873))</f>
        <v>#N/A</v>
      </c>
      <c r="T66" s="0" t="e">
        <f aca="false">IF(Charts!$B$3="none",H1873,IF(N1873="",NA(),N1873))</f>
        <v>#N/A</v>
      </c>
    </row>
    <row r="67" customFormat="false" ht="15" hidden="false" customHeight="false" outlineLevel="0" collapsed="false">
      <c r="D67" s="0" t="n">
        <v>63</v>
      </c>
      <c r="E67" s="0" t="str">
        <f aca="true">IF(INDIRECT(ADDRESS($D67+2,E$2+1,,,"Instances"))="","",INDIRECT(ADDRESS($D67+2,E$2+1,,,"Instances")))</f>
        <v>Level_1/5-1110011</v>
      </c>
      <c r="F67" s="0" t="str">
        <f aca="false">IFERROR(SMALL(E5:E364,ROW()-ROW($F$5)+1),"")</f>
        <v/>
      </c>
      <c r="H67" s="0" t="n">
        <f aca="false">IFERROR(SUM(F5:F67),"")</f>
        <v>0</v>
      </c>
      <c r="J67" s="0" t="n">
        <v>63</v>
      </c>
      <c r="K67" s="0" t="e">
        <f aca="true" t="array" ref="K67:K67">_xlfn.SWITCH(Charts!$B$3,"average", AVERAGE(INDIRECT(ADDRESS(62+3,K$2+1,,,"Instances") &amp; ":" &amp; ADDRESS(62+3,K$2+1))),"median", MEDIAN(INDIRECT(ADDRESS(62+3,K$2+1,,,"Instances") &amp; ":" &amp; ADDRESS(62+3,K$2+1))),"min", MIN(INDIRECT(ADDRESS(62+3,K$2+1,,,"Instances") &amp; ":" &amp; ADDRESS(62+3,K$2+1))),"max", MAX(INDIRECT(ADDRESS(62+3,K$2+1,,,"Instances") &amp; ":" &amp; ADDRESS(62+3,K$2+1))),"diff", MAX(INDIRECT(ADDRESS(62+3,K$2+1,,,"Instances") &amp; ":" &amp; ADDRESS(62+3,K$2+1)))-MIN(INDIRECT(ADDRESS(62+3,K$2+1,,,"Instances") &amp; ":" &amp; ADDRESS(62+3,K$2+1))))</f>
        <v>#N/A</v>
      </c>
      <c r="L67" s="0" t="str">
        <f aca="false">IFERROR(SMALL(K5:K364,ROW()-ROW($L$5)+1),"")</f>
        <v/>
      </c>
      <c r="N67" s="0" t="n">
        <f aca="false">IFERROR(SUM(L5:L67),"")</f>
        <v>0</v>
      </c>
      <c r="Q67" s="0" t="e">
        <f aca="false">IF(Charts!$B$3="none",E1874,IF(K1874="",NA(),K1874))</f>
        <v>#N/A</v>
      </c>
      <c r="R67" s="0" t="e">
        <f aca="false">IF(Charts!$B$3="none",F1874,IF(L1874="",NA(),L1874))</f>
        <v>#N/A</v>
      </c>
      <c r="S67" s="0" t="e">
        <f aca="false">IF(Charts!$B$3="none",G1874,IF(M1874="",NA(),M1874))</f>
        <v>#N/A</v>
      </c>
      <c r="T67" s="0" t="e">
        <f aca="false">IF(Charts!$B$3="none",H1874,IF(N1874="",NA(),N1874))</f>
        <v>#N/A</v>
      </c>
    </row>
    <row r="68" customFormat="false" ht="15" hidden="false" customHeight="false" outlineLevel="0" collapsed="false">
      <c r="D68" s="0" t="n">
        <v>64</v>
      </c>
      <c r="E68" s="0" t="str">
        <f aca="true">IF(INDIRECT(ADDRESS($D68+2,E$2+1,,,"Instances"))="","",INDIRECT(ADDRESS($D68+2,E$2+1,,,"Instances")))</f>
        <v>Level_1/5-1110110</v>
      </c>
      <c r="F68" s="0" t="str">
        <f aca="false">IFERROR(SMALL(E5:E364,ROW()-ROW($F$5)+1),"")</f>
        <v/>
      </c>
      <c r="H68" s="0" t="n">
        <f aca="false">IFERROR(SUM(F5:F68),"")</f>
        <v>0</v>
      </c>
      <c r="J68" s="0" t="n">
        <v>64</v>
      </c>
      <c r="K68" s="0" t="e">
        <f aca="true" t="array" ref="K68:K68">_xlfn.SWITCH(Charts!$B$3,"average", AVERAGE(INDIRECT(ADDRESS(63+3,K$2+1,,,"Instances") &amp; ":" &amp; ADDRESS(63+3,K$2+1))),"median", MEDIAN(INDIRECT(ADDRESS(63+3,K$2+1,,,"Instances") &amp; ":" &amp; ADDRESS(63+3,K$2+1))),"min", MIN(INDIRECT(ADDRESS(63+3,K$2+1,,,"Instances") &amp; ":" &amp; ADDRESS(63+3,K$2+1))),"max", MAX(INDIRECT(ADDRESS(63+3,K$2+1,,,"Instances") &amp; ":" &amp; ADDRESS(63+3,K$2+1))),"diff", MAX(INDIRECT(ADDRESS(63+3,K$2+1,,,"Instances") &amp; ":" &amp; ADDRESS(63+3,K$2+1)))-MIN(INDIRECT(ADDRESS(63+3,K$2+1,,,"Instances") &amp; ":" &amp; ADDRESS(63+3,K$2+1))))</f>
        <v>#N/A</v>
      </c>
      <c r="L68" s="0" t="str">
        <f aca="false">IFERROR(SMALL(K5:K364,ROW()-ROW($L$5)+1),"")</f>
        <v/>
      </c>
      <c r="N68" s="0" t="n">
        <f aca="false">IFERROR(SUM(L5:L68),"")</f>
        <v>0</v>
      </c>
      <c r="Q68" s="0" t="e">
        <f aca="false">IF(Charts!$B$3="none",E1875,IF(K1875="",NA(),K1875))</f>
        <v>#N/A</v>
      </c>
      <c r="R68" s="0" t="e">
        <f aca="false">IF(Charts!$B$3="none",F1875,IF(L1875="",NA(),L1875))</f>
        <v>#N/A</v>
      </c>
      <c r="S68" s="0" t="e">
        <f aca="false">IF(Charts!$B$3="none",G1875,IF(M1875="",NA(),M1875))</f>
        <v>#N/A</v>
      </c>
      <c r="T68" s="0" t="e">
        <f aca="false">IF(Charts!$B$3="none",H1875,IF(N1875="",NA(),N1875))</f>
        <v>#N/A</v>
      </c>
    </row>
    <row r="69" customFormat="false" ht="15" hidden="false" customHeight="false" outlineLevel="0" collapsed="false">
      <c r="D69" s="0" t="n">
        <v>65</v>
      </c>
      <c r="E69" s="0" t="str">
        <f aca="true">IF(INDIRECT(ADDRESS($D69+2,E$2+1,,,"Instances"))="","",INDIRECT(ADDRESS($D69+2,E$2+1,,,"Instances")))</f>
        <v>Level_1/6-0111111</v>
      </c>
      <c r="F69" s="0" t="str">
        <f aca="false">IFERROR(SMALL(E5:E364,ROW()-ROW($F$5)+1),"")</f>
        <v/>
      </c>
      <c r="H69" s="0" t="n">
        <f aca="false">IFERROR(SUM(F5:F69),"")</f>
        <v>0</v>
      </c>
      <c r="J69" s="0" t="n">
        <v>65</v>
      </c>
      <c r="K69" s="0" t="e">
        <f aca="true" t="array" ref="K69:K69">_xlfn.SWITCH(Charts!$B$3,"average", AVERAGE(INDIRECT(ADDRESS(64+3,K$2+1,,,"Instances") &amp; ":" &amp; ADDRESS(64+3,K$2+1))),"median", MEDIAN(INDIRECT(ADDRESS(64+3,K$2+1,,,"Instances") &amp; ":" &amp; ADDRESS(64+3,K$2+1))),"min", MIN(INDIRECT(ADDRESS(64+3,K$2+1,,,"Instances") &amp; ":" &amp; ADDRESS(64+3,K$2+1))),"max", MAX(INDIRECT(ADDRESS(64+3,K$2+1,,,"Instances") &amp; ":" &amp; ADDRESS(64+3,K$2+1))),"diff", MAX(INDIRECT(ADDRESS(64+3,K$2+1,,,"Instances") &amp; ":" &amp; ADDRESS(64+3,K$2+1)))-MIN(INDIRECT(ADDRESS(64+3,K$2+1,,,"Instances") &amp; ":" &amp; ADDRESS(64+3,K$2+1))))</f>
        <v>#N/A</v>
      </c>
      <c r="L69" s="0" t="str">
        <f aca="false">IFERROR(SMALL(K5:K364,ROW()-ROW($L$5)+1),"")</f>
        <v/>
      </c>
      <c r="N69" s="0" t="n">
        <f aca="false">IFERROR(SUM(L5:L69),"")</f>
        <v>0</v>
      </c>
      <c r="Q69" s="0" t="e">
        <f aca="false">IF(Charts!$B$3="none",E1876,IF(K1876="",NA(),K1876))</f>
        <v>#N/A</v>
      </c>
      <c r="R69" s="0" t="e">
        <f aca="false">IF(Charts!$B$3="none",F1876,IF(L1876="",NA(),L1876))</f>
        <v>#N/A</v>
      </c>
      <c r="S69" s="0" t="e">
        <f aca="false">IF(Charts!$B$3="none",G1876,IF(M1876="",NA(),M1876))</f>
        <v>#N/A</v>
      </c>
      <c r="T69" s="0" t="e">
        <f aca="false">IF(Charts!$B$3="none",H1876,IF(N1876="",NA(),N1876))</f>
        <v>#N/A</v>
      </c>
    </row>
    <row r="70" customFormat="false" ht="15" hidden="false" customHeight="false" outlineLevel="0" collapsed="false">
      <c r="D70" s="0" t="n">
        <v>66</v>
      </c>
      <c r="E70" s="0" t="str">
        <f aca="true">IF(INDIRECT(ADDRESS($D70+2,E$2+1,,,"Instances"))="","",INDIRECT(ADDRESS($D70+2,E$2+1,,,"Instances")))</f>
        <v>Level_1/6-1011111</v>
      </c>
      <c r="F70" s="0" t="str">
        <f aca="false">IFERROR(SMALL(E5:E364,ROW()-ROW($F$5)+1),"")</f>
        <v/>
      </c>
      <c r="H70" s="0" t="n">
        <f aca="false">IFERROR(SUM(F5:F70),"")</f>
        <v>0</v>
      </c>
      <c r="J70" s="0" t="n">
        <v>66</v>
      </c>
      <c r="K70" s="0" t="e">
        <f aca="true" t="array" ref="K70:K70">_xlfn.SWITCH(Charts!$B$3,"average", AVERAGE(INDIRECT(ADDRESS(65+3,K$2+1,,,"Instances") &amp; ":" &amp; ADDRESS(65+3,K$2+1))),"median", MEDIAN(INDIRECT(ADDRESS(65+3,K$2+1,,,"Instances") &amp; ":" &amp; ADDRESS(65+3,K$2+1))),"min", MIN(INDIRECT(ADDRESS(65+3,K$2+1,,,"Instances") &amp; ":" &amp; ADDRESS(65+3,K$2+1))),"max", MAX(INDIRECT(ADDRESS(65+3,K$2+1,,,"Instances") &amp; ":" &amp; ADDRESS(65+3,K$2+1))),"diff", MAX(INDIRECT(ADDRESS(65+3,K$2+1,,,"Instances") &amp; ":" &amp; ADDRESS(65+3,K$2+1)))-MIN(INDIRECT(ADDRESS(65+3,K$2+1,,,"Instances") &amp; ":" &amp; ADDRESS(65+3,K$2+1))))</f>
        <v>#N/A</v>
      </c>
      <c r="L70" s="0" t="str">
        <f aca="false">IFERROR(SMALL(K5:K364,ROW()-ROW($L$5)+1),"")</f>
        <v/>
      </c>
      <c r="N70" s="0" t="n">
        <f aca="false">IFERROR(SUM(L5:L70),"")</f>
        <v>0</v>
      </c>
      <c r="Q70" s="0" t="e">
        <f aca="false">IF(Charts!$B$3="none",E1877,IF(K1877="",NA(),K1877))</f>
        <v>#N/A</v>
      </c>
      <c r="R70" s="0" t="e">
        <f aca="false">IF(Charts!$B$3="none",F1877,IF(L1877="",NA(),L1877))</f>
        <v>#N/A</v>
      </c>
      <c r="S70" s="0" t="e">
        <f aca="false">IF(Charts!$B$3="none",G1877,IF(M1877="",NA(),M1877))</f>
        <v>#N/A</v>
      </c>
      <c r="T70" s="0" t="e">
        <f aca="false">IF(Charts!$B$3="none",H1877,IF(N1877="",NA(),N1877))</f>
        <v>#N/A</v>
      </c>
    </row>
    <row r="71" customFormat="false" ht="15" hidden="false" customHeight="false" outlineLevel="0" collapsed="false">
      <c r="D71" s="0" t="n">
        <v>67</v>
      </c>
      <c r="E71" s="0" t="str">
        <f aca="true">IF(INDIRECT(ADDRESS($D71+2,E$2+1,,,"Instances"))="","",INDIRECT(ADDRESS($D71+2,E$2+1,,,"Instances")))</f>
        <v>Level_1/6-1101111</v>
      </c>
      <c r="F71" s="0" t="str">
        <f aca="false">IFERROR(SMALL(E5:E364,ROW()-ROW($F$5)+1),"")</f>
        <v/>
      </c>
      <c r="H71" s="0" t="n">
        <f aca="false">IFERROR(SUM(F5:F71),"")</f>
        <v>0</v>
      </c>
      <c r="J71" s="0" t="n">
        <v>67</v>
      </c>
      <c r="K71" s="0" t="e">
        <f aca="true" t="array" ref="K71:K71">_xlfn.SWITCH(Charts!$B$3,"average", AVERAGE(INDIRECT(ADDRESS(66+3,K$2+1,,,"Instances") &amp; ":" &amp; ADDRESS(66+3,K$2+1))),"median", MEDIAN(INDIRECT(ADDRESS(66+3,K$2+1,,,"Instances") &amp; ":" &amp; ADDRESS(66+3,K$2+1))),"min", MIN(INDIRECT(ADDRESS(66+3,K$2+1,,,"Instances") &amp; ":" &amp; ADDRESS(66+3,K$2+1))),"max", MAX(INDIRECT(ADDRESS(66+3,K$2+1,,,"Instances") &amp; ":" &amp; ADDRESS(66+3,K$2+1))),"diff", MAX(INDIRECT(ADDRESS(66+3,K$2+1,,,"Instances") &amp; ":" &amp; ADDRESS(66+3,K$2+1)))-MIN(INDIRECT(ADDRESS(66+3,K$2+1,,,"Instances") &amp; ":" &amp; ADDRESS(66+3,K$2+1))))</f>
        <v>#N/A</v>
      </c>
      <c r="L71" s="0" t="str">
        <f aca="false">IFERROR(SMALL(K5:K364,ROW()-ROW($L$5)+1),"")</f>
        <v/>
      </c>
      <c r="N71" s="0" t="n">
        <f aca="false">IFERROR(SUM(L5:L71),"")</f>
        <v>0</v>
      </c>
      <c r="Q71" s="0" t="e">
        <f aca="false">IF(Charts!$B$3="none",E1878,IF(K1878="",NA(),K1878))</f>
        <v>#N/A</v>
      </c>
      <c r="R71" s="0" t="e">
        <f aca="false">IF(Charts!$B$3="none",F1878,IF(L1878="",NA(),L1878))</f>
        <v>#N/A</v>
      </c>
      <c r="S71" s="0" t="e">
        <f aca="false">IF(Charts!$B$3="none",G1878,IF(M1878="",NA(),M1878))</f>
        <v>#N/A</v>
      </c>
      <c r="T71" s="0" t="e">
        <f aca="false">IF(Charts!$B$3="none",H1878,IF(N1878="",NA(),N1878))</f>
        <v>#N/A</v>
      </c>
    </row>
    <row r="72" customFormat="false" ht="15" hidden="false" customHeight="false" outlineLevel="0" collapsed="false">
      <c r="D72" s="0" t="n">
        <v>68</v>
      </c>
      <c r="E72" s="0" t="str">
        <f aca="true">IF(INDIRECT(ADDRESS($D72+2,E$2+1,,,"Instances"))="","",INDIRECT(ADDRESS($D72+2,E$2+1,,,"Instances")))</f>
        <v>Level_1/6-1110111</v>
      </c>
      <c r="F72" s="0" t="str">
        <f aca="false">IFERROR(SMALL(E5:E364,ROW()-ROW($F$5)+1),"")</f>
        <v/>
      </c>
      <c r="H72" s="0" t="n">
        <f aca="false">IFERROR(SUM(F5:F72),"")</f>
        <v>0</v>
      </c>
      <c r="J72" s="0" t="n">
        <v>68</v>
      </c>
      <c r="K72" s="0" t="e">
        <f aca="true" t="array" ref="K72:K72">_xlfn.SWITCH(Charts!$B$3,"average", AVERAGE(INDIRECT(ADDRESS(67+3,K$2+1,,,"Instances") &amp; ":" &amp; ADDRESS(67+3,K$2+1))),"median", MEDIAN(INDIRECT(ADDRESS(67+3,K$2+1,,,"Instances") &amp; ":" &amp; ADDRESS(67+3,K$2+1))),"min", MIN(INDIRECT(ADDRESS(67+3,K$2+1,,,"Instances") &amp; ":" &amp; ADDRESS(67+3,K$2+1))),"max", MAX(INDIRECT(ADDRESS(67+3,K$2+1,,,"Instances") &amp; ":" &amp; ADDRESS(67+3,K$2+1))),"diff", MAX(INDIRECT(ADDRESS(67+3,K$2+1,,,"Instances") &amp; ":" &amp; ADDRESS(67+3,K$2+1)))-MIN(INDIRECT(ADDRESS(67+3,K$2+1,,,"Instances") &amp; ":" &amp; ADDRESS(67+3,K$2+1))))</f>
        <v>#N/A</v>
      </c>
      <c r="L72" s="0" t="str">
        <f aca="false">IFERROR(SMALL(K5:K364,ROW()-ROW($L$5)+1),"")</f>
        <v/>
      </c>
      <c r="N72" s="0" t="n">
        <f aca="false">IFERROR(SUM(L5:L72),"")</f>
        <v>0</v>
      </c>
      <c r="Q72" s="0" t="e">
        <f aca="false">IF(Charts!$B$3="none",E1879,IF(K1879="",NA(),K1879))</f>
        <v>#N/A</v>
      </c>
      <c r="R72" s="0" t="e">
        <f aca="false">IF(Charts!$B$3="none",F1879,IF(L1879="",NA(),L1879))</f>
        <v>#N/A</v>
      </c>
      <c r="S72" s="0" t="e">
        <f aca="false">IF(Charts!$B$3="none",G1879,IF(M1879="",NA(),M1879))</f>
        <v>#N/A</v>
      </c>
      <c r="T72" s="0" t="e">
        <f aca="false">IF(Charts!$B$3="none",H1879,IF(N1879="",NA(),N1879))</f>
        <v>#N/A</v>
      </c>
    </row>
    <row r="73" customFormat="false" ht="15" hidden="false" customHeight="false" outlineLevel="0" collapsed="false">
      <c r="D73" s="0" t="n">
        <v>69</v>
      </c>
      <c r="E73" s="0" t="str">
        <f aca="true">IF(INDIRECT(ADDRESS($D73+2,E$2+1,,,"Instances"))="","",INDIRECT(ADDRESS($D73+2,E$2+1,,,"Instances")))</f>
        <v>Level_1/6-1111011</v>
      </c>
      <c r="F73" s="0" t="str">
        <f aca="false">IFERROR(SMALL(E5:E364,ROW()-ROW($F$5)+1),"")</f>
        <v/>
      </c>
      <c r="H73" s="0" t="n">
        <f aca="false">IFERROR(SUM(F5:F73),"")</f>
        <v>0</v>
      </c>
      <c r="J73" s="0" t="n">
        <v>69</v>
      </c>
      <c r="K73" s="0" t="e">
        <f aca="true" t="array" ref="K73:K73">_xlfn.SWITCH(Charts!$B$3,"average", AVERAGE(INDIRECT(ADDRESS(68+3,K$2+1,,,"Instances") &amp; ":" &amp; ADDRESS(68+3,K$2+1))),"median", MEDIAN(INDIRECT(ADDRESS(68+3,K$2+1,,,"Instances") &amp; ":" &amp; ADDRESS(68+3,K$2+1))),"min", MIN(INDIRECT(ADDRESS(68+3,K$2+1,,,"Instances") &amp; ":" &amp; ADDRESS(68+3,K$2+1))),"max", MAX(INDIRECT(ADDRESS(68+3,K$2+1,,,"Instances") &amp; ":" &amp; ADDRESS(68+3,K$2+1))),"diff", MAX(INDIRECT(ADDRESS(68+3,K$2+1,,,"Instances") &amp; ":" &amp; ADDRESS(68+3,K$2+1)))-MIN(INDIRECT(ADDRESS(68+3,K$2+1,,,"Instances") &amp; ":" &amp; ADDRESS(68+3,K$2+1))))</f>
        <v>#N/A</v>
      </c>
      <c r="L73" s="0" t="str">
        <f aca="false">IFERROR(SMALL(K5:K364,ROW()-ROW($L$5)+1),"")</f>
        <v/>
      </c>
      <c r="N73" s="0" t="n">
        <f aca="false">IFERROR(SUM(L5:L73),"")</f>
        <v>0</v>
      </c>
      <c r="Q73" s="0" t="e">
        <f aca="false">IF(Charts!$B$3="none",E1880,IF(K1880="",NA(),K1880))</f>
        <v>#N/A</v>
      </c>
      <c r="R73" s="0" t="e">
        <f aca="false">IF(Charts!$B$3="none",F1880,IF(L1880="",NA(),L1880))</f>
        <v>#N/A</v>
      </c>
      <c r="S73" s="0" t="e">
        <f aca="false">IF(Charts!$B$3="none",G1880,IF(M1880="",NA(),M1880))</f>
        <v>#N/A</v>
      </c>
      <c r="T73" s="0" t="e">
        <f aca="false">IF(Charts!$B$3="none",H1880,IF(N1880="",NA(),N1880))</f>
        <v>#N/A</v>
      </c>
    </row>
    <row r="74" customFormat="false" ht="15" hidden="false" customHeight="false" outlineLevel="0" collapsed="false">
      <c r="D74" s="0" t="n">
        <v>70</v>
      </c>
      <c r="E74" s="0" t="str">
        <f aca="true">IF(INDIRECT(ADDRESS($D74+2,E$2+1,,,"Instances"))="","",INDIRECT(ADDRESS($D74+2,E$2+1,,,"Instances")))</f>
        <v>Level_1/6-1111101</v>
      </c>
      <c r="F74" s="0" t="str">
        <f aca="false">IFERROR(SMALL(E5:E364,ROW()-ROW($F$5)+1),"")</f>
        <v/>
      </c>
      <c r="H74" s="0" t="n">
        <f aca="false">IFERROR(SUM(F5:F74),"")</f>
        <v>0</v>
      </c>
      <c r="J74" s="0" t="n">
        <v>70</v>
      </c>
      <c r="K74" s="0" t="e">
        <f aca="true" t="array" ref="K74:K74">_xlfn.SWITCH(Charts!$B$3,"average", AVERAGE(INDIRECT(ADDRESS(69+3,K$2+1,,,"Instances") &amp; ":" &amp; ADDRESS(69+3,K$2+1))),"median", MEDIAN(INDIRECT(ADDRESS(69+3,K$2+1,,,"Instances") &amp; ":" &amp; ADDRESS(69+3,K$2+1))),"min", MIN(INDIRECT(ADDRESS(69+3,K$2+1,,,"Instances") &amp; ":" &amp; ADDRESS(69+3,K$2+1))),"max", MAX(INDIRECT(ADDRESS(69+3,K$2+1,,,"Instances") &amp; ":" &amp; ADDRESS(69+3,K$2+1))),"diff", MAX(INDIRECT(ADDRESS(69+3,K$2+1,,,"Instances") &amp; ":" &amp; ADDRESS(69+3,K$2+1)))-MIN(INDIRECT(ADDRESS(69+3,K$2+1,,,"Instances") &amp; ":" &amp; ADDRESS(69+3,K$2+1))))</f>
        <v>#N/A</v>
      </c>
      <c r="L74" s="0" t="str">
        <f aca="false">IFERROR(SMALL(K5:K364,ROW()-ROW($L$5)+1),"")</f>
        <v/>
      </c>
      <c r="N74" s="0" t="n">
        <f aca="false">IFERROR(SUM(L5:L74),"")</f>
        <v>0</v>
      </c>
      <c r="Q74" s="0" t="e">
        <f aca="false">IF(Charts!$B$3="none",E1881,IF(K1881="",NA(),K1881))</f>
        <v>#N/A</v>
      </c>
      <c r="R74" s="0" t="e">
        <f aca="false">IF(Charts!$B$3="none",F1881,IF(L1881="",NA(),L1881))</f>
        <v>#N/A</v>
      </c>
      <c r="S74" s="0" t="e">
        <f aca="false">IF(Charts!$B$3="none",G1881,IF(M1881="",NA(),M1881))</f>
        <v>#N/A</v>
      </c>
      <c r="T74" s="0" t="e">
        <f aca="false">IF(Charts!$B$3="none",H1881,IF(N1881="",NA(),N1881))</f>
        <v>#N/A</v>
      </c>
    </row>
    <row r="75" customFormat="false" ht="15" hidden="false" customHeight="false" outlineLevel="0" collapsed="false">
      <c r="D75" s="0" t="n">
        <v>71</v>
      </c>
      <c r="E75" s="0" t="str">
        <f aca="true">IF(INDIRECT(ADDRESS($D75+2,E$2+1,,,"Instances"))="","",INDIRECT(ADDRESS($D75+2,E$2+1,,,"Instances")))</f>
        <v>Level_1/6-1111110</v>
      </c>
      <c r="F75" s="0" t="str">
        <f aca="false">IFERROR(SMALL(E5:E364,ROW()-ROW($F$5)+1),"")</f>
        <v/>
      </c>
      <c r="H75" s="0" t="n">
        <f aca="false">IFERROR(SUM(F5:F75),"")</f>
        <v>0</v>
      </c>
      <c r="J75" s="0" t="n">
        <v>71</v>
      </c>
      <c r="K75" s="0" t="e">
        <f aca="true" t="array" ref="K75:K75">_xlfn.SWITCH(Charts!$B$3,"average", AVERAGE(INDIRECT(ADDRESS(70+3,K$2+1,,,"Instances") &amp; ":" &amp; ADDRESS(70+3,K$2+1))),"median", MEDIAN(INDIRECT(ADDRESS(70+3,K$2+1,,,"Instances") &amp; ":" &amp; ADDRESS(70+3,K$2+1))),"min", MIN(INDIRECT(ADDRESS(70+3,K$2+1,,,"Instances") &amp; ":" &amp; ADDRESS(70+3,K$2+1))),"max", MAX(INDIRECT(ADDRESS(70+3,K$2+1,,,"Instances") &amp; ":" &amp; ADDRESS(70+3,K$2+1))),"diff", MAX(INDIRECT(ADDRESS(70+3,K$2+1,,,"Instances") &amp; ":" &amp; ADDRESS(70+3,K$2+1)))-MIN(INDIRECT(ADDRESS(70+3,K$2+1,,,"Instances") &amp; ":" &amp; ADDRESS(70+3,K$2+1))))</f>
        <v>#N/A</v>
      </c>
      <c r="L75" s="0" t="str">
        <f aca="false">IFERROR(SMALL(K5:K364,ROW()-ROW($L$5)+1),"")</f>
        <v/>
      </c>
      <c r="N75" s="0" t="n">
        <f aca="false">IFERROR(SUM(L5:L75),"")</f>
        <v>0</v>
      </c>
      <c r="Q75" s="0" t="e">
        <f aca="false">IF(Charts!$B$3="none",E1882,IF(K1882="",NA(),K1882))</f>
        <v>#N/A</v>
      </c>
      <c r="R75" s="0" t="e">
        <f aca="false">IF(Charts!$B$3="none",F1882,IF(L1882="",NA(),L1882))</f>
        <v>#N/A</v>
      </c>
      <c r="S75" s="0" t="e">
        <f aca="false">IF(Charts!$B$3="none",G1882,IF(M1882="",NA(),M1882))</f>
        <v>#N/A</v>
      </c>
      <c r="T75" s="0" t="e">
        <f aca="false">IF(Charts!$B$3="none",H1882,IF(N1882="",NA(),N1882))</f>
        <v>#N/A</v>
      </c>
    </row>
    <row r="76" customFormat="false" ht="15" hidden="false" customHeight="false" outlineLevel="0" collapsed="false">
      <c r="D76" s="0" t="n">
        <v>72</v>
      </c>
      <c r="E76" s="0" t="str">
        <f aca="true">IF(INDIRECT(ADDRESS($D76+2,E$2+1,,,"Instances"))="","",INDIRECT(ADDRESS($D76+2,E$2+1,,,"Instances")))</f>
        <v>Level_1/7-1111111</v>
      </c>
      <c r="F76" s="0" t="str">
        <f aca="false">IFERROR(SMALL(E5:E364,ROW()-ROW($F$5)+1),"")</f>
        <v/>
      </c>
      <c r="H76" s="0" t="n">
        <f aca="false">IFERROR(SUM(F5:F76),"")</f>
        <v>0</v>
      </c>
      <c r="J76" s="0" t="n">
        <v>72</v>
      </c>
      <c r="K76" s="0" t="e">
        <f aca="true" t="array" ref="K76:K76">_xlfn.SWITCH(Charts!$B$3,"average", AVERAGE(INDIRECT(ADDRESS(71+3,K$2+1,,,"Instances") &amp; ":" &amp; ADDRESS(71+3,K$2+1))),"median", MEDIAN(INDIRECT(ADDRESS(71+3,K$2+1,,,"Instances") &amp; ":" &amp; ADDRESS(71+3,K$2+1))),"min", MIN(INDIRECT(ADDRESS(71+3,K$2+1,,,"Instances") &amp; ":" &amp; ADDRESS(71+3,K$2+1))),"max", MAX(INDIRECT(ADDRESS(71+3,K$2+1,,,"Instances") &amp; ":" &amp; ADDRESS(71+3,K$2+1))),"diff", MAX(INDIRECT(ADDRESS(71+3,K$2+1,,,"Instances") &amp; ":" &amp; ADDRESS(71+3,K$2+1)))-MIN(INDIRECT(ADDRESS(71+3,K$2+1,,,"Instances") &amp; ":" &amp; ADDRESS(71+3,K$2+1))))</f>
        <v>#N/A</v>
      </c>
      <c r="L76" s="0" t="str">
        <f aca="false">IFERROR(SMALL(K5:K364,ROW()-ROW($L$5)+1),"")</f>
        <v/>
      </c>
      <c r="N76" s="0" t="n">
        <f aca="false">IFERROR(SUM(L5:L76),"")</f>
        <v>0</v>
      </c>
      <c r="Q76" s="0" t="e">
        <f aca="false">IF(Charts!$B$3="none",E1883,IF(K1883="",NA(),K1883))</f>
        <v>#N/A</v>
      </c>
      <c r="R76" s="0" t="e">
        <f aca="false">IF(Charts!$B$3="none",F1883,IF(L1883="",NA(),L1883))</f>
        <v>#N/A</v>
      </c>
      <c r="S76" s="0" t="e">
        <f aca="false">IF(Charts!$B$3="none",G1883,IF(M1883="",NA(),M1883))</f>
        <v>#N/A</v>
      </c>
      <c r="T76" s="0" t="e">
        <f aca="false">IF(Charts!$B$3="none",H1883,IF(N1883="",NA(),N1883))</f>
        <v>#N/A</v>
      </c>
    </row>
    <row r="77" customFormat="false" ht="15" hidden="false" customHeight="false" outlineLevel="0" collapsed="false">
      <c r="D77" s="0" t="n">
        <v>73</v>
      </c>
      <c r="E77" s="0" t="str">
        <f aca="true">IF(INDIRECT(ADDRESS($D77+2,E$2+1,,,"Instances"))="","",INDIRECT(ADDRESS($D77+2,E$2+1,,,"Instances")))</f>
        <v>Level_2/2-0000101</v>
      </c>
      <c r="F77" s="0" t="str">
        <f aca="false">IFERROR(SMALL(E5:E364,ROW()-ROW($F$5)+1),"")</f>
        <v/>
      </c>
      <c r="H77" s="0" t="n">
        <f aca="false">IFERROR(SUM(F5:F77),"")</f>
        <v>0</v>
      </c>
      <c r="J77" s="0" t="n">
        <v>73</v>
      </c>
      <c r="K77" s="0" t="e">
        <f aca="true" t="array" ref="K77:K77">_xlfn.SWITCH(Charts!$B$3,"average", AVERAGE(INDIRECT(ADDRESS(72+3,K$2+1,,,"Instances") &amp; ":" &amp; ADDRESS(72+3,K$2+1))),"median", MEDIAN(INDIRECT(ADDRESS(72+3,K$2+1,,,"Instances") &amp; ":" &amp; ADDRESS(72+3,K$2+1))),"min", MIN(INDIRECT(ADDRESS(72+3,K$2+1,,,"Instances") &amp; ":" &amp; ADDRESS(72+3,K$2+1))),"max", MAX(INDIRECT(ADDRESS(72+3,K$2+1,,,"Instances") &amp; ":" &amp; ADDRESS(72+3,K$2+1))),"diff", MAX(INDIRECT(ADDRESS(72+3,K$2+1,,,"Instances") &amp; ":" &amp; ADDRESS(72+3,K$2+1)))-MIN(INDIRECT(ADDRESS(72+3,K$2+1,,,"Instances") &amp; ":" &amp; ADDRESS(72+3,K$2+1))))</f>
        <v>#N/A</v>
      </c>
      <c r="L77" s="0" t="str">
        <f aca="false">IFERROR(SMALL(K5:K364,ROW()-ROW($L$5)+1),"")</f>
        <v/>
      </c>
      <c r="N77" s="0" t="n">
        <f aca="false">IFERROR(SUM(L5:L77),"")</f>
        <v>0</v>
      </c>
      <c r="Q77" s="0" t="e">
        <f aca="false">IF(Charts!$B$3="none",E1884,IF(K1884="",NA(),K1884))</f>
        <v>#N/A</v>
      </c>
      <c r="R77" s="0" t="e">
        <f aca="false">IF(Charts!$B$3="none",F1884,IF(L1884="",NA(),L1884))</f>
        <v>#N/A</v>
      </c>
      <c r="S77" s="0" t="e">
        <f aca="false">IF(Charts!$B$3="none",G1884,IF(M1884="",NA(),M1884))</f>
        <v>#N/A</v>
      </c>
      <c r="T77" s="0" t="e">
        <f aca="false">IF(Charts!$B$3="none",H1884,IF(N1884="",NA(),N1884))</f>
        <v>#N/A</v>
      </c>
    </row>
    <row r="78" customFormat="false" ht="15" hidden="false" customHeight="false" outlineLevel="0" collapsed="false">
      <c r="D78" s="0" t="n">
        <v>74</v>
      </c>
      <c r="E78" s="0" t="str">
        <f aca="true">IF(INDIRECT(ADDRESS($D78+2,E$2+1,,,"Instances"))="","",INDIRECT(ADDRESS($D78+2,E$2+1,,,"Instances")))</f>
        <v>Level_2/2-0001100</v>
      </c>
      <c r="F78" s="0" t="str">
        <f aca="false">IFERROR(SMALL(E5:E364,ROW()-ROW($F$5)+1),"")</f>
        <v/>
      </c>
      <c r="H78" s="0" t="n">
        <f aca="false">IFERROR(SUM(F5:F78),"")</f>
        <v>0</v>
      </c>
      <c r="J78" s="0" t="n">
        <v>74</v>
      </c>
      <c r="K78" s="0" t="e">
        <f aca="true" t="array" ref="K78:K78">_xlfn.SWITCH(Charts!$B$3,"average", AVERAGE(INDIRECT(ADDRESS(73+3,K$2+1,,,"Instances") &amp; ":" &amp; ADDRESS(73+3,K$2+1))),"median", MEDIAN(INDIRECT(ADDRESS(73+3,K$2+1,,,"Instances") &amp; ":" &amp; ADDRESS(73+3,K$2+1))),"min", MIN(INDIRECT(ADDRESS(73+3,K$2+1,,,"Instances") &amp; ":" &amp; ADDRESS(73+3,K$2+1))),"max", MAX(INDIRECT(ADDRESS(73+3,K$2+1,,,"Instances") &amp; ":" &amp; ADDRESS(73+3,K$2+1))),"diff", MAX(INDIRECT(ADDRESS(73+3,K$2+1,,,"Instances") &amp; ":" &amp; ADDRESS(73+3,K$2+1)))-MIN(INDIRECT(ADDRESS(73+3,K$2+1,,,"Instances") &amp; ":" &amp; ADDRESS(73+3,K$2+1))))</f>
        <v>#N/A</v>
      </c>
      <c r="L78" s="0" t="str">
        <f aca="false">IFERROR(SMALL(K5:K364,ROW()-ROW($L$5)+1),"")</f>
        <v/>
      </c>
      <c r="N78" s="0" t="n">
        <f aca="false">IFERROR(SUM(L5:L78),"")</f>
        <v>0</v>
      </c>
      <c r="Q78" s="0" t="e">
        <f aca="false">IF(Charts!$B$3="none",E1885,IF(K1885="",NA(),K1885))</f>
        <v>#N/A</v>
      </c>
      <c r="R78" s="0" t="e">
        <f aca="false">IF(Charts!$B$3="none",F1885,IF(L1885="",NA(),L1885))</f>
        <v>#N/A</v>
      </c>
      <c r="S78" s="0" t="e">
        <f aca="false">IF(Charts!$B$3="none",G1885,IF(M1885="",NA(),M1885))</f>
        <v>#N/A</v>
      </c>
      <c r="T78" s="0" t="e">
        <f aca="false">IF(Charts!$B$3="none",H1885,IF(N1885="",NA(),N1885))</f>
        <v>#N/A</v>
      </c>
    </row>
    <row r="79" customFormat="false" ht="15" hidden="false" customHeight="false" outlineLevel="0" collapsed="false">
      <c r="D79" s="0" t="n">
        <v>75</v>
      </c>
      <c r="E79" s="0" t="str">
        <f aca="true">IF(INDIRECT(ADDRESS($D79+2,E$2+1,,,"Instances"))="","",INDIRECT(ADDRESS($D79+2,E$2+1,,,"Instances")))</f>
        <v>Level_2/2-0010010</v>
      </c>
      <c r="F79" s="0" t="str">
        <f aca="false">IFERROR(SMALL(E5:E364,ROW()-ROW($F$5)+1),"")</f>
        <v/>
      </c>
      <c r="H79" s="0" t="n">
        <f aca="false">IFERROR(SUM(F5:F79),"")</f>
        <v>0</v>
      </c>
      <c r="J79" s="0" t="n">
        <v>75</v>
      </c>
      <c r="K79" s="0" t="e">
        <f aca="true" t="array" ref="K79:K79">_xlfn.SWITCH(Charts!$B$3,"average", AVERAGE(INDIRECT(ADDRESS(74+3,K$2+1,,,"Instances") &amp; ":" &amp; ADDRESS(74+3,K$2+1))),"median", MEDIAN(INDIRECT(ADDRESS(74+3,K$2+1,,,"Instances") &amp; ":" &amp; ADDRESS(74+3,K$2+1))),"min", MIN(INDIRECT(ADDRESS(74+3,K$2+1,,,"Instances") &amp; ":" &amp; ADDRESS(74+3,K$2+1))),"max", MAX(INDIRECT(ADDRESS(74+3,K$2+1,,,"Instances") &amp; ":" &amp; ADDRESS(74+3,K$2+1))),"diff", MAX(INDIRECT(ADDRESS(74+3,K$2+1,,,"Instances") &amp; ":" &amp; ADDRESS(74+3,K$2+1)))-MIN(INDIRECT(ADDRESS(74+3,K$2+1,,,"Instances") &amp; ":" &amp; ADDRESS(74+3,K$2+1))))</f>
        <v>#N/A</v>
      </c>
      <c r="L79" s="0" t="str">
        <f aca="false">IFERROR(SMALL(K5:K364,ROW()-ROW($L$5)+1),"")</f>
        <v/>
      </c>
      <c r="N79" s="0" t="n">
        <f aca="false">IFERROR(SUM(L5:L79),"")</f>
        <v>0</v>
      </c>
      <c r="Q79" s="0" t="e">
        <f aca="false">IF(Charts!$B$3="none",E1886,IF(K1886="",NA(),K1886))</f>
        <v>#N/A</v>
      </c>
      <c r="R79" s="0" t="e">
        <f aca="false">IF(Charts!$B$3="none",F1886,IF(L1886="",NA(),L1886))</f>
        <v>#N/A</v>
      </c>
      <c r="S79" s="0" t="e">
        <f aca="false">IF(Charts!$B$3="none",G1886,IF(M1886="",NA(),M1886))</f>
        <v>#N/A</v>
      </c>
      <c r="T79" s="0" t="e">
        <f aca="false">IF(Charts!$B$3="none",H1886,IF(N1886="",NA(),N1886))</f>
        <v>#N/A</v>
      </c>
    </row>
    <row r="80" customFormat="false" ht="15" hidden="false" customHeight="false" outlineLevel="0" collapsed="false">
      <c r="D80" s="0" t="n">
        <v>76</v>
      </c>
      <c r="E80" s="0" t="str">
        <f aca="true">IF(INDIRECT(ADDRESS($D80+2,E$2+1,,,"Instances"))="","",INDIRECT(ADDRESS($D80+2,E$2+1,,,"Instances")))</f>
        <v>Level_2/2-0011000</v>
      </c>
      <c r="F80" s="0" t="str">
        <f aca="false">IFERROR(SMALL(E5:E364,ROW()-ROW($F$5)+1),"")</f>
        <v/>
      </c>
      <c r="H80" s="0" t="n">
        <f aca="false">IFERROR(SUM(F5:F80),"")</f>
        <v>0</v>
      </c>
      <c r="J80" s="0" t="n">
        <v>76</v>
      </c>
      <c r="K80" s="0" t="e">
        <f aca="true" t="array" ref="K80:K80">_xlfn.SWITCH(Charts!$B$3,"average", AVERAGE(INDIRECT(ADDRESS(75+3,K$2+1,,,"Instances") &amp; ":" &amp; ADDRESS(75+3,K$2+1))),"median", MEDIAN(INDIRECT(ADDRESS(75+3,K$2+1,,,"Instances") &amp; ":" &amp; ADDRESS(75+3,K$2+1))),"min", MIN(INDIRECT(ADDRESS(75+3,K$2+1,,,"Instances") &amp; ":" &amp; ADDRESS(75+3,K$2+1))),"max", MAX(INDIRECT(ADDRESS(75+3,K$2+1,,,"Instances") &amp; ":" &amp; ADDRESS(75+3,K$2+1))),"diff", MAX(INDIRECT(ADDRESS(75+3,K$2+1,,,"Instances") &amp; ":" &amp; ADDRESS(75+3,K$2+1)))-MIN(INDIRECT(ADDRESS(75+3,K$2+1,,,"Instances") &amp; ":" &amp; ADDRESS(75+3,K$2+1))))</f>
        <v>#N/A</v>
      </c>
      <c r="L80" s="0" t="str">
        <f aca="false">IFERROR(SMALL(K5:K364,ROW()-ROW($L$5)+1),"")</f>
        <v/>
      </c>
      <c r="N80" s="0" t="n">
        <f aca="false">IFERROR(SUM(L5:L80),"")</f>
        <v>0</v>
      </c>
      <c r="Q80" s="0" t="e">
        <f aca="false">IF(Charts!$B$3="none",E1887,IF(K1887="",NA(),K1887))</f>
        <v>#N/A</v>
      </c>
      <c r="R80" s="0" t="e">
        <f aca="false">IF(Charts!$B$3="none",F1887,IF(L1887="",NA(),L1887))</f>
        <v>#N/A</v>
      </c>
      <c r="S80" s="0" t="e">
        <f aca="false">IF(Charts!$B$3="none",G1887,IF(M1887="",NA(),M1887))</f>
        <v>#N/A</v>
      </c>
      <c r="T80" s="0" t="e">
        <f aca="false">IF(Charts!$B$3="none",H1887,IF(N1887="",NA(),N1887))</f>
        <v>#N/A</v>
      </c>
    </row>
    <row r="81" customFormat="false" ht="15" hidden="false" customHeight="false" outlineLevel="0" collapsed="false">
      <c r="D81" s="0" t="n">
        <v>77</v>
      </c>
      <c r="E81" s="0" t="str">
        <f aca="true">IF(INDIRECT(ADDRESS($D81+2,E$2+1,,,"Instances"))="","",INDIRECT(ADDRESS($D81+2,E$2+1,,,"Instances")))</f>
        <v>Level_2/2-0100010</v>
      </c>
      <c r="F81" s="0" t="str">
        <f aca="false">IFERROR(SMALL(E5:E364,ROW()-ROW($F$5)+1),"")</f>
        <v/>
      </c>
      <c r="H81" s="0" t="n">
        <f aca="false">IFERROR(SUM(F5:F81),"")</f>
        <v>0</v>
      </c>
      <c r="J81" s="0" t="n">
        <v>77</v>
      </c>
      <c r="K81" s="0" t="e">
        <f aca="true" t="array" ref="K81:K81">_xlfn.SWITCH(Charts!$B$3,"average", AVERAGE(INDIRECT(ADDRESS(76+3,K$2+1,,,"Instances") &amp; ":" &amp; ADDRESS(76+3,K$2+1))),"median", MEDIAN(INDIRECT(ADDRESS(76+3,K$2+1,,,"Instances") &amp; ":" &amp; ADDRESS(76+3,K$2+1))),"min", MIN(INDIRECT(ADDRESS(76+3,K$2+1,,,"Instances") &amp; ":" &amp; ADDRESS(76+3,K$2+1))),"max", MAX(INDIRECT(ADDRESS(76+3,K$2+1,,,"Instances") &amp; ":" &amp; ADDRESS(76+3,K$2+1))),"diff", MAX(INDIRECT(ADDRESS(76+3,K$2+1,,,"Instances") &amp; ":" &amp; ADDRESS(76+3,K$2+1)))-MIN(INDIRECT(ADDRESS(76+3,K$2+1,,,"Instances") &amp; ":" &amp; ADDRESS(76+3,K$2+1))))</f>
        <v>#N/A</v>
      </c>
      <c r="L81" s="0" t="str">
        <f aca="false">IFERROR(SMALL(K5:K364,ROW()-ROW($L$5)+1),"")</f>
        <v/>
      </c>
      <c r="N81" s="0" t="n">
        <f aca="false">IFERROR(SUM(L5:L81),"")</f>
        <v>0</v>
      </c>
      <c r="Q81" s="0" t="e">
        <f aca="false">IF(Charts!$B$3="none",E1888,IF(K1888="",NA(),K1888))</f>
        <v>#N/A</v>
      </c>
      <c r="R81" s="0" t="e">
        <f aca="false">IF(Charts!$B$3="none",F1888,IF(L1888="",NA(),L1888))</f>
        <v>#N/A</v>
      </c>
      <c r="S81" s="0" t="e">
        <f aca="false">IF(Charts!$B$3="none",G1888,IF(M1888="",NA(),M1888))</f>
        <v>#N/A</v>
      </c>
      <c r="T81" s="0" t="e">
        <f aca="false">IF(Charts!$B$3="none",H1888,IF(N1888="",NA(),N1888))</f>
        <v>#N/A</v>
      </c>
    </row>
    <row r="82" customFormat="false" ht="15" hidden="false" customHeight="false" outlineLevel="0" collapsed="false">
      <c r="D82" s="0" t="n">
        <v>78</v>
      </c>
      <c r="E82" s="0" t="str">
        <f aca="true">IF(INDIRECT(ADDRESS($D82+2,E$2+1,,,"Instances"))="","",INDIRECT(ADDRESS($D82+2,E$2+1,,,"Instances")))</f>
        <v>Level_2/2-0110000</v>
      </c>
      <c r="F82" s="0" t="str">
        <f aca="false">IFERROR(SMALL(E5:E364,ROW()-ROW($F$5)+1),"")</f>
        <v/>
      </c>
      <c r="H82" s="0" t="n">
        <f aca="false">IFERROR(SUM(F5:F82),"")</f>
        <v>0</v>
      </c>
      <c r="J82" s="0" t="n">
        <v>78</v>
      </c>
      <c r="K82" s="0" t="e">
        <f aca="true" t="array" ref="K82:K82">_xlfn.SWITCH(Charts!$B$3,"average", AVERAGE(INDIRECT(ADDRESS(77+3,K$2+1,,,"Instances") &amp; ":" &amp; ADDRESS(77+3,K$2+1))),"median", MEDIAN(INDIRECT(ADDRESS(77+3,K$2+1,,,"Instances") &amp; ":" &amp; ADDRESS(77+3,K$2+1))),"min", MIN(INDIRECT(ADDRESS(77+3,K$2+1,,,"Instances") &amp; ":" &amp; ADDRESS(77+3,K$2+1))),"max", MAX(INDIRECT(ADDRESS(77+3,K$2+1,,,"Instances") &amp; ":" &amp; ADDRESS(77+3,K$2+1))),"diff", MAX(INDIRECT(ADDRESS(77+3,K$2+1,,,"Instances") &amp; ":" &amp; ADDRESS(77+3,K$2+1)))-MIN(INDIRECT(ADDRESS(77+3,K$2+1,,,"Instances") &amp; ":" &amp; ADDRESS(77+3,K$2+1))))</f>
        <v>#N/A</v>
      </c>
      <c r="L82" s="0" t="str">
        <f aca="false">IFERROR(SMALL(K5:K364,ROW()-ROW($L$5)+1),"")</f>
        <v/>
      </c>
      <c r="N82" s="0" t="n">
        <f aca="false">IFERROR(SUM(L5:L82),"")</f>
        <v>0</v>
      </c>
      <c r="Q82" s="0" t="e">
        <f aca="false">IF(Charts!$B$3="none",E1889,IF(K1889="",NA(),K1889))</f>
        <v>#N/A</v>
      </c>
      <c r="R82" s="0" t="e">
        <f aca="false">IF(Charts!$B$3="none",F1889,IF(L1889="",NA(),L1889))</f>
        <v>#N/A</v>
      </c>
      <c r="S82" s="0" t="e">
        <f aca="false">IF(Charts!$B$3="none",G1889,IF(M1889="",NA(),M1889))</f>
        <v>#N/A</v>
      </c>
      <c r="T82" s="0" t="e">
        <f aca="false">IF(Charts!$B$3="none",H1889,IF(N1889="",NA(),N1889))</f>
        <v>#N/A</v>
      </c>
    </row>
    <row r="83" customFormat="false" ht="15" hidden="false" customHeight="false" outlineLevel="0" collapsed="false">
      <c r="D83" s="0" t="n">
        <v>79</v>
      </c>
      <c r="E83" s="0" t="str">
        <f aca="true">IF(INDIRECT(ADDRESS($D83+2,E$2+1,,,"Instances"))="","",INDIRECT(ADDRESS($D83+2,E$2+1,,,"Instances")))</f>
        <v>Level_2/2-1000100</v>
      </c>
      <c r="F83" s="0" t="str">
        <f aca="false">IFERROR(SMALL(E5:E364,ROW()-ROW($F$5)+1),"")</f>
        <v/>
      </c>
      <c r="H83" s="0" t="n">
        <f aca="false">IFERROR(SUM(F5:F83),"")</f>
        <v>0</v>
      </c>
      <c r="J83" s="0" t="n">
        <v>79</v>
      </c>
      <c r="K83" s="0" t="e">
        <f aca="true" t="array" ref="K83:K83">_xlfn.SWITCH(Charts!$B$3,"average", AVERAGE(INDIRECT(ADDRESS(78+3,K$2+1,,,"Instances") &amp; ":" &amp; ADDRESS(78+3,K$2+1))),"median", MEDIAN(INDIRECT(ADDRESS(78+3,K$2+1,,,"Instances") &amp; ":" &amp; ADDRESS(78+3,K$2+1))),"min", MIN(INDIRECT(ADDRESS(78+3,K$2+1,,,"Instances") &amp; ":" &amp; ADDRESS(78+3,K$2+1))),"max", MAX(INDIRECT(ADDRESS(78+3,K$2+1,,,"Instances") &amp; ":" &amp; ADDRESS(78+3,K$2+1))),"diff", MAX(INDIRECT(ADDRESS(78+3,K$2+1,,,"Instances") &amp; ":" &amp; ADDRESS(78+3,K$2+1)))-MIN(INDIRECT(ADDRESS(78+3,K$2+1,,,"Instances") &amp; ":" &amp; ADDRESS(78+3,K$2+1))))</f>
        <v>#N/A</v>
      </c>
      <c r="L83" s="0" t="str">
        <f aca="false">IFERROR(SMALL(K5:K364,ROW()-ROW($L$5)+1),"")</f>
        <v/>
      </c>
      <c r="N83" s="0" t="n">
        <f aca="false">IFERROR(SUM(L5:L83),"")</f>
        <v>0</v>
      </c>
      <c r="Q83" s="0" t="e">
        <f aca="false">IF(Charts!$B$3="none",E1890,IF(K1890="",NA(),K1890))</f>
        <v>#N/A</v>
      </c>
      <c r="R83" s="0" t="e">
        <f aca="false">IF(Charts!$B$3="none",F1890,IF(L1890="",NA(),L1890))</f>
        <v>#N/A</v>
      </c>
      <c r="S83" s="0" t="e">
        <f aca="false">IF(Charts!$B$3="none",G1890,IF(M1890="",NA(),M1890))</f>
        <v>#N/A</v>
      </c>
      <c r="T83" s="0" t="e">
        <f aca="false">IF(Charts!$B$3="none",H1890,IF(N1890="",NA(),N1890))</f>
        <v>#N/A</v>
      </c>
    </row>
    <row r="84" customFormat="false" ht="15" hidden="false" customHeight="false" outlineLevel="0" collapsed="false">
      <c r="D84" s="0" t="n">
        <v>80</v>
      </c>
      <c r="E84" s="0" t="str">
        <f aca="true">IF(INDIRECT(ADDRESS($D84+2,E$2+1,,,"Instances"))="","",INDIRECT(ADDRESS($D84+2,E$2+1,,,"Instances")))</f>
        <v>Level_2/3-0011100</v>
      </c>
      <c r="F84" s="0" t="str">
        <f aca="false">IFERROR(SMALL(E5:E364,ROW()-ROW($F$5)+1),"")</f>
        <v/>
      </c>
      <c r="H84" s="0" t="n">
        <f aca="false">IFERROR(SUM(F5:F84),"")</f>
        <v>0</v>
      </c>
      <c r="J84" s="0" t="n">
        <v>80</v>
      </c>
      <c r="K84" s="0" t="e">
        <f aca="true" t="array" ref="K84:K84">_xlfn.SWITCH(Charts!$B$3,"average", AVERAGE(INDIRECT(ADDRESS(79+3,K$2+1,,,"Instances") &amp; ":" &amp; ADDRESS(79+3,K$2+1))),"median", MEDIAN(INDIRECT(ADDRESS(79+3,K$2+1,,,"Instances") &amp; ":" &amp; ADDRESS(79+3,K$2+1))),"min", MIN(INDIRECT(ADDRESS(79+3,K$2+1,,,"Instances") &amp; ":" &amp; ADDRESS(79+3,K$2+1))),"max", MAX(INDIRECT(ADDRESS(79+3,K$2+1,,,"Instances") &amp; ":" &amp; ADDRESS(79+3,K$2+1))),"diff", MAX(INDIRECT(ADDRESS(79+3,K$2+1,,,"Instances") &amp; ":" &amp; ADDRESS(79+3,K$2+1)))-MIN(INDIRECT(ADDRESS(79+3,K$2+1,,,"Instances") &amp; ":" &amp; ADDRESS(79+3,K$2+1))))</f>
        <v>#N/A</v>
      </c>
      <c r="L84" s="0" t="str">
        <f aca="false">IFERROR(SMALL(K5:K364,ROW()-ROW($L$5)+1),"")</f>
        <v/>
      </c>
      <c r="N84" s="0" t="n">
        <f aca="false">IFERROR(SUM(L5:L84),"")</f>
        <v>0</v>
      </c>
      <c r="Q84" s="0" t="e">
        <f aca="false">IF(Charts!$B$3="none",E1891,IF(K1891="",NA(),K1891))</f>
        <v>#N/A</v>
      </c>
      <c r="R84" s="0" t="e">
        <f aca="false">IF(Charts!$B$3="none",F1891,IF(L1891="",NA(),L1891))</f>
        <v>#N/A</v>
      </c>
      <c r="S84" s="0" t="e">
        <f aca="false">IF(Charts!$B$3="none",G1891,IF(M1891="",NA(),M1891))</f>
        <v>#N/A</v>
      </c>
      <c r="T84" s="0" t="e">
        <f aca="false">IF(Charts!$B$3="none",H1891,IF(N1891="",NA(),N1891))</f>
        <v>#N/A</v>
      </c>
    </row>
    <row r="85" customFormat="false" ht="15" hidden="false" customHeight="false" outlineLevel="0" collapsed="false">
      <c r="D85" s="0" t="n">
        <v>81</v>
      </c>
      <c r="E85" s="0" t="str">
        <f aca="true">IF(INDIRECT(ADDRESS($D85+2,E$2+1,,,"Instances"))="","",INDIRECT(ADDRESS($D85+2,E$2+1,,,"Instances")))</f>
        <v>Level_2/3-0101010</v>
      </c>
      <c r="F85" s="0" t="str">
        <f aca="false">IFERROR(SMALL(E5:E364,ROW()-ROW($F$5)+1),"")</f>
        <v/>
      </c>
      <c r="H85" s="0" t="n">
        <f aca="false">IFERROR(SUM(F5:F85),"")</f>
        <v>0</v>
      </c>
      <c r="J85" s="0" t="n">
        <v>81</v>
      </c>
      <c r="K85" s="0" t="e">
        <f aca="true" t="array" ref="K85:K85">_xlfn.SWITCH(Charts!$B$3,"average", AVERAGE(INDIRECT(ADDRESS(80+3,K$2+1,,,"Instances") &amp; ":" &amp; ADDRESS(80+3,K$2+1))),"median", MEDIAN(INDIRECT(ADDRESS(80+3,K$2+1,,,"Instances") &amp; ":" &amp; ADDRESS(80+3,K$2+1))),"min", MIN(INDIRECT(ADDRESS(80+3,K$2+1,,,"Instances") &amp; ":" &amp; ADDRESS(80+3,K$2+1))),"max", MAX(INDIRECT(ADDRESS(80+3,K$2+1,,,"Instances") &amp; ":" &amp; ADDRESS(80+3,K$2+1))),"diff", MAX(INDIRECT(ADDRESS(80+3,K$2+1,,,"Instances") &amp; ":" &amp; ADDRESS(80+3,K$2+1)))-MIN(INDIRECT(ADDRESS(80+3,K$2+1,,,"Instances") &amp; ":" &amp; ADDRESS(80+3,K$2+1))))</f>
        <v>#N/A</v>
      </c>
      <c r="L85" s="0" t="str">
        <f aca="false">IFERROR(SMALL(K5:K364,ROW()-ROW($L$5)+1),"")</f>
        <v/>
      </c>
      <c r="N85" s="0" t="n">
        <f aca="false">IFERROR(SUM(L5:L85),"")</f>
        <v>0</v>
      </c>
      <c r="Q85" s="0" t="e">
        <f aca="false">IF(Charts!$B$3="none",E1892,IF(K1892="",NA(),K1892))</f>
        <v>#N/A</v>
      </c>
      <c r="R85" s="0" t="e">
        <f aca="false">IF(Charts!$B$3="none",F1892,IF(L1892="",NA(),L1892))</f>
        <v>#N/A</v>
      </c>
      <c r="S85" s="0" t="e">
        <f aca="false">IF(Charts!$B$3="none",G1892,IF(M1892="",NA(),M1892))</f>
        <v>#N/A</v>
      </c>
      <c r="T85" s="0" t="e">
        <f aca="false">IF(Charts!$B$3="none",H1892,IF(N1892="",NA(),N1892))</f>
        <v>#N/A</v>
      </c>
    </row>
    <row r="86" customFormat="false" ht="15" hidden="false" customHeight="false" outlineLevel="0" collapsed="false">
      <c r="D86" s="0" t="n">
        <v>82</v>
      </c>
      <c r="E86" s="0" t="str">
        <f aca="true">IF(INDIRECT(ADDRESS($D86+2,E$2+1,,,"Instances"))="","",INDIRECT(ADDRESS($D86+2,E$2+1,,,"Instances")))</f>
        <v>Level_2/3-0111000</v>
      </c>
      <c r="F86" s="0" t="str">
        <f aca="false">IFERROR(SMALL(E5:E364,ROW()-ROW($F$5)+1),"")</f>
        <v/>
      </c>
      <c r="H86" s="0" t="n">
        <f aca="false">IFERROR(SUM(F5:F86),"")</f>
        <v>0</v>
      </c>
      <c r="J86" s="0" t="n">
        <v>82</v>
      </c>
      <c r="K86" s="0" t="e">
        <f aca="true" t="array" ref="K86:K86">_xlfn.SWITCH(Charts!$B$3,"average", AVERAGE(INDIRECT(ADDRESS(81+3,K$2+1,,,"Instances") &amp; ":" &amp; ADDRESS(81+3,K$2+1))),"median", MEDIAN(INDIRECT(ADDRESS(81+3,K$2+1,,,"Instances") &amp; ":" &amp; ADDRESS(81+3,K$2+1))),"min", MIN(INDIRECT(ADDRESS(81+3,K$2+1,,,"Instances") &amp; ":" &amp; ADDRESS(81+3,K$2+1))),"max", MAX(INDIRECT(ADDRESS(81+3,K$2+1,,,"Instances") &amp; ":" &amp; ADDRESS(81+3,K$2+1))),"diff", MAX(INDIRECT(ADDRESS(81+3,K$2+1,,,"Instances") &amp; ":" &amp; ADDRESS(81+3,K$2+1)))-MIN(INDIRECT(ADDRESS(81+3,K$2+1,,,"Instances") &amp; ":" &amp; ADDRESS(81+3,K$2+1))))</f>
        <v>#N/A</v>
      </c>
      <c r="L86" s="0" t="str">
        <f aca="false">IFERROR(SMALL(K5:K364,ROW()-ROW($L$5)+1),"")</f>
        <v/>
      </c>
      <c r="N86" s="0" t="n">
        <f aca="false">IFERROR(SUM(L5:L86),"")</f>
        <v>0</v>
      </c>
      <c r="Q86" s="0" t="e">
        <f aca="false">IF(Charts!$B$3="none",E1893,IF(K1893="",NA(),K1893))</f>
        <v>#N/A</v>
      </c>
      <c r="R86" s="0" t="e">
        <f aca="false">IF(Charts!$B$3="none",F1893,IF(L1893="",NA(),L1893))</f>
        <v>#N/A</v>
      </c>
      <c r="S86" s="0" t="e">
        <f aca="false">IF(Charts!$B$3="none",G1893,IF(M1893="",NA(),M1893))</f>
        <v>#N/A</v>
      </c>
      <c r="T86" s="0" t="e">
        <f aca="false">IF(Charts!$B$3="none",H1893,IF(N1893="",NA(),N1893))</f>
        <v>#N/A</v>
      </c>
    </row>
    <row r="87" customFormat="false" ht="15" hidden="false" customHeight="false" outlineLevel="0" collapsed="false">
      <c r="D87" s="0" t="n">
        <v>83</v>
      </c>
      <c r="E87" s="0" t="str">
        <f aca="true">IF(INDIRECT(ADDRESS($D87+2,E$2+1,,,"Instances"))="","",INDIRECT(ADDRESS($D87+2,E$2+1,,,"Instances")))</f>
        <v>Level_2/3-1000101</v>
      </c>
      <c r="F87" s="0" t="str">
        <f aca="false">IFERROR(SMALL(E5:E364,ROW()-ROW($F$5)+1),"")</f>
        <v/>
      </c>
      <c r="H87" s="0" t="n">
        <f aca="false">IFERROR(SUM(F5:F87),"")</f>
        <v>0</v>
      </c>
      <c r="J87" s="0" t="n">
        <v>83</v>
      </c>
      <c r="K87" s="0" t="e">
        <f aca="true" t="array" ref="K87:K87">_xlfn.SWITCH(Charts!$B$3,"average", AVERAGE(INDIRECT(ADDRESS(82+3,K$2+1,,,"Instances") &amp; ":" &amp; ADDRESS(82+3,K$2+1))),"median", MEDIAN(INDIRECT(ADDRESS(82+3,K$2+1,,,"Instances") &amp; ":" &amp; ADDRESS(82+3,K$2+1))),"min", MIN(INDIRECT(ADDRESS(82+3,K$2+1,,,"Instances") &amp; ":" &amp; ADDRESS(82+3,K$2+1))),"max", MAX(INDIRECT(ADDRESS(82+3,K$2+1,,,"Instances") &amp; ":" &amp; ADDRESS(82+3,K$2+1))),"diff", MAX(INDIRECT(ADDRESS(82+3,K$2+1,,,"Instances") &amp; ":" &amp; ADDRESS(82+3,K$2+1)))-MIN(INDIRECT(ADDRESS(82+3,K$2+1,,,"Instances") &amp; ":" &amp; ADDRESS(82+3,K$2+1))))</f>
        <v>#N/A</v>
      </c>
      <c r="L87" s="0" t="str">
        <f aca="false">IFERROR(SMALL(K5:K364,ROW()-ROW($L$5)+1),"")</f>
        <v/>
      </c>
      <c r="N87" s="0" t="n">
        <f aca="false">IFERROR(SUM(L5:L87),"")</f>
        <v>0</v>
      </c>
      <c r="Q87" s="0" t="e">
        <f aca="false">IF(Charts!$B$3="none",E1894,IF(K1894="",NA(),K1894))</f>
        <v>#N/A</v>
      </c>
      <c r="R87" s="0" t="e">
        <f aca="false">IF(Charts!$B$3="none",F1894,IF(L1894="",NA(),L1894))</f>
        <v>#N/A</v>
      </c>
      <c r="S87" s="0" t="e">
        <f aca="false">IF(Charts!$B$3="none",G1894,IF(M1894="",NA(),M1894))</f>
        <v>#N/A</v>
      </c>
      <c r="T87" s="0" t="e">
        <f aca="false">IF(Charts!$B$3="none",H1894,IF(N1894="",NA(),N1894))</f>
        <v>#N/A</v>
      </c>
    </row>
    <row r="88" customFormat="false" ht="15" hidden="false" customHeight="false" outlineLevel="0" collapsed="false">
      <c r="D88" s="0" t="n">
        <v>84</v>
      </c>
      <c r="E88" s="0" t="str">
        <f aca="true">IF(INDIRECT(ADDRESS($D88+2,E$2+1,,,"Instances"))="","",INDIRECT(ADDRESS($D88+2,E$2+1,,,"Instances")))</f>
        <v>Level_2/3-1001001</v>
      </c>
      <c r="F88" s="0" t="str">
        <f aca="false">IFERROR(SMALL(E5:E364,ROW()-ROW($F$5)+1),"")</f>
        <v/>
      </c>
      <c r="H88" s="0" t="n">
        <f aca="false">IFERROR(SUM(F5:F88),"")</f>
        <v>0</v>
      </c>
      <c r="J88" s="0" t="n">
        <v>84</v>
      </c>
      <c r="K88" s="0" t="e">
        <f aca="true" t="array" ref="K88:K88">_xlfn.SWITCH(Charts!$B$3,"average", AVERAGE(INDIRECT(ADDRESS(83+3,K$2+1,,,"Instances") &amp; ":" &amp; ADDRESS(83+3,K$2+1))),"median", MEDIAN(INDIRECT(ADDRESS(83+3,K$2+1,,,"Instances") &amp; ":" &amp; ADDRESS(83+3,K$2+1))),"min", MIN(INDIRECT(ADDRESS(83+3,K$2+1,,,"Instances") &amp; ":" &amp; ADDRESS(83+3,K$2+1))),"max", MAX(INDIRECT(ADDRESS(83+3,K$2+1,,,"Instances") &amp; ":" &amp; ADDRESS(83+3,K$2+1))),"diff", MAX(INDIRECT(ADDRESS(83+3,K$2+1,,,"Instances") &amp; ":" &amp; ADDRESS(83+3,K$2+1)))-MIN(INDIRECT(ADDRESS(83+3,K$2+1,,,"Instances") &amp; ":" &amp; ADDRESS(83+3,K$2+1))))</f>
        <v>#N/A</v>
      </c>
      <c r="L88" s="0" t="str">
        <f aca="false">IFERROR(SMALL(K5:K364,ROW()-ROW($L$5)+1),"")</f>
        <v/>
      </c>
      <c r="N88" s="0" t="n">
        <f aca="false">IFERROR(SUM(L5:L88),"")</f>
        <v>0</v>
      </c>
      <c r="Q88" s="0" t="e">
        <f aca="false">IF(Charts!$B$3="none",E1895,IF(K1895="",NA(),K1895))</f>
        <v>#N/A</v>
      </c>
      <c r="R88" s="0" t="e">
        <f aca="false">IF(Charts!$B$3="none",F1895,IF(L1895="",NA(),L1895))</f>
        <v>#N/A</v>
      </c>
      <c r="S88" s="0" t="e">
        <f aca="false">IF(Charts!$B$3="none",G1895,IF(M1895="",NA(),M1895))</f>
        <v>#N/A</v>
      </c>
      <c r="T88" s="0" t="e">
        <f aca="false">IF(Charts!$B$3="none",H1895,IF(N1895="",NA(),N1895))</f>
        <v>#N/A</v>
      </c>
    </row>
    <row r="89" customFormat="false" ht="15" hidden="false" customHeight="false" outlineLevel="0" collapsed="false">
      <c r="D89" s="0" t="n">
        <v>85</v>
      </c>
      <c r="E89" s="0" t="str">
        <f aca="true">IF(INDIRECT(ADDRESS($D89+2,E$2+1,,,"Instances"))="","",INDIRECT(ADDRESS($D89+2,E$2+1,,,"Instances")))</f>
        <v>Level_2/3-1100010</v>
      </c>
      <c r="F89" s="0" t="str">
        <f aca="false">IFERROR(SMALL(E5:E364,ROW()-ROW($F$5)+1),"")</f>
        <v/>
      </c>
      <c r="H89" s="0" t="n">
        <f aca="false">IFERROR(SUM(F5:F89),"")</f>
        <v>0</v>
      </c>
      <c r="J89" s="0" t="n">
        <v>85</v>
      </c>
      <c r="K89" s="0" t="e">
        <f aca="true" t="array" ref="K89:K89">_xlfn.SWITCH(Charts!$B$3,"average", AVERAGE(INDIRECT(ADDRESS(84+3,K$2+1,,,"Instances") &amp; ":" &amp; ADDRESS(84+3,K$2+1))),"median", MEDIAN(INDIRECT(ADDRESS(84+3,K$2+1,,,"Instances") &amp; ":" &amp; ADDRESS(84+3,K$2+1))),"min", MIN(INDIRECT(ADDRESS(84+3,K$2+1,,,"Instances") &amp; ":" &amp; ADDRESS(84+3,K$2+1))),"max", MAX(INDIRECT(ADDRESS(84+3,K$2+1,,,"Instances") &amp; ":" &amp; ADDRESS(84+3,K$2+1))),"diff", MAX(INDIRECT(ADDRESS(84+3,K$2+1,,,"Instances") &amp; ":" &amp; ADDRESS(84+3,K$2+1)))-MIN(INDIRECT(ADDRESS(84+3,K$2+1,,,"Instances") &amp; ":" &amp; ADDRESS(84+3,K$2+1))))</f>
        <v>#N/A</v>
      </c>
      <c r="L89" s="0" t="str">
        <f aca="false">IFERROR(SMALL(K5:K364,ROW()-ROW($L$5)+1),"")</f>
        <v/>
      </c>
      <c r="N89" s="0" t="n">
        <f aca="false">IFERROR(SUM(L5:L89),"")</f>
        <v>0</v>
      </c>
      <c r="Q89" s="0" t="e">
        <f aca="false">IF(Charts!$B$3="none",E1896,IF(K1896="",NA(),K1896))</f>
        <v>#N/A</v>
      </c>
      <c r="R89" s="0" t="e">
        <f aca="false">IF(Charts!$B$3="none",F1896,IF(L1896="",NA(),L1896))</f>
        <v>#N/A</v>
      </c>
      <c r="S89" s="0" t="e">
        <f aca="false">IF(Charts!$B$3="none",G1896,IF(M1896="",NA(),M1896))</f>
        <v>#N/A</v>
      </c>
      <c r="T89" s="0" t="e">
        <f aca="false">IF(Charts!$B$3="none",H1896,IF(N1896="",NA(),N1896))</f>
        <v>#N/A</v>
      </c>
    </row>
    <row r="90" customFormat="false" ht="15" hidden="false" customHeight="false" outlineLevel="0" collapsed="false">
      <c r="D90" s="0" t="n">
        <v>86</v>
      </c>
      <c r="E90" s="0" t="str">
        <f aca="true">IF(INDIRECT(ADDRESS($D90+2,E$2+1,,,"Instances"))="","",INDIRECT(ADDRESS($D90+2,E$2+1,,,"Instances")))</f>
        <v>Level_2/3-1101000</v>
      </c>
      <c r="F90" s="0" t="str">
        <f aca="false">IFERROR(SMALL(E5:E364,ROW()-ROW($F$5)+1),"")</f>
        <v/>
      </c>
      <c r="H90" s="0" t="n">
        <f aca="false">IFERROR(SUM(F5:F90),"")</f>
        <v>0</v>
      </c>
      <c r="J90" s="0" t="n">
        <v>86</v>
      </c>
      <c r="K90" s="0" t="e">
        <f aca="true" t="array" ref="K90:K90">_xlfn.SWITCH(Charts!$B$3,"average", AVERAGE(INDIRECT(ADDRESS(85+3,K$2+1,,,"Instances") &amp; ":" &amp; ADDRESS(85+3,K$2+1))),"median", MEDIAN(INDIRECT(ADDRESS(85+3,K$2+1,,,"Instances") &amp; ":" &amp; ADDRESS(85+3,K$2+1))),"min", MIN(INDIRECT(ADDRESS(85+3,K$2+1,,,"Instances") &amp; ":" &amp; ADDRESS(85+3,K$2+1))),"max", MAX(INDIRECT(ADDRESS(85+3,K$2+1,,,"Instances") &amp; ":" &amp; ADDRESS(85+3,K$2+1))),"diff", MAX(INDIRECT(ADDRESS(85+3,K$2+1,,,"Instances") &amp; ":" &amp; ADDRESS(85+3,K$2+1)))-MIN(INDIRECT(ADDRESS(85+3,K$2+1,,,"Instances") &amp; ":" &amp; ADDRESS(85+3,K$2+1))))</f>
        <v>#N/A</v>
      </c>
      <c r="L90" s="0" t="str">
        <f aca="false">IFERROR(SMALL(K5:K364,ROW()-ROW($L$5)+1),"")</f>
        <v/>
      </c>
      <c r="N90" s="0" t="n">
        <f aca="false">IFERROR(SUM(L5:L90),"")</f>
        <v>0</v>
      </c>
      <c r="Q90" s="0" t="e">
        <f aca="false">IF(Charts!$B$3="none",E1897,IF(K1897="",NA(),K1897))</f>
        <v>#N/A</v>
      </c>
      <c r="R90" s="0" t="e">
        <f aca="false">IF(Charts!$B$3="none",F1897,IF(L1897="",NA(),L1897))</f>
        <v>#N/A</v>
      </c>
      <c r="S90" s="0" t="e">
        <f aca="false">IF(Charts!$B$3="none",G1897,IF(M1897="",NA(),M1897))</f>
        <v>#N/A</v>
      </c>
      <c r="T90" s="0" t="e">
        <f aca="false">IF(Charts!$B$3="none",H1897,IF(N1897="",NA(),N1897))</f>
        <v>#N/A</v>
      </c>
    </row>
    <row r="91" customFormat="false" ht="15" hidden="false" customHeight="false" outlineLevel="0" collapsed="false">
      <c r="D91" s="0" t="n">
        <v>87</v>
      </c>
      <c r="E91" s="0" t="str">
        <f aca="true">IF(INDIRECT(ADDRESS($D91+2,E$2+1,,,"Instances"))="","",INDIRECT(ADDRESS($D91+2,E$2+1,,,"Instances")))</f>
        <v>Level_2/4-0011110</v>
      </c>
      <c r="F91" s="0" t="str">
        <f aca="false">IFERROR(SMALL(E5:E364,ROW()-ROW($F$5)+1),"")</f>
        <v/>
      </c>
      <c r="H91" s="0" t="n">
        <f aca="false">IFERROR(SUM(F5:F91),"")</f>
        <v>0</v>
      </c>
      <c r="J91" s="0" t="n">
        <v>87</v>
      </c>
      <c r="K91" s="0" t="e">
        <f aca="true" t="array" ref="K91:K91">_xlfn.SWITCH(Charts!$B$3,"average", AVERAGE(INDIRECT(ADDRESS(86+3,K$2+1,,,"Instances") &amp; ":" &amp; ADDRESS(86+3,K$2+1))),"median", MEDIAN(INDIRECT(ADDRESS(86+3,K$2+1,,,"Instances") &amp; ":" &amp; ADDRESS(86+3,K$2+1))),"min", MIN(INDIRECT(ADDRESS(86+3,K$2+1,,,"Instances") &amp; ":" &amp; ADDRESS(86+3,K$2+1))),"max", MAX(INDIRECT(ADDRESS(86+3,K$2+1,,,"Instances") &amp; ":" &amp; ADDRESS(86+3,K$2+1))),"diff", MAX(INDIRECT(ADDRESS(86+3,K$2+1,,,"Instances") &amp; ":" &amp; ADDRESS(86+3,K$2+1)))-MIN(INDIRECT(ADDRESS(86+3,K$2+1,,,"Instances") &amp; ":" &amp; ADDRESS(86+3,K$2+1))))</f>
        <v>#N/A</v>
      </c>
      <c r="L91" s="0" t="str">
        <f aca="false">IFERROR(SMALL(K5:K364,ROW()-ROW($L$5)+1),"")</f>
        <v/>
      </c>
      <c r="N91" s="0" t="n">
        <f aca="false">IFERROR(SUM(L5:L91),"")</f>
        <v>0</v>
      </c>
      <c r="Q91" s="0" t="e">
        <f aca="false">IF(Charts!$B$3="none",E1898,IF(K1898="",NA(),K1898))</f>
        <v>#N/A</v>
      </c>
      <c r="R91" s="0" t="e">
        <f aca="false">IF(Charts!$B$3="none",F1898,IF(L1898="",NA(),L1898))</f>
        <v>#N/A</v>
      </c>
      <c r="S91" s="0" t="e">
        <f aca="false">IF(Charts!$B$3="none",G1898,IF(M1898="",NA(),M1898))</f>
        <v>#N/A</v>
      </c>
      <c r="T91" s="0" t="e">
        <f aca="false">IF(Charts!$B$3="none",H1898,IF(N1898="",NA(),N1898))</f>
        <v>#N/A</v>
      </c>
    </row>
    <row r="92" customFormat="false" ht="15" hidden="false" customHeight="false" outlineLevel="0" collapsed="false">
      <c r="D92" s="0" t="n">
        <v>88</v>
      </c>
      <c r="E92" s="0" t="str">
        <f aca="true">IF(INDIRECT(ADDRESS($D92+2,E$2+1,,,"Instances"))="","",INDIRECT(ADDRESS($D92+2,E$2+1,,,"Instances")))</f>
        <v>Level_2/4-0100111</v>
      </c>
      <c r="F92" s="0" t="str">
        <f aca="false">IFERROR(SMALL(E5:E364,ROW()-ROW($F$5)+1),"")</f>
        <v/>
      </c>
      <c r="H92" s="0" t="n">
        <f aca="false">IFERROR(SUM(F5:F92),"")</f>
        <v>0</v>
      </c>
      <c r="J92" s="0" t="n">
        <v>88</v>
      </c>
      <c r="K92" s="0" t="e">
        <f aca="true" t="array" ref="K92:K92">_xlfn.SWITCH(Charts!$B$3,"average", AVERAGE(INDIRECT(ADDRESS(87+3,K$2+1,,,"Instances") &amp; ":" &amp; ADDRESS(87+3,K$2+1))),"median", MEDIAN(INDIRECT(ADDRESS(87+3,K$2+1,,,"Instances") &amp; ":" &amp; ADDRESS(87+3,K$2+1))),"min", MIN(INDIRECT(ADDRESS(87+3,K$2+1,,,"Instances") &amp; ":" &amp; ADDRESS(87+3,K$2+1))),"max", MAX(INDIRECT(ADDRESS(87+3,K$2+1,,,"Instances") &amp; ":" &amp; ADDRESS(87+3,K$2+1))),"diff", MAX(INDIRECT(ADDRESS(87+3,K$2+1,,,"Instances") &amp; ":" &amp; ADDRESS(87+3,K$2+1)))-MIN(INDIRECT(ADDRESS(87+3,K$2+1,,,"Instances") &amp; ":" &amp; ADDRESS(87+3,K$2+1))))</f>
        <v>#N/A</v>
      </c>
      <c r="L92" s="0" t="str">
        <f aca="false">IFERROR(SMALL(K5:K364,ROW()-ROW($L$5)+1),"")</f>
        <v/>
      </c>
      <c r="N92" s="0" t="n">
        <f aca="false">IFERROR(SUM(L5:L92),"")</f>
        <v>0</v>
      </c>
      <c r="Q92" s="0" t="e">
        <f aca="false">IF(Charts!$B$3="none",E1899,IF(K1899="",NA(),K1899))</f>
        <v>#N/A</v>
      </c>
      <c r="R92" s="0" t="e">
        <f aca="false">IF(Charts!$B$3="none",F1899,IF(L1899="",NA(),L1899))</f>
        <v>#N/A</v>
      </c>
      <c r="S92" s="0" t="e">
        <f aca="false">IF(Charts!$B$3="none",G1899,IF(M1899="",NA(),M1899))</f>
        <v>#N/A</v>
      </c>
      <c r="T92" s="0" t="e">
        <f aca="false">IF(Charts!$B$3="none",H1899,IF(N1899="",NA(),N1899))</f>
        <v>#N/A</v>
      </c>
    </row>
    <row r="93" customFormat="false" ht="15" hidden="false" customHeight="false" outlineLevel="0" collapsed="false">
      <c r="D93" s="0" t="n">
        <v>89</v>
      </c>
      <c r="E93" s="0" t="str">
        <f aca="true">IF(INDIRECT(ADDRESS($D93+2,E$2+1,,,"Instances"))="","",INDIRECT(ADDRESS($D93+2,E$2+1,,,"Instances")))</f>
        <v>Level_2/4-0101101</v>
      </c>
      <c r="F93" s="0" t="str">
        <f aca="false">IFERROR(SMALL(E5:E364,ROW()-ROW($F$5)+1),"")</f>
        <v/>
      </c>
      <c r="H93" s="0" t="n">
        <f aca="false">IFERROR(SUM(F5:F93),"")</f>
        <v>0</v>
      </c>
      <c r="J93" s="0" t="n">
        <v>89</v>
      </c>
      <c r="K93" s="0" t="e">
        <f aca="true" t="array" ref="K93:K93">_xlfn.SWITCH(Charts!$B$3,"average", AVERAGE(INDIRECT(ADDRESS(88+3,K$2+1,,,"Instances") &amp; ":" &amp; ADDRESS(88+3,K$2+1))),"median", MEDIAN(INDIRECT(ADDRESS(88+3,K$2+1,,,"Instances") &amp; ":" &amp; ADDRESS(88+3,K$2+1))),"min", MIN(INDIRECT(ADDRESS(88+3,K$2+1,,,"Instances") &amp; ":" &amp; ADDRESS(88+3,K$2+1))),"max", MAX(INDIRECT(ADDRESS(88+3,K$2+1,,,"Instances") &amp; ":" &amp; ADDRESS(88+3,K$2+1))),"diff", MAX(INDIRECT(ADDRESS(88+3,K$2+1,,,"Instances") &amp; ":" &amp; ADDRESS(88+3,K$2+1)))-MIN(INDIRECT(ADDRESS(88+3,K$2+1,,,"Instances") &amp; ":" &amp; ADDRESS(88+3,K$2+1))))</f>
        <v>#N/A</v>
      </c>
      <c r="L93" s="0" t="str">
        <f aca="false">IFERROR(SMALL(K5:K364,ROW()-ROW($L$5)+1),"")</f>
        <v/>
      </c>
      <c r="N93" s="0" t="n">
        <f aca="false">IFERROR(SUM(L5:L93),"")</f>
        <v>0</v>
      </c>
      <c r="Q93" s="0" t="e">
        <f aca="false">IF(Charts!$B$3="none",E1900,IF(K1900="",NA(),K1900))</f>
        <v>#N/A</v>
      </c>
      <c r="R93" s="0" t="e">
        <f aca="false">IF(Charts!$B$3="none",F1900,IF(L1900="",NA(),L1900))</f>
        <v>#N/A</v>
      </c>
      <c r="S93" s="0" t="e">
        <f aca="false">IF(Charts!$B$3="none",G1900,IF(M1900="",NA(),M1900))</f>
        <v>#N/A</v>
      </c>
      <c r="T93" s="0" t="e">
        <f aca="false">IF(Charts!$B$3="none",H1900,IF(N1900="",NA(),N1900))</f>
        <v>#N/A</v>
      </c>
    </row>
    <row r="94" customFormat="false" ht="15" hidden="false" customHeight="false" outlineLevel="0" collapsed="false">
      <c r="D94" s="0" t="n">
        <v>90</v>
      </c>
      <c r="E94" s="0" t="str">
        <f aca="true">IF(INDIRECT(ADDRESS($D94+2,E$2+1,,,"Instances"))="","",INDIRECT(ADDRESS($D94+2,E$2+1,,,"Instances")))</f>
        <v>Level_2/4-0110101</v>
      </c>
      <c r="F94" s="0" t="str">
        <f aca="false">IFERROR(SMALL(E5:E364,ROW()-ROW($F$5)+1),"")</f>
        <v/>
      </c>
      <c r="H94" s="0" t="n">
        <f aca="false">IFERROR(SUM(F5:F94),"")</f>
        <v>0</v>
      </c>
      <c r="J94" s="0" t="n">
        <v>90</v>
      </c>
      <c r="K94" s="0" t="e">
        <f aca="true" t="array" ref="K94:K94">_xlfn.SWITCH(Charts!$B$3,"average", AVERAGE(INDIRECT(ADDRESS(89+3,K$2+1,,,"Instances") &amp; ":" &amp; ADDRESS(89+3,K$2+1))),"median", MEDIAN(INDIRECT(ADDRESS(89+3,K$2+1,,,"Instances") &amp; ":" &amp; ADDRESS(89+3,K$2+1))),"min", MIN(INDIRECT(ADDRESS(89+3,K$2+1,,,"Instances") &amp; ":" &amp; ADDRESS(89+3,K$2+1))),"max", MAX(INDIRECT(ADDRESS(89+3,K$2+1,,,"Instances") &amp; ":" &amp; ADDRESS(89+3,K$2+1))),"diff", MAX(INDIRECT(ADDRESS(89+3,K$2+1,,,"Instances") &amp; ":" &amp; ADDRESS(89+3,K$2+1)))-MIN(INDIRECT(ADDRESS(89+3,K$2+1,,,"Instances") &amp; ":" &amp; ADDRESS(89+3,K$2+1))))</f>
        <v>#N/A</v>
      </c>
      <c r="L94" s="0" t="str">
        <f aca="false">IFERROR(SMALL(K5:K364,ROW()-ROW($L$5)+1),"")</f>
        <v/>
      </c>
      <c r="N94" s="0" t="n">
        <f aca="false">IFERROR(SUM(L5:L94),"")</f>
        <v>0</v>
      </c>
      <c r="Q94" s="0" t="e">
        <f aca="false">IF(Charts!$B$3="none",E1901,IF(K1901="",NA(),K1901))</f>
        <v>#N/A</v>
      </c>
      <c r="R94" s="0" t="e">
        <f aca="false">IF(Charts!$B$3="none",F1901,IF(L1901="",NA(),L1901))</f>
        <v>#N/A</v>
      </c>
      <c r="S94" s="0" t="e">
        <f aca="false">IF(Charts!$B$3="none",G1901,IF(M1901="",NA(),M1901))</f>
        <v>#N/A</v>
      </c>
      <c r="T94" s="0" t="e">
        <f aca="false">IF(Charts!$B$3="none",H1901,IF(N1901="",NA(),N1901))</f>
        <v>#N/A</v>
      </c>
    </row>
    <row r="95" customFormat="false" ht="15" hidden="false" customHeight="false" outlineLevel="0" collapsed="false">
      <c r="D95" s="0" t="n">
        <v>91</v>
      </c>
      <c r="E95" s="0" t="str">
        <f aca="true">IF(INDIRECT(ADDRESS($D95+2,E$2+1,,,"Instances"))="","",INDIRECT(ADDRESS($D95+2,E$2+1,,,"Instances")))</f>
        <v>Level_2/4-1011100</v>
      </c>
      <c r="F95" s="0" t="str">
        <f aca="false">IFERROR(SMALL(E5:E364,ROW()-ROW($F$5)+1),"")</f>
        <v/>
      </c>
      <c r="H95" s="0" t="n">
        <f aca="false">IFERROR(SUM(F5:F95),"")</f>
        <v>0</v>
      </c>
      <c r="J95" s="0" t="n">
        <v>91</v>
      </c>
      <c r="K95" s="0" t="e">
        <f aca="true" t="array" ref="K95:K95">_xlfn.SWITCH(Charts!$B$3,"average", AVERAGE(INDIRECT(ADDRESS(90+3,K$2+1,,,"Instances") &amp; ":" &amp; ADDRESS(90+3,K$2+1))),"median", MEDIAN(INDIRECT(ADDRESS(90+3,K$2+1,,,"Instances") &amp; ":" &amp; ADDRESS(90+3,K$2+1))),"min", MIN(INDIRECT(ADDRESS(90+3,K$2+1,,,"Instances") &amp; ":" &amp; ADDRESS(90+3,K$2+1))),"max", MAX(INDIRECT(ADDRESS(90+3,K$2+1,,,"Instances") &amp; ":" &amp; ADDRESS(90+3,K$2+1))),"diff", MAX(INDIRECT(ADDRESS(90+3,K$2+1,,,"Instances") &amp; ":" &amp; ADDRESS(90+3,K$2+1)))-MIN(INDIRECT(ADDRESS(90+3,K$2+1,,,"Instances") &amp; ":" &amp; ADDRESS(90+3,K$2+1))))</f>
        <v>#N/A</v>
      </c>
      <c r="L95" s="0" t="str">
        <f aca="false">IFERROR(SMALL(K5:K364,ROW()-ROW($L$5)+1),"")</f>
        <v/>
      </c>
      <c r="N95" s="0" t="n">
        <f aca="false">IFERROR(SUM(L5:L95),"")</f>
        <v>0</v>
      </c>
      <c r="Q95" s="0" t="e">
        <f aca="false">IF(Charts!$B$3="none",E1902,IF(K1902="",NA(),K1902))</f>
        <v>#N/A</v>
      </c>
      <c r="R95" s="0" t="e">
        <f aca="false">IF(Charts!$B$3="none",F1902,IF(L1902="",NA(),L1902))</f>
        <v>#N/A</v>
      </c>
      <c r="S95" s="0" t="e">
        <f aca="false">IF(Charts!$B$3="none",G1902,IF(M1902="",NA(),M1902))</f>
        <v>#N/A</v>
      </c>
      <c r="T95" s="0" t="e">
        <f aca="false">IF(Charts!$B$3="none",H1902,IF(N1902="",NA(),N1902))</f>
        <v>#N/A</v>
      </c>
    </row>
    <row r="96" customFormat="false" ht="15" hidden="false" customHeight="false" outlineLevel="0" collapsed="false">
      <c r="D96" s="0" t="n">
        <v>92</v>
      </c>
      <c r="E96" s="0" t="str">
        <f aca="true">IF(INDIRECT(ADDRESS($D96+2,E$2+1,,,"Instances"))="","",INDIRECT(ADDRESS($D96+2,E$2+1,,,"Instances")))</f>
        <v>Level_2/4-1100101</v>
      </c>
      <c r="F96" s="0" t="str">
        <f aca="false">IFERROR(SMALL(E5:E364,ROW()-ROW($F$5)+1),"")</f>
        <v/>
      </c>
      <c r="H96" s="0" t="n">
        <f aca="false">IFERROR(SUM(F5:F96),"")</f>
        <v>0</v>
      </c>
      <c r="J96" s="0" t="n">
        <v>92</v>
      </c>
      <c r="K96" s="0" t="e">
        <f aca="true" t="array" ref="K96:K96">_xlfn.SWITCH(Charts!$B$3,"average", AVERAGE(INDIRECT(ADDRESS(91+3,K$2+1,,,"Instances") &amp; ":" &amp; ADDRESS(91+3,K$2+1))),"median", MEDIAN(INDIRECT(ADDRESS(91+3,K$2+1,,,"Instances") &amp; ":" &amp; ADDRESS(91+3,K$2+1))),"min", MIN(INDIRECT(ADDRESS(91+3,K$2+1,,,"Instances") &amp; ":" &amp; ADDRESS(91+3,K$2+1))),"max", MAX(INDIRECT(ADDRESS(91+3,K$2+1,,,"Instances") &amp; ":" &amp; ADDRESS(91+3,K$2+1))),"diff", MAX(INDIRECT(ADDRESS(91+3,K$2+1,,,"Instances") &amp; ":" &amp; ADDRESS(91+3,K$2+1)))-MIN(INDIRECT(ADDRESS(91+3,K$2+1,,,"Instances") &amp; ":" &amp; ADDRESS(91+3,K$2+1))))</f>
        <v>#N/A</v>
      </c>
      <c r="L96" s="0" t="str">
        <f aca="false">IFERROR(SMALL(K5:K364,ROW()-ROW($L$5)+1),"")</f>
        <v/>
      </c>
      <c r="N96" s="0" t="n">
        <f aca="false">IFERROR(SUM(L5:L96),"")</f>
        <v>0</v>
      </c>
      <c r="Q96" s="0" t="e">
        <f aca="false">IF(Charts!$B$3="none",E1903,IF(K1903="",NA(),K1903))</f>
        <v>#N/A</v>
      </c>
      <c r="R96" s="0" t="e">
        <f aca="false">IF(Charts!$B$3="none",F1903,IF(L1903="",NA(),L1903))</f>
        <v>#N/A</v>
      </c>
      <c r="S96" s="0" t="e">
        <f aca="false">IF(Charts!$B$3="none",G1903,IF(M1903="",NA(),M1903))</f>
        <v>#N/A</v>
      </c>
      <c r="T96" s="0" t="e">
        <f aca="false">IF(Charts!$B$3="none",H1903,IF(N1903="",NA(),N1903))</f>
        <v>#N/A</v>
      </c>
    </row>
    <row r="97" customFormat="false" ht="15" hidden="false" customHeight="false" outlineLevel="0" collapsed="false">
      <c r="D97" s="0" t="n">
        <v>93</v>
      </c>
      <c r="E97" s="0" t="str">
        <f aca="true">IF(INDIRECT(ADDRESS($D97+2,E$2+1,,,"Instances"))="","",INDIRECT(ADDRESS($D97+2,E$2+1,,,"Instances")))</f>
        <v>Level_2/4-1110010</v>
      </c>
      <c r="F97" s="0" t="str">
        <f aca="false">IFERROR(SMALL(E5:E364,ROW()-ROW($F$5)+1),"")</f>
        <v/>
      </c>
      <c r="H97" s="0" t="n">
        <f aca="false">IFERROR(SUM(F5:F97),"")</f>
        <v>0</v>
      </c>
      <c r="J97" s="0" t="n">
        <v>93</v>
      </c>
      <c r="K97" s="0" t="e">
        <f aca="true" t="array" ref="K97:K97">_xlfn.SWITCH(Charts!$B$3,"average", AVERAGE(INDIRECT(ADDRESS(92+3,K$2+1,,,"Instances") &amp; ":" &amp; ADDRESS(92+3,K$2+1))),"median", MEDIAN(INDIRECT(ADDRESS(92+3,K$2+1,,,"Instances") &amp; ":" &amp; ADDRESS(92+3,K$2+1))),"min", MIN(INDIRECT(ADDRESS(92+3,K$2+1,,,"Instances") &amp; ":" &amp; ADDRESS(92+3,K$2+1))),"max", MAX(INDIRECT(ADDRESS(92+3,K$2+1,,,"Instances") &amp; ":" &amp; ADDRESS(92+3,K$2+1))),"diff", MAX(INDIRECT(ADDRESS(92+3,K$2+1,,,"Instances") &amp; ":" &amp; ADDRESS(92+3,K$2+1)))-MIN(INDIRECT(ADDRESS(92+3,K$2+1,,,"Instances") &amp; ":" &amp; ADDRESS(92+3,K$2+1))))</f>
        <v>#N/A</v>
      </c>
      <c r="L97" s="0" t="str">
        <f aca="false">IFERROR(SMALL(K5:K364,ROW()-ROW($L$5)+1),"")</f>
        <v/>
      </c>
      <c r="N97" s="0" t="n">
        <f aca="false">IFERROR(SUM(L5:L97),"")</f>
        <v>0</v>
      </c>
      <c r="Q97" s="0" t="e">
        <f aca="false">IF(Charts!$B$3="none",E1904,IF(K1904="",NA(),K1904))</f>
        <v>#N/A</v>
      </c>
      <c r="R97" s="0" t="e">
        <f aca="false">IF(Charts!$B$3="none",F1904,IF(L1904="",NA(),L1904))</f>
        <v>#N/A</v>
      </c>
      <c r="S97" s="0" t="e">
        <f aca="false">IF(Charts!$B$3="none",G1904,IF(M1904="",NA(),M1904))</f>
        <v>#N/A</v>
      </c>
      <c r="T97" s="0" t="e">
        <f aca="false">IF(Charts!$B$3="none",H1904,IF(N1904="",NA(),N1904))</f>
        <v>#N/A</v>
      </c>
    </row>
    <row r="98" customFormat="false" ht="15" hidden="false" customHeight="false" outlineLevel="0" collapsed="false">
      <c r="D98" s="0" t="n">
        <v>94</v>
      </c>
      <c r="E98" s="0" t="str">
        <f aca="true">IF(INDIRECT(ADDRESS($D98+2,E$2+1,,,"Instances"))="","",INDIRECT(ADDRESS($D98+2,E$2+1,,,"Instances")))</f>
        <v>Level_2/5-0101111</v>
      </c>
      <c r="F98" s="0" t="str">
        <f aca="false">IFERROR(SMALL(E5:E364,ROW()-ROW($F$5)+1),"")</f>
        <v/>
      </c>
      <c r="H98" s="0" t="n">
        <f aca="false">IFERROR(SUM(F5:F98),"")</f>
        <v>0</v>
      </c>
      <c r="J98" s="0" t="n">
        <v>94</v>
      </c>
      <c r="K98" s="0" t="e">
        <f aca="true" t="array" ref="K98:K98">_xlfn.SWITCH(Charts!$B$3,"average", AVERAGE(INDIRECT(ADDRESS(93+3,K$2+1,,,"Instances") &amp; ":" &amp; ADDRESS(93+3,K$2+1))),"median", MEDIAN(INDIRECT(ADDRESS(93+3,K$2+1,,,"Instances") &amp; ":" &amp; ADDRESS(93+3,K$2+1))),"min", MIN(INDIRECT(ADDRESS(93+3,K$2+1,,,"Instances") &amp; ":" &amp; ADDRESS(93+3,K$2+1))),"max", MAX(INDIRECT(ADDRESS(93+3,K$2+1,,,"Instances") &amp; ":" &amp; ADDRESS(93+3,K$2+1))),"diff", MAX(INDIRECT(ADDRESS(93+3,K$2+1,,,"Instances") &amp; ":" &amp; ADDRESS(93+3,K$2+1)))-MIN(INDIRECT(ADDRESS(93+3,K$2+1,,,"Instances") &amp; ":" &amp; ADDRESS(93+3,K$2+1))))</f>
        <v>#N/A</v>
      </c>
      <c r="L98" s="0" t="str">
        <f aca="false">IFERROR(SMALL(K5:K364,ROW()-ROW($L$5)+1),"")</f>
        <v/>
      </c>
      <c r="N98" s="0" t="n">
        <f aca="false">IFERROR(SUM(L5:L98),"")</f>
        <v>0</v>
      </c>
      <c r="Q98" s="0" t="e">
        <f aca="false">IF(Charts!$B$3="none",E1905,IF(K1905="",NA(),K1905))</f>
        <v>#N/A</v>
      </c>
      <c r="R98" s="0" t="e">
        <f aca="false">IF(Charts!$B$3="none",F1905,IF(L1905="",NA(),L1905))</f>
        <v>#N/A</v>
      </c>
      <c r="S98" s="0" t="e">
        <f aca="false">IF(Charts!$B$3="none",G1905,IF(M1905="",NA(),M1905))</f>
        <v>#N/A</v>
      </c>
      <c r="T98" s="0" t="e">
        <f aca="false">IF(Charts!$B$3="none",H1905,IF(N1905="",NA(),N1905))</f>
        <v>#N/A</v>
      </c>
    </row>
    <row r="99" customFormat="false" ht="15" hidden="false" customHeight="false" outlineLevel="0" collapsed="false">
      <c r="D99" s="0" t="n">
        <v>95</v>
      </c>
      <c r="E99" s="0" t="str">
        <f aca="true">IF(INDIRECT(ADDRESS($D99+2,E$2+1,,,"Instances"))="","",INDIRECT(ADDRESS($D99+2,E$2+1,,,"Instances")))</f>
        <v>Level_2/5-0110111</v>
      </c>
      <c r="F99" s="0" t="str">
        <f aca="false">IFERROR(SMALL(E5:E364,ROW()-ROW($F$5)+1),"")</f>
        <v/>
      </c>
      <c r="H99" s="0" t="n">
        <f aca="false">IFERROR(SUM(F5:F99),"")</f>
        <v>0</v>
      </c>
      <c r="J99" s="0" t="n">
        <v>95</v>
      </c>
      <c r="K99" s="0" t="e">
        <f aca="true" t="array" ref="K99:K99">_xlfn.SWITCH(Charts!$B$3,"average", AVERAGE(INDIRECT(ADDRESS(94+3,K$2+1,,,"Instances") &amp; ":" &amp; ADDRESS(94+3,K$2+1))),"median", MEDIAN(INDIRECT(ADDRESS(94+3,K$2+1,,,"Instances") &amp; ":" &amp; ADDRESS(94+3,K$2+1))),"min", MIN(INDIRECT(ADDRESS(94+3,K$2+1,,,"Instances") &amp; ":" &amp; ADDRESS(94+3,K$2+1))),"max", MAX(INDIRECT(ADDRESS(94+3,K$2+1,,,"Instances") &amp; ":" &amp; ADDRESS(94+3,K$2+1))),"diff", MAX(INDIRECT(ADDRESS(94+3,K$2+1,,,"Instances") &amp; ":" &amp; ADDRESS(94+3,K$2+1)))-MIN(INDIRECT(ADDRESS(94+3,K$2+1,,,"Instances") &amp; ":" &amp; ADDRESS(94+3,K$2+1))))</f>
        <v>#N/A</v>
      </c>
      <c r="L99" s="0" t="str">
        <f aca="false">IFERROR(SMALL(K5:K364,ROW()-ROW($L$5)+1),"")</f>
        <v/>
      </c>
      <c r="N99" s="0" t="n">
        <f aca="false">IFERROR(SUM(L5:L99),"")</f>
        <v>0</v>
      </c>
      <c r="Q99" s="0" t="e">
        <f aca="false">IF(Charts!$B$3="none",E1906,IF(K1906="",NA(),K1906))</f>
        <v>#N/A</v>
      </c>
      <c r="R99" s="0" t="e">
        <f aca="false">IF(Charts!$B$3="none",F1906,IF(L1906="",NA(),L1906))</f>
        <v>#N/A</v>
      </c>
      <c r="S99" s="0" t="e">
        <f aca="false">IF(Charts!$B$3="none",G1906,IF(M1906="",NA(),M1906))</f>
        <v>#N/A</v>
      </c>
      <c r="T99" s="0" t="e">
        <f aca="false">IF(Charts!$B$3="none",H1906,IF(N1906="",NA(),N1906))</f>
        <v>#N/A</v>
      </c>
    </row>
    <row r="100" customFormat="false" ht="15" hidden="false" customHeight="false" outlineLevel="0" collapsed="false">
      <c r="D100" s="0" t="n">
        <v>96</v>
      </c>
      <c r="E100" s="0" t="str">
        <f aca="true">IF(INDIRECT(ADDRESS($D100+2,E$2+1,,,"Instances"))="","",INDIRECT(ADDRESS($D100+2,E$2+1,,,"Instances")))</f>
        <v>Level_2/5-0111101</v>
      </c>
      <c r="F100" s="0" t="str">
        <f aca="false">IFERROR(SMALL(E5:E364,ROW()-ROW($F$5)+1),"")</f>
        <v/>
      </c>
      <c r="H100" s="0" t="n">
        <f aca="false">IFERROR(SUM(F5:F100),"")</f>
        <v>0</v>
      </c>
      <c r="J100" s="0" t="n">
        <v>96</v>
      </c>
      <c r="K100" s="0" t="e">
        <f aca="true" t="array" ref="K100:K100">_xlfn.SWITCH(Charts!$B$3,"average", AVERAGE(INDIRECT(ADDRESS(95+3,K$2+1,,,"Instances") &amp; ":" &amp; ADDRESS(95+3,K$2+1))),"median", MEDIAN(INDIRECT(ADDRESS(95+3,K$2+1,,,"Instances") &amp; ":" &amp; ADDRESS(95+3,K$2+1))),"min", MIN(INDIRECT(ADDRESS(95+3,K$2+1,,,"Instances") &amp; ":" &amp; ADDRESS(95+3,K$2+1))),"max", MAX(INDIRECT(ADDRESS(95+3,K$2+1,,,"Instances") &amp; ":" &amp; ADDRESS(95+3,K$2+1))),"diff", MAX(INDIRECT(ADDRESS(95+3,K$2+1,,,"Instances") &amp; ":" &amp; ADDRESS(95+3,K$2+1)))-MIN(INDIRECT(ADDRESS(95+3,K$2+1,,,"Instances") &amp; ":" &amp; ADDRESS(95+3,K$2+1))))</f>
        <v>#N/A</v>
      </c>
      <c r="L100" s="0" t="str">
        <f aca="false">IFERROR(SMALL(K5:K364,ROW()-ROW($L$5)+1),"")</f>
        <v/>
      </c>
      <c r="N100" s="0" t="n">
        <f aca="false">IFERROR(SUM(L5:L100),"")</f>
        <v>0</v>
      </c>
      <c r="Q100" s="0" t="e">
        <f aca="false">IF(Charts!$B$3="none",E1907,IF(K1907="",NA(),K1907))</f>
        <v>#N/A</v>
      </c>
      <c r="R100" s="0" t="e">
        <f aca="false">IF(Charts!$B$3="none",F1907,IF(L1907="",NA(),L1907))</f>
        <v>#N/A</v>
      </c>
      <c r="S100" s="0" t="e">
        <f aca="false">IF(Charts!$B$3="none",G1907,IF(M1907="",NA(),M1907))</f>
        <v>#N/A</v>
      </c>
      <c r="T100" s="0" t="e">
        <f aca="false">IF(Charts!$B$3="none",H1907,IF(N1907="",NA(),N1907))</f>
        <v>#N/A</v>
      </c>
    </row>
    <row r="101" customFormat="false" ht="15" hidden="false" customHeight="false" outlineLevel="0" collapsed="false">
      <c r="D101" s="0" t="n">
        <v>97</v>
      </c>
      <c r="E101" s="0" t="str">
        <f aca="true">IF(INDIRECT(ADDRESS($D101+2,E$2+1,,,"Instances"))="","",INDIRECT(ADDRESS($D101+2,E$2+1,,,"Instances")))</f>
        <v>Level_2/5-0111110</v>
      </c>
      <c r="F101" s="0" t="str">
        <f aca="false">IFERROR(SMALL(E5:E364,ROW()-ROW($F$5)+1),"")</f>
        <v/>
      </c>
      <c r="H101" s="0" t="n">
        <f aca="false">IFERROR(SUM(F5:F101),"")</f>
        <v>0</v>
      </c>
      <c r="J101" s="0" t="n">
        <v>97</v>
      </c>
      <c r="K101" s="0" t="e">
        <f aca="true" t="array" ref="K101:K101">_xlfn.SWITCH(Charts!$B$3,"average", AVERAGE(INDIRECT(ADDRESS(96+3,K$2+1,,,"Instances") &amp; ":" &amp; ADDRESS(96+3,K$2+1))),"median", MEDIAN(INDIRECT(ADDRESS(96+3,K$2+1,,,"Instances") &amp; ":" &amp; ADDRESS(96+3,K$2+1))),"min", MIN(INDIRECT(ADDRESS(96+3,K$2+1,,,"Instances") &amp; ":" &amp; ADDRESS(96+3,K$2+1))),"max", MAX(INDIRECT(ADDRESS(96+3,K$2+1,,,"Instances") &amp; ":" &amp; ADDRESS(96+3,K$2+1))),"diff", MAX(INDIRECT(ADDRESS(96+3,K$2+1,,,"Instances") &amp; ":" &amp; ADDRESS(96+3,K$2+1)))-MIN(INDIRECT(ADDRESS(96+3,K$2+1,,,"Instances") &amp; ":" &amp; ADDRESS(96+3,K$2+1))))</f>
        <v>#N/A</v>
      </c>
      <c r="L101" s="0" t="str">
        <f aca="false">IFERROR(SMALL(K5:K364,ROW()-ROW($L$5)+1),"")</f>
        <v/>
      </c>
      <c r="N101" s="0" t="n">
        <f aca="false">IFERROR(SUM(L5:L101),"")</f>
        <v>0</v>
      </c>
      <c r="Q101" s="0" t="e">
        <f aca="false">IF(Charts!$B$3="none",E1908,IF(K1908="",NA(),K1908))</f>
        <v>#N/A</v>
      </c>
      <c r="R101" s="0" t="e">
        <f aca="false">IF(Charts!$B$3="none",F1908,IF(L1908="",NA(),L1908))</f>
        <v>#N/A</v>
      </c>
      <c r="S101" s="0" t="e">
        <f aca="false">IF(Charts!$B$3="none",G1908,IF(M1908="",NA(),M1908))</f>
        <v>#N/A</v>
      </c>
      <c r="T101" s="0" t="e">
        <f aca="false">IF(Charts!$B$3="none",H1908,IF(N1908="",NA(),N1908))</f>
        <v>#N/A</v>
      </c>
    </row>
    <row r="102" customFormat="false" ht="15" hidden="false" customHeight="false" outlineLevel="0" collapsed="false">
      <c r="D102" s="0" t="n">
        <v>98</v>
      </c>
      <c r="E102" s="0" t="str">
        <f aca="true">IF(INDIRECT(ADDRESS($D102+2,E$2+1,,,"Instances"))="","",INDIRECT(ADDRESS($D102+2,E$2+1,,,"Instances")))</f>
        <v>Level_2/5-1011110</v>
      </c>
      <c r="F102" s="0" t="str">
        <f aca="false">IFERROR(SMALL(E5:E364,ROW()-ROW($F$5)+1),"")</f>
        <v/>
      </c>
      <c r="H102" s="0" t="n">
        <f aca="false">IFERROR(SUM(F5:F102),"")</f>
        <v>0</v>
      </c>
      <c r="J102" s="0" t="n">
        <v>98</v>
      </c>
      <c r="K102" s="0" t="e">
        <f aca="true" t="array" ref="K102:K102">_xlfn.SWITCH(Charts!$B$3,"average", AVERAGE(INDIRECT(ADDRESS(97+3,K$2+1,,,"Instances") &amp; ":" &amp; ADDRESS(97+3,K$2+1))),"median", MEDIAN(INDIRECT(ADDRESS(97+3,K$2+1,,,"Instances") &amp; ":" &amp; ADDRESS(97+3,K$2+1))),"min", MIN(INDIRECT(ADDRESS(97+3,K$2+1,,,"Instances") &amp; ":" &amp; ADDRESS(97+3,K$2+1))),"max", MAX(INDIRECT(ADDRESS(97+3,K$2+1,,,"Instances") &amp; ":" &amp; ADDRESS(97+3,K$2+1))),"diff", MAX(INDIRECT(ADDRESS(97+3,K$2+1,,,"Instances") &amp; ":" &amp; ADDRESS(97+3,K$2+1)))-MIN(INDIRECT(ADDRESS(97+3,K$2+1,,,"Instances") &amp; ":" &amp; ADDRESS(97+3,K$2+1))))</f>
        <v>#N/A</v>
      </c>
      <c r="L102" s="0" t="str">
        <f aca="false">IFERROR(SMALL(K5:K364,ROW()-ROW($L$5)+1),"")</f>
        <v/>
      </c>
      <c r="N102" s="0" t="n">
        <f aca="false">IFERROR(SUM(L5:L102),"")</f>
        <v>0</v>
      </c>
      <c r="Q102" s="0" t="e">
        <f aca="false">IF(Charts!$B$3="none",E1909,IF(K1909="",NA(),K1909))</f>
        <v>#N/A</v>
      </c>
      <c r="R102" s="0" t="e">
        <f aca="false">IF(Charts!$B$3="none",F1909,IF(L1909="",NA(),L1909))</f>
        <v>#N/A</v>
      </c>
      <c r="S102" s="0" t="e">
        <f aca="false">IF(Charts!$B$3="none",G1909,IF(M1909="",NA(),M1909))</f>
        <v>#N/A</v>
      </c>
      <c r="T102" s="0" t="e">
        <f aca="false">IF(Charts!$B$3="none",H1909,IF(N1909="",NA(),N1909))</f>
        <v>#N/A</v>
      </c>
    </row>
    <row r="103" customFormat="false" ht="15" hidden="false" customHeight="false" outlineLevel="0" collapsed="false">
      <c r="D103" s="0" t="n">
        <v>99</v>
      </c>
      <c r="E103" s="0" t="str">
        <f aca="true">IF(INDIRECT(ADDRESS($D103+2,E$2+1,,,"Instances"))="","",INDIRECT(ADDRESS($D103+2,E$2+1,,,"Instances")))</f>
        <v>Level_2/5-1101101</v>
      </c>
      <c r="F103" s="0" t="str">
        <f aca="false">IFERROR(SMALL(E5:E364,ROW()-ROW($F$5)+1),"")</f>
        <v/>
      </c>
      <c r="H103" s="0" t="n">
        <f aca="false">IFERROR(SUM(F5:F103),"")</f>
        <v>0</v>
      </c>
      <c r="J103" s="0" t="n">
        <v>99</v>
      </c>
      <c r="K103" s="0" t="e">
        <f aca="true" t="array" ref="K103:K103">_xlfn.SWITCH(Charts!$B$3,"average", AVERAGE(INDIRECT(ADDRESS(98+3,K$2+1,,,"Instances") &amp; ":" &amp; ADDRESS(98+3,K$2+1))),"median", MEDIAN(INDIRECT(ADDRESS(98+3,K$2+1,,,"Instances") &amp; ":" &amp; ADDRESS(98+3,K$2+1))),"min", MIN(INDIRECT(ADDRESS(98+3,K$2+1,,,"Instances") &amp; ":" &amp; ADDRESS(98+3,K$2+1))),"max", MAX(INDIRECT(ADDRESS(98+3,K$2+1,,,"Instances") &amp; ":" &amp; ADDRESS(98+3,K$2+1))),"diff", MAX(INDIRECT(ADDRESS(98+3,K$2+1,,,"Instances") &amp; ":" &amp; ADDRESS(98+3,K$2+1)))-MIN(INDIRECT(ADDRESS(98+3,K$2+1,,,"Instances") &amp; ":" &amp; ADDRESS(98+3,K$2+1))))</f>
        <v>#N/A</v>
      </c>
      <c r="L103" s="0" t="str">
        <f aca="false">IFERROR(SMALL(K5:K364,ROW()-ROW($L$5)+1),"")</f>
        <v/>
      </c>
      <c r="N103" s="0" t="n">
        <f aca="false">IFERROR(SUM(L5:L103),"")</f>
        <v>0</v>
      </c>
      <c r="Q103" s="0" t="e">
        <f aca="false">IF(Charts!$B$3="none",E1910,IF(K1910="",NA(),K1910))</f>
        <v>#N/A</v>
      </c>
      <c r="R103" s="0" t="e">
        <f aca="false">IF(Charts!$B$3="none",F1910,IF(L1910="",NA(),L1910))</f>
        <v>#N/A</v>
      </c>
      <c r="S103" s="0" t="e">
        <f aca="false">IF(Charts!$B$3="none",G1910,IF(M1910="",NA(),M1910))</f>
        <v>#N/A</v>
      </c>
      <c r="T103" s="0" t="e">
        <f aca="false">IF(Charts!$B$3="none",H1910,IF(N1910="",NA(),N1910))</f>
        <v>#N/A</v>
      </c>
    </row>
    <row r="104" customFormat="false" ht="15" hidden="false" customHeight="false" outlineLevel="0" collapsed="false">
      <c r="D104" s="0" t="n">
        <v>100</v>
      </c>
      <c r="E104" s="0" t="str">
        <f aca="true">IF(INDIRECT(ADDRESS($D104+2,E$2+1,,,"Instances"))="","",INDIRECT(ADDRESS($D104+2,E$2+1,,,"Instances")))</f>
        <v>Level_2/5-1110011</v>
      </c>
      <c r="F104" s="0" t="str">
        <f aca="false">IFERROR(SMALL(E5:E364,ROW()-ROW($F$5)+1),"")</f>
        <v/>
      </c>
      <c r="H104" s="0" t="n">
        <f aca="false">IFERROR(SUM(F5:F104),"")</f>
        <v>0</v>
      </c>
      <c r="J104" s="0" t="n">
        <v>100</v>
      </c>
      <c r="K104" s="0" t="e">
        <f aca="true" t="array" ref="K104:K104">_xlfn.SWITCH(Charts!$B$3,"average", AVERAGE(INDIRECT(ADDRESS(99+3,K$2+1,,,"Instances") &amp; ":" &amp; ADDRESS(99+3,K$2+1))),"median", MEDIAN(INDIRECT(ADDRESS(99+3,K$2+1,,,"Instances") &amp; ":" &amp; ADDRESS(99+3,K$2+1))),"min", MIN(INDIRECT(ADDRESS(99+3,K$2+1,,,"Instances") &amp; ":" &amp; ADDRESS(99+3,K$2+1))),"max", MAX(INDIRECT(ADDRESS(99+3,K$2+1,,,"Instances") &amp; ":" &amp; ADDRESS(99+3,K$2+1))),"diff", MAX(INDIRECT(ADDRESS(99+3,K$2+1,,,"Instances") &amp; ":" &amp; ADDRESS(99+3,K$2+1)))-MIN(INDIRECT(ADDRESS(99+3,K$2+1,,,"Instances") &amp; ":" &amp; ADDRESS(99+3,K$2+1))))</f>
        <v>#N/A</v>
      </c>
      <c r="L104" s="0" t="str">
        <f aca="false">IFERROR(SMALL(K5:K364,ROW()-ROW($L$5)+1),"")</f>
        <v/>
      </c>
      <c r="N104" s="0" t="n">
        <f aca="false">IFERROR(SUM(L5:L104),"")</f>
        <v>0</v>
      </c>
      <c r="Q104" s="0" t="e">
        <f aca="false">IF(Charts!$B$3="none",E1911,IF(K1911="",NA(),K1911))</f>
        <v>#N/A</v>
      </c>
      <c r="R104" s="0" t="e">
        <f aca="false">IF(Charts!$B$3="none",F1911,IF(L1911="",NA(),L1911))</f>
        <v>#N/A</v>
      </c>
      <c r="S104" s="0" t="e">
        <f aca="false">IF(Charts!$B$3="none",G1911,IF(M1911="",NA(),M1911))</f>
        <v>#N/A</v>
      </c>
      <c r="T104" s="0" t="e">
        <f aca="false">IF(Charts!$B$3="none",H1911,IF(N1911="",NA(),N1911))</f>
        <v>#N/A</v>
      </c>
    </row>
    <row r="105" customFormat="false" ht="15" hidden="false" customHeight="false" outlineLevel="0" collapsed="false">
      <c r="D105" s="0" t="n">
        <v>101</v>
      </c>
      <c r="E105" s="0" t="str">
        <f aca="true">IF(INDIRECT(ADDRESS($D105+2,E$2+1,,,"Instances"))="","",INDIRECT(ADDRESS($D105+2,E$2+1,,,"Instances")))</f>
        <v>Level_2/6-0111111</v>
      </c>
      <c r="F105" s="0" t="str">
        <f aca="false">IFERROR(SMALL(E5:E364,ROW()-ROW($F$5)+1),"")</f>
        <v/>
      </c>
      <c r="H105" s="0" t="n">
        <f aca="false">IFERROR(SUM(F5:F105),"")</f>
        <v>0</v>
      </c>
      <c r="J105" s="0" t="n">
        <v>101</v>
      </c>
      <c r="K105" s="0" t="e">
        <f aca="true" t="array" ref="K105:K105">_xlfn.SWITCH(Charts!$B$3,"average", AVERAGE(INDIRECT(ADDRESS(100+3,K$2+1,,,"Instances") &amp; ":" &amp; ADDRESS(100+3,K$2+1))),"median", MEDIAN(INDIRECT(ADDRESS(100+3,K$2+1,,,"Instances") &amp; ":" &amp; ADDRESS(100+3,K$2+1))),"min", MIN(INDIRECT(ADDRESS(100+3,K$2+1,,,"Instances") &amp; ":" &amp; ADDRESS(100+3,K$2+1))),"max", MAX(INDIRECT(ADDRESS(100+3,K$2+1,,,"Instances") &amp; ":" &amp; ADDRESS(100+3,K$2+1))),"diff", MAX(INDIRECT(ADDRESS(100+3,K$2+1,,,"Instances") &amp; ":" &amp; ADDRESS(100+3,K$2+1)))-MIN(INDIRECT(ADDRESS(100+3,K$2+1,,,"Instances") &amp; ":" &amp; ADDRESS(100+3,K$2+1))))</f>
        <v>#N/A</v>
      </c>
      <c r="L105" s="0" t="str">
        <f aca="false">IFERROR(SMALL(K5:K364,ROW()-ROW($L$5)+1),"")</f>
        <v/>
      </c>
      <c r="N105" s="0" t="n">
        <f aca="false">IFERROR(SUM(L5:L105),"")</f>
        <v>0</v>
      </c>
      <c r="Q105" s="0" t="e">
        <f aca="false">IF(Charts!$B$3="none",E1912,IF(K1912="",NA(),K1912))</f>
        <v>#N/A</v>
      </c>
      <c r="R105" s="0" t="e">
        <f aca="false">IF(Charts!$B$3="none",F1912,IF(L1912="",NA(),L1912))</f>
        <v>#N/A</v>
      </c>
      <c r="S105" s="0" t="e">
        <f aca="false">IF(Charts!$B$3="none",G1912,IF(M1912="",NA(),M1912))</f>
        <v>#N/A</v>
      </c>
      <c r="T105" s="0" t="e">
        <f aca="false">IF(Charts!$B$3="none",H1912,IF(N1912="",NA(),N1912))</f>
        <v>#N/A</v>
      </c>
    </row>
    <row r="106" customFormat="false" ht="15" hidden="false" customHeight="false" outlineLevel="0" collapsed="false">
      <c r="D106" s="0" t="n">
        <v>102</v>
      </c>
      <c r="E106" s="0" t="str">
        <f aca="true">IF(INDIRECT(ADDRESS($D106+2,E$2+1,,,"Instances"))="","",INDIRECT(ADDRESS($D106+2,E$2+1,,,"Instances")))</f>
        <v>Level_2/6-1011111</v>
      </c>
      <c r="F106" s="0" t="str">
        <f aca="false">IFERROR(SMALL(E5:E364,ROW()-ROW($F$5)+1),"")</f>
        <v/>
      </c>
      <c r="H106" s="0" t="n">
        <f aca="false">IFERROR(SUM(F5:F106),"")</f>
        <v>0</v>
      </c>
      <c r="J106" s="0" t="n">
        <v>102</v>
      </c>
      <c r="K106" s="0" t="e">
        <f aca="true" t="array" ref="K106:K106">_xlfn.SWITCH(Charts!$B$3,"average", AVERAGE(INDIRECT(ADDRESS(101+3,K$2+1,,,"Instances") &amp; ":" &amp; ADDRESS(101+3,K$2+1))),"median", MEDIAN(INDIRECT(ADDRESS(101+3,K$2+1,,,"Instances") &amp; ":" &amp; ADDRESS(101+3,K$2+1))),"min", MIN(INDIRECT(ADDRESS(101+3,K$2+1,,,"Instances") &amp; ":" &amp; ADDRESS(101+3,K$2+1))),"max", MAX(INDIRECT(ADDRESS(101+3,K$2+1,,,"Instances") &amp; ":" &amp; ADDRESS(101+3,K$2+1))),"diff", MAX(INDIRECT(ADDRESS(101+3,K$2+1,,,"Instances") &amp; ":" &amp; ADDRESS(101+3,K$2+1)))-MIN(INDIRECT(ADDRESS(101+3,K$2+1,,,"Instances") &amp; ":" &amp; ADDRESS(101+3,K$2+1))))</f>
        <v>#N/A</v>
      </c>
      <c r="L106" s="0" t="str">
        <f aca="false">IFERROR(SMALL(K5:K364,ROW()-ROW($L$5)+1),"")</f>
        <v/>
      </c>
      <c r="N106" s="0" t="n">
        <f aca="false">IFERROR(SUM(L5:L106),"")</f>
        <v>0</v>
      </c>
      <c r="Q106" s="0" t="e">
        <f aca="false">IF(Charts!$B$3="none",E1913,IF(K1913="",NA(),K1913))</f>
        <v>#N/A</v>
      </c>
      <c r="R106" s="0" t="e">
        <f aca="false">IF(Charts!$B$3="none",F1913,IF(L1913="",NA(),L1913))</f>
        <v>#N/A</v>
      </c>
      <c r="S106" s="0" t="e">
        <f aca="false">IF(Charts!$B$3="none",G1913,IF(M1913="",NA(),M1913))</f>
        <v>#N/A</v>
      </c>
      <c r="T106" s="0" t="e">
        <f aca="false">IF(Charts!$B$3="none",H1913,IF(N1913="",NA(),N1913))</f>
        <v>#N/A</v>
      </c>
    </row>
    <row r="107" customFormat="false" ht="15" hidden="false" customHeight="false" outlineLevel="0" collapsed="false">
      <c r="D107" s="0" t="n">
        <v>103</v>
      </c>
      <c r="E107" s="0" t="str">
        <f aca="true">IF(INDIRECT(ADDRESS($D107+2,E$2+1,,,"Instances"))="","",INDIRECT(ADDRESS($D107+2,E$2+1,,,"Instances")))</f>
        <v>Level_2/6-1101111</v>
      </c>
      <c r="F107" s="0" t="str">
        <f aca="false">IFERROR(SMALL(E5:E364,ROW()-ROW($F$5)+1),"")</f>
        <v/>
      </c>
      <c r="H107" s="0" t="n">
        <f aca="false">IFERROR(SUM(F5:F107),"")</f>
        <v>0</v>
      </c>
      <c r="J107" s="0" t="n">
        <v>103</v>
      </c>
      <c r="K107" s="0" t="e">
        <f aca="true" t="array" ref="K107:K107">_xlfn.SWITCH(Charts!$B$3,"average", AVERAGE(INDIRECT(ADDRESS(102+3,K$2+1,,,"Instances") &amp; ":" &amp; ADDRESS(102+3,K$2+1))),"median", MEDIAN(INDIRECT(ADDRESS(102+3,K$2+1,,,"Instances") &amp; ":" &amp; ADDRESS(102+3,K$2+1))),"min", MIN(INDIRECT(ADDRESS(102+3,K$2+1,,,"Instances") &amp; ":" &amp; ADDRESS(102+3,K$2+1))),"max", MAX(INDIRECT(ADDRESS(102+3,K$2+1,,,"Instances") &amp; ":" &amp; ADDRESS(102+3,K$2+1))),"diff", MAX(INDIRECT(ADDRESS(102+3,K$2+1,,,"Instances") &amp; ":" &amp; ADDRESS(102+3,K$2+1)))-MIN(INDIRECT(ADDRESS(102+3,K$2+1,,,"Instances") &amp; ":" &amp; ADDRESS(102+3,K$2+1))))</f>
        <v>#N/A</v>
      </c>
      <c r="L107" s="0" t="str">
        <f aca="false">IFERROR(SMALL(K5:K364,ROW()-ROW($L$5)+1),"")</f>
        <v/>
      </c>
      <c r="N107" s="0" t="n">
        <f aca="false">IFERROR(SUM(L5:L107),"")</f>
        <v>0</v>
      </c>
      <c r="Q107" s="0" t="e">
        <f aca="false">IF(Charts!$B$3="none",E1914,IF(K1914="",NA(),K1914))</f>
        <v>#N/A</v>
      </c>
      <c r="R107" s="0" t="e">
        <f aca="false">IF(Charts!$B$3="none",F1914,IF(L1914="",NA(),L1914))</f>
        <v>#N/A</v>
      </c>
      <c r="S107" s="0" t="e">
        <f aca="false">IF(Charts!$B$3="none",G1914,IF(M1914="",NA(),M1914))</f>
        <v>#N/A</v>
      </c>
      <c r="T107" s="0" t="e">
        <f aca="false">IF(Charts!$B$3="none",H1914,IF(N1914="",NA(),N1914))</f>
        <v>#N/A</v>
      </c>
    </row>
    <row r="108" customFormat="false" ht="15" hidden="false" customHeight="false" outlineLevel="0" collapsed="false">
      <c r="D108" s="0" t="n">
        <v>104</v>
      </c>
      <c r="E108" s="0" t="str">
        <f aca="true">IF(INDIRECT(ADDRESS($D108+2,E$2+1,,,"Instances"))="","",INDIRECT(ADDRESS($D108+2,E$2+1,,,"Instances")))</f>
        <v>Level_2/6-1110111</v>
      </c>
      <c r="F108" s="0" t="str">
        <f aca="false">IFERROR(SMALL(E5:E364,ROW()-ROW($F$5)+1),"")</f>
        <v/>
      </c>
      <c r="H108" s="0" t="n">
        <f aca="false">IFERROR(SUM(F5:F108),"")</f>
        <v>0</v>
      </c>
      <c r="J108" s="0" t="n">
        <v>104</v>
      </c>
      <c r="K108" s="0" t="e">
        <f aca="true" t="array" ref="K108:K108">_xlfn.SWITCH(Charts!$B$3,"average", AVERAGE(INDIRECT(ADDRESS(103+3,K$2+1,,,"Instances") &amp; ":" &amp; ADDRESS(103+3,K$2+1))),"median", MEDIAN(INDIRECT(ADDRESS(103+3,K$2+1,,,"Instances") &amp; ":" &amp; ADDRESS(103+3,K$2+1))),"min", MIN(INDIRECT(ADDRESS(103+3,K$2+1,,,"Instances") &amp; ":" &amp; ADDRESS(103+3,K$2+1))),"max", MAX(INDIRECT(ADDRESS(103+3,K$2+1,,,"Instances") &amp; ":" &amp; ADDRESS(103+3,K$2+1))),"diff", MAX(INDIRECT(ADDRESS(103+3,K$2+1,,,"Instances") &amp; ":" &amp; ADDRESS(103+3,K$2+1)))-MIN(INDIRECT(ADDRESS(103+3,K$2+1,,,"Instances") &amp; ":" &amp; ADDRESS(103+3,K$2+1))))</f>
        <v>#N/A</v>
      </c>
      <c r="L108" s="0" t="str">
        <f aca="false">IFERROR(SMALL(K5:K364,ROW()-ROW($L$5)+1),"")</f>
        <v/>
      </c>
      <c r="N108" s="0" t="n">
        <f aca="false">IFERROR(SUM(L5:L108),"")</f>
        <v>0</v>
      </c>
      <c r="Q108" s="0" t="e">
        <f aca="false">IF(Charts!$B$3="none",E1915,IF(K1915="",NA(),K1915))</f>
        <v>#N/A</v>
      </c>
      <c r="R108" s="0" t="e">
        <f aca="false">IF(Charts!$B$3="none",F1915,IF(L1915="",NA(),L1915))</f>
        <v>#N/A</v>
      </c>
      <c r="S108" s="0" t="e">
        <f aca="false">IF(Charts!$B$3="none",G1915,IF(M1915="",NA(),M1915))</f>
        <v>#N/A</v>
      </c>
      <c r="T108" s="0" t="e">
        <f aca="false">IF(Charts!$B$3="none",H1915,IF(N1915="",NA(),N1915))</f>
        <v>#N/A</v>
      </c>
    </row>
    <row r="109" customFormat="false" ht="15" hidden="false" customHeight="false" outlineLevel="0" collapsed="false">
      <c r="D109" s="0" t="n">
        <v>105</v>
      </c>
      <c r="E109" s="0" t="str">
        <f aca="true">IF(INDIRECT(ADDRESS($D109+2,E$2+1,,,"Instances"))="","",INDIRECT(ADDRESS($D109+2,E$2+1,,,"Instances")))</f>
        <v>Level_2/6-1111011</v>
      </c>
      <c r="F109" s="0" t="str">
        <f aca="false">IFERROR(SMALL(E5:E364,ROW()-ROW($F$5)+1),"")</f>
        <v/>
      </c>
      <c r="H109" s="0" t="n">
        <f aca="false">IFERROR(SUM(F5:F109),"")</f>
        <v>0</v>
      </c>
      <c r="J109" s="0" t="n">
        <v>105</v>
      </c>
      <c r="K109" s="0" t="e">
        <f aca="true" t="array" ref="K109:K109">_xlfn.SWITCH(Charts!$B$3,"average", AVERAGE(INDIRECT(ADDRESS(104+3,K$2+1,,,"Instances") &amp; ":" &amp; ADDRESS(104+3,K$2+1))),"median", MEDIAN(INDIRECT(ADDRESS(104+3,K$2+1,,,"Instances") &amp; ":" &amp; ADDRESS(104+3,K$2+1))),"min", MIN(INDIRECT(ADDRESS(104+3,K$2+1,,,"Instances") &amp; ":" &amp; ADDRESS(104+3,K$2+1))),"max", MAX(INDIRECT(ADDRESS(104+3,K$2+1,,,"Instances") &amp; ":" &amp; ADDRESS(104+3,K$2+1))),"diff", MAX(INDIRECT(ADDRESS(104+3,K$2+1,,,"Instances") &amp; ":" &amp; ADDRESS(104+3,K$2+1)))-MIN(INDIRECT(ADDRESS(104+3,K$2+1,,,"Instances") &amp; ":" &amp; ADDRESS(104+3,K$2+1))))</f>
        <v>#N/A</v>
      </c>
      <c r="L109" s="0" t="str">
        <f aca="false">IFERROR(SMALL(K5:K364,ROW()-ROW($L$5)+1),"")</f>
        <v/>
      </c>
      <c r="N109" s="0" t="n">
        <f aca="false">IFERROR(SUM(L5:L109),"")</f>
        <v>0</v>
      </c>
      <c r="Q109" s="0" t="e">
        <f aca="false">IF(Charts!$B$3="none",E1916,IF(K1916="",NA(),K1916))</f>
        <v>#N/A</v>
      </c>
      <c r="R109" s="0" t="e">
        <f aca="false">IF(Charts!$B$3="none",F1916,IF(L1916="",NA(),L1916))</f>
        <v>#N/A</v>
      </c>
      <c r="S109" s="0" t="e">
        <f aca="false">IF(Charts!$B$3="none",G1916,IF(M1916="",NA(),M1916))</f>
        <v>#N/A</v>
      </c>
      <c r="T109" s="0" t="e">
        <f aca="false">IF(Charts!$B$3="none",H1916,IF(N1916="",NA(),N1916))</f>
        <v>#N/A</v>
      </c>
    </row>
    <row r="110" customFormat="false" ht="15" hidden="false" customHeight="false" outlineLevel="0" collapsed="false">
      <c r="D110" s="0" t="n">
        <v>106</v>
      </c>
      <c r="E110" s="0" t="str">
        <f aca="true">IF(INDIRECT(ADDRESS($D110+2,E$2+1,,,"Instances"))="","",INDIRECT(ADDRESS($D110+2,E$2+1,,,"Instances")))</f>
        <v>Level_2/6-1111101</v>
      </c>
      <c r="F110" s="0" t="str">
        <f aca="false">IFERROR(SMALL(E5:E364,ROW()-ROW($F$5)+1),"")</f>
        <v/>
      </c>
      <c r="H110" s="0" t="n">
        <f aca="false">IFERROR(SUM(F5:F110),"")</f>
        <v>0</v>
      </c>
      <c r="J110" s="0" t="n">
        <v>106</v>
      </c>
      <c r="K110" s="0" t="e">
        <f aca="true" t="array" ref="K110:K110">_xlfn.SWITCH(Charts!$B$3,"average", AVERAGE(INDIRECT(ADDRESS(105+3,K$2+1,,,"Instances") &amp; ":" &amp; ADDRESS(105+3,K$2+1))),"median", MEDIAN(INDIRECT(ADDRESS(105+3,K$2+1,,,"Instances") &amp; ":" &amp; ADDRESS(105+3,K$2+1))),"min", MIN(INDIRECT(ADDRESS(105+3,K$2+1,,,"Instances") &amp; ":" &amp; ADDRESS(105+3,K$2+1))),"max", MAX(INDIRECT(ADDRESS(105+3,K$2+1,,,"Instances") &amp; ":" &amp; ADDRESS(105+3,K$2+1))),"diff", MAX(INDIRECT(ADDRESS(105+3,K$2+1,,,"Instances") &amp; ":" &amp; ADDRESS(105+3,K$2+1)))-MIN(INDIRECT(ADDRESS(105+3,K$2+1,,,"Instances") &amp; ":" &amp; ADDRESS(105+3,K$2+1))))</f>
        <v>#N/A</v>
      </c>
      <c r="L110" s="0" t="str">
        <f aca="false">IFERROR(SMALL(K5:K364,ROW()-ROW($L$5)+1),"")</f>
        <v/>
      </c>
      <c r="N110" s="0" t="n">
        <f aca="false">IFERROR(SUM(L5:L110),"")</f>
        <v>0</v>
      </c>
      <c r="Q110" s="0" t="e">
        <f aca="false">IF(Charts!$B$3="none",E1917,IF(K1917="",NA(),K1917))</f>
        <v>#N/A</v>
      </c>
      <c r="R110" s="0" t="e">
        <f aca="false">IF(Charts!$B$3="none",F1917,IF(L1917="",NA(),L1917))</f>
        <v>#N/A</v>
      </c>
      <c r="S110" s="0" t="e">
        <f aca="false">IF(Charts!$B$3="none",G1917,IF(M1917="",NA(),M1917))</f>
        <v>#N/A</v>
      </c>
      <c r="T110" s="0" t="e">
        <f aca="false">IF(Charts!$B$3="none",H1917,IF(N1917="",NA(),N1917))</f>
        <v>#N/A</v>
      </c>
    </row>
    <row r="111" customFormat="false" ht="15" hidden="false" customHeight="false" outlineLevel="0" collapsed="false">
      <c r="D111" s="0" t="n">
        <v>107</v>
      </c>
      <c r="E111" s="0" t="str">
        <f aca="true">IF(INDIRECT(ADDRESS($D111+2,E$2+1,,,"Instances"))="","",INDIRECT(ADDRESS($D111+2,E$2+1,,,"Instances")))</f>
        <v>Level_2/6-1111110</v>
      </c>
      <c r="F111" s="0" t="str">
        <f aca="false">IFERROR(SMALL(E5:E364,ROW()-ROW($F$5)+1),"")</f>
        <v/>
      </c>
      <c r="H111" s="0" t="n">
        <f aca="false">IFERROR(SUM(F5:F111),"")</f>
        <v>0</v>
      </c>
      <c r="J111" s="0" t="n">
        <v>107</v>
      </c>
      <c r="K111" s="0" t="e">
        <f aca="true" t="array" ref="K111:K111">_xlfn.SWITCH(Charts!$B$3,"average", AVERAGE(INDIRECT(ADDRESS(106+3,K$2+1,,,"Instances") &amp; ":" &amp; ADDRESS(106+3,K$2+1))),"median", MEDIAN(INDIRECT(ADDRESS(106+3,K$2+1,,,"Instances") &amp; ":" &amp; ADDRESS(106+3,K$2+1))),"min", MIN(INDIRECT(ADDRESS(106+3,K$2+1,,,"Instances") &amp; ":" &amp; ADDRESS(106+3,K$2+1))),"max", MAX(INDIRECT(ADDRESS(106+3,K$2+1,,,"Instances") &amp; ":" &amp; ADDRESS(106+3,K$2+1))),"diff", MAX(INDIRECT(ADDRESS(106+3,K$2+1,,,"Instances") &amp; ":" &amp; ADDRESS(106+3,K$2+1)))-MIN(INDIRECT(ADDRESS(106+3,K$2+1,,,"Instances") &amp; ":" &amp; ADDRESS(106+3,K$2+1))))</f>
        <v>#N/A</v>
      </c>
      <c r="L111" s="0" t="str">
        <f aca="false">IFERROR(SMALL(K5:K364,ROW()-ROW($L$5)+1),"")</f>
        <v/>
      </c>
      <c r="N111" s="0" t="n">
        <f aca="false">IFERROR(SUM(L5:L111),"")</f>
        <v>0</v>
      </c>
      <c r="Q111" s="0" t="e">
        <f aca="false">IF(Charts!$B$3="none",E1918,IF(K1918="",NA(),K1918))</f>
        <v>#N/A</v>
      </c>
      <c r="R111" s="0" t="e">
        <f aca="false">IF(Charts!$B$3="none",F1918,IF(L1918="",NA(),L1918))</f>
        <v>#N/A</v>
      </c>
      <c r="S111" s="0" t="e">
        <f aca="false">IF(Charts!$B$3="none",G1918,IF(M1918="",NA(),M1918))</f>
        <v>#N/A</v>
      </c>
      <c r="T111" s="0" t="e">
        <f aca="false">IF(Charts!$B$3="none",H1918,IF(N1918="",NA(),N1918))</f>
        <v>#N/A</v>
      </c>
    </row>
    <row r="112" customFormat="false" ht="15" hidden="false" customHeight="false" outlineLevel="0" collapsed="false">
      <c r="D112" s="0" t="n">
        <v>108</v>
      </c>
      <c r="E112" s="0" t="str">
        <f aca="true">IF(INDIRECT(ADDRESS($D112+2,E$2+1,,,"Instances"))="","",INDIRECT(ADDRESS($D112+2,E$2+1,,,"Instances")))</f>
        <v>Level_2/7-1111111</v>
      </c>
      <c r="F112" s="0" t="str">
        <f aca="false">IFERROR(SMALL(E5:E364,ROW()-ROW($F$5)+1),"")</f>
        <v/>
      </c>
      <c r="H112" s="0" t="n">
        <f aca="false">IFERROR(SUM(F5:F112),"")</f>
        <v>0</v>
      </c>
      <c r="J112" s="0" t="n">
        <v>108</v>
      </c>
      <c r="K112" s="0" t="e">
        <f aca="true" t="array" ref="K112:K112">_xlfn.SWITCH(Charts!$B$3,"average", AVERAGE(INDIRECT(ADDRESS(107+3,K$2+1,,,"Instances") &amp; ":" &amp; ADDRESS(107+3,K$2+1))),"median", MEDIAN(INDIRECT(ADDRESS(107+3,K$2+1,,,"Instances") &amp; ":" &amp; ADDRESS(107+3,K$2+1))),"min", MIN(INDIRECT(ADDRESS(107+3,K$2+1,,,"Instances") &amp; ":" &amp; ADDRESS(107+3,K$2+1))),"max", MAX(INDIRECT(ADDRESS(107+3,K$2+1,,,"Instances") &amp; ":" &amp; ADDRESS(107+3,K$2+1))),"diff", MAX(INDIRECT(ADDRESS(107+3,K$2+1,,,"Instances") &amp; ":" &amp; ADDRESS(107+3,K$2+1)))-MIN(INDIRECT(ADDRESS(107+3,K$2+1,,,"Instances") &amp; ":" &amp; ADDRESS(107+3,K$2+1))))</f>
        <v>#N/A</v>
      </c>
      <c r="L112" s="0" t="str">
        <f aca="false">IFERROR(SMALL(K5:K364,ROW()-ROW($L$5)+1),"")</f>
        <v/>
      </c>
      <c r="N112" s="0" t="n">
        <f aca="false">IFERROR(SUM(L5:L112),"")</f>
        <v>0</v>
      </c>
      <c r="Q112" s="0" t="e">
        <f aca="false">IF(Charts!$B$3="none",E1919,IF(K1919="",NA(),K1919))</f>
        <v>#N/A</v>
      </c>
      <c r="R112" s="0" t="e">
        <f aca="false">IF(Charts!$B$3="none",F1919,IF(L1919="",NA(),L1919))</f>
        <v>#N/A</v>
      </c>
      <c r="S112" s="0" t="e">
        <f aca="false">IF(Charts!$B$3="none",G1919,IF(M1919="",NA(),M1919))</f>
        <v>#N/A</v>
      </c>
      <c r="T112" s="0" t="e">
        <f aca="false">IF(Charts!$B$3="none",H1919,IF(N1919="",NA(),N1919))</f>
        <v>#N/A</v>
      </c>
    </row>
    <row r="113" customFormat="false" ht="15" hidden="false" customHeight="false" outlineLevel="0" collapsed="false">
      <c r="D113" s="0" t="n">
        <v>109</v>
      </c>
      <c r="E113" s="0" t="str">
        <f aca="true">IF(INDIRECT(ADDRESS($D113+2,E$2+1,,,"Instances"))="","",INDIRECT(ADDRESS($D113+2,E$2+1,,,"Instances")))</f>
        <v>Level_3/2-0000110</v>
      </c>
      <c r="F113" s="0" t="str">
        <f aca="false">IFERROR(SMALL(E5:E364,ROW()-ROW($F$5)+1),"")</f>
        <v/>
      </c>
      <c r="H113" s="0" t="n">
        <f aca="false">IFERROR(SUM(F5:F113),"")</f>
        <v>0</v>
      </c>
      <c r="J113" s="0" t="n">
        <v>109</v>
      </c>
      <c r="K113" s="0" t="e">
        <f aca="true" t="array" ref="K113:K113">_xlfn.SWITCH(Charts!$B$3,"average", AVERAGE(INDIRECT(ADDRESS(108+3,K$2+1,,,"Instances") &amp; ":" &amp; ADDRESS(108+3,K$2+1))),"median", MEDIAN(INDIRECT(ADDRESS(108+3,K$2+1,,,"Instances") &amp; ":" &amp; ADDRESS(108+3,K$2+1))),"min", MIN(INDIRECT(ADDRESS(108+3,K$2+1,,,"Instances") &amp; ":" &amp; ADDRESS(108+3,K$2+1))),"max", MAX(INDIRECT(ADDRESS(108+3,K$2+1,,,"Instances") &amp; ":" &amp; ADDRESS(108+3,K$2+1))),"diff", MAX(INDIRECT(ADDRESS(108+3,K$2+1,,,"Instances") &amp; ":" &amp; ADDRESS(108+3,K$2+1)))-MIN(INDIRECT(ADDRESS(108+3,K$2+1,,,"Instances") &amp; ":" &amp; ADDRESS(108+3,K$2+1))))</f>
        <v>#N/A</v>
      </c>
      <c r="L113" s="0" t="str">
        <f aca="false">IFERROR(SMALL(K5:K364,ROW()-ROW($L$5)+1),"")</f>
        <v/>
      </c>
      <c r="N113" s="0" t="n">
        <f aca="false">IFERROR(SUM(L5:L113),"")</f>
        <v>0</v>
      </c>
      <c r="Q113" s="0" t="e">
        <f aca="false">IF(Charts!$B$3="none",E1920,IF(K1920="",NA(),K1920))</f>
        <v>#N/A</v>
      </c>
      <c r="R113" s="0" t="e">
        <f aca="false">IF(Charts!$B$3="none",F1920,IF(L1920="",NA(),L1920))</f>
        <v>#N/A</v>
      </c>
      <c r="S113" s="0" t="e">
        <f aca="false">IF(Charts!$B$3="none",G1920,IF(M1920="",NA(),M1920))</f>
        <v>#N/A</v>
      </c>
      <c r="T113" s="0" t="e">
        <f aca="false">IF(Charts!$B$3="none",H1920,IF(N1920="",NA(),N1920))</f>
        <v>#N/A</v>
      </c>
    </row>
    <row r="114" customFormat="false" ht="15" hidden="false" customHeight="false" outlineLevel="0" collapsed="false">
      <c r="D114" s="0" t="n">
        <v>110</v>
      </c>
      <c r="E114" s="0" t="str">
        <f aca="true">IF(INDIRECT(ADDRESS($D114+2,E$2+1,,,"Instances"))="","",INDIRECT(ADDRESS($D114+2,E$2+1,,,"Instances")))</f>
        <v>Level_3/2-0001010</v>
      </c>
      <c r="F114" s="0" t="str">
        <f aca="false">IFERROR(SMALL(E5:E364,ROW()-ROW($F$5)+1),"")</f>
        <v/>
      </c>
      <c r="H114" s="0" t="n">
        <f aca="false">IFERROR(SUM(F5:F114),"")</f>
        <v>0</v>
      </c>
      <c r="J114" s="0" t="n">
        <v>110</v>
      </c>
      <c r="K114" s="0" t="e">
        <f aca="true" t="array" ref="K114:K114">_xlfn.SWITCH(Charts!$B$3,"average", AVERAGE(INDIRECT(ADDRESS(109+3,K$2+1,,,"Instances") &amp; ":" &amp; ADDRESS(109+3,K$2+1))),"median", MEDIAN(INDIRECT(ADDRESS(109+3,K$2+1,,,"Instances") &amp; ":" &amp; ADDRESS(109+3,K$2+1))),"min", MIN(INDIRECT(ADDRESS(109+3,K$2+1,,,"Instances") &amp; ":" &amp; ADDRESS(109+3,K$2+1))),"max", MAX(INDIRECT(ADDRESS(109+3,K$2+1,,,"Instances") &amp; ":" &amp; ADDRESS(109+3,K$2+1))),"diff", MAX(INDIRECT(ADDRESS(109+3,K$2+1,,,"Instances") &amp; ":" &amp; ADDRESS(109+3,K$2+1)))-MIN(INDIRECT(ADDRESS(109+3,K$2+1,,,"Instances") &amp; ":" &amp; ADDRESS(109+3,K$2+1))))</f>
        <v>#N/A</v>
      </c>
      <c r="L114" s="0" t="str">
        <f aca="false">IFERROR(SMALL(K5:K364,ROW()-ROW($L$5)+1),"")</f>
        <v/>
      </c>
      <c r="N114" s="0" t="n">
        <f aca="false">IFERROR(SUM(L5:L114),"")</f>
        <v>0</v>
      </c>
      <c r="Q114" s="0" t="e">
        <f aca="false">IF(Charts!$B$3="none",E1921,IF(K1921="",NA(),K1921))</f>
        <v>#N/A</v>
      </c>
      <c r="R114" s="0" t="e">
        <f aca="false">IF(Charts!$B$3="none",F1921,IF(L1921="",NA(),L1921))</f>
        <v>#N/A</v>
      </c>
      <c r="S114" s="0" t="e">
        <f aca="false">IF(Charts!$B$3="none",G1921,IF(M1921="",NA(),M1921))</f>
        <v>#N/A</v>
      </c>
      <c r="T114" s="0" t="e">
        <f aca="false">IF(Charts!$B$3="none",H1921,IF(N1921="",NA(),N1921))</f>
        <v>#N/A</v>
      </c>
    </row>
    <row r="115" customFormat="false" ht="15" hidden="false" customHeight="false" outlineLevel="0" collapsed="false">
      <c r="D115" s="0" t="n">
        <v>111</v>
      </c>
      <c r="E115" s="0" t="str">
        <f aca="true">IF(INDIRECT(ADDRESS($D115+2,E$2+1,,,"Instances"))="","",INDIRECT(ADDRESS($D115+2,E$2+1,,,"Instances")))</f>
        <v>Level_3/2-0100010</v>
      </c>
      <c r="F115" s="0" t="str">
        <f aca="false">IFERROR(SMALL(E5:E364,ROW()-ROW($F$5)+1),"")</f>
        <v/>
      </c>
      <c r="H115" s="0" t="n">
        <f aca="false">IFERROR(SUM(F5:F115),"")</f>
        <v>0</v>
      </c>
      <c r="J115" s="0" t="n">
        <v>111</v>
      </c>
      <c r="K115" s="0" t="e">
        <f aca="true" t="array" ref="K115:K115">_xlfn.SWITCH(Charts!$B$3,"average", AVERAGE(INDIRECT(ADDRESS(110+3,K$2+1,,,"Instances") &amp; ":" &amp; ADDRESS(110+3,K$2+1))),"median", MEDIAN(INDIRECT(ADDRESS(110+3,K$2+1,,,"Instances") &amp; ":" &amp; ADDRESS(110+3,K$2+1))),"min", MIN(INDIRECT(ADDRESS(110+3,K$2+1,,,"Instances") &amp; ":" &amp; ADDRESS(110+3,K$2+1))),"max", MAX(INDIRECT(ADDRESS(110+3,K$2+1,,,"Instances") &amp; ":" &amp; ADDRESS(110+3,K$2+1))),"diff", MAX(INDIRECT(ADDRESS(110+3,K$2+1,,,"Instances") &amp; ":" &amp; ADDRESS(110+3,K$2+1)))-MIN(INDIRECT(ADDRESS(110+3,K$2+1,,,"Instances") &amp; ":" &amp; ADDRESS(110+3,K$2+1))))</f>
        <v>#N/A</v>
      </c>
      <c r="L115" s="0" t="str">
        <f aca="false">IFERROR(SMALL(K5:K364,ROW()-ROW($L$5)+1),"")</f>
        <v/>
      </c>
      <c r="N115" s="0" t="n">
        <f aca="false">IFERROR(SUM(L5:L115),"")</f>
        <v>0</v>
      </c>
      <c r="Q115" s="0" t="e">
        <f aca="false">IF(Charts!$B$3="none",E1922,IF(K1922="",NA(),K1922))</f>
        <v>#N/A</v>
      </c>
      <c r="R115" s="0" t="e">
        <f aca="false">IF(Charts!$B$3="none",F1922,IF(L1922="",NA(),L1922))</f>
        <v>#N/A</v>
      </c>
      <c r="S115" s="0" t="e">
        <f aca="false">IF(Charts!$B$3="none",G1922,IF(M1922="",NA(),M1922))</f>
        <v>#N/A</v>
      </c>
      <c r="T115" s="0" t="e">
        <f aca="false">IF(Charts!$B$3="none",H1922,IF(N1922="",NA(),N1922))</f>
        <v>#N/A</v>
      </c>
    </row>
    <row r="116" customFormat="false" ht="15" hidden="false" customHeight="false" outlineLevel="0" collapsed="false">
      <c r="D116" s="0" t="n">
        <v>112</v>
      </c>
      <c r="E116" s="0" t="str">
        <f aca="true">IF(INDIRECT(ADDRESS($D116+2,E$2+1,,,"Instances"))="","",INDIRECT(ADDRESS($D116+2,E$2+1,,,"Instances")))</f>
        <v>Level_3/2-0110000</v>
      </c>
      <c r="F116" s="0" t="str">
        <f aca="false">IFERROR(SMALL(E5:E364,ROW()-ROW($F$5)+1),"")</f>
        <v/>
      </c>
      <c r="H116" s="0" t="n">
        <f aca="false">IFERROR(SUM(F5:F116),"")</f>
        <v>0</v>
      </c>
      <c r="J116" s="0" t="n">
        <v>112</v>
      </c>
      <c r="K116" s="0" t="e">
        <f aca="true" t="array" ref="K116:K116">_xlfn.SWITCH(Charts!$B$3,"average", AVERAGE(INDIRECT(ADDRESS(111+3,K$2+1,,,"Instances") &amp; ":" &amp; ADDRESS(111+3,K$2+1))),"median", MEDIAN(INDIRECT(ADDRESS(111+3,K$2+1,,,"Instances") &amp; ":" &amp; ADDRESS(111+3,K$2+1))),"min", MIN(INDIRECT(ADDRESS(111+3,K$2+1,,,"Instances") &amp; ":" &amp; ADDRESS(111+3,K$2+1))),"max", MAX(INDIRECT(ADDRESS(111+3,K$2+1,,,"Instances") &amp; ":" &amp; ADDRESS(111+3,K$2+1))),"diff", MAX(INDIRECT(ADDRESS(111+3,K$2+1,,,"Instances") &amp; ":" &amp; ADDRESS(111+3,K$2+1)))-MIN(INDIRECT(ADDRESS(111+3,K$2+1,,,"Instances") &amp; ":" &amp; ADDRESS(111+3,K$2+1))))</f>
        <v>#N/A</v>
      </c>
      <c r="L116" s="0" t="str">
        <f aca="false">IFERROR(SMALL(K5:K364,ROW()-ROW($L$5)+1),"")</f>
        <v/>
      </c>
      <c r="N116" s="0" t="n">
        <f aca="false">IFERROR(SUM(L5:L116),"")</f>
        <v>0</v>
      </c>
      <c r="Q116" s="0" t="e">
        <f aca="false">IF(Charts!$B$3="none",E1923,IF(K1923="",NA(),K1923))</f>
        <v>#N/A</v>
      </c>
      <c r="R116" s="0" t="e">
        <f aca="false">IF(Charts!$B$3="none",F1923,IF(L1923="",NA(),L1923))</f>
        <v>#N/A</v>
      </c>
      <c r="S116" s="0" t="e">
        <f aca="false">IF(Charts!$B$3="none",G1923,IF(M1923="",NA(),M1923))</f>
        <v>#N/A</v>
      </c>
      <c r="T116" s="0" t="e">
        <f aca="false">IF(Charts!$B$3="none",H1923,IF(N1923="",NA(),N1923))</f>
        <v>#N/A</v>
      </c>
    </row>
    <row r="117" customFormat="false" ht="15" hidden="false" customHeight="false" outlineLevel="0" collapsed="false">
      <c r="D117" s="0" t="n">
        <v>113</v>
      </c>
      <c r="E117" s="0" t="str">
        <f aca="true">IF(INDIRECT(ADDRESS($D117+2,E$2+1,,,"Instances"))="","",INDIRECT(ADDRESS($D117+2,E$2+1,,,"Instances")))</f>
        <v>Level_3/2-1000001</v>
      </c>
      <c r="F117" s="0" t="str">
        <f aca="false">IFERROR(SMALL(E5:E364,ROW()-ROW($F$5)+1),"")</f>
        <v/>
      </c>
      <c r="H117" s="0" t="n">
        <f aca="false">IFERROR(SUM(F5:F117),"")</f>
        <v>0</v>
      </c>
      <c r="J117" s="0" t="n">
        <v>113</v>
      </c>
      <c r="K117" s="0" t="e">
        <f aca="true" t="array" ref="K117:K117">_xlfn.SWITCH(Charts!$B$3,"average", AVERAGE(INDIRECT(ADDRESS(112+3,K$2+1,,,"Instances") &amp; ":" &amp; ADDRESS(112+3,K$2+1))),"median", MEDIAN(INDIRECT(ADDRESS(112+3,K$2+1,,,"Instances") &amp; ":" &amp; ADDRESS(112+3,K$2+1))),"min", MIN(INDIRECT(ADDRESS(112+3,K$2+1,,,"Instances") &amp; ":" &amp; ADDRESS(112+3,K$2+1))),"max", MAX(INDIRECT(ADDRESS(112+3,K$2+1,,,"Instances") &amp; ":" &amp; ADDRESS(112+3,K$2+1))),"diff", MAX(INDIRECT(ADDRESS(112+3,K$2+1,,,"Instances") &amp; ":" &amp; ADDRESS(112+3,K$2+1)))-MIN(INDIRECT(ADDRESS(112+3,K$2+1,,,"Instances") &amp; ":" &amp; ADDRESS(112+3,K$2+1))))</f>
        <v>#N/A</v>
      </c>
      <c r="L117" s="0" t="str">
        <f aca="false">IFERROR(SMALL(K5:K364,ROW()-ROW($L$5)+1),"")</f>
        <v/>
      </c>
      <c r="N117" s="0" t="n">
        <f aca="false">IFERROR(SUM(L5:L117),"")</f>
        <v>0</v>
      </c>
      <c r="Q117" s="0" t="e">
        <f aca="false">IF(Charts!$B$3="none",E1924,IF(K1924="",NA(),K1924))</f>
        <v>#N/A</v>
      </c>
      <c r="R117" s="0" t="e">
        <f aca="false">IF(Charts!$B$3="none",F1924,IF(L1924="",NA(),L1924))</f>
        <v>#N/A</v>
      </c>
      <c r="S117" s="0" t="e">
        <f aca="false">IF(Charts!$B$3="none",G1924,IF(M1924="",NA(),M1924))</f>
        <v>#N/A</v>
      </c>
      <c r="T117" s="0" t="e">
        <f aca="false">IF(Charts!$B$3="none",H1924,IF(N1924="",NA(),N1924))</f>
        <v>#N/A</v>
      </c>
    </row>
    <row r="118" customFormat="false" ht="15" hidden="false" customHeight="false" outlineLevel="0" collapsed="false">
      <c r="D118" s="0" t="n">
        <v>114</v>
      </c>
      <c r="E118" s="0" t="str">
        <f aca="true">IF(INDIRECT(ADDRESS($D118+2,E$2+1,,,"Instances"))="","",INDIRECT(ADDRESS($D118+2,E$2+1,,,"Instances")))</f>
        <v>Level_3/2-1000010</v>
      </c>
      <c r="F118" s="0" t="str">
        <f aca="false">IFERROR(SMALL(E5:E364,ROW()-ROW($F$5)+1),"")</f>
        <v/>
      </c>
      <c r="H118" s="0" t="n">
        <f aca="false">IFERROR(SUM(F5:F118),"")</f>
        <v>0</v>
      </c>
      <c r="J118" s="0" t="n">
        <v>114</v>
      </c>
      <c r="K118" s="0" t="e">
        <f aca="true" t="array" ref="K118:K118">_xlfn.SWITCH(Charts!$B$3,"average", AVERAGE(INDIRECT(ADDRESS(113+3,K$2+1,,,"Instances") &amp; ":" &amp; ADDRESS(113+3,K$2+1))),"median", MEDIAN(INDIRECT(ADDRESS(113+3,K$2+1,,,"Instances") &amp; ":" &amp; ADDRESS(113+3,K$2+1))),"min", MIN(INDIRECT(ADDRESS(113+3,K$2+1,,,"Instances") &amp; ":" &amp; ADDRESS(113+3,K$2+1))),"max", MAX(INDIRECT(ADDRESS(113+3,K$2+1,,,"Instances") &amp; ":" &amp; ADDRESS(113+3,K$2+1))),"diff", MAX(INDIRECT(ADDRESS(113+3,K$2+1,,,"Instances") &amp; ":" &amp; ADDRESS(113+3,K$2+1)))-MIN(INDIRECT(ADDRESS(113+3,K$2+1,,,"Instances") &amp; ":" &amp; ADDRESS(113+3,K$2+1))))</f>
        <v>#N/A</v>
      </c>
      <c r="L118" s="0" t="str">
        <f aca="false">IFERROR(SMALL(K5:K364,ROW()-ROW($L$5)+1),"")</f>
        <v/>
      </c>
      <c r="N118" s="0" t="n">
        <f aca="false">IFERROR(SUM(L5:L118),"")</f>
        <v>0</v>
      </c>
      <c r="Q118" s="0" t="e">
        <f aca="false">IF(Charts!$B$3="none",E1925,IF(K1925="",NA(),K1925))</f>
        <v>#N/A</v>
      </c>
      <c r="R118" s="0" t="e">
        <f aca="false">IF(Charts!$B$3="none",F1925,IF(L1925="",NA(),L1925))</f>
        <v>#N/A</v>
      </c>
      <c r="S118" s="0" t="e">
        <f aca="false">IF(Charts!$B$3="none",G1925,IF(M1925="",NA(),M1925))</f>
        <v>#N/A</v>
      </c>
      <c r="T118" s="0" t="e">
        <f aca="false">IF(Charts!$B$3="none",H1925,IF(N1925="",NA(),N1925))</f>
        <v>#N/A</v>
      </c>
    </row>
    <row r="119" customFormat="false" ht="15" hidden="false" customHeight="false" outlineLevel="0" collapsed="false">
      <c r="D119" s="0" t="n">
        <v>115</v>
      </c>
      <c r="E119" s="0" t="str">
        <f aca="true">IF(INDIRECT(ADDRESS($D119+2,E$2+1,,,"Instances"))="","",INDIRECT(ADDRESS($D119+2,E$2+1,,,"Instances")))</f>
        <v>Level_3/2-1010000</v>
      </c>
      <c r="F119" s="0" t="str">
        <f aca="false">IFERROR(SMALL(E5:E364,ROW()-ROW($F$5)+1),"")</f>
        <v/>
      </c>
      <c r="H119" s="0" t="n">
        <f aca="false">IFERROR(SUM(F5:F119),"")</f>
        <v>0</v>
      </c>
      <c r="J119" s="0" t="n">
        <v>115</v>
      </c>
      <c r="K119" s="0" t="e">
        <f aca="true" t="array" ref="K119:K119">_xlfn.SWITCH(Charts!$B$3,"average", AVERAGE(INDIRECT(ADDRESS(114+3,K$2+1,,,"Instances") &amp; ":" &amp; ADDRESS(114+3,K$2+1))),"median", MEDIAN(INDIRECT(ADDRESS(114+3,K$2+1,,,"Instances") &amp; ":" &amp; ADDRESS(114+3,K$2+1))),"min", MIN(INDIRECT(ADDRESS(114+3,K$2+1,,,"Instances") &amp; ":" &amp; ADDRESS(114+3,K$2+1))),"max", MAX(INDIRECT(ADDRESS(114+3,K$2+1,,,"Instances") &amp; ":" &amp; ADDRESS(114+3,K$2+1))),"diff", MAX(INDIRECT(ADDRESS(114+3,K$2+1,,,"Instances") &amp; ":" &amp; ADDRESS(114+3,K$2+1)))-MIN(INDIRECT(ADDRESS(114+3,K$2+1,,,"Instances") &amp; ":" &amp; ADDRESS(114+3,K$2+1))))</f>
        <v>#N/A</v>
      </c>
      <c r="L119" s="0" t="str">
        <f aca="false">IFERROR(SMALL(K5:K364,ROW()-ROW($L$5)+1),"")</f>
        <v/>
      </c>
      <c r="N119" s="0" t="n">
        <f aca="false">IFERROR(SUM(L5:L119),"")</f>
        <v>0</v>
      </c>
      <c r="Q119" s="0" t="e">
        <f aca="false">IF(Charts!$B$3="none",E1926,IF(K1926="",NA(),K1926))</f>
        <v>#N/A</v>
      </c>
      <c r="R119" s="0" t="e">
        <f aca="false">IF(Charts!$B$3="none",F1926,IF(L1926="",NA(),L1926))</f>
        <v>#N/A</v>
      </c>
      <c r="S119" s="0" t="e">
        <f aca="false">IF(Charts!$B$3="none",G1926,IF(M1926="",NA(),M1926))</f>
        <v>#N/A</v>
      </c>
      <c r="T119" s="0" t="e">
        <f aca="false">IF(Charts!$B$3="none",H1926,IF(N1926="",NA(),N1926))</f>
        <v>#N/A</v>
      </c>
    </row>
    <row r="120" customFormat="false" ht="15" hidden="false" customHeight="false" outlineLevel="0" collapsed="false">
      <c r="D120" s="0" t="n">
        <v>116</v>
      </c>
      <c r="E120" s="0" t="str">
        <f aca="true">IF(INDIRECT(ADDRESS($D120+2,E$2+1,,,"Instances"))="","",INDIRECT(ADDRESS($D120+2,E$2+1,,,"Instances")))</f>
        <v>Level_3/3-0001110</v>
      </c>
      <c r="F120" s="0" t="str">
        <f aca="false">IFERROR(SMALL(E5:E364,ROW()-ROW($F$5)+1),"")</f>
        <v/>
      </c>
      <c r="H120" s="0" t="n">
        <f aca="false">IFERROR(SUM(F5:F120),"")</f>
        <v>0</v>
      </c>
      <c r="J120" s="0" t="n">
        <v>116</v>
      </c>
      <c r="K120" s="0" t="e">
        <f aca="true" t="array" ref="K120:K120">_xlfn.SWITCH(Charts!$B$3,"average", AVERAGE(INDIRECT(ADDRESS(115+3,K$2+1,,,"Instances") &amp; ":" &amp; ADDRESS(115+3,K$2+1))),"median", MEDIAN(INDIRECT(ADDRESS(115+3,K$2+1,,,"Instances") &amp; ":" &amp; ADDRESS(115+3,K$2+1))),"min", MIN(INDIRECT(ADDRESS(115+3,K$2+1,,,"Instances") &amp; ":" &amp; ADDRESS(115+3,K$2+1))),"max", MAX(INDIRECT(ADDRESS(115+3,K$2+1,,,"Instances") &amp; ":" &amp; ADDRESS(115+3,K$2+1))),"diff", MAX(INDIRECT(ADDRESS(115+3,K$2+1,,,"Instances") &amp; ":" &amp; ADDRESS(115+3,K$2+1)))-MIN(INDIRECT(ADDRESS(115+3,K$2+1,,,"Instances") &amp; ":" &amp; ADDRESS(115+3,K$2+1))))</f>
        <v>#N/A</v>
      </c>
      <c r="L120" s="0" t="str">
        <f aca="false">IFERROR(SMALL(K5:K364,ROW()-ROW($L$5)+1),"")</f>
        <v/>
      </c>
      <c r="N120" s="0" t="n">
        <f aca="false">IFERROR(SUM(L5:L120),"")</f>
        <v>0</v>
      </c>
      <c r="Q120" s="0" t="e">
        <f aca="false">IF(Charts!$B$3="none",E1927,IF(K1927="",NA(),K1927))</f>
        <v>#N/A</v>
      </c>
      <c r="R120" s="0" t="e">
        <f aca="false">IF(Charts!$B$3="none",F1927,IF(L1927="",NA(),L1927))</f>
        <v>#N/A</v>
      </c>
      <c r="S120" s="0" t="e">
        <f aca="false">IF(Charts!$B$3="none",G1927,IF(M1927="",NA(),M1927))</f>
        <v>#N/A</v>
      </c>
      <c r="T120" s="0" t="e">
        <f aca="false">IF(Charts!$B$3="none",H1927,IF(N1927="",NA(),N1927))</f>
        <v>#N/A</v>
      </c>
    </row>
    <row r="121" customFormat="false" ht="15" hidden="false" customHeight="false" outlineLevel="0" collapsed="false">
      <c r="D121" s="0" t="n">
        <v>117</v>
      </c>
      <c r="E121" s="0" t="str">
        <f aca="true">IF(INDIRECT(ADDRESS($D121+2,E$2+1,,,"Instances"))="","",INDIRECT(ADDRESS($D121+2,E$2+1,,,"Instances")))</f>
        <v>Level_3/3-0010011</v>
      </c>
      <c r="F121" s="0" t="str">
        <f aca="false">IFERROR(SMALL(E5:E364,ROW()-ROW($F$5)+1),"")</f>
        <v/>
      </c>
      <c r="H121" s="0" t="n">
        <f aca="false">IFERROR(SUM(F5:F121),"")</f>
        <v>0</v>
      </c>
      <c r="J121" s="0" t="n">
        <v>117</v>
      </c>
      <c r="K121" s="0" t="e">
        <f aca="true" t="array" ref="K121:K121">_xlfn.SWITCH(Charts!$B$3,"average", AVERAGE(INDIRECT(ADDRESS(116+3,K$2+1,,,"Instances") &amp; ":" &amp; ADDRESS(116+3,K$2+1))),"median", MEDIAN(INDIRECT(ADDRESS(116+3,K$2+1,,,"Instances") &amp; ":" &amp; ADDRESS(116+3,K$2+1))),"min", MIN(INDIRECT(ADDRESS(116+3,K$2+1,,,"Instances") &amp; ":" &amp; ADDRESS(116+3,K$2+1))),"max", MAX(INDIRECT(ADDRESS(116+3,K$2+1,,,"Instances") &amp; ":" &amp; ADDRESS(116+3,K$2+1))),"diff", MAX(INDIRECT(ADDRESS(116+3,K$2+1,,,"Instances") &amp; ":" &amp; ADDRESS(116+3,K$2+1)))-MIN(INDIRECT(ADDRESS(116+3,K$2+1,,,"Instances") &amp; ":" &amp; ADDRESS(116+3,K$2+1))))</f>
        <v>#N/A</v>
      </c>
      <c r="L121" s="0" t="str">
        <f aca="false">IFERROR(SMALL(K5:K364,ROW()-ROW($L$5)+1),"")</f>
        <v/>
      </c>
      <c r="N121" s="0" t="n">
        <f aca="false">IFERROR(SUM(L5:L121),"")</f>
        <v>0</v>
      </c>
      <c r="Q121" s="0" t="e">
        <f aca="false">IF(Charts!$B$3="none",E1928,IF(K1928="",NA(),K1928))</f>
        <v>#N/A</v>
      </c>
      <c r="R121" s="0" t="e">
        <f aca="false">IF(Charts!$B$3="none",F1928,IF(L1928="",NA(),L1928))</f>
        <v>#N/A</v>
      </c>
      <c r="S121" s="0" t="e">
        <f aca="false">IF(Charts!$B$3="none",G1928,IF(M1928="",NA(),M1928))</f>
        <v>#N/A</v>
      </c>
      <c r="T121" s="0" t="e">
        <f aca="false">IF(Charts!$B$3="none",H1928,IF(N1928="",NA(),N1928))</f>
        <v>#N/A</v>
      </c>
    </row>
    <row r="122" customFormat="false" ht="15" hidden="false" customHeight="false" outlineLevel="0" collapsed="false">
      <c r="D122" s="0" t="n">
        <v>118</v>
      </c>
      <c r="E122" s="0" t="str">
        <f aca="true">IF(INDIRECT(ADDRESS($D122+2,E$2+1,,,"Instances"))="","",INDIRECT(ADDRESS($D122+2,E$2+1,,,"Instances")))</f>
        <v>Level_3/3-0110100</v>
      </c>
      <c r="F122" s="0" t="str">
        <f aca="false">IFERROR(SMALL(E5:E364,ROW()-ROW($F$5)+1),"")</f>
        <v/>
      </c>
      <c r="H122" s="0" t="n">
        <f aca="false">IFERROR(SUM(F5:F122),"")</f>
        <v>0</v>
      </c>
      <c r="J122" s="0" t="n">
        <v>118</v>
      </c>
      <c r="K122" s="0" t="e">
        <f aca="true" t="array" ref="K122:K122">_xlfn.SWITCH(Charts!$B$3,"average", AVERAGE(INDIRECT(ADDRESS(117+3,K$2+1,,,"Instances") &amp; ":" &amp; ADDRESS(117+3,K$2+1))),"median", MEDIAN(INDIRECT(ADDRESS(117+3,K$2+1,,,"Instances") &amp; ":" &amp; ADDRESS(117+3,K$2+1))),"min", MIN(INDIRECT(ADDRESS(117+3,K$2+1,,,"Instances") &amp; ":" &amp; ADDRESS(117+3,K$2+1))),"max", MAX(INDIRECT(ADDRESS(117+3,K$2+1,,,"Instances") &amp; ":" &amp; ADDRESS(117+3,K$2+1))),"diff", MAX(INDIRECT(ADDRESS(117+3,K$2+1,,,"Instances") &amp; ":" &amp; ADDRESS(117+3,K$2+1)))-MIN(INDIRECT(ADDRESS(117+3,K$2+1,,,"Instances") &amp; ":" &amp; ADDRESS(117+3,K$2+1))))</f>
        <v>#N/A</v>
      </c>
      <c r="L122" s="0" t="str">
        <f aca="false">IFERROR(SMALL(K5:K364,ROW()-ROW($L$5)+1),"")</f>
        <v/>
      </c>
      <c r="N122" s="0" t="n">
        <f aca="false">IFERROR(SUM(L5:L122),"")</f>
        <v>0</v>
      </c>
      <c r="Q122" s="0" t="e">
        <f aca="false">IF(Charts!$B$3="none",E1929,IF(K1929="",NA(),K1929))</f>
        <v>#N/A</v>
      </c>
      <c r="R122" s="0" t="e">
        <f aca="false">IF(Charts!$B$3="none",F1929,IF(L1929="",NA(),L1929))</f>
        <v>#N/A</v>
      </c>
      <c r="S122" s="0" t="e">
        <f aca="false">IF(Charts!$B$3="none",G1929,IF(M1929="",NA(),M1929))</f>
        <v>#N/A</v>
      </c>
      <c r="T122" s="0" t="e">
        <f aca="false">IF(Charts!$B$3="none",H1929,IF(N1929="",NA(),N1929))</f>
        <v>#N/A</v>
      </c>
    </row>
    <row r="123" customFormat="false" ht="15" hidden="false" customHeight="false" outlineLevel="0" collapsed="false">
      <c r="D123" s="0" t="n">
        <v>119</v>
      </c>
      <c r="E123" s="0" t="str">
        <f aca="true">IF(INDIRECT(ADDRESS($D123+2,E$2+1,,,"Instances"))="","",INDIRECT(ADDRESS($D123+2,E$2+1,,,"Instances")))</f>
        <v>Level_3/3-0111000</v>
      </c>
      <c r="F123" s="0" t="str">
        <f aca="false">IFERROR(SMALL(E5:E364,ROW()-ROW($F$5)+1),"")</f>
        <v/>
      </c>
      <c r="H123" s="0" t="n">
        <f aca="false">IFERROR(SUM(F5:F123),"")</f>
        <v>0</v>
      </c>
      <c r="J123" s="0" t="n">
        <v>119</v>
      </c>
      <c r="K123" s="0" t="e">
        <f aca="true" t="array" ref="K123:K123">_xlfn.SWITCH(Charts!$B$3,"average", AVERAGE(INDIRECT(ADDRESS(118+3,K$2+1,,,"Instances") &amp; ":" &amp; ADDRESS(118+3,K$2+1))),"median", MEDIAN(INDIRECT(ADDRESS(118+3,K$2+1,,,"Instances") &amp; ":" &amp; ADDRESS(118+3,K$2+1))),"min", MIN(INDIRECT(ADDRESS(118+3,K$2+1,,,"Instances") &amp; ":" &amp; ADDRESS(118+3,K$2+1))),"max", MAX(INDIRECT(ADDRESS(118+3,K$2+1,,,"Instances") &amp; ":" &amp; ADDRESS(118+3,K$2+1))),"diff", MAX(INDIRECT(ADDRESS(118+3,K$2+1,,,"Instances") &amp; ":" &amp; ADDRESS(118+3,K$2+1)))-MIN(INDIRECT(ADDRESS(118+3,K$2+1,,,"Instances") &amp; ":" &amp; ADDRESS(118+3,K$2+1))))</f>
        <v>#N/A</v>
      </c>
      <c r="L123" s="0" t="str">
        <f aca="false">IFERROR(SMALL(K5:K364,ROW()-ROW($L$5)+1),"")</f>
        <v/>
      </c>
      <c r="N123" s="0" t="n">
        <f aca="false">IFERROR(SUM(L5:L123),"")</f>
        <v>0</v>
      </c>
      <c r="Q123" s="0" t="e">
        <f aca="false">IF(Charts!$B$3="none",E1930,IF(K1930="",NA(),K1930))</f>
        <v>#N/A</v>
      </c>
      <c r="R123" s="0" t="e">
        <f aca="false">IF(Charts!$B$3="none",F1930,IF(L1930="",NA(),L1930))</f>
        <v>#N/A</v>
      </c>
      <c r="S123" s="0" t="e">
        <f aca="false">IF(Charts!$B$3="none",G1930,IF(M1930="",NA(),M1930))</f>
        <v>#N/A</v>
      </c>
      <c r="T123" s="0" t="e">
        <f aca="false">IF(Charts!$B$3="none",H1930,IF(N1930="",NA(),N1930))</f>
        <v>#N/A</v>
      </c>
    </row>
    <row r="124" customFormat="false" ht="15" hidden="false" customHeight="false" outlineLevel="0" collapsed="false">
      <c r="D124" s="0" t="n">
        <v>120</v>
      </c>
      <c r="E124" s="0" t="str">
        <f aca="true">IF(INDIRECT(ADDRESS($D124+2,E$2+1,,,"Instances"))="","",INDIRECT(ADDRESS($D124+2,E$2+1,,,"Instances")))</f>
        <v>Level_3/3-1000011</v>
      </c>
      <c r="F124" s="0" t="str">
        <f aca="false">IFERROR(SMALL(E5:E364,ROW()-ROW($F$5)+1),"")</f>
        <v/>
      </c>
      <c r="H124" s="0" t="n">
        <f aca="false">IFERROR(SUM(F5:F124),"")</f>
        <v>0</v>
      </c>
      <c r="J124" s="0" t="n">
        <v>120</v>
      </c>
      <c r="K124" s="0" t="e">
        <f aca="true" t="array" ref="K124:K124">_xlfn.SWITCH(Charts!$B$3,"average", AVERAGE(INDIRECT(ADDRESS(119+3,K$2+1,,,"Instances") &amp; ":" &amp; ADDRESS(119+3,K$2+1))),"median", MEDIAN(INDIRECT(ADDRESS(119+3,K$2+1,,,"Instances") &amp; ":" &amp; ADDRESS(119+3,K$2+1))),"min", MIN(INDIRECT(ADDRESS(119+3,K$2+1,,,"Instances") &amp; ":" &amp; ADDRESS(119+3,K$2+1))),"max", MAX(INDIRECT(ADDRESS(119+3,K$2+1,,,"Instances") &amp; ":" &amp; ADDRESS(119+3,K$2+1))),"diff", MAX(INDIRECT(ADDRESS(119+3,K$2+1,,,"Instances") &amp; ":" &amp; ADDRESS(119+3,K$2+1)))-MIN(INDIRECT(ADDRESS(119+3,K$2+1,,,"Instances") &amp; ":" &amp; ADDRESS(119+3,K$2+1))))</f>
        <v>#N/A</v>
      </c>
      <c r="L124" s="0" t="str">
        <f aca="false">IFERROR(SMALL(K5:K364,ROW()-ROW($L$5)+1),"")</f>
        <v/>
      </c>
      <c r="N124" s="0" t="n">
        <f aca="false">IFERROR(SUM(L5:L124),"")</f>
        <v>0</v>
      </c>
      <c r="Q124" s="0" t="e">
        <f aca="false">IF(Charts!$B$3="none",E1931,IF(K1931="",NA(),K1931))</f>
        <v>#N/A</v>
      </c>
      <c r="R124" s="0" t="e">
        <f aca="false">IF(Charts!$B$3="none",F1931,IF(L1931="",NA(),L1931))</f>
        <v>#N/A</v>
      </c>
      <c r="S124" s="0" t="e">
        <f aca="false">IF(Charts!$B$3="none",G1931,IF(M1931="",NA(),M1931))</f>
        <v>#N/A</v>
      </c>
      <c r="T124" s="0" t="e">
        <f aca="false">IF(Charts!$B$3="none",H1931,IF(N1931="",NA(),N1931))</f>
        <v>#N/A</v>
      </c>
    </row>
    <row r="125" customFormat="false" ht="15" hidden="false" customHeight="false" outlineLevel="0" collapsed="false">
      <c r="D125" s="0" t="n">
        <v>121</v>
      </c>
      <c r="E125" s="0" t="str">
        <f aca="true">IF(INDIRECT(ADDRESS($D125+2,E$2+1,,,"Instances"))="","",INDIRECT(ADDRESS($D125+2,E$2+1,,,"Instances")))</f>
        <v>Level_3/3-1000101</v>
      </c>
      <c r="F125" s="0" t="str">
        <f aca="false">IFERROR(SMALL(E5:E364,ROW()-ROW($F$5)+1),"")</f>
        <v/>
      </c>
      <c r="H125" s="0" t="n">
        <f aca="false">IFERROR(SUM(F5:F125),"")</f>
        <v>0</v>
      </c>
      <c r="J125" s="0" t="n">
        <v>121</v>
      </c>
      <c r="K125" s="0" t="e">
        <f aca="true" t="array" ref="K125:K125">_xlfn.SWITCH(Charts!$B$3,"average", AVERAGE(INDIRECT(ADDRESS(120+3,K$2+1,,,"Instances") &amp; ":" &amp; ADDRESS(120+3,K$2+1))),"median", MEDIAN(INDIRECT(ADDRESS(120+3,K$2+1,,,"Instances") &amp; ":" &amp; ADDRESS(120+3,K$2+1))),"min", MIN(INDIRECT(ADDRESS(120+3,K$2+1,,,"Instances") &amp; ":" &amp; ADDRESS(120+3,K$2+1))),"max", MAX(INDIRECT(ADDRESS(120+3,K$2+1,,,"Instances") &amp; ":" &amp; ADDRESS(120+3,K$2+1))),"diff", MAX(INDIRECT(ADDRESS(120+3,K$2+1,,,"Instances") &amp; ":" &amp; ADDRESS(120+3,K$2+1)))-MIN(INDIRECT(ADDRESS(120+3,K$2+1,,,"Instances") &amp; ":" &amp; ADDRESS(120+3,K$2+1))))</f>
        <v>#N/A</v>
      </c>
      <c r="L125" s="0" t="str">
        <f aca="false">IFERROR(SMALL(K5:K364,ROW()-ROW($L$5)+1),"")</f>
        <v/>
      </c>
      <c r="N125" s="0" t="n">
        <f aca="false">IFERROR(SUM(L5:L125),"")</f>
        <v>0</v>
      </c>
      <c r="Q125" s="0" t="e">
        <f aca="false">IF(Charts!$B$3="none",E1932,IF(K1932="",NA(),K1932))</f>
        <v>#N/A</v>
      </c>
      <c r="R125" s="0" t="e">
        <f aca="false">IF(Charts!$B$3="none",F1932,IF(L1932="",NA(),L1932))</f>
        <v>#N/A</v>
      </c>
      <c r="S125" s="0" t="e">
        <f aca="false">IF(Charts!$B$3="none",G1932,IF(M1932="",NA(),M1932))</f>
        <v>#N/A</v>
      </c>
      <c r="T125" s="0" t="e">
        <f aca="false">IF(Charts!$B$3="none",H1932,IF(N1932="",NA(),N1932))</f>
        <v>#N/A</v>
      </c>
    </row>
    <row r="126" customFormat="false" ht="15" hidden="false" customHeight="false" outlineLevel="0" collapsed="false">
      <c r="D126" s="0" t="n">
        <v>122</v>
      </c>
      <c r="E126" s="0" t="str">
        <f aca="true">IF(INDIRECT(ADDRESS($D126+2,E$2+1,,,"Instances"))="","",INDIRECT(ADDRESS($D126+2,E$2+1,,,"Instances")))</f>
        <v>Level_3/3-1100001</v>
      </c>
      <c r="F126" s="0" t="str">
        <f aca="false">IFERROR(SMALL(E5:E364,ROW()-ROW($F$5)+1),"")</f>
        <v/>
      </c>
      <c r="H126" s="0" t="n">
        <f aca="false">IFERROR(SUM(F5:F126),"")</f>
        <v>0</v>
      </c>
      <c r="J126" s="0" t="n">
        <v>122</v>
      </c>
      <c r="K126" s="0" t="e">
        <f aca="true" t="array" ref="K126:K126">_xlfn.SWITCH(Charts!$B$3,"average", AVERAGE(INDIRECT(ADDRESS(121+3,K$2+1,,,"Instances") &amp; ":" &amp; ADDRESS(121+3,K$2+1))),"median", MEDIAN(INDIRECT(ADDRESS(121+3,K$2+1,,,"Instances") &amp; ":" &amp; ADDRESS(121+3,K$2+1))),"min", MIN(INDIRECT(ADDRESS(121+3,K$2+1,,,"Instances") &amp; ":" &amp; ADDRESS(121+3,K$2+1))),"max", MAX(INDIRECT(ADDRESS(121+3,K$2+1,,,"Instances") &amp; ":" &amp; ADDRESS(121+3,K$2+1))),"diff", MAX(INDIRECT(ADDRESS(121+3,K$2+1,,,"Instances") &amp; ":" &amp; ADDRESS(121+3,K$2+1)))-MIN(INDIRECT(ADDRESS(121+3,K$2+1,,,"Instances") &amp; ":" &amp; ADDRESS(121+3,K$2+1))))</f>
        <v>#N/A</v>
      </c>
      <c r="L126" s="0" t="str">
        <f aca="false">IFERROR(SMALL(K5:K364,ROW()-ROW($L$5)+1),"")</f>
        <v/>
      </c>
      <c r="N126" s="0" t="n">
        <f aca="false">IFERROR(SUM(L5:L126),"")</f>
        <v>0</v>
      </c>
      <c r="Q126" s="0" t="e">
        <f aca="false">IF(Charts!$B$3="none",E1933,IF(K1933="",NA(),K1933))</f>
        <v>#N/A</v>
      </c>
      <c r="R126" s="0" t="e">
        <f aca="false">IF(Charts!$B$3="none",F1933,IF(L1933="",NA(),L1933))</f>
        <v>#N/A</v>
      </c>
      <c r="S126" s="0" t="e">
        <f aca="false">IF(Charts!$B$3="none",G1933,IF(M1933="",NA(),M1933))</f>
        <v>#N/A</v>
      </c>
      <c r="T126" s="0" t="e">
        <f aca="false">IF(Charts!$B$3="none",H1933,IF(N1933="",NA(),N1933))</f>
        <v>#N/A</v>
      </c>
    </row>
    <row r="127" customFormat="false" ht="15" hidden="false" customHeight="false" outlineLevel="0" collapsed="false">
      <c r="D127" s="0" t="n">
        <v>123</v>
      </c>
      <c r="E127" s="0" t="str">
        <f aca="true">IF(INDIRECT(ADDRESS($D127+2,E$2+1,,,"Instances"))="","",INDIRECT(ADDRESS($D127+2,E$2+1,,,"Instances")))</f>
        <v>Level_3/4-0001111</v>
      </c>
      <c r="F127" s="0" t="str">
        <f aca="false">IFERROR(SMALL(E5:E364,ROW()-ROW($F$5)+1),"")</f>
        <v/>
      </c>
      <c r="H127" s="0" t="n">
        <f aca="false">IFERROR(SUM(F5:F127),"")</f>
        <v>0</v>
      </c>
      <c r="J127" s="0" t="n">
        <v>123</v>
      </c>
      <c r="K127" s="0" t="e">
        <f aca="true" t="array" ref="K127:K127">_xlfn.SWITCH(Charts!$B$3,"average", AVERAGE(INDIRECT(ADDRESS(122+3,K$2+1,,,"Instances") &amp; ":" &amp; ADDRESS(122+3,K$2+1))),"median", MEDIAN(INDIRECT(ADDRESS(122+3,K$2+1,,,"Instances") &amp; ":" &amp; ADDRESS(122+3,K$2+1))),"min", MIN(INDIRECT(ADDRESS(122+3,K$2+1,,,"Instances") &amp; ":" &amp; ADDRESS(122+3,K$2+1))),"max", MAX(INDIRECT(ADDRESS(122+3,K$2+1,,,"Instances") &amp; ":" &amp; ADDRESS(122+3,K$2+1))),"diff", MAX(INDIRECT(ADDRESS(122+3,K$2+1,,,"Instances") &amp; ":" &amp; ADDRESS(122+3,K$2+1)))-MIN(INDIRECT(ADDRESS(122+3,K$2+1,,,"Instances") &amp; ":" &amp; ADDRESS(122+3,K$2+1))))</f>
        <v>#N/A</v>
      </c>
      <c r="L127" s="0" t="str">
        <f aca="false">IFERROR(SMALL(K5:K364,ROW()-ROW($L$5)+1),"")</f>
        <v/>
      </c>
      <c r="N127" s="0" t="n">
        <f aca="false">IFERROR(SUM(L5:L127),"")</f>
        <v>0</v>
      </c>
      <c r="Q127" s="0" t="e">
        <f aca="false">IF(Charts!$B$3="none",E1934,IF(K1934="",NA(),K1934))</f>
        <v>#N/A</v>
      </c>
      <c r="R127" s="0" t="e">
        <f aca="false">IF(Charts!$B$3="none",F1934,IF(L1934="",NA(),L1934))</f>
        <v>#N/A</v>
      </c>
      <c r="S127" s="0" t="e">
        <f aca="false">IF(Charts!$B$3="none",G1934,IF(M1934="",NA(),M1934))</f>
        <v>#N/A</v>
      </c>
      <c r="T127" s="0" t="e">
        <f aca="false">IF(Charts!$B$3="none",H1934,IF(N1934="",NA(),N1934))</f>
        <v>#N/A</v>
      </c>
    </row>
    <row r="128" customFormat="false" ht="15" hidden="false" customHeight="false" outlineLevel="0" collapsed="false">
      <c r="D128" s="0" t="n">
        <v>124</v>
      </c>
      <c r="E128" s="0" t="str">
        <f aca="true">IF(INDIRECT(ADDRESS($D128+2,E$2+1,,,"Instances"))="","",INDIRECT(ADDRESS($D128+2,E$2+1,,,"Instances")))</f>
        <v>Level_3/4-0110110</v>
      </c>
      <c r="F128" s="0" t="str">
        <f aca="false">IFERROR(SMALL(E5:E364,ROW()-ROW($F$5)+1),"")</f>
        <v/>
      </c>
      <c r="H128" s="0" t="n">
        <f aca="false">IFERROR(SUM(F5:F128),"")</f>
        <v>0</v>
      </c>
      <c r="J128" s="0" t="n">
        <v>124</v>
      </c>
      <c r="K128" s="0" t="e">
        <f aca="true" t="array" ref="K128:K128">_xlfn.SWITCH(Charts!$B$3,"average", AVERAGE(INDIRECT(ADDRESS(123+3,K$2+1,,,"Instances") &amp; ":" &amp; ADDRESS(123+3,K$2+1))),"median", MEDIAN(INDIRECT(ADDRESS(123+3,K$2+1,,,"Instances") &amp; ":" &amp; ADDRESS(123+3,K$2+1))),"min", MIN(INDIRECT(ADDRESS(123+3,K$2+1,,,"Instances") &amp; ":" &amp; ADDRESS(123+3,K$2+1))),"max", MAX(INDIRECT(ADDRESS(123+3,K$2+1,,,"Instances") &amp; ":" &amp; ADDRESS(123+3,K$2+1))),"diff", MAX(INDIRECT(ADDRESS(123+3,K$2+1,,,"Instances") &amp; ":" &amp; ADDRESS(123+3,K$2+1)))-MIN(INDIRECT(ADDRESS(123+3,K$2+1,,,"Instances") &amp; ":" &amp; ADDRESS(123+3,K$2+1))))</f>
        <v>#N/A</v>
      </c>
      <c r="L128" s="0" t="str">
        <f aca="false">IFERROR(SMALL(K5:K364,ROW()-ROW($L$5)+1),"")</f>
        <v/>
      </c>
      <c r="N128" s="0" t="n">
        <f aca="false">IFERROR(SUM(L5:L128),"")</f>
        <v>0</v>
      </c>
      <c r="Q128" s="0" t="e">
        <f aca="false">IF(Charts!$B$3="none",E1935,IF(K1935="",NA(),K1935))</f>
        <v>#N/A</v>
      </c>
      <c r="R128" s="0" t="e">
        <f aca="false">IF(Charts!$B$3="none",F1935,IF(L1935="",NA(),L1935))</f>
        <v>#N/A</v>
      </c>
      <c r="S128" s="0" t="e">
        <f aca="false">IF(Charts!$B$3="none",G1935,IF(M1935="",NA(),M1935))</f>
        <v>#N/A</v>
      </c>
      <c r="T128" s="0" t="e">
        <f aca="false">IF(Charts!$B$3="none",H1935,IF(N1935="",NA(),N1935))</f>
        <v>#N/A</v>
      </c>
    </row>
    <row r="129" customFormat="false" ht="15" hidden="false" customHeight="false" outlineLevel="0" collapsed="false">
      <c r="D129" s="0" t="n">
        <v>125</v>
      </c>
      <c r="E129" s="0" t="str">
        <f aca="true">IF(INDIRECT(ADDRESS($D129+2,E$2+1,,,"Instances"))="","",INDIRECT(ADDRESS($D129+2,E$2+1,,,"Instances")))</f>
        <v>Level_3/4-0111100</v>
      </c>
      <c r="F129" s="0" t="str">
        <f aca="false">IFERROR(SMALL(E5:E364,ROW()-ROW($F$5)+1),"")</f>
        <v/>
      </c>
      <c r="H129" s="0" t="n">
        <f aca="false">IFERROR(SUM(F5:F129),"")</f>
        <v>0</v>
      </c>
      <c r="J129" s="0" t="n">
        <v>125</v>
      </c>
      <c r="K129" s="0" t="e">
        <f aca="true" t="array" ref="K129:K129">_xlfn.SWITCH(Charts!$B$3,"average", AVERAGE(INDIRECT(ADDRESS(124+3,K$2+1,,,"Instances") &amp; ":" &amp; ADDRESS(124+3,K$2+1))),"median", MEDIAN(INDIRECT(ADDRESS(124+3,K$2+1,,,"Instances") &amp; ":" &amp; ADDRESS(124+3,K$2+1))),"min", MIN(INDIRECT(ADDRESS(124+3,K$2+1,,,"Instances") &amp; ":" &amp; ADDRESS(124+3,K$2+1))),"max", MAX(INDIRECT(ADDRESS(124+3,K$2+1,,,"Instances") &amp; ":" &amp; ADDRESS(124+3,K$2+1))),"diff", MAX(INDIRECT(ADDRESS(124+3,K$2+1,,,"Instances") &amp; ":" &amp; ADDRESS(124+3,K$2+1)))-MIN(INDIRECT(ADDRESS(124+3,K$2+1,,,"Instances") &amp; ":" &amp; ADDRESS(124+3,K$2+1))))</f>
        <v>#N/A</v>
      </c>
      <c r="L129" s="0" t="str">
        <f aca="false">IFERROR(SMALL(K5:K364,ROW()-ROW($L$5)+1),"")</f>
        <v/>
      </c>
      <c r="N129" s="0" t="n">
        <f aca="false">IFERROR(SUM(L5:L129),"")</f>
        <v>0</v>
      </c>
      <c r="Q129" s="0" t="e">
        <f aca="false">IF(Charts!$B$3="none",E1936,IF(K1936="",NA(),K1936))</f>
        <v>#N/A</v>
      </c>
      <c r="R129" s="0" t="e">
        <f aca="false">IF(Charts!$B$3="none",F1936,IF(L1936="",NA(),L1936))</f>
        <v>#N/A</v>
      </c>
      <c r="S129" s="0" t="e">
        <f aca="false">IF(Charts!$B$3="none",G1936,IF(M1936="",NA(),M1936))</f>
        <v>#N/A</v>
      </c>
      <c r="T129" s="0" t="e">
        <f aca="false">IF(Charts!$B$3="none",H1936,IF(N1936="",NA(),N1936))</f>
        <v>#N/A</v>
      </c>
    </row>
    <row r="130" customFormat="false" ht="15" hidden="false" customHeight="false" outlineLevel="0" collapsed="false">
      <c r="D130" s="0" t="n">
        <v>126</v>
      </c>
      <c r="E130" s="0" t="str">
        <f aca="true">IF(INDIRECT(ADDRESS($D130+2,E$2+1,,,"Instances"))="","",INDIRECT(ADDRESS($D130+2,E$2+1,,,"Instances")))</f>
        <v>Level_3/4-1001110</v>
      </c>
      <c r="F130" s="0" t="str">
        <f aca="false">IFERROR(SMALL(E5:E364,ROW()-ROW($F$5)+1),"")</f>
        <v/>
      </c>
      <c r="H130" s="0" t="n">
        <f aca="false">IFERROR(SUM(F5:F130),"")</f>
        <v>0</v>
      </c>
      <c r="J130" s="0" t="n">
        <v>126</v>
      </c>
      <c r="K130" s="0" t="e">
        <f aca="true" t="array" ref="K130:K130">_xlfn.SWITCH(Charts!$B$3,"average", AVERAGE(INDIRECT(ADDRESS(125+3,K$2+1,,,"Instances") &amp; ":" &amp; ADDRESS(125+3,K$2+1))),"median", MEDIAN(INDIRECT(ADDRESS(125+3,K$2+1,,,"Instances") &amp; ":" &amp; ADDRESS(125+3,K$2+1))),"min", MIN(INDIRECT(ADDRESS(125+3,K$2+1,,,"Instances") &amp; ":" &amp; ADDRESS(125+3,K$2+1))),"max", MAX(INDIRECT(ADDRESS(125+3,K$2+1,,,"Instances") &amp; ":" &amp; ADDRESS(125+3,K$2+1))),"diff", MAX(INDIRECT(ADDRESS(125+3,K$2+1,,,"Instances") &amp; ":" &amp; ADDRESS(125+3,K$2+1)))-MIN(INDIRECT(ADDRESS(125+3,K$2+1,,,"Instances") &amp; ":" &amp; ADDRESS(125+3,K$2+1))))</f>
        <v>#N/A</v>
      </c>
      <c r="L130" s="0" t="str">
        <f aca="false">IFERROR(SMALL(K5:K364,ROW()-ROW($L$5)+1),"")</f>
        <v/>
      </c>
      <c r="N130" s="0" t="n">
        <f aca="false">IFERROR(SUM(L5:L130),"")</f>
        <v>0</v>
      </c>
      <c r="Q130" s="0" t="e">
        <f aca="false">IF(Charts!$B$3="none",E1937,IF(K1937="",NA(),K1937))</f>
        <v>#N/A</v>
      </c>
      <c r="R130" s="0" t="e">
        <f aca="false">IF(Charts!$B$3="none",F1937,IF(L1937="",NA(),L1937))</f>
        <v>#N/A</v>
      </c>
      <c r="S130" s="0" t="e">
        <f aca="false">IF(Charts!$B$3="none",G1937,IF(M1937="",NA(),M1937))</f>
        <v>#N/A</v>
      </c>
      <c r="T130" s="0" t="e">
        <f aca="false">IF(Charts!$B$3="none",H1937,IF(N1937="",NA(),N1937))</f>
        <v>#N/A</v>
      </c>
    </row>
    <row r="131" customFormat="false" ht="15" hidden="false" customHeight="false" outlineLevel="0" collapsed="false">
      <c r="D131" s="0" t="n">
        <v>127</v>
      </c>
      <c r="E131" s="0" t="str">
        <f aca="true">IF(INDIRECT(ADDRESS($D131+2,E$2+1,,,"Instances"))="","",INDIRECT(ADDRESS($D131+2,E$2+1,,,"Instances")))</f>
        <v>Level_3/4-1011001</v>
      </c>
      <c r="F131" s="0" t="str">
        <f aca="false">IFERROR(SMALL(E5:E364,ROW()-ROW($F$5)+1),"")</f>
        <v/>
      </c>
      <c r="H131" s="0" t="n">
        <f aca="false">IFERROR(SUM(F5:F131),"")</f>
        <v>0</v>
      </c>
      <c r="J131" s="0" t="n">
        <v>127</v>
      </c>
      <c r="K131" s="0" t="e">
        <f aca="true" t="array" ref="K131:K131">_xlfn.SWITCH(Charts!$B$3,"average", AVERAGE(INDIRECT(ADDRESS(126+3,K$2+1,,,"Instances") &amp; ":" &amp; ADDRESS(126+3,K$2+1))),"median", MEDIAN(INDIRECT(ADDRESS(126+3,K$2+1,,,"Instances") &amp; ":" &amp; ADDRESS(126+3,K$2+1))),"min", MIN(INDIRECT(ADDRESS(126+3,K$2+1,,,"Instances") &amp; ":" &amp; ADDRESS(126+3,K$2+1))),"max", MAX(INDIRECT(ADDRESS(126+3,K$2+1,,,"Instances") &amp; ":" &amp; ADDRESS(126+3,K$2+1))),"diff", MAX(INDIRECT(ADDRESS(126+3,K$2+1,,,"Instances") &amp; ":" &amp; ADDRESS(126+3,K$2+1)))-MIN(INDIRECT(ADDRESS(126+3,K$2+1,,,"Instances") &amp; ":" &amp; ADDRESS(126+3,K$2+1))))</f>
        <v>#N/A</v>
      </c>
      <c r="L131" s="0" t="str">
        <f aca="false">IFERROR(SMALL(K5:K364,ROW()-ROW($L$5)+1),"")</f>
        <v/>
      </c>
      <c r="N131" s="0" t="n">
        <f aca="false">IFERROR(SUM(L5:L131),"")</f>
        <v>0</v>
      </c>
      <c r="Q131" s="0" t="e">
        <f aca="false">IF(Charts!$B$3="none",E1938,IF(K1938="",NA(),K1938))</f>
        <v>#N/A</v>
      </c>
      <c r="R131" s="0" t="e">
        <f aca="false">IF(Charts!$B$3="none",F1938,IF(L1938="",NA(),L1938))</f>
        <v>#N/A</v>
      </c>
      <c r="S131" s="0" t="e">
        <f aca="false">IF(Charts!$B$3="none",G1938,IF(M1938="",NA(),M1938))</f>
        <v>#N/A</v>
      </c>
      <c r="T131" s="0" t="e">
        <f aca="false">IF(Charts!$B$3="none",H1938,IF(N1938="",NA(),N1938))</f>
        <v>#N/A</v>
      </c>
    </row>
    <row r="132" customFormat="false" ht="15" hidden="false" customHeight="false" outlineLevel="0" collapsed="false">
      <c r="D132" s="0" t="n">
        <v>128</v>
      </c>
      <c r="E132" s="0" t="str">
        <f aca="true">IF(INDIRECT(ADDRESS($D132+2,E$2+1,,,"Instances"))="","",INDIRECT(ADDRESS($D132+2,E$2+1,,,"Instances")))</f>
        <v>Level_3/4-1011100</v>
      </c>
      <c r="F132" s="0" t="str">
        <f aca="false">IFERROR(SMALL(E5:E364,ROW()-ROW($F$5)+1),"")</f>
        <v/>
      </c>
      <c r="H132" s="0" t="n">
        <f aca="false">IFERROR(SUM(F5:F132),"")</f>
        <v>0</v>
      </c>
      <c r="J132" s="0" t="n">
        <v>128</v>
      </c>
      <c r="K132" s="0" t="e">
        <f aca="true" t="array" ref="K132:K132">_xlfn.SWITCH(Charts!$B$3,"average", AVERAGE(INDIRECT(ADDRESS(127+3,K$2+1,,,"Instances") &amp; ":" &amp; ADDRESS(127+3,K$2+1))),"median", MEDIAN(INDIRECT(ADDRESS(127+3,K$2+1,,,"Instances") &amp; ":" &amp; ADDRESS(127+3,K$2+1))),"min", MIN(INDIRECT(ADDRESS(127+3,K$2+1,,,"Instances") &amp; ":" &amp; ADDRESS(127+3,K$2+1))),"max", MAX(INDIRECT(ADDRESS(127+3,K$2+1,,,"Instances") &amp; ":" &amp; ADDRESS(127+3,K$2+1))),"diff", MAX(INDIRECT(ADDRESS(127+3,K$2+1,,,"Instances") &amp; ":" &amp; ADDRESS(127+3,K$2+1)))-MIN(INDIRECT(ADDRESS(127+3,K$2+1,,,"Instances") &amp; ":" &amp; ADDRESS(127+3,K$2+1))))</f>
        <v>#N/A</v>
      </c>
      <c r="L132" s="0" t="str">
        <f aca="false">IFERROR(SMALL(K5:K364,ROW()-ROW($L$5)+1),"")</f>
        <v/>
      </c>
      <c r="N132" s="0" t="n">
        <f aca="false">IFERROR(SUM(L5:L132),"")</f>
        <v>0</v>
      </c>
      <c r="Q132" s="0" t="e">
        <f aca="false">IF(Charts!$B$3="none",E1939,IF(K1939="",NA(),K1939))</f>
        <v>#N/A</v>
      </c>
      <c r="R132" s="0" t="e">
        <f aca="false">IF(Charts!$B$3="none",F1939,IF(L1939="",NA(),L1939))</f>
        <v>#N/A</v>
      </c>
      <c r="S132" s="0" t="e">
        <f aca="false">IF(Charts!$B$3="none",G1939,IF(M1939="",NA(),M1939))</f>
        <v>#N/A</v>
      </c>
      <c r="T132" s="0" t="e">
        <f aca="false">IF(Charts!$B$3="none",H1939,IF(N1939="",NA(),N1939))</f>
        <v>#N/A</v>
      </c>
    </row>
    <row r="133" customFormat="false" ht="15" hidden="false" customHeight="false" outlineLevel="0" collapsed="false">
      <c r="D133" s="0" t="n">
        <v>129</v>
      </c>
      <c r="E133" s="0" t="str">
        <f aca="true">IF(INDIRECT(ADDRESS($D133+2,E$2+1,,,"Instances"))="","",INDIRECT(ADDRESS($D133+2,E$2+1,,,"Instances")))</f>
        <v>Level_3/4-1101001</v>
      </c>
      <c r="F133" s="0" t="str">
        <f aca="false">IFERROR(SMALL(E5:E364,ROW()-ROW($F$5)+1),"")</f>
        <v/>
      </c>
      <c r="H133" s="0" t="n">
        <f aca="false">IFERROR(SUM(F5:F133),"")</f>
        <v>0</v>
      </c>
      <c r="J133" s="0" t="n">
        <v>129</v>
      </c>
      <c r="K133" s="0" t="e">
        <f aca="true" t="array" ref="K133:K133">_xlfn.SWITCH(Charts!$B$3,"average", AVERAGE(INDIRECT(ADDRESS(128+3,K$2+1,,,"Instances") &amp; ":" &amp; ADDRESS(128+3,K$2+1))),"median", MEDIAN(INDIRECT(ADDRESS(128+3,K$2+1,,,"Instances") &amp; ":" &amp; ADDRESS(128+3,K$2+1))),"min", MIN(INDIRECT(ADDRESS(128+3,K$2+1,,,"Instances") &amp; ":" &amp; ADDRESS(128+3,K$2+1))),"max", MAX(INDIRECT(ADDRESS(128+3,K$2+1,,,"Instances") &amp; ":" &amp; ADDRESS(128+3,K$2+1))),"diff", MAX(INDIRECT(ADDRESS(128+3,K$2+1,,,"Instances") &amp; ":" &amp; ADDRESS(128+3,K$2+1)))-MIN(INDIRECT(ADDRESS(128+3,K$2+1,,,"Instances") &amp; ":" &amp; ADDRESS(128+3,K$2+1))))</f>
        <v>#N/A</v>
      </c>
      <c r="L133" s="0" t="str">
        <f aca="false">IFERROR(SMALL(K5:K364,ROW()-ROW($L$5)+1),"")</f>
        <v/>
      </c>
      <c r="N133" s="0" t="n">
        <f aca="false">IFERROR(SUM(L5:L133),"")</f>
        <v>0</v>
      </c>
      <c r="Q133" s="0" t="e">
        <f aca="false">IF(Charts!$B$3="none",E1940,IF(K1940="",NA(),K1940))</f>
        <v>#N/A</v>
      </c>
      <c r="R133" s="0" t="e">
        <f aca="false">IF(Charts!$B$3="none",F1940,IF(L1940="",NA(),L1940))</f>
        <v>#N/A</v>
      </c>
      <c r="S133" s="0" t="e">
        <f aca="false">IF(Charts!$B$3="none",G1940,IF(M1940="",NA(),M1940))</f>
        <v>#N/A</v>
      </c>
      <c r="T133" s="0" t="e">
        <f aca="false">IF(Charts!$B$3="none",H1940,IF(N1940="",NA(),N1940))</f>
        <v>#N/A</v>
      </c>
    </row>
    <row r="134" customFormat="false" ht="15" hidden="false" customHeight="false" outlineLevel="0" collapsed="false">
      <c r="D134" s="0" t="n">
        <v>130</v>
      </c>
      <c r="E134" s="0" t="str">
        <f aca="true">IF(INDIRECT(ADDRESS($D134+2,E$2+1,,,"Instances"))="","",INDIRECT(ADDRESS($D134+2,E$2+1,,,"Instances")))</f>
        <v>Level_3/5-0101111</v>
      </c>
      <c r="F134" s="0" t="str">
        <f aca="false">IFERROR(SMALL(E5:E364,ROW()-ROW($F$5)+1),"")</f>
        <v/>
      </c>
      <c r="H134" s="0" t="n">
        <f aca="false">IFERROR(SUM(F5:F134),"")</f>
        <v>0</v>
      </c>
      <c r="J134" s="0" t="n">
        <v>130</v>
      </c>
      <c r="K134" s="0" t="e">
        <f aca="true" t="array" ref="K134:K134">_xlfn.SWITCH(Charts!$B$3,"average", AVERAGE(INDIRECT(ADDRESS(129+3,K$2+1,,,"Instances") &amp; ":" &amp; ADDRESS(129+3,K$2+1))),"median", MEDIAN(INDIRECT(ADDRESS(129+3,K$2+1,,,"Instances") &amp; ":" &amp; ADDRESS(129+3,K$2+1))),"min", MIN(INDIRECT(ADDRESS(129+3,K$2+1,,,"Instances") &amp; ":" &amp; ADDRESS(129+3,K$2+1))),"max", MAX(INDIRECT(ADDRESS(129+3,K$2+1,,,"Instances") &amp; ":" &amp; ADDRESS(129+3,K$2+1))),"diff", MAX(INDIRECT(ADDRESS(129+3,K$2+1,,,"Instances") &amp; ":" &amp; ADDRESS(129+3,K$2+1)))-MIN(INDIRECT(ADDRESS(129+3,K$2+1,,,"Instances") &amp; ":" &amp; ADDRESS(129+3,K$2+1))))</f>
        <v>#N/A</v>
      </c>
      <c r="L134" s="0" t="str">
        <f aca="false">IFERROR(SMALL(K5:K364,ROW()-ROW($L$5)+1),"")</f>
        <v/>
      </c>
      <c r="N134" s="0" t="n">
        <f aca="false">IFERROR(SUM(L5:L134),"")</f>
        <v>0</v>
      </c>
      <c r="Q134" s="0" t="e">
        <f aca="false">IF(Charts!$B$3="none",E1941,IF(K1941="",NA(),K1941))</f>
        <v>#N/A</v>
      </c>
      <c r="R134" s="0" t="e">
        <f aca="false">IF(Charts!$B$3="none",F1941,IF(L1941="",NA(),L1941))</f>
        <v>#N/A</v>
      </c>
      <c r="S134" s="0" t="e">
        <f aca="false">IF(Charts!$B$3="none",G1941,IF(M1941="",NA(),M1941))</f>
        <v>#N/A</v>
      </c>
      <c r="T134" s="0" t="e">
        <f aca="false">IF(Charts!$B$3="none",H1941,IF(N1941="",NA(),N1941))</f>
        <v>#N/A</v>
      </c>
    </row>
    <row r="135" customFormat="false" ht="15" hidden="false" customHeight="false" outlineLevel="0" collapsed="false">
      <c r="D135" s="0" t="n">
        <v>131</v>
      </c>
      <c r="E135" s="0" t="str">
        <f aca="true">IF(INDIRECT(ADDRESS($D135+2,E$2+1,,,"Instances"))="","",INDIRECT(ADDRESS($D135+2,E$2+1,,,"Instances")))</f>
        <v>Level_3/5-0111011</v>
      </c>
      <c r="F135" s="0" t="str">
        <f aca="false">IFERROR(SMALL(E5:E364,ROW()-ROW($F$5)+1),"")</f>
        <v/>
      </c>
      <c r="H135" s="0" t="n">
        <f aca="false">IFERROR(SUM(F5:F135),"")</f>
        <v>0</v>
      </c>
      <c r="J135" s="0" t="n">
        <v>131</v>
      </c>
      <c r="K135" s="0" t="e">
        <f aca="true" t="array" ref="K135:K135">_xlfn.SWITCH(Charts!$B$3,"average", AVERAGE(INDIRECT(ADDRESS(130+3,K$2+1,,,"Instances") &amp; ":" &amp; ADDRESS(130+3,K$2+1))),"median", MEDIAN(INDIRECT(ADDRESS(130+3,K$2+1,,,"Instances") &amp; ":" &amp; ADDRESS(130+3,K$2+1))),"min", MIN(INDIRECT(ADDRESS(130+3,K$2+1,,,"Instances") &amp; ":" &amp; ADDRESS(130+3,K$2+1))),"max", MAX(INDIRECT(ADDRESS(130+3,K$2+1,,,"Instances") &amp; ":" &amp; ADDRESS(130+3,K$2+1))),"diff", MAX(INDIRECT(ADDRESS(130+3,K$2+1,,,"Instances") &amp; ":" &amp; ADDRESS(130+3,K$2+1)))-MIN(INDIRECT(ADDRESS(130+3,K$2+1,,,"Instances") &amp; ":" &amp; ADDRESS(130+3,K$2+1))))</f>
        <v>#N/A</v>
      </c>
      <c r="L135" s="0" t="str">
        <f aca="false">IFERROR(SMALL(K5:K364,ROW()-ROW($L$5)+1),"")</f>
        <v/>
      </c>
      <c r="N135" s="0" t="n">
        <f aca="false">IFERROR(SUM(L5:L135),"")</f>
        <v>0</v>
      </c>
      <c r="Q135" s="0" t="e">
        <f aca="false">IF(Charts!$B$3="none",E1942,IF(K1942="",NA(),K1942))</f>
        <v>#N/A</v>
      </c>
      <c r="R135" s="0" t="e">
        <f aca="false">IF(Charts!$B$3="none",F1942,IF(L1942="",NA(),L1942))</f>
        <v>#N/A</v>
      </c>
      <c r="S135" s="0" t="e">
        <f aca="false">IF(Charts!$B$3="none",G1942,IF(M1942="",NA(),M1942))</f>
        <v>#N/A</v>
      </c>
      <c r="T135" s="0" t="e">
        <f aca="false">IF(Charts!$B$3="none",H1942,IF(N1942="",NA(),N1942))</f>
        <v>#N/A</v>
      </c>
    </row>
    <row r="136" customFormat="false" ht="15" hidden="false" customHeight="false" outlineLevel="0" collapsed="false">
      <c r="D136" s="0" t="n">
        <v>132</v>
      </c>
      <c r="E136" s="0" t="str">
        <f aca="true">IF(INDIRECT(ADDRESS($D136+2,E$2+1,,,"Instances"))="","",INDIRECT(ADDRESS($D136+2,E$2+1,,,"Instances")))</f>
        <v>Level_3/5-0111110</v>
      </c>
      <c r="F136" s="0" t="str">
        <f aca="false">IFERROR(SMALL(E5:E364,ROW()-ROW($F$5)+1),"")</f>
        <v/>
      </c>
      <c r="H136" s="0" t="n">
        <f aca="false">IFERROR(SUM(F5:F136),"")</f>
        <v>0</v>
      </c>
      <c r="J136" s="0" t="n">
        <v>132</v>
      </c>
      <c r="K136" s="0" t="e">
        <f aca="true" t="array" ref="K136:K136">_xlfn.SWITCH(Charts!$B$3,"average", AVERAGE(INDIRECT(ADDRESS(131+3,K$2+1,,,"Instances") &amp; ":" &amp; ADDRESS(131+3,K$2+1))),"median", MEDIAN(INDIRECT(ADDRESS(131+3,K$2+1,,,"Instances") &amp; ":" &amp; ADDRESS(131+3,K$2+1))),"min", MIN(INDIRECT(ADDRESS(131+3,K$2+1,,,"Instances") &amp; ":" &amp; ADDRESS(131+3,K$2+1))),"max", MAX(INDIRECT(ADDRESS(131+3,K$2+1,,,"Instances") &amp; ":" &amp; ADDRESS(131+3,K$2+1))),"diff", MAX(INDIRECT(ADDRESS(131+3,K$2+1,,,"Instances") &amp; ":" &amp; ADDRESS(131+3,K$2+1)))-MIN(INDIRECT(ADDRESS(131+3,K$2+1,,,"Instances") &amp; ":" &amp; ADDRESS(131+3,K$2+1))))</f>
        <v>#N/A</v>
      </c>
      <c r="L136" s="0" t="str">
        <f aca="false">IFERROR(SMALL(K5:K364,ROW()-ROW($L$5)+1),"")</f>
        <v/>
      </c>
      <c r="N136" s="0" t="n">
        <f aca="false">IFERROR(SUM(L5:L136),"")</f>
        <v>0</v>
      </c>
      <c r="Q136" s="0" t="e">
        <f aca="false">IF(Charts!$B$3="none",E1943,IF(K1943="",NA(),K1943))</f>
        <v>#N/A</v>
      </c>
      <c r="R136" s="0" t="e">
        <f aca="false">IF(Charts!$B$3="none",F1943,IF(L1943="",NA(),L1943))</f>
        <v>#N/A</v>
      </c>
      <c r="S136" s="0" t="e">
        <f aca="false">IF(Charts!$B$3="none",G1943,IF(M1943="",NA(),M1943))</f>
        <v>#N/A</v>
      </c>
      <c r="T136" s="0" t="e">
        <f aca="false">IF(Charts!$B$3="none",H1943,IF(N1943="",NA(),N1943))</f>
        <v>#N/A</v>
      </c>
    </row>
    <row r="137" customFormat="false" ht="15" hidden="false" customHeight="false" outlineLevel="0" collapsed="false">
      <c r="D137" s="0" t="n">
        <v>133</v>
      </c>
      <c r="E137" s="0" t="str">
        <f aca="true">IF(INDIRECT(ADDRESS($D137+2,E$2+1,,,"Instances"))="","",INDIRECT(ADDRESS($D137+2,E$2+1,,,"Instances")))</f>
        <v>Level_3/5-1001111</v>
      </c>
      <c r="F137" s="0" t="str">
        <f aca="false">IFERROR(SMALL(E5:E364,ROW()-ROW($F$5)+1),"")</f>
        <v/>
      </c>
      <c r="H137" s="0" t="n">
        <f aca="false">IFERROR(SUM(F5:F137),"")</f>
        <v>0</v>
      </c>
      <c r="J137" s="0" t="n">
        <v>133</v>
      </c>
      <c r="K137" s="0" t="e">
        <f aca="true" t="array" ref="K137:K137">_xlfn.SWITCH(Charts!$B$3,"average", AVERAGE(INDIRECT(ADDRESS(132+3,K$2+1,,,"Instances") &amp; ":" &amp; ADDRESS(132+3,K$2+1))),"median", MEDIAN(INDIRECT(ADDRESS(132+3,K$2+1,,,"Instances") &amp; ":" &amp; ADDRESS(132+3,K$2+1))),"min", MIN(INDIRECT(ADDRESS(132+3,K$2+1,,,"Instances") &amp; ":" &amp; ADDRESS(132+3,K$2+1))),"max", MAX(INDIRECT(ADDRESS(132+3,K$2+1,,,"Instances") &amp; ":" &amp; ADDRESS(132+3,K$2+1))),"diff", MAX(INDIRECT(ADDRESS(132+3,K$2+1,,,"Instances") &amp; ":" &amp; ADDRESS(132+3,K$2+1)))-MIN(INDIRECT(ADDRESS(132+3,K$2+1,,,"Instances") &amp; ":" &amp; ADDRESS(132+3,K$2+1))))</f>
        <v>#N/A</v>
      </c>
      <c r="L137" s="0" t="str">
        <f aca="false">IFERROR(SMALL(K5:K364,ROW()-ROW($L$5)+1),"")</f>
        <v/>
      </c>
      <c r="N137" s="0" t="n">
        <f aca="false">IFERROR(SUM(L5:L137),"")</f>
        <v>0</v>
      </c>
      <c r="Q137" s="0" t="e">
        <f aca="false">IF(Charts!$B$3="none",E1944,IF(K1944="",NA(),K1944))</f>
        <v>#N/A</v>
      </c>
      <c r="R137" s="0" t="e">
        <f aca="false">IF(Charts!$B$3="none",F1944,IF(L1944="",NA(),L1944))</f>
        <v>#N/A</v>
      </c>
      <c r="S137" s="0" t="e">
        <f aca="false">IF(Charts!$B$3="none",G1944,IF(M1944="",NA(),M1944))</f>
        <v>#N/A</v>
      </c>
      <c r="T137" s="0" t="e">
        <f aca="false">IF(Charts!$B$3="none",H1944,IF(N1944="",NA(),N1944))</f>
        <v>#N/A</v>
      </c>
    </row>
    <row r="138" customFormat="false" ht="15" hidden="false" customHeight="false" outlineLevel="0" collapsed="false">
      <c r="D138" s="0" t="n">
        <v>134</v>
      </c>
      <c r="E138" s="0" t="str">
        <f aca="true">IF(INDIRECT(ADDRESS($D138+2,E$2+1,,,"Instances"))="","",INDIRECT(ADDRESS($D138+2,E$2+1,,,"Instances")))</f>
        <v>Level_3/5-1101011</v>
      </c>
      <c r="F138" s="0" t="str">
        <f aca="false">IFERROR(SMALL(E5:E364,ROW()-ROW($F$5)+1),"")</f>
        <v/>
      </c>
      <c r="H138" s="0" t="n">
        <f aca="false">IFERROR(SUM(F5:F138),"")</f>
        <v>0</v>
      </c>
      <c r="J138" s="0" t="n">
        <v>134</v>
      </c>
      <c r="K138" s="0" t="e">
        <f aca="true" t="array" ref="K138:K138">_xlfn.SWITCH(Charts!$B$3,"average", AVERAGE(INDIRECT(ADDRESS(133+3,K$2+1,,,"Instances") &amp; ":" &amp; ADDRESS(133+3,K$2+1))),"median", MEDIAN(INDIRECT(ADDRESS(133+3,K$2+1,,,"Instances") &amp; ":" &amp; ADDRESS(133+3,K$2+1))),"min", MIN(INDIRECT(ADDRESS(133+3,K$2+1,,,"Instances") &amp; ":" &amp; ADDRESS(133+3,K$2+1))),"max", MAX(INDIRECT(ADDRESS(133+3,K$2+1,,,"Instances") &amp; ":" &amp; ADDRESS(133+3,K$2+1))),"diff", MAX(INDIRECT(ADDRESS(133+3,K$2+1,,,"Instances") &amp; ":" &amp; ADDRESS(133+3,K$2+1)))-MIN(INDIRECT(ADDRESS(133+3,K$2+1,,,"Instances") &amp; ":" &amp; ADDRESS(133+3,K$2+1))))</f>
        <v>#N/A</v>
      </c>
      <c r="L138" s="0" t="str">
        <f aca="false">IFERROR(SMALL(K5:K364,ROW()-ROW($L$5)+1),"")</f>
        <v/>
      </c>
      <c r="N138" s="0" t="n">
        <f aca="false">IFERROR(SUM(L5:L138),"")</f>
        <v>0</v>
      </c>
      <c r="Q138" s="0" t="e">
        <f aca="false">IF(Charts!$B$3="none",E1945,IF(K1945="",NA(),K1945))</f>
        <v>#N/A</v>
      </c>
      <c r="R138" s="0" t="e">
        <f aca="false">IF(Charts!$B$3="none",F1945,IF(L1945="",NA(),L1945))</f>
        <v>#N/A</v>
      </c>
      <c r="S138" s="0" t="e">
        <f aca="false">IF(Charts!$B$3="none",G1945,IF(M1945="",NA(),M1945))</f>
        <v>#N/A</v>
      </c>
      <c r="T138" s="0" t="e">
        <f aca="false">IF(Charts!$B$3="none",H1945,IF(N1945="",NA(),N1945))</f>
        <v>#N/A</v>
      </c>
    </row>
    <row r="139" customFormat="false" ht="15" hidden="false" customHeight="false" outlineLevel="0" collapsed="false">
      <c r="D139" s="0" t="n">
        <v>135</v>
      </c>
      <c r="E139" s="0" t="str">
        <f aca="true">IF(INDIRECT(ADDRESS($D139+2,E$2+1,,,"Instances"))="","",INDIRECT(ADDRESS($D139+2,E$2+1,,,"Instances")))</f>
        <v>Level_3/5-1110011</v>
      </c>
      <c r="F139" s="0" t="str">
        <f aca="false">IFERROR(SMALL(E5:E364,ROW()-ROW($F$5)+1),"")</f>
        <v/>
      </c>
      <c r="H139" s="0" t="n">
        <f aca="false">IFERROR(SUM(F5:F139),"")</f>
        <v>0</v>
      </c>
      <c r="J139" s="0" t="n">
        <v>135</v>
      </c>
      <c r="K139" s="0" t="e">
        <f aca="true" t="array" ref="K139:K139">_xlfn.SWITCH(Charts!$B$3,"average", AVERAGE(INDIRECT(ADDRESS(134+3,K$2+1,,,"Instances") &amp; ":" &amp; ADDRESS(134+3,K$2+1))),"median", MEDIAN(INDIRECT(ADDRESS(134+3,K$2+1,,,"Instances") &amp; ":" &amp; ADDRESS(134+3,K$2+1))),"min", MIN(INDIRECT(ADDRESS(134+3,K$2+1,,,"Instances") &amp; ":" &amp; ADDRESS(134+3,K$2+1))),"max", MAX(INDIRECT(ADDRESS(134+3,K$2+1,,,"Instances") &amp; ":" &amp; ADDRESS(134+3,K$2+1))),"diff", MAX(INDIRECT(ADDRESS(134+3,K$2+1,,,"Instances") &amp; ":" &amp; ADDRESS(134+3,K$2+1)))-MIN(INDIRECT(ADDRESS(134+3,K$2+1,,,"Instances") &amp; ":" &amp; ADDRESS(134+3,K$2+1))))</f>
        <v>#N/A</v>
      </c>
      <c r="L139" s="0" t="str">
        <f aca="false">IFERROR(SMALL(K5:K364,ROW()-ROW($L$5)+1),"")</f>
        <v/>
      </c>
      <c r="N139" s="0" t="n">
        <f aca="false">IFERROR(SUM(L5:L139),"")</f>
        <v>0</v>
      </c>
      <c r="Q139" s="0" t="e">
        <f aca="false">IF(Charts!$B$3="none",E1946,IF(K1946="",NA(),K1946))</f>
        <v>#N/A</v>
      </c>
      <c r="R139" s="0" t="e">
        <f aca="false">IF(Charts!$B$3="none",F1946,IF(L1946="",NA(),L1946))</f>
        <v>#N/A</v>
      </c>
      <c r="S139" s="0" t="e">
        <f aca="false">IF(Charts!$B$3="none",G1946,IF(M1946="",NA(),M1946))</f>
        <v>#N/A</v>
      </c>
      <c r="T139" s="0" t="e">
        <f aca="false">IF(Charts!$B$3="none",H1946,IF(N1946="",NA(),N1946))</f>
        <v>#N/A</v>
      </c>
    </row>
    <row r="140" customFormat="false" ht="15" hidden="false" customHeight="false" outlineLevel="0" collapsed="false">
      <c r="D140" s="0" t="n">
        <v>136</v>
      </c>
      <c r="E140" s="0" t="str">
        <f aca="true">IF(INDIRECT(ADDRESS($D140+2,E$2+1,,,"Instances"))="","",INDIRECT(ADDRESS($D140+2,E$2+1,,,"Instances")))</f>
        <v>Level_3/5-1111010</v>
      </c>
      <c r="F140" s="0" t="str">
        <f aca="false">IFERROR(SMALL(E5:E364,ROW()-ROW($F$5)+1),"")</f>
        <v/>
      </c>
      <c r="H140" s="0" t="n">
        <f aca="false">IFERROR(SUM(F5:F140),"")</f>
        <v>0</v>
      </c>
      <c r="J140" s="0" t="n">
        <v>136</v>
      </c>
      <c r="K140" s="0" t="e">
        <f aca="true" t="array" ref="K140:K140">_xlfn.SWITCH(Charts!$B$3,"average", AVERAGE(INDIRECT(ADDRESS(135+3,K$2+1,,,"Instances") &amp; ":" &amp; ADDRESS(135+3,K$2+1))),"median", MEDIAN(INDIRECT(ADDRESS(135+3,K$2+1,,,"Instances") &amp; ":" &amp; ADDRESS(135+3,K$2+1))),"min", MIN(INDIRECT(ADDRESS(135+3,K$2+1,,,"Instances") &amp; ":" &amp; ADDRESS(135+3,K$2+1))),"max", MAX(INDIRECT(ADDRESS(135+3,K$2+1,,,"Instances") &amp; ":" &amp; ADDRESS(135+3,K$2+1))),"diff", MAX(INDIRECT(ADDRESS(135+3,K$2+1,,,"Instances") &amp; ":" &amp; ADDRESS(135+3,K$2+1)))-MIN(INDIRECT(ADDRESS(135+3,K$2+1,,,"Instances") &amp; ":" &amp; ADDRESS(135+3,K$2+1))))</f>
        <v>#N/A</v>
      </c>
      <c r="L140" s="0" t="str">
        <f aca="false">IFERROR(SMALL(K5:K364,ROW()-ROW($L$5)+1),"")</f>
        <v/>
      </c>
      <c r="N140" s="0" t="n">
        <f aca="false">IFERROR(SUM(L5:L140),"")</f>
        <v>0</v>
      </c>
      <c r="Q140" s="0" t="e">
        <f aca="false">IF(Charts!$B$3="none",E1947,IF(K1947="",NA(),K1947))</f>
        <v>#N/A</v>
      </c>
      <c r="R140" s="0" t="e">
        <f aca="false">IF(Charts!$B$3="none",F1947,IF(L1947="",NA(),L1947))</f>
        <v>#N/A</v>
      </c>
      <c r="S140" s="0" t="e">
        <f aca="false">IF(Charts!$B$3="none",G1947,IF(M1947="",NA(),M1947))</f>
        <v>#N/A</v>
      </c>
      <c r="T140" s="0" t="e">
        <f aca="false">IF(Charts!$B$3="none",H1947,IF(N1947="",NA(),N1947))</f>
        <v>#N/A</v>
      </c>
    </row>
    <row r="141" customFormat="false" ht="15" hidden="false" customHeight="false" outlineLevel="0" collapsed="false">
      <c r="D141" s="0" t="n">
        <v>137</v>
      </c>
      <c r="E141" s="0" t="str">
        <f aca="true">IF(INDIRECT(ADDRESS($D141+2,E$2+1,,,"Instances"))="","",INDIRECT(ADDRESS($D141+2,E$2+1,,,"Instances")))</f>
        <v>Level_3/6-0111111</v>
      </c>
      <c r="F141" s="0" t="str">
        <f aca="false">IFERROR(SMALL(E5:E364,ROW()-ROW($F$5)+1),"")</f>
        <v/>
      </c>
      <c r="H141" s="0" t="n">
        <f aca="false">IFERROR(SUM(F5:F141),"")</f>
        <v>0</v>
      </c>
      <c r="J141" s="0" t="n">
        <v>137</v>
      </c>
      <c r="K141" s="0" t="e">
        <f aca="true" t="array" ref="K141:K141">_xlfn.SWITCH(Charts!$B$3,"average", AVERAGE(INDIRECT(ADDRESS(136+3,K$2+1,,,"Instances") &amp; ":" &amp; ADDRESS(136+3,K$2+1))),"median", MEDIAN(INDIRECT(ADDRESS(136+3,K$2+1,,,"Instances") &amp; ":" &amp; ADDRESS(136+3,K$2+1))),"min", MIN(INDIRECT(ADDRESS(136+3,K$2+1,,,"Instances") &amp; ":" &amp; ADDRESS(136+3,K$2+1))),"max", MAX(INDIRECT(ADDRESS(136+3,K$2+1,,,"Instances") &amp; ":" &amp; ADDRESS(136+3,K$2+1))),"diff", MAX(INDIRECT(ADDRESS(136+3,K$2+1,,,"Instances") &amp; ":" &amp; ADDRESS(136+3,K$2+1)))-MIN(INDIRECT(ADDRESS(136+3,K$2+1,,,"Instances") &amp; ":" &amp; ADDRESS(136+3,K$2+1))))</f>
        <v>#N/A</v>
      </c>
      <c r="L141" s="0" t="str">
        <f aca="false">IFERROR(SMALL(K5:K364,ROW()-ROW($L$5)+1),"")</f>
        <v/>
      </c>
      <c r="N141" s="0" t="n">
        <f aca="false">IFERROR(SUM(L5:L141),"")</f>
        <v>0</v>
      </c>
      <c r="Q141" s="0" t="e">
        <f aca="false">IF(Charts!$B$3="none",E1948,IF(K1948="",NA(),K1948))</f>
        <v>#N/A</v>
      </c>
      <c r="R141" s="0" t="e">
        <f aca="false">IF(Charts!$B$3="none",F1948,IF(L1948="",NA(),L1948))</f>
        <v>#N/A</v>
      </c>
      <c r="S141" s="0" t="e">
        <f aca="false">IF(Charts!$B$3="none",G1948,IF(M1948="",NA(),M1948))</f>
        <v>#N/A</v>
      </c>
      <c r="T141" s="0" t="e">
        <f aca="false">IF(Charts!$B$3="none",H1948,IF(N1948="",NA(),N1948))</f>
        <v>#N/A</v>
      </c>
    </row>
    <row r="142" customFormat="false" ht="15" hidden="false" customHeight="false" outlineLevel="0" collapsed="false">
      <c r="D142" s="0" t="n">
        <v>138</v>
      </c>
      <c r="E142" s="0" t="str">
        <f aca="true">IF(INDIRECT(ADDRESS($D142+2,E$2+1,,,"Instances"))="","",INDIRECT(ADDRESS($D142+2,E$2+1,,,"Instances")))</f>
        <v>Level_3/6-1011111</v>
      </c>
      <c r="F142" s="0" t="str">
        <f aca="false">IFERROR(SMALL(E5:E364,ROW()-ROW($F$5)+1),"")</f>
        <v/>
      </c>
      <c r="H142" s="0" t="n">
        <f aca="false">IFERROR(SUM(F5:F142),"")</f>
        <v>0</v>
      </c>
      <c r="J142" s="0" t="n">
        <v>138</v>
      </c>
      <c r="K142" s="0" t="e">
        <f aca="true" t="array" ref="K142:K142">_xlfn.SWITCH(Charts!$B$3,"average", AVERAGE(INDIRECT(ADDRESS(137+3,K$2+1,,,"Instances") &amp; ":" &amp; ADDRESS(137+3,K$2+1))),"median", MEDIAN(INDIRECT(ADDRESS(137+3,K$2+1,,,"Instances") &amp; ":" &amp; ADDRESS(137+3,K$2+1))),"min", MIN(INDIRECT(ADDRESS(137+3,K$2+1,,,"Instances") &amp; ":" &amp; ADDRESS(137+3,K$2+1))),"max", MAX(INDIRECT(ADDRESS(137+3,K$2+1,,,"Instances") &amp; ":" &amp; ADDRESS(137+3,K$2+1))),"diff", MAX(INDIRECT(ADDRESS(137+3,K$2+1,,,"Instances") &amp; ":" &amp; ADDRESS(137+3,K$2+1)))-MIN(INDIRECT(ADDRESS(137+3,K$2+1,,,"Instances") &amp; ":" &amp; ADDRESS(137+3,K$2+1))))</f>
        <v>#N/A</v>
      </c>
      <c r="L142" s="0" t="str">
        <f aca="false">IFERROR(SMALL(K5:K364,ROW()-ROW($L$5)+1),"")</f>
        <v/>
      </c>
      <c r="N142" s="0" t="n">
        <f aca="false">IFERROR(SUM(L5:L142),"")</f>
        <v>0</v>
      </c>
      <c r="Q142" s="0" t="e">
        <f aca="false">IF(Charts!$B$3="none",E1949,IF(K1949="",NA(),K1949))</f>
        <v>#N/A</v>
      </c>
      <c r="R142" s="0" t="e">
        <f aca="false">IF(Charts!$B$3="none",F1949,IF(L1949="",NA(),L1949))</f>
        <v>#N/A</v>
      </c>
      <c r="S142" s="0" t="e">
        <f aca="false">IF(Charts!$B$3="none",G1949,IF(M1949="",NA(),M1949))</f>
        <v>#N/A</v>
      </c>
      <c r="T142" s="0" t="e">
        <f aca="false">IF(Charts!$B$3="none",H1949,IF(N1949="",NA(),N1949))</f>
        <v>#N/A</v>
      </c>
    </row>
    <row r="143" customFormat="false" ht="15" hidden="false" customHeight="false" outlineLevel="0" collapsed="false">
      <c r="D143" s="0" t="n">
        <v>139</v>
      </c>
      <c r="E143" s="0" t="str">
        <f aca="true">IF(INDIRECT(ADDRESS($D143+2,E$2+1,,,"Instances"))="","",INDIRECT(ADDRESS($D143+2,E$2+1,,,"Instances")))</f>
        <v>Level_3/6-1101111</v>
      </c>
      <c r="F143" s="0" t="str">
        <f aca="false">IFERROR(SMALL(E5:E364,ROW()-ROW($F$5)+1),"")</f>
        <v/>
      </c>
      <c r="H143" s="0" t="n">
        <f aca="false">IFERROR(SUM(F5:F143),"")</f>
        <v>0</v>
      </c>
      <c r="J143" s="0" t="n">
        <v>139</v>
      </c>
      <c r="K143" s="0" t="e">
        <f aca="true" t="array" ref="K143:K143">_xlfn.SWITCH(Charts!$B$3,"average", AVERAGE(INDIRECT(ADDRESS(138+3,K$2+1,,,"Instances") &amp; ":" &amp; ADDRESS(138+3,K$2+1))),"median", MEDIAN(INDIRECT(ADDRESS(138+3,K$2+1,,,"Instances") &amp; ":" &amp; ADDRESS(138+3,K$2+1))),"min", MIN(INDIRECT(ADDRESS(138+3,K$2+1,,,"Instances") &amp; ":" &amp; ADDRESS(138+3,K$2+1))),"max", MAX(INDIRECT(ADDRESS(138+3,K$2+1,,,"Instances") &amp; ":" &amp; ADDRESS(138+3,K$2+1))),"diff", MAX(INDIRECT(ADDRESS(138+3,K$2+1,,,"Instances") &amp; ":" &amp; ADDRESS(138+3,K$2+1)))-MIN(INDIRECT(ADDRESS(138+3,K$2+1,,,"Instances") &amp; ":" &amp; ADDRESS(138+3,K$2+1))))</f>
        <v>#N/A</v>
      </c>
      <c r="L143" s="0" t="str">
        <f aca="false">IFERROR(SMALL(K5:K364,ROW()-ROW($L$5)+1),"")</f>
        <v/>
      </c>
      <c r="N143" s="0" t="n">
        <f aca="false">IFERROR(SUM(L5:L143),"")</f>
        <v>0</v>
      </c>
      <c r="Q143" s="0" t="e">
        <f aca="false">IF(Charts!$B$3="none",E1950,IF(K1950="",NA(),K1950))</f>
        <v>#N/A</v>
      </c>
      <c r="R143" s="0" t="e">
        <f aca="false">IF(Charts!$B$3="none",F1950,IF(L1950="",NA(),L1950))</f>
        <v>#N/A</v>
      </c>
      <c r="S143" s="0" t="e">
        <f aca="false">IF(Charts!$B$3="none",G1950,IF(M1950="",NA(),M1950))</f>
        <v>#N/A</v>
      </c>
      <c r="T143" s="0" t="e">
        <f aca="false">IF(Charts!$B$3="none",H1950,IF(N1950="",NA(),N1950))</f>
        <v>#N/A</v>
      </c>
    </row>
    <row r="144" customFormat="false" ht="15" hidden="false" customHeight="false" outlineLevel="0" collapsed="false">
      <c r="D144" s="0" t="n">
        <v>140</v>
      </c>
      <c r="E144" s="0" t="str">
        <f aca="true">IF(INDIRECT(ADDRESS($D144+2,E$2+1,,,"Instances"))="","",INDIRECT(ADDRESS($D144+2,E$2+1,,,"Instances")))</f>
        <v>Level_3/6-1110111</v>
      </c>
      <c r="F144" s="0" t="str">
        <f aca="false">IFERROR(SMALL(E5:E364,ROW()-ROW($F$5)+1),"")</f>
        <v/>
      </c>
      <c r="H144" s="0" t="n">
        <f aca="false">IFERROR(SUM(F5:F144),"")</f>
        <v>0</v>
      </c>
      <c r="J144" s="0" t="n">
        <v>140</v>
      </c>
      <c r="K144" s="0" t="e">
        <f aca="true" t="array" ref="K144:K144">_xlfn.SWITCH(Charts!$B$3,"average", AVERAGE(INDIRECT(ADDRESS(139+3,K$2+1,,,"Instances") &amp; ":" &amp; ADDRESS(139+3,K$2+1))),"median", MEDIAN(INDIRECT(ADDRESS(139+3,K$2+1,,,"Instances") &amp; ":" &amp; ADDRESS(139+3,K$2+1))),"min", MIN(INDIRECT(ADDRESS(139+3,K$2+1,,,"Instances") &amp; ":" &amp; ADDRESS(139+3,K$2+1))),"max", MAX(INDIRECT(ADDRESS(139+3,K$2+1,,,"Instances") &amp; ":" &amp; ADDRESS(139+3,K$2+1))),"diff", MAX(INDIRECT(ADDRESS(139+3,K$2+1,,,"Instances") &amp; ":" &amp; ADDRESS(139+3,K$2+1)))-MIN(INDIRECT(ADDRESS(139+3,K$2+1,,,"Instances") &amp; ":" &amp; ADDRESS(139+3,K$2+1))))</f>
        <v>#N/A</v>
      </c>
      <c r="L144" s="0" t="str">
        <f aca="false">IFERROR(SMALL(K5:K364,ROW()-ROW($L$5)+1),"")</f>
        <v/>
      </c>
      <c r="N144" s="0" t="n">
        <f aca="false">IFERROR(SUM(L5:L144),"")</f>
        <v>0</v>
      </c>
      <c r="Q144" s="0" t="e">
        <f aca="false">IF(Charts!$B$3="none",E1951,IF(K1951="",NA(),K1951))</f>
        <v>#N/A</v>
      </c>
      <c r="R144" s="0" t="e">
        <f aca="false">IF(Charts!$B$3="none",F1951,IF(L1951="",NA(),L1951))</f>
        <v>#N/A</v>
      </c>
      <c r="S144" s="0" t="e">
        <f aca="false">IF(Charts!$B$3="none",G1951,IF(M1951="",NA(),M1951))</f>
        <v>#N/A</v>
      </c>
      <c r="T144" s="0" t="e">
        <f aca="false">IF(Charts!$B$3="none",H1951,IF(N1951="",NA(),N1951))</f>
        <v>#N/A</v>
      </c>
    </row>
    <row r="145" customFormat="false" ht="15" hidden="false" customHeight="false" outlineLevel="0" collapsed="false">
      <c r="D145" s="0" t="n">
        <v>141</v>
      </c>
      <c r="E145" s="0" t="str">
        <f aca="true">IF(INDIRECT(ADDRESS($D145+2,E$2+1,,,"Instances"))="","",INDIRECT(ADDRESS($D145+2,E$2+1,,,"Instances")))</f>
        <v>Level_3/6-1111011</v>
      </c>
      <c r="F145" s="0" t="str">
        <f aca="false">IFERROR(SMALL(E5:E364,ROW()-ROW($F$5)+1),"")</f>
        <v/>
      </c>
      <c r="H145" s="0" t="n">
        <f aca="false">IFERROR(SUM(F5:F145),"")</f>
        <v>0</v>
      </c>
      <c r="J145" s="0" t="n">
        <v>141</v>
      </c>
      <c r="K145" s="0" t="e">
        <f aca="true" t="array" ref="K145:K145">_xlfn.SWITCH(Charts!$B$3,"average", AVERAGE(INDIRECT(ADDRESS(140+3,K$2+1,,,"Instances") &amp; ":" &amp; ADDRESS(140+3,K$2+1))),"median", MEDIAN(INDIRECT(ADDRESS(140+3,K$2+1,,,"Instances") &amp; ":" &amp; ADDRESS(140+3,K$2+1))),"min", MIN(INDIRECT(ADDRESS(140+3,K$2+1,,,"Instances") &amp; ":" &amp; ADDRESS(140+3,K$2+1))),"max", MAX(INDIRECT(ADDRESS(140+3,K$2+1,,,"Instances") &amp; ":" &amp; ADDRESS(140+3,K$2+1))),"diff", MAX(INDIRECT(ADDRESS(140+3,K$2+1,,,"Instances") &amp; ":" &amp; ADDRESS(140+3,K$2+1)))-MIN(INDIRECT(ADDRESS(140+3,K$2+1,,,"Instances") &amp; ":" &amp; ADDRESS(140+3,K$2+1))))</f>
        <v>#N/A</v>
      </c>
      <c r="L145" s="0" t="str">
        <f aca="false">IFERROR(SMALL(K5:K364,ROW()-ROW($L$5)+1),"")</f>
        <v/>
      </c>
      <c r="N145" s="0" t="n">
        <f aca="false">IFERROR(SUM(L5:L145),"")</f>
        <v>0</v>
      </c>
      <c r="Q145" s="0" t="e">
        <f aca="false">IF(Charts!$B$3="none",E1952,IF(K1952="",NA(),K1952))</f>
        <v>#N/A</v>
      </c>
      <c r="R145" s="0" t="e">
        <f aca="false">IF(Charts!$B$3="none",F1952,IF(L1952="",NA(),L1952))</f>
        <v>#N/A</v>
      </c>
      <c r="S145" s="0" t="e">
        <f aca="false">IF(Charts!$B$3="none",G1952,IF(M1952="",NA(),M1952))</f>
        <v>#N/A</v>
      </c>
      <c r="T145" s="0" t="e">
        <f aca="false">IF(Charts!$B$3="none",H1952,IF(N1952="",NA(),N1952))</f>
        <v>#N/A</v>
      </c>
    </row>
    <row r="146" customFormat="false" ht="15" hidden="false" customHeight="false" outlineLevel="0" collapsed="false">
      <c r="D146" s="0" t="n">
        <v>142</v>
      </c>
      <c r="E146" s="0" t="str">
        <f aca="true">IF(INDIRECT(ADDRESS($D146+2,E$2+1,,,"Instances"))="","",INDIRECT(ADDRESS($D146+2,E$2+1,,,"Instances")))</f>
        <v>Level_3/6-1111101</v>
      </c>
      <c r="F146" s="0" t="str">
        <f aca="false">IFERROR(SMALL(E5:E364,ROW()-ROW($F$5)+1),"")</f>
        <v/>
      </c>
      <c r="H146" s="0" t="n">
        <f aca="false">IFERROR(SUM(F5:F146),"")</f>
        <v>0</v>
      </c>
      <c r="J146" s="0" t="n">
        <v>142</v>
      </c>
      <c r="K146" s="0" t="e">
        <f aca="true" t="array" ref="K146:K146">_xlfn.SWITCH(Charts!$B$3,"average", AVERAGE(INDIRECT(ADDRESS(141+3,K$2+1,,,"Instances") &amp; ":" &amp; ADDRESS(141+3,K$2+1))),"median", MEDIAN(INDIRECT(ADDRESS(141+3,K$2+1,,,"Instances") &amp; ":" &amp; ADDRESS(141+3,K$2+1))),"min", MIN(INDIRECT(ADDRESS(141+3,K$2+1,,,"Instances") &amp; ":" &amp; ADDRESS(141+3,K$2+1))),"max", MAX(INDIRECT(ADDRESS(141+3,K$2+1,,,"Instances") &amp; ":" &amp; ADDRESS(141+3,K$2+1))),"diff", MAX(INDIRECT(ADDRESS(141+3,K$2+1,,,"Instances") &amp; ":" &amp; ADDRESS(141+3,K$2+1)))-MIN(INDIRECT(ADDRESS(141+3,K$2+1,,,"Instances") &amp; ":" &amp; ADDRESS(141+3,K$2+1))))</f>
        <v>#N/A</v>
      </c>
      <c r="L146" s="0" t="str">
        <f aca="false">IFERROR(SMALL(K5:K364,ROW()-ROW($L$5)+1),"")</f>
        <v/>
      </c>
      <c r="N146" s="0" t="n">
        <f aca="false">IFERROR(SUM(L5:L146),"")</f>
        <v>0</v>
      </c>
      <c r="Q146" s="0" t="e">
        <f aca="false">IF(Charts!$B$3="none",E1953,IF(K1953="",NA(),K1953))</f>
        <v>#N/A</v>
      </c>
      <c r="R146" s="0" t="e">
        <f aca="false">IF(Charts!$B$3="none",F1953,IF(L1953="",NA(),L1953))</f>
        <v>#N/A</v>
      </c>
      <c r="S146" s="0" t="e">
        <f aca="false">IF(Charts!$B$3="none",G1953,IF(M1953="",NA(),M1953))</f>
        <v>#N/A</v>
      </c>
      <c r="T146" s="0" t="e">
        <f aca="false">IF(Charts!$B$3="none",H1953,IF(N1953="",NA(),N1953))</f>
        <v>#N/A</v>
      </c>
    </row>
    <row r="147" customFormat="false" ht="15" hidden="false" customHeight="false" outlineLevel="0" collapsed="false">
      <c r="D147" s="0" t="n">
        <v>143</v>
      </c>
      <c r="E147" s="0" t="str">
        <f aca="true">IF(INDIRECT(ADDRESS($D147+2,E$2+1,,,"Instances"))="","",INDIRECT(ADDRESS($D147+2,E$2+1,,,"Instances")))</f>
        <v>Level_3/6-1111110</v>
      </c>
      <c r="F147" s="0" t="str">
        <f aca="false">IFERROR(SMALL(E5:E364,ROW()-ROW($F$5)+1),"")</f>
        <v/>
      </c>
      <c r="H147" s="0" t="n">
        <f aca="false">IFERROR(SUM(F5:F147),"")</f>
        <v>0</v>
      </c>
      <c r="J147" s="0" t="n">
        <v>143</v>
      </c>
      <c r="K147" s="0" t="e">
        <f aca="true" t="array" ref="K147:K147">_xlfn.SWITCH(Charts!$B$3,"average", AVERAGE(INDIRECT(ADDRESS(142+3,K$2+1,,,"Instances") &amp; ":" &amp; ADDRESS(142+3,K$2+1))),"median", MEDIAN(INDIRECT(ADDRESS(142+3,K$2+1,,,"Instances") &amp; ":" &amp; ADDRESS(142+3,K$2+1))),"min", MIN(INDIRECT(ADDRESS(142+3,K$2+1,,,"Instances") &amp; ":" &amp; ADDRESS(142+3,K$2+1))),"max", MAX(INDIRECT(ADDRESS(142+3,K$2+1,,,"Instances") &amp; ":" &amp; ADDRESS(142+3,K$2+1))),"diff", MAX(INDIRECT(ADDRESS(142+3,K$2+1,,,"Instances") &amp; ":" &amp; ADDRESS(142+3,K$2+1)))-MIN(INDIRECT(ADDRESS(142+3,K$2+1,,,"Instances") &amp; ":" &amp; ADDRESS(142+3,K$2+1))))</f>
        <v>#N/A</v>
      </c>
      <c r="L147" s="0" t="str">
        <f aca="false">IFERROR(SMALL(K5:K364,ROW()-ROW($L$5)+1),"")</f>
        <v/>
      </c>
      <c r="N147" s="0" t="n">
        <f aca="false">IFERROR(SUM(L5:L147),"")</f>
        <v>0</v>
      </c>
      <c r="Q147" s="0" t="e">
        <f aca="false">IF(Charts!$B$3="none",E1954,IF(K1954="",NA(),K1954))</f>
        <v>#N/A</v>
      </c>
      <c r="R147" s="0" t="e">
        <f aca="false">IF(Charts!$B$3="none",F1954,IF(L1954="",NA(),L1954))</f>
        <v>#N/A</v>
      </c>
      <c r="S147" s="0" t="e">
        <f aca="false">IF(Charts!$B$3="none",G1954,IF(M1954="",NA(),M1954))</f>
        <v>#N/A</v>
      </c>
      <c r="T147" s="0" t="e">
        <f aca="false">IF(Charts!$B$3="none",H1954,IF(N1954="",NA(),N1954))</f>
        <v>#N/A</v>
      </c>
    </row>
    <row r="148" customFormat="false" ht="15" hidden="false" customHeight="false" outlineLevel="0" collapsed="false">
      <c r="D148" s="0" t="n">
        <v>144</v>
      </c>
      <c r="E148" s="0" t="str">
        <f aca="true">IF(INDIRECT(ADDRESS($D148+2,E$2+1,,,"Instances"))="","",INDIRECT(ADDRESS($D148+2,E$2+1,,,"Instances")))</f>
        <v>Level_3/7-1111111</v>
      </c>
      <c r="F148" s="0" t="str">
        <f aca="false">IFERROR(SMALL(E5:E364,ROW()-ROW($F$5)+1),"")</f>
        <v/>
      </c>
      <c r="H148" s="0" t="n">
        <f aca="false">IFERROR(SUM(F5:F148),"")</f>
        <v>0</v>
      </c>
      <c r="J148" s="0" t="n">
        <v>144</v>
      </c>
      <c r="K148" s="0" t="e">
        <f aca="true" t="array" ref="K148:K148">_xlfn.SWITCH(Charts!$B$3,"average", AVERAGE(INDIRECT(ADDRESS(143+3,K$2+1,,,"Instances") &amp; ":" &amp; ADDRESS(143+3,K$2+1))),"median", MEDIAN(INDIRECT(ADDRESS(143+3,K$2+1,,,"Instances") &amp; ":" &amp; ADDRESS(143+3,K$2+1))),"min", MIN(INDIRECT(ADDRESS(143+3,K$2+1,,,"Instances") &amp; ":" &amp; ADDRESS(143+3,K$2+1))),"max", MAX(INDIRECT(ADDRESS(143+3,K$2+1,,,"Instances") &amp; ":" &amp; ADDRESS(143+3,K$2+1))),"diff", MAX(INDIRECT(ADDRESS(143+3,K$2+1,,,"Instances") &amp; ":" &amp; ADDRESS(143+3,K$2+1)))-MIN(INDIRECT(ADDRESS(143+3,K$2+1,,,"Instances") &amp; ":" &amp; ADDRESS(143+3,K$2+1))))</f>
        <v>#N/A</v>
      </c>
      <c r="L148" s="0" t="str">
        <f aca="false">IFERROR(SMALL(K5:K364,ROW()-ROW($L$5)+1),"")</f>
        <v/>
      </c>
      <c r="N148" s="0" t="n">
        <f aca="false">IFERROR(SUM(L5:L148),"")</f>
        <v>0</v>
      </c>
      <c r="Q148" s="0" t="e">
        <f aca="false">IF(Charts!$B$3="none",E1955,IF(K1955="",NA(),K1955))</f>
        <v>#N/A</v>
      </c>
      <c r="R148" s="0" t="e">
        <f aca="false">IF(Charts!$B$3="none",F1955,IF(L1955="",NA(),L1955))</f>
        <v>#N/A</v>
      </c>
      <c r="S148" s="0" t="e">
        <f aca="false">IF(Charts!$B$3="none",G1955,IF(M1955="",NA(),M1955))</f>
        <v>#N/A</v>
      </c>
      <c r="T148" s="0" t="e">
        <f aca="false">IF(Charts!$B$3="none",H1955,IF(N1955="",NA(),N1955))</f>
        <v>#N/A</v>
      </c>
    </row>
    <row r="149" customFormat="false" ht="15" hidden="false" customHeight="false" outlineLevel="0" collapsed="false">
      <c r="D149" s="0" t="n">
        <v>145</v>
      </c>
      <c r="E149" s="0" t="str">
        <f aca="true">IF(INDIRECT(ADDRESS($D149+2,E$2+1,,,"Instances"))="","",INDIRECT(ADDRESS($D149+2,E$2+1,,,"Instances")))</f>
        <v>Level_4/2-0000101</v>
      </c>
      <c r="F149" s="0" t="str">
        <f aca="false">IFERROR(SMALL(E5:E364,ROW()-ROW($F$5)+1),"")</f>
        <v/>
      </c>
      <c r="H149" s="0" t="n">
        <f aca="false">IFERROR(SUM(F5:F149),"")</f>
        <v>0</v>
      </c>
      <c r="J149" s="0" t="n">
        <v>145</v>
      </c>
      <c r="K149" s="0" t="e">
        <f aca="true" t="array" ref="K149:K149">_xlfn.SWITCH(Charts!$B$3,"average", AVERAGE(INDIRECT(ADDRESS(144+3,K$2+1,,,"Instances") &amp; ":" &amp; ADDRESS(144+3,K$2+1))),"median", MEDIAN(INDIRECT(ADDRESS(144+3,K$2+1,,,"Instances") &amp; ":" &amp; ADDRESS(144+3,K$2+1))),"min", MIN(INDIRECT(ADDRESS(144+3,K$2+1,,,"Instances") &amp; ":" &amp; ADDRESS(144+3,K$2+1))),"max", MAX(INDIRECT(ADDRESS(144+3,K$2+1,,,"Instances") &amp; ":" &amp; ADDRESS(144+3,K$2+1))),"diff", MAX(INDIRECT(ADDRESS(144+3,K$2+1,,,"Instances") &amp; ":" &amp; ADDRESS(144+3,K$2+1)))-MIN(INDIRECT(ADDRESS(144+3,K$2+1,,,"Instances") &amp; ":" &amp; ADDRESS(144+3,K$2+1))))</f>
        <v>#N/A</v>
      </c>
      <c r="L149" s="0" t="str">
        <f aca="false">IFERROR(SMALL(K5:K364,ROW()-ROW($L$5)+1),"")</f>
        <v/>
      </c>
      <c r="N149" s="0" t="n">
        <f aca="false">IFERROR(SUM(L5:L149),"")</f>
        <v>0</v>
      </c>
      <c r="Q149" s="0" t="e">
        <f aca="false">IF(Charts!$B$3="none",E1956,IF(K1956="",NA(),K1956))</f>
        <v>#N/A</v>
      </c>
      <c r="R149" s="0" t="e">
        <f aca="false">IF(Charts!$B$3="none",F1956,IF(L1956="",NA(),L1956))</f>
        <v>#N/A</v>
      </c>
      <c r="S149" s="0" t="e">
        <f aca="false">IF(Charts!$B$3="none",G1956,IF(M1956="",NA(),M1956))</f>
        <v>#N/A</v>
      </c>
      <c r="T149" s="0" t="e">
        <f aca="false">IF(Charts!$B$3="none",H1956,IF(N1956="",NA(),N1956))</f>
        <v>#N/A</v>
      </c>
    </row>
    <row r="150" customFormat="false" ht="15" hidden="false" customHeight="false" outlineLevel="0" collapsed="false">
      <c r="D150" s="0" t="n">
        <v>146</v>
      </c>
      <c r="E150" s="0" t="str">
        <f aca="true">IF(INDIRECT(ADDRESS($D150+2,E$2+1,,,"Instances"))="","",INDIRECT(ADDRESS($D150+2,E$2+1,,,"Instances")))</f>
        <v>Level_4/2-0001010</v>
      </c>
      <c r="F150" s="0" t="str">
        <f aca="false">IFERROR(SMALL(E5:E364,ROW()-ROW($F$5)+1),"")</f>
        <v/>
      </c>
      <c r="H150" s="0" t="n">
        <f aca="false">IFERROR(SUM(F5:F150),"")</f>
        <v>0</v>
      </c>
      <c r="J150" s="0" t="n">
        <v>146</v>
      </c>
      <c r="K150" s="0" t="e">
        <f aca="true" t="array" ref="K150:K150">_xlfn.SWITCH(Charts!$B$3,"average", AVERAGE(INDIRECT(ADDRESS(145+3,K$2+1,,,"Instances") &amp; ":" &amp; ADDRESS(145+3,K$2+1))),"median", MEDIAN(INDIRECT(ADDRESS(145+3,K$2+1,,,"Instances") &amp; ":" &amp; ADDRESS(145+3,K$2+1))),"min", MIN(INDIRECT(ADDRESS(145+3,K$2+1,,,"Instances") &amp; ":" &amp; ADDRESS(145+3,K$2+1))),"max", MAX(INDIRECT(ADDRESS(145+3,K$2+1,,,"Instances") &amp; ":" &amp; ADDRESS(145+3,K$2+1))),"diff", MAX(INDIRECT(ADDRESS(145+3,K$2+1,,,"Instances") &amp; ":" &amp; ADDRESS(145+3,K$2+1)))-MIN(INDIRECT(ADDRESS(145+3,K$2+1,,,"Instances") &amp; ":" &amp; ADDRESS(145+3,K$2+1))))</f>
        <v>#N/A</v>
      </c>
      <c r="L150" s="0" t="str">
        <f aca="false">IFERROR(SMALL(K5:K364,ROW()-ROW($L$5)+1),"")</f>
        <v/>
      </c>
      <c r="N150" s="0" t="n">
        <f aca="false">IFERROR(SUM(L5:L150),"")</f>
        <v>0</v>
      </c>
      <c r="Q150" s="0" t="e">
        <f aca="false">IF(Charts!$B$3="none",E1957,IF(K1957="",NA(),K1957))</f>
        <v>#N/A</v>
      </c>
      <c r="R150" s="0" t="e">
        <f aca="false">IF(Charts!$B$3="none",F1957,IF(L1957="",NA(),L1957))</f>
        <v>#N/A</v>
      </c>
      <c r="S150" s="0" t="e">
        <f aca="false">IF(Charts!$B$3="none",G1957,IF(M1957="",NA(),M1957))</f>
        <v>#N/A</v>
      </c>
      <c r="T150" s="0" t="e">
        <f aca="false">IF(Charts!$B$3="none",H1957,IF(N1957="",NA(),N1957))</f>
        <v>#N/A</v>
      </c>
    </row>
    <row r="151" customFormat="false" ht="15" hidden="false" customHeight="false" outlineLevel="0" collapsed="false">
      <c r="D151" s="0" t="n">
        <v>147</v>
      </c>
      <c r="E151" s="0" t="str">
        <f aca="true">IF(INDIRECT(ADDRESS($D151+2,E$2+1,,,"Instances"))="","",INDIRECT(ADDRESS($D151+2,E$2+1,,,"Instances")))</f>
        <v>Level_4/2-0010010</v>
      </c>
      <c r="F151" s="0" t="str">
        <f aca="false">IFERROR(SMALL(E5:E364,ROW()-ROW($F$5)+1),"")</f>
        <v/>
      </c>
      <c r="H151" s="0" t="n">
        <f aca="false">IFERROR(SUM(F5:F151),"")</f>
        <v>0</v>
      </c>
      <c r="J151" s="0" t="n">
        <v>147</v>
      </c>
      <c r="K151" s="0" t="e">
        <f aca="true" t="array" ref="K151:K151">_xlfn.SWITCH(Charts!$B$3,"average", AVERAGE(INDIRECT(ADDRESS(146+3,K$2+1,,,"Instances") &amp; ":" &amp; ADDRESS(146+3,K$2+1))),"median", MEDIAN(INDIRECT(ADDRESS(146+3,K$2+1,,,"Instances") &amp; ":" &amp; ADDRESS(146+3,K$2+1))),"min", MIN(INDIRECT(ADDRESS(146+3,K$2+1,,,"Instances") &amp; ":" &amp; ADDRESS(146+3,K$2+1))),"max", MAX(INDIRECT(ADDRESS(146+3,K$2+1,,,"Instances") &amp; ":" &amp; ADDRESS(146+3,K$2+1))),"diff", MAX(INDIRECT(ADDRESS(146+3,K$2+1,,,"Instances") &amp; ":" &amp; ADDRESS(146+3,K$2+1)))-MIN(INDIRECT(ADDRESS(146+3,K$2+1,,,"Instances") &amp; ":" &amp; ADDRESS(146+3,K$2+1))))</f>
        <v>#N/A</v>
      </c>
      <c r="L151" s="0" t="str">
        <f aca="false">IFERROR(SMALL(K5:K364,ROW()-ROW($L$5)+1),"")</f>
        <v/>
      </c>
      <c r="N151" s="0" t="n">
        <f aca="false">IFERROR(SUM(L5:L151),"")</f>
        <v>0</v>
      </c>
      <c r="Q151" s="0" t="e">
        <f aca="false">IF(Charts!$B$3="none",E1958,IF(K1958="",NA(),K1958))</f>
        <v>#N/A</v>
      </c>
      <c r="R151" s="0" t="e">
        <f aca="false">IF(Charts!$B$3="none",F1958,IF(L1958="",NA(),L1958))</f>
        <v>#N/A</v>
      </c>
      <c r="S151" s="0" t="e">
        <f aca="false">IF(Charts!$B$3="none",G1958,IF(M1958="",NA(),M1958))</f>
        <v>#N/A</v>
      </c>
      <c r="T151" s="0" t="e">
        <f aca="false">IF(Charts!$B$3="none",H1958,IF(N1958="",NA(),N1958))</f>
        <v>#N/A</v>
      </c>
    </row>
    <row r="152" customFormat="false" ht="15" hidden="false" customHeight="false" outlineLevel="0" collapsed="false">
      <c r="D152" s="0" t="n">
        <v>148</v>
      </c>
      <c r="E152" s="0" t="str">
        <f aca="true">IF(INDIRECT(ADDRESS($D152+2,E$2+1,,,"Instances"))="","",INDIRECT(ADDRESS($D152+2,E$2+1,,,"Instances")))</f>
        <v>Level_4/2-0011000</v>
      </c>
      <c r="F152" s="0" t="str">
        <f aca="false">IFERROR(SMALL(E5:E364,ROW()-ROW($F$5)+1),"")</f>
        <v/>
      </c>
      <c r="H152" s="0" t="n">
        <f aca="false">IFERROR(SUM(F5:F152),"")</f>
        <v>0</v>
      </c>
      <c r="J152" s="0" t="n">
        <v>148</v>
      </c>
      <c r="K152" s="0" t="e">
        <f aca="true" t="array" ref="K152:K152">_xlfn.SWITCH(Charts!$B$3,"average", AVERAGE(INDIRECT(ADDRESS(147+3,K$2+1,,,"Instances") &amp; ":" &amp; ADDRESS(147+3,K$2+1))),"median", MEDIAN(INDIRECT(ADDRESS(147+3,K$2+1,,,"Instances") &amp; ":" &amp; ADDRESS(147+3,K$2+1))),"min", MIN(INDIRECT(ADDRESS(147+3,K$2+1,,,"Instances") &amp; ":" &amp; ADDRESS(147+3,K$2+1))),"max", MAX(INDIRECT(ADDRESS(147+3,K$2+1,,,"Instances") &amp; ":" &amp; ADDRESS(147+3,K$2+1))),"diff", MAX(INDIRECT(ADDRESS(147+3,K$2+1,,,"Instances") &amp; ":" &amp; ADDRESS(147+3,K$2+1)))-MIN(INDIRECT(ADDRESS(147+3,K$2+1,,,"Instances") &amp; ":" &amp; ADDRESS(147+3,K$2+1))))</f>
        <v>#N/A</v>
      </c>
      <c r="L152" s="0" t="str">
        <f aca="false">IFERROR(SMALL(K5:K364,ROW()-ROW($L$5)+1),"")</f>
        <v/>
      </c>
      <c r="N152" s="0" t="n">
        <f aca="false">IFERROR(SUM(L5:L152),"")</f>
        <v>0</v>
      </c>
      <c r="Q152" s="0" t="e">
        <f aca="false">IF(Charts!$B$3="none",E1959,IF(K1959="",NA(),K1959))</f>
        <v>#N/A</v>
      </c>
      <c r="R152" s="0" t="e">
        <f aca="false">IF(Charts!$B$3="none",F1959,IF(L1959="",NA(),L1959))</f>
        <v>#N/A</v>
      </c>
      <c r="S152" s="0" t="e">
        <f aca="false">IF(Charts!$B$3="none",G1959,IF(M1959="",NA(),M1959))</f>
        <v>#N/A</v>
      </c>
      <c r="T152" s="0" t="e">
        <f aca="false">IF(Charts!$B$3="none",H1959,IF(N1959="",NA(),N1959))</f>
        <v>#N/A</v>
      </c>
    </row>
    <row r="153" customFormat="false" ht="15" hidden="false" customHeight="false" outlineLevel="0" collapsed="false">
      <c r="D153" s="0" t="n">
        <v>149</v>
      </c>
      <c r="E153" s="0" t="str">
        <f aca="true">IF(INDIRECT(ADDRESS($D153+2,E$2+1,,,"Instances"))="","",INDIRECT(ADDRESS($D153+2,E$2+1,,,"Instances")))</f>
        <v>Level_4/2-0100100</v>
      </c>
      <c r="F153" s="0" t="str">
        <f aca="false">IFERROR(SMALL(E5:E364,ROW()-ROW($F$5)+1),"")</f>
        <v/>
      </c>
      <c r="H153" s="0" t="n">
        <f aca="false">IFERROR(SUM(F5:F153),"")</f>
        <v>0</v>
      </c>
      <c r="J153" s="0" t="n">
        <v>149</v>
      </c>
      <c r="K153" s="0" t="e">
        <f aca="true" t="array" ref="K153:K153">_xlfn.SWITCH(Charts!$B$3,"average", AVERAGE(INDIRECT(ADDRESS(148+3,K$2+1,,,"Instances") &amp; ":" &amp; ADDRESS(148+3,K$2+1))),"median", MEDIAN(INDIRECT(ADDRESS(148+3,K$2+1,,,"Instances") &amp; ":" &amp; ADDRESS(148+3,K$2+1))),"min", MIN(INDIRECT(ADDRESS(148+3,K$2+1,,,"Instances") &amp; ":" &amp; ADDRESS(148+3,K$2+1))),"max", MAX(INDIRECT(ADDRESS(148+3,K$2+1,,,"Instances") &amp; ":" &amp; ADDRESS(148+3,K$2+1))),"diff", MAX(INDIRECT(ADDRESS(148+3,K$2+1,,,"Instances") &amp; ":" &amp; ADDRESS(148+3,K$2+1)))-MIN(INDIRECT(ADDRESS(148+3,K$2+1,,,"Instances") &amp; ":" &amp; ADDRESS(148+3,K$2+1))))</f>
        <v>#N/A</v>
      </c>
      <c r="L153" s="0" t="str">
        <f aca="false">IFERROR(SMALL(K5:K364,ROW()-ROW($L$5)+1),"")</f>
        <v/>
      </c>
      <c r="N153" s="0" t="n">
        <f aca="false">IFERROR(SUM(L5:L153),"")</f>
        <v>0</v>
      </c>
      <c r="Q153" s="0" t="e">
        <f aca="false">IF(Charts!$B$3="none",E1960,IF(K1960="",NA(),K1960))</f>
        <v>#N/A</v>
      </c>
      <c r="R153" s="0" t="e">
        <f aca="false">IF(Charts!$B$3="none",F1960,IF(L1960="",NA(),L1960))</f>
        <v>#N/A</v>
      </c>
      <c r="S153" s="0" t="e">
        <f aca="false">IF(Charts!$B$3="none",G1960,IF(M1960="",NA(),M1960))</f>
        <v>#N/A</v>
      </c>
      <c r="T153" s="0" t="e">
        <f aca="false">IF(Charts!$B$3="none",H1960,IF(N1960="",NA(),N1960))</f>
        <v>#N/A</v>
      </c>
    </row>
    <row r="154" customFormat="false" ht="15" hidden="false" customHeight="false" outlineLevel="0" collapsed="false">
      <c r="D154" s="0" t="n">
        <v>150</v>
      </c>
      <c r="E154" s="0" t="str">
        <f aca="true">IF(INDIRECT(ADDRESS($D154+2,E$2+1,,,"Instances"))="","",INDIRECT(ADDRESS($D154+2,E$2+1,,,"Instances")))</f>
        <v>Level_4/2-1000001</v>
      </c>
      <c r="F154" s="0" t="str">
        <f aca="false">IFERROR(SMALL(E5:E364,ROW()-ROW($F$5)+1),"")</f>
        <v/>
      </c>
      <c r="H154" s="0" t="n">
        <f aca="false">IFERROR(SUM(F5:F154),"")</f>
        <v>0</v>
      </c>
      <c r="J154" s="0" t="n">
        <v>150</v>
      </c>
      <c r="K154" s="0" t="e">
        <f aca="true" t="array" ref="K154:K154">_xlfn.SWITCH(Charts!$B$3,"average", AVERAGE(INDIRECT(ADDRESS(149+3,K$2+1,,,"Instances") &amp; ":" &amp; ADDRESS(149+3,K$2+1))),"median", MEDIAN(INDIRECT(ADDRESS(149+3,K$2+1,,,"Instances") &amp; ":" &amp; ADDRESS(149+3,K$2+1))),"min", MIN(INDIRECT(ADDRESS(149+3,K$2+1,,,"Instances") &amp; ":" &amp; ADDRESS(149+3,K$2+1))),"max", MAX(INDIRECT(ADDRESS(149+3,K$2+1,,,"Instances") &amp; ":" &amp; ADDRESS(149+3,K$2+1))),"diff", MAX(INDIRECT(ADDRESS(149+3,K$2+1,,,"Instances") &amp; ":" &amp; ADDRESS(149+3,K$2+1)))-MIN(INDIRECT(ADDRESS(149+3,K$2+1,,,"Instances") &amp; ":" &amp; ADDRESS(149+3,K$2+1))))</f>
        <v>#N/A</v>
      </c>
      <c r="L154" s="0" t="str">
        <f aca="false">IFERROR(SMALL(K5:K364,ROW()-ROW($L$5)+1),"")</f>
        <v/>
      </c>
      <c r="N154" s="0" t="n">
        <f aca="false">IFERROR(SUM(L5:L154),"")</f>
        <v>0</v>
      </c>
      <c r="Q154" s="0" t="e">
        <f aca="false">IF(Charts!$B$3="none",E1961,IF(K1961="",NA(),K1961))</f>
        <v>#N/A</v>
      </c>
      <c r="R154" s="0" t="e">
        <f aca="false">IF(Charts!$B$3="none",F1961,IF(L1961="",NA(),L1961))</f>
        <v>#N/A</v>
      </c>
      <c r="S154" s="0" t="e">
        <f aca="false">IF(Charts!$B$3="none",G1961,IF(M1961="",NA(),M1961))</f>
        <v>#N/A</v>
      </c>
      <c r="T154" s="0" t="e">
        <f aca="false">IF(Charts!$B$3="none",H1961,IF(N1961="",NA(),N1961))</f>
        <v>#N/A</v>
      </c>
    </row>
    <row r="155" customFormat="false" ht="15" hidden="false" customHeight="false" outlineLevel="0" collapsed="false">
      <c r="D155" s="0" t="n">
        <v>151</v>
      </c>
      <c r="E155" s="0" t="str">
        <f aca="true">IF(INDIRECT(ADDRESS($D155+2,E$2+1,,,"Instances"))="","",INDIRECT(ADDRESS($D155+2,E$2+1,,,"Instances")))</f>
        <v>Level_4/2-1000100</v>
      </c>
      <c r="F155" s="0" t="str">
        <f aca="false">IFERROR(SMALL(E5:E364,ROW()-ROW($F$5)+1),"")</f>
        <v/>
      </c>
      <c r="H155" s="0" t="n">
        <f aca="false">IFERROR(SUM(F5:F155),"")</f>
        <v>0</v>
      </c>
      <c r="J155" s="0" t="n">
        <v>151</v>
      </c>
      <c r="K155" s="0" t="e">
        <f aca="true" t="array" ref="K155:K155">_xlfn.SWITCH(Charts!$B$3,"average", AVERAGE(INDIRECT(ADDRESS(150+3,K$2+1,,,"Instances") &amp; ":" &amp; ADDRESS(150+3,K$2+1))),"median", MEDIAN(INDIRECT(ADDRESS(150+3,K$2+1,,,"Instances") &amp; ":" &amp; ADDRESS(150+3,K$2+1))),"min", MIN(INDIRECT(ADDRESS(150+3,K$2+1,,,"Instances") &amp; ":" &amp; ADDRESS(150+3,K$2+1))),"max", MAX(INDIRECT(ADDRESS(150+3,K$2+1,,,"Instances") &amp; ":" &amp; ADDRESS(150+3,K$2+1))),"diff", MAX(INDIRECT(ADDRESS(150+3,K$2+1,,,"Instances") &amp; ":" &amp; ADDRESS(150+3,K$2+1)))-MIN(INDIRECT(ADDRESS(150+3,K$2+1,,,"Instances") &amp; ":" &amp; ADDRESS(150+3,K$2+1))))</f>
        <v>#N/A</v>
      </c>
      <c r="L155" s="0" t="str">
        <f aca="false">IFERROR(SMALL(K5:K364,ROW()-ROW($L$5)+1),"")</f>
        <v/>
      </c>
      <c r="N155" s="0" t="n">
        <f aca="false">IFERROR(SUM(L5:L155),"")</f>
        <v>0</v>
      </c>
      <c r="Q155" s="0" t="e">
        <f aca="false">IF(Charts!$B$3="none",E1962,IF(K1962="",NA(),K1962))</f>
        <v>#N/A</v>
      </c>
      <c r="R155" s="0" t="e">
        <f aca="false">IF(Charts!$B$3="none",F1962,IF(L1962="",NA(),L1962))</f>
        <v>#N/A</v>
      </c>
      <c r="S155" s="0" t="e">
        <f aca="false">IF(Charts!$B$3="none",G1962,IF(M1962="",NA(),M1962))</f>
        <v>#N/A</v>
      </c>
      <c r="T155" s="0" t="e">
        <f aca="false">IF(Charts!$B$3="none",H1962,IF(N1962="",NA(),N1962))</f>
        <v>#N/A</v>
      </c>
    </row>
    <row r="156" customFormat="false" ht="15" hidden="false" customHeight="false" outlineLevel="0" collapsed="false">
      <c r="D156" s="0" t="n">
        <v>152</v>
      </c>
      <c r="E156" s="0" t="str">
        <f aca="true">IF(INDIRECT(ADDRESS($D156+2,E$2+1,,,"Instances"))="","",INDIRECT(ADDRESS($D156+2,E$2+1,,,"Instances")))</f>
        <v>Level_4/3-0010011</v>
      </c>
      <c r="F156" s="0" t="str">
        <f aca="false">IFERROR(SMALL(E5:E364,ROW()-ROW($F$5)+1),"")</f>
        <v/>
      </c>
      <c r="H156" s="0" t="n">
        <f aca="false">IFERROR(SUM(F5:F156),"")</f>
        <v>0</v>
      </c>
      <c r="J156" s="0" t="n">
        <v>152</v>
      </c>
      <c r="K156" s="0" t="e">
        <f aca="true" t="array" ref="K156:K156">_xlfn.SWITCH(Charts!$B$3,"average", AVERAGE(INDIRECT(ADDRESS(151+3,K$2+1,,,"Instances") &amp; ":" &amp; ADDRESS(151+3,K$2+1))),"median", MEDIAN(INDIRECT(ADDRESS(151+3,K$2+1,,,"Instances") &amp; ":" &amp; ADDRESS(151+3,K$2+1))),"min", MIN(INDIRECT(ADDRESS(151+3,K$2+1,,,"Instances") &amp; ":" &amp; ADDRESS(151+3,K$2+1))),"max", MAX(INDIRECT(ADDRESS(151+3,K$2+1,,,"Instances") &amp; ":" &amp; ADDRESS(151+3,K$2+1))),"diff", MAX(INDIRECT(ADDRESS(151+3,K$2+1,,,"Instances") &amp; ":" &amp; ADDRESS(151+3,K$2+1)))-MIN(INDIRECT(ADDRESS(151+3,K$2+1,,,"Instances") &amp; ":" &amp; ADDRESS(151+3,K$2+1))))</f>
        <v>#N/A</v>
      </c>
      <c r="L156" s="0" t="str">
        <f aca="false">IFERROR(SMALL(K5:K364,ROW()-ROW($L$5)+1),"")</f>
        <v/>
      </c>
      <c r="N156" s="0" t="n">
        <f aca="false">IFERROR(SUM(L5:L156),"")</f>
        <v>0</v>
      </c>
      <c r="Q156" s="0" t="e">
        <f aca="false">IF(Charts!$B$3="none",E1963,IF(K1963="",NA(),K1963))</f>
        <v>#N/A</v>
      </c>
      <c r="R156" s="0" t="e">
        <f aca="false">IF(Charts!$B$3="none",F1963,IF(L1963="",NA(),L1963))</f>
        <v>#N/A</v>
      </c>
      <c r="S156" s="0" t="e">
        <f aca="false">IF(Charts!$B$3="none",G1963,IF(M1963="",NA(),M1963))</f>
        <v>#N/A</v>
      </c>
      <c r="T156" s="0" t="e">
        <f aca="false">IF(Charts!$B$3="none",H1963,IF(N1963="",NA(),N1963))</f>
        <v>#N/A</v>
      </c>
    </row>
    <row r="157" customFormat="false" ht="15" hidden="false" customHeight="false" outlineLevel="0" collapsed="false">
      <c r="D157" s="0" t="n">
        <v>153</v>
      </c>
      <c r="E157" s="0" t="str">
        <f aca="true">IF(INDIRECT(ADDRESS($D157+2,E$2+1,,,"Instances"))="","",INDIRECT(ADDRESS($D157+2,E$2+1,,,"Instances")))</f>
        <v>Level_4/3-0100011</v>
      </c>
      <c r="F157" s="0" t="str">
        <f aca="false">IFERROR(SMALL(E5:E364,ROW()-ROW($F$5)+1),"")</f>
        <v/>
      </c>
      <c r="H157" s="0" t="n">
        <f aca="false">IFERROR(SUM(F5:F157),"")</f>
        <v>0</v>
      </c>
      <c r="J157" s="0" t="n">
        <v>153</v>
      </c>
      <c r="K157" s="0" t="e">
        <f aca="true" t="array" ref="K157:K157">_xlfn.SWITCH(Charts!$B$3,"average", AVERAGE(INDIRECT(ADDRESS(152+3,K$2+1,,,"Instances") &amp; ":" &amp; ADDRESS(152+3,K$2+1))),"median", MEDIAN(INDIRECT(ADDRESS(152+3,K$2+1,,,"Instances") &amp; ":" &amp; ADDRESS(152+3,K$2+1))),"min", MIN(INDIRECT(ADDRESS(152+3,K$2+1,,,"Instances") &amp; ":" &amp; ADDRESS(152+3,K$2+1))),"max", MAX(INDIRECT(ADDRESS(152+3,K$2+1,,,"Instances") &amp; ":" &amp; ADDRESS(152+3,K$2+1))),"diff", MAX(INDIRECT(ADDRESS(152+3,K$2+1,,,"Instances") &amp; ":" &amp; ADDRESS(152+3,K$2+1)))-MIN(INDIRECT(ADDRESS(152+3,K$2+1,,,"Instances") &amp; ":" &amp; ADDRESS(152+3,K$2+1))))</f>
        <v>#N/A</v>
      </c>
      <c r="L157" s="0" t="str">
        <f aca="false">IFERROR(SMALL(K5:K364,ROW()-ROW($L$5)+1),"")</f>
        <v/>
      </c>
      <c r="N157" s="0" t="n">
        <f aca="false">IFERROR(SUM(L5:L157),"")</f>
        <v>0</v>
      </c>
      <c r="Q157" s="0" t="e">
        <f aca="false">IF(Charts!$B$3="none",E1964,IF(K1964="",NA(),K1964))</f>
        <v>#N/A</v>
      </c>
      <c r="R157" s="0" t="e">
        <f aca="false">IF(Charts!$B$3="none",F1964,IF(L1964="",NA(),L1964))</f>
        <v>#N/A</v>
      </c>
      <c r="S157" s="0" t="e">
        <f aca="false">IF(Charts!$B$3="none",G1964,IF(M1964="",NA(),M1964))</f>
        <v>#N/A</v>
      </c>
      <c r="T157" s="0" t="e">
        <f aca="false">IF(Charts!$B$3="none",H1964,IF(N1964="",NA(),N1964))</f>
        <v>#N/A</v>
      </c>
    </row>
    <row r="158" customFormat="false" ht="15" hidden="false" customHeight="false" outlineLevel="0" collapsed="false">
      <c r="D158" s="0" t="n">
        <v>154</v>
      </c>
      <c r="E158" s="0" t="str">
        <f aca="true">IF(INDIRECT(ADDRESS($D158+2,E$2+1,,,"Instances"))="","",INDIRECT(ADDRESS($D158+2,E$2+1,,,"Instances")))</f>
        <v>Level_4/3-0110010</v>
      </c>
      <c r="F158" s="0" t="str">
        <f aca="false">IFERROR(SMALL(E5:E364,ROW()-ROW($F$5)+1),"")</f>
        <v/>
      </c>
      <c r="H158" s="0" t="n">
        <f aca="false">IFERROR(SUM(F5:F158),"")</f>
        <v>0</v>
      </c>
      <c r="J158" s="0" t="n">
        <v>154</v>
      </c>
      <c r="K158" s="0" t="e">
        <f aca="true" t="array" ref="K158:K158">_xlfn.SWITCH(Charts!$B$3,"average", AVERAGE(INDIRECT(ADDRESS(153+3,K$2+1,,,"Instances") &amp; ":" &amp; ADDRESS(153+3,K$2+1))),"median", MEDIAN(INDIRECT(ADDRESS(153+3,K$2+1,,,"Instances") &amp; ":" &amp; ADDRESS(153+3,K$2+1))),"min", MIN(INDIRECT(ADDRESS(153+3,K$2+1,,,"Instances") &amp; ":" &amp; ADDRESS(153+3,K$2+1))),"max", MAX(INDIRECT(ADDRESS(153+3,K$2+1,,,"Instances") &amp; ":" &amp; ADDRESS(153+3,K$2+1))),"diff", MAX(INDIRECT(ADDRESS(153+3,K$2+1,,,"Instances") &amp; ":" &amp; ADDRESS(153+3,K$2+1)))-MIN(INDIRECT(ADDRESS(153+3,K$2+1,,,"Instances") &amp; ":" &amp; ADDRESS(153+3,K$2+1))))</f>
        <v>#N/A</v>
      </c>
      <c r="L158" s="0" t="str">
        <f aca="false">IFERROR(SMALL(K5:K364,ROW()-ROW($L$5)+1),"")</f>
        <v/>
      </c>
      <c r="N158" s="0" t="n">
        <f aca="false">IFERROR(SUM(L5:L158),"")</f>
        <v>0</v>
      </c>
      <c r="Q158" s="0" t="e">
        <f aca="false">IF(Charts!$B$3="none",E1965,IF(K1965="",NA(),K1965))</f>
        <v>#N/A</v>
      </c>
      <c r="R158" s="0" t="e">
        <f aca="false">IF(Charts!$B$3="none",F1965,IF(L1965="",NA(),L1965))</f>
        <v>#N/A</v>
      </c>
      <c r="S158" s="0" t="e">
        <f aca="false">IF(Charts!$B$3="none",G1965,IF(M1965="",NA(),M1965))</f>
        <v>#N/A</v>
      </c>
      <c r="T158" s="0" t="e">
        <f aca="false">IF(Charts!$B$3="none",H1965,IF(N1965="",NA(),N1965))</f>
        <v>#N/A</v>
      </c>
    </row>
    <row r="159" customFormat="false" ht="15" hidden="false" customHeight="false" outlineLevel="0" collapsed="false">
      <c r="D159" s="0" t="n">
        <v>155</v>
      </c>
      <c r="E159" s="0" t="str">
        <f aca="true">IF(INDIRECT(ADDRESS($D159+2,E$2+1,,,"Instances"))="","",INDIRECT(ADDRESS($D159+2,E$2+1,,,"Instances")))</f>
        <v>Level_4/3-1001100</v>
      </c>
      <c r="F159" s="0" t="str">
        <f aca="false">IFERROR(SMALL(E5:E364,ROW()-ROW($F$5)+1),"")</f>
        <v/>
      </c>
      <c r="H159" s="0" t="n">
        <f aca="false">IFERROR(SUM(F5:F159),"")</f>
        <v>0</v>
      </c>
      <c r="J159" s="0" t="n">
        <v>155</v>
      </c>
      <c r="K159" s="0" t="e">
        <f aca="true" t="array" ref="K159:K159">_xlfn.SWITCH(Charts!$B$3,"average", AVERAGE(INDIRECT(ADDRESS(154+3,K$2+1,,,"Instances") &amp; ":" &amp; ADDRESS(154+3,K$2+1))),"median", MEDIAN(INDIRECT(ADDRESS(154+3,K$2+1,,,"Instances") &amp; ":" &amp; ADDRESS(154+3,K$2+1))),"min", MIN(INDIRECT(ADDRESS(154+3,K$2+1,,,"Instances") &amp; ":" &amp; ADDRESS(154+3,K$2+1))),"max", MAX(INDIRECT(ADDRESS(154+3,K$2+1,,,"Instances") &amp; ":" &amp; ADDRESS(154+3,K$2+1))),"diff", MAX(INDIRECT(ADDRESS(154+3,K$2+1,,,"Instances") &amp; ":" &amp; ADDRESS(154+3,K$2+1)))-MIN(INDIRECT(ADDRESS(154+3,K$2+1,,,"Instances") &amp; ":" &amp; ADDRESS(154+3,K$2+1))))</f>
        <v>#N/A</v>
      </c>
      <c r="L159" s="0" t="str">
        <f aca="false">IFERROR(SMALL(K5:K364,ROW()-ROW($L$5)+1),"")</f>
        <v/>
      </c>
      <c r="N159" s="0" t="n">
        <f aca="false">IFERROR(SUM(L5:L159),"")</f>
        <v>0</v>
      </c>
      <c r="Q159" s="0" t="e">
        <f aca="false">IF(Charts!$B$3="none",E1966,IF(K1966="",NA(),K1966))</f>
        <v>#N/A</v>
      </c>
      <c r="R159" s="0" t="e">
        <f aca="false">IF(Charts!$B$3="none",F1966,IF(L1966="",NA(),L1966))</f>
        <v>#N/A</v>
      </c>
      <c r="S159" s="0" t="e">
        <f aca="false">IF(Charts!$B$3="none",G1966,IF(M1966="",NA(),M1966))</f>
        <v>#N/A</v>
      </c>
      <c r="T159" s="0" t="e">
        <f aca="false">IF(Charts!$B$3="none",H1966,IF(N1966="",NA(),N1966))</f>
        <v>#N/A</v>
      </c>
    </row>
    <row r="160" customFormat="false" ht="15" hidden="false" customHeight="false" outlineLevel="0" collapsed="false">
      <c r="D160" s="0" t="n">
        <v>156</v>
      </c>
      <c r="E160" s="0" t="str">
        <f aca="true">IF(INDIRECT(ADDRESS($D160+2,E$2+1,,,"Instances"))="","",INDIRECT(ADDRESS($D160+2,E$2+1,,,"Instances")))</f>
        <v>Level_4/3-1010001</v>
      </c>
      <c r="F160" s="0" t="str">
        <f aca="false">IFERROR(SMALL(E5:E364,ROW()-ROW($F$5)+1),"")</f>
        <v/>
      </c>
      <c r="H160" s="0" t="n">
        <f aca="false">IFERROR(SUM(F5:F160),"")</f>
        <v>0</v>
      </c>
      <c r="J160" s="0" t="n">
        <v>156</v>
      </c>
      <c r="K160" s="0" t="e">
        <f aca="true" t="array" ref="K160:K160">_xlfn.SWITCH(Charts!$B$3,"average", AVERAGE(INDIRECT(ADDRESS(155+3,K$2+1,,,"Instances") &amp; ":" &amp; ADDRESS(155+3,K$2+1))),"median", MEDIAN(INDIRECT(ADDRESS(155+3,K$2+1,,,"Instances") &amp; ":" &amp; ADDRESS(155+3,K$2+1))),"min", MIN(INDIRECT(ADDRESS(155+3,K$2+1,,,"Instances") &amp; ":" &amp; ADDRESS(155+3,K$2+1))),"max", MAX(INDIRECT(ADDRESS(155+3,K$2+1,,,"Instances") &amp; ":" &amp; ADDRESS(155+3,K$2+1))),"diff", MAX(INDIRECT(ADDRESS(155+3,K$2+1,,,"Instances") &amp; ":" &amp; ADDRESS(155+3,K$2+1)))-MIN(INDIRECT(ADDRESS(155+3,K$2+1,,,"Instances") &amp; ":" &amp; ADDRESS(155+3,K$2+1))))</f>
        <v>#N/A</v>
      </c>
      <c r="L160" s="0" t="str">
        <f aca="false">IFERROR(SMALL(K5:K364,ROW()-ROW($L$5)+1),"")</f>
        <v/>
      </c>
      <c r="N160" s="0" t="n">
        <f aca="false">IFERROR(SUM(L5:L160),"")</f>
        <v>0</v>
      </c>
      <c r="Q160" s="0" t="e">
        <f aca="false">IF(Charts!$B$3="none",E1967,IF(K1967="",NA(),K1967))</f>
        <v>#N/A</v>
      </c>
      <c r="R160" s="0" t="e">
        <f aca="false">IF(Charts!$B$3="none",F1967,IF(L1967="",NA(),L1967))</f>
        <v>#N/A</v>
      </c>
      <c r="S160" s="0" t="e">
        <f aca="false">IF(Charts!$B$3="none",G1967,IF(M1967="",NA(),M1967))</f>
        <v>#N/A</v>
      </c>
      <c r="T160" s="0" t="e">
        <f aca="false">IF(Charts!$B$3="none",H1967,IF(N1967="",NA(),N1967))</f>
        <v>#N/A</v>
      </c>
    </row>
    <row r="161" customFormat="false" ht="15" hidden="false" customHeight="false" outlineLevel="0" collapsed="false">
      <c r="D161" s="0" t="n">
        <v>157</v>
      </c>
      <c r="E161" s="0" t="str">
        <f aca="true">IF(INDIRECT(ADDRESS($D161+2,E$2+1,,,"Instances"))="","",INDIRECT(ADDRESS($D161+2,E$2+1,,,"Instances")))</f>
        <v>Level_4/3-1010100</v>
      </c>
      <c r="F161" s="0" t="str">
        <f aca="false">IFERROR(SMALL(E5:E364,ROW()-ROW($F$5)+1),"")</f>
        <v/>
      </c>
      <c r="H161" s="0" t="n">
        <f aca="false">IFERROR(SUM(F5:F161),"")</f>
        <v>0</v>
      </c>
      <c r="J161" s="0" t="n">
        <v>157</v>
      </c>
      <c r="K161" s="0" t="e">
        <f aca="true" t="array" ref="K161:K161">_xlfn.SWITCH(Charts!$B$3,"average", AVERAGE(INDIRECT(ADDRESS(156+3,K$2+1,,,"Instances") &amp; ":" &amp; ADDRESS(156+3,K$2+1))),"median", MEDIAN(INDIRECT(ADDRESS(156+3,K$2+1,,,"Instances") &amp; ":" &amp; ADDRESS(156+3,K$2+1))),"min", MIN(INDIRECT(ADDRESS(156+3,K$2+1,,,"Instances") &amp; ":" &amp; ADDRESS(156+3,K$2+1))),"max", MAX(INDIRECT(ADDRESS(156+3,K$2+1,,,"Instances") &amp; ":" &amp; ADDRESS(156+3,K$2+1))),"diff", MAX(INDIRECT(ADDRESS(156+3,K$2+1,,,"Instances") &amp; ":" &amp; ADDRESS(156+3,K$2+1)))-MIN(INDIRECT(ADDRESS(156+3,K$2+1,,,"Instances") &amp; ":" &amp; ADDRESS(156+3,K$2+1))))</f>
        <v>#N/A</v>
      </c>
      <c r="L161" s="0" t="str">
        <f aca="false">IFERROR(SMALL(K5:K364,ROW()-ROW($L$5)+1),"")</f>
        <v/>
      </c>
      <c r="N161" s="0" t="n">
        <f aca="false">IFERROR(SUM(L5:L161),"")</f>
        <v>0</v>
      </c>
      <c r="Q161" s="0" t="e">
        <f aca="false">IF(Charts!$B$3="none",E1968,IF(K1968="",NA(),K1968))</f>
        <v>#N/A</v>
      </c>
      <c r="R161" s="0" t="e">
        <f aca="false">IF(Charts!$B$3="none",F1968,IF(L1968="",NA(),L1968))</f>
        <v>#N/A</v>
      </c>
      <c r="S161" s="0" t="e">
        <f aca="false">IF(Charts!$B$3="none",G1968,IF(M1968="",NA(),M1968))</f>
        <v>#N/A</v>
      </c>
      <c r="T161" s="0" t="e">
        <f aca="false">IF(Charts!$B$3="none",H1968,IF(N1968="",NA(),N1968))</f>
        <v>#N/A</v>
      </c>
    </row>
    <row r="162" customFormat="false" ht="15" hidden="false" customHeight="false" outlineLevel="0" collapsed="false">
      <c r="D162" s="0" t="n">
        <v>158</v>
      </c>
      <c r="E162" s="0" t="str">
        <f aca="true">IF(INDIRECT(ADDRESS($D162+2,E$2+1,,,"Instances"))="","",INDIRECT(ADDRESS($D162+2,E$2+1,,,"Instances")))</f>
        <v>Level_4/3-1101000</v>
      </c>
      <c r="F162" s="0" t="str">
        <f aca="false">IFERROR(SMALL(E5:E364,ROW()-ROW($F$5)+1),"")</f>
        <v/>
      </c>
      <c r="H162" s="0" t="n">
        <f aca="false">IFERROR(SUM(F5:F162),"")</f>
        <v>0</v>
      </c>
      <c r="J162" s="0" t="n">
        <v>158</v>
      </c>
      <c r="K162" s="0" t="e">
        <f aca="true" t="array" ref="K162:K162">_xlfn.SWITCH(Charts!$B$3,"average", AVERAGE(INDIRECT(ADDRESS(157+3,K$2+1,,,"Instances") &amp; ":" &amp; ADDRESS(157+3,K$2+1))),"median", MEDIAN(INDIRECT(ADDRESS(157+3,K$2+1,,,"Instances") &amp; ":" &amp; ADDRESS(157+3,K$2+1))),"min", MIN(INDIRECT(ADDRESS(157+3,K$2+1,,,"Instances") &amp; ":" &amp; ADDRESS(157+3,K$2+1))),"max", MAX(INDIRECT(ADDRESS(157+3,K$2+1,,,"Instances") &amp; ":" &amp; ADDRESS(157+3,K$2+1))),"diff", MAX(INDIRECT(ADDRESS(157+3,K$2+1,,,"Instances") &amp; ":" &amp; ADDRESS(157+3,K$2+1)))-MIN(INDIRECT(ADDRESS(157+3,K$2+1,,,"Instances") &amp; ":" &amp; ADDRESS(157+3,K$2+1))))</f>
        <v>#N/A</v>
      </c>
      <c r="L162" s="0" t="str">
        <f aca="false">IFERROR(SMALL(K5:K364,ROW()-ROW($L$5)+1),"")</f>
        <v/>
      </c>
      <c r="N162" s="0" t="n">
        <f aca="false">IFERROR(SUM(L5:L162),"")</f>
        <v>0</v>
      </c>
      <c r="Q162" s="0" t="e">
        <f aca="false">IF(Charts!$B$3="none",E1969,IF(K1969="",NA(),K1969))</f>
        <v>#N/A</v>
      </c>
      <c r="R162" s="0" t="e">
        <f aca="false">IF(Charts!$B$3="none",F1969,IF(L1969="",NA(),L1969))</f>
        <v>#N/A</v>
      </c>
      <c r="S162" s="0" t="e">
        <f aca="false">IF(Charts!$B$3="none",G1969,IF(M1969="",NA(),M1969))</f>
        <v>#N/A</v>
      </c>
      <c r="T162" s="0" t="e">
        <f aca="false">IF(Charts!$B$3="none",H1969,IF(N1969="",NA(),N1969))</f>
        <v>#N/A</v>
      </c>
    </row>
    <row r="163" customFormat="false" ht="15" hidden="false" customHeight="false" outlineLevel="0" collapsed="false">
      <c r="D163" s="0" t="n">
        <v>159</v>
      </c>
      <c r="E163" s="0" t="str">
        <f aca="true">IF(INDIRECT(ADDRESS($D163+2,E$2+1,,,"Instances"))="","",INDIRECT(ADDRESS($D163+2,E$2+1,,,"Instances")))</f>
        <v>Level_4/4-0111001</v>
      </c>
      <c r="F163" s="0" t="str">
        <f aca="false">IFERROR(SMALL(E5:E364,ROW()-ROW($F$5)+1),"")</f>
        <v/>
      </c>
      <c r="H163" s="0" t="n">
        <f aca="false">IFERROR(SUM(F5:F163),"")</f>
        <v>0</v>
      </c>
      <c r="J163" s="0" t="n">
        <v>159</v>
      </c>
      <c r="K163" s="0" t="e">
        <f aca="true" t="array" ref="K163:K163">_xlfn.SWITCH(Charts!$B$3,"average", AVERAGE(INDIRECT(ADDRESS(158+3,K$2+1,,,"Instances") &amp; ":" &amp; ADDRESS(158+3,K$2+1))),"median", MEDIAN(INDIRECT(ADDRESS(158+3,K$2+1,,,"Instances") &amp; ":" &amp; ADDRESS(158+3,K$2+1))),"min", MIN(INDIRECT(ADDRESS(158+3,K$2+1,,,"Instances") &amp; ":" &amp; ADDRESS(158+3,K$2+1))),"max", MAX(INDIRECT(ADDRESS(158+3,K$2+1,,,"Instances") &amp; ":" &amp; ADDRESS(158+3,K$2+1))),"diff", MAX(INDIRECT(ADDRESS(158+3,K$2+1,,,"Instances") &amp; ":" &amp; ADDRESS(158+3,K$2+1)))-MIN(INDIRECT(ADDRESS(158+3,K$2+1,,,"Instances") &amp; ":" &amp; ADDRESS(158+3,K$2+1))))</f>
        <v>#N/A</v>
      </c>
      <c r="L163" s="0" t="str">
        <f aca="false">IFERROR(SMALL(K5:K364,ROW()-ROW($L$5)+1),"")</f>
        <v/>
      </c>
      <c r="N163" s="0" t="n">
        <f aca="false">IFERROR(SUM(L5:L163),"")</f>
        <v>0</v>
      </c>
      <c r="Q163" s="0" t="e">
        <f aca="false">IF(Charts!$B$3="none",E1970,IF(K1970="",NA(),K1970))</f>
        <v>#N/A</v>
      </c>
      <c r="R163" s="0" t="e">
        <f aca="false">IF(Charts!$B$3="none",F1970,IF(L1970="",NA(),L1970))</f>
        <v>#N/A</v>
      </c>
      <c r="S163" s="0" t="e">
        <f aca="false">IF(Charts!$B$3="none",G1970,IF(M1970="",NA(),M1970))</f>
        <v>#N/A</v>
      </c>
      <c r="T163" s="0" t="e">
        <f aca="false">IF(Charts!$B$3="none",H1970,IF(N1970="",NA(),N1970))</f>
        <v>#N/A</v>
      </c>
    </row>
    <row r="164" customFormat="false" ht="15" hidden="false" customHeight="false" outlineLevel="0" collapsed="false">
      <c r="D164" s="0" t="n">
        <v>160</v>
      </c>
      <c r="E164" s="0" t="str">
        <f aca="true">IF(INDIRECT(ADDRESS($D164+2,E$2+1,,,"Instances"))="","",INDIRECT(ADDRESS($D164+2,E$2+1,,,"Instances")))</f>
        <v>Level_4/4-1001101</v>
      </c>
      <c r="F164" s="0" t="str">
        <f aca="false">IFERROR(SMALL(E5:E364,ROW()-ROW($F$5)+1),"")</f>
        <v/>
      </c>
      <c r="H164" s="0" t="n">
        <f aca="false">IFERROR(SUM(F5:F164),"")</f>
        <v>0</v>
      </c>
      <c r="J164" s="0" t="n">
        <v>160</v>
      </c>
      <c r="K164" s="0" t="e">
        <f aca="true" t="array" ref="K164:K164">_xlfn.SWITCH(Charts!$B$3,"average", AVERAGE(INDIRECT(ADDRESS(159+3,K$2+1,,,"Instances") &amp; ":" &amp; ADDRESS(159+3,K$2+1))),"median", MEDIAN(INDIRECT(ADDRESS(159+3,K$2+1,,,"Instances") &amp; ":" &amp; ADDRESS(159+3,K$2+1))),"min", MIN(INDIRECT(ADDRESS(159+3,K$2+1,,,"Instances") &amp; ":" &amp; ADDRESS(159+3,K$2+1))),"max", MAX(INDIRECT(ADDRESS(159+3,K$2+1,,,"Instances") &amp; ":" &amp; ADDRESS(159+3,K$2+1))),"diff", MAX(INDIRECT(ADDRESS(159+3,K$2+1,,,"Instances") &amp; ":" &amp; ADDRESS(159+3,K$2+1)))-MIN(INDIRECT(ADDRESS(159+3,K$2+1,,,"Instances") &amp; ":" &amp; ADDRESS(159+3,K$2+1))))</f>
        <v>#N/A</v>
      </c>
      <c r="L164" s="0" t="str">
        <f aca="false">IFERROR(SMALL(K5:K364,ROW()-ROW($L$5)+1),"")</f>
        <v/>
      </c>
      <c r="N164" s="0" t="n">
        <f aca="false">IFERROR(SUM(L5:L164),"")</f>
        <v>0</v>
      </c>
      <c r="Q164" s="0" t="e">
        <f aca="false">IF(Charts!$B$3="none",E1971,IF(K1971="",NA(),K1971))</f>
        <v>#N/A</v>
      </c>
      <c r="R164" s="0" t="e">
        <f aca="false">IF(Charts!$B$3="none",F1971,IF(L1971="",NA(),L1971))</f>
        <v>#N/A</v>
      </c>
      <c r="S164" s="0" t="e">
        <f aca="false">IF(Charts!$B$3="none",G1971,IF(M1971="",NA(),M1971))</f>
        <v>#N/A</v>
      </c>
      <c r="T164" s="0" t="e">
        <f aca="false">IF(Charts!$B$3="none",H1971,IF(N1971="",NA(),N1971))</f>
        <v>#N/A</v>
      </c>
    </row>
    <row r="165" customFormat="false" ht="15" hidden="false" customHeight="false" outlineLevel="0" collapsed="false">
      <c r="D165" s="0" t="n">
        <v>161</v>
      </c>
      <c r="E165" s="0" t="str">
        <f aca="true">IF(INDIRECT(ADDRESS($D165+2,E$2+1,,,"Instances"))="","",INDIRECT(ADDRESS($D165+2,E$2+1,,,"Instances")))</f>
        <v>Level_4/4-1010110</v>
      </c>
      <c r="F165" s="0" t="str">
        <f aca="false">IFERROR(SMALL(E5:E364,ROW()-ROW($F$5)+1),"")</f>
        <v/>
      </c>
      <c r="H165" s="0" t="n">
        <f aca="false">IFERROR(SUM(F5:F165),"")</f>
        <v>0</v>
      </c>
      <c r="J165" s="0" t="n">
        <v>161</v>
      </c>
      <c r="K165" s="0" t="e">
        <f aca="true" t="array" ref="K165:K165">_xlfn.SWITCH(Charts!$B$3,"average", AVERAGE(INDIRECT(ADDRESS(160+3,K$2+1,,,"Instances") &amp; ":" &amp; ADDRESS(160+3,K$2+1))),"median", MEDIAN(INDIRECT(ADDRESS(160+3,K$2+1,,,"Instances") &amp; ":" &amp; ADDRESS(160+3,K$2+1))),"min", MIN(INDIRECT(ADDRESS(160+3,K$2+1,,,"Instances") &amp; ":" &amp; ADDRESS(160+3,K$2+1))),"max", MAX(INDIRECT(ADDRESS(160+3,K$2+1,,,"Instances") &amp; ":" &amp; ADDRESS(160+3,K$2+1))),"diff", MAX(INDIRECT(ADDRESS(160+3,K$2+1,,,"Instances") &amp; ":" &amp; ADDRESS(160+3,K$2+1)))-MIN(INDIRECT(ADDRESS(160+3,K$2+1,,,"Instances") &amp; ":" &amp; ADDRESS(160+3,K$2+1))))</f>
        <v>#N/A</v>
      </c>
      <c r="L165" s="0" t="str">
        <f aca="false">IFERROR(SMALL(K5:K364,ROW()-ROW($L$5)+1),"")</f>
        <v/>
      </c>
      <c r="N165" s="0" t="n">
        <f aca="false">IFERROR(SUM(L5:L165),"")</f>
        <v>0</v>
      </c>
      <c r="Q165" s="0" t="e">
        <f aca="false">IF(Charts!$B$3="none",E1972,IF(K1972="",NA(),K1972))</f>
        <v>#N/A</v>
      </c>
      <c r="R165" s="0" t="e">
        <f aca="false">IF(Charts!$B$3="none",F1972,IF(L1972="",NA(),L1972))</f>
        <v>#N/A</v>
      </c>
      <c r="S165" s="0" t="e">
        <f aca="false">IF(Charts!$B$3="none",G1972,IF(M1972="",NA(),M1972))</f>
        <v>#N/A</v>
      </c>
      <c r="T165" s="0" t="e">
        <f aca="false">IF(Charts!$B$3="none",H1972,IF(N1972="",NA(),N1972))</f>
        <v>#N/A</v>
      </c>
    </row>
    <row r="166" customFormat="false" ht="15" hidden="false" customHeight="false" outlineLevel="0" collapsed="false">
      <c r="D166" s="0" t="n">
        <v>162</v>
      </c>
      <c r="E166" s="0" t="str">
        <f aca="true">IF(INDIRECT(ADDRESS($D166+2,E$2+1,,,"Instances"))="","",INDIRECT(ADDRESS($D166+2,E$2+1,,,"Instances")))</f>
        <v>Level_4/4-1011001</v>
      </c>
      <c r="F166" s="0" t="str">
        <f aca="false">IFERROR(SMALL(E5:E364,ROW()-ROW($F$5)+1),"")</f>
        <v/>
      </c>
      <c r="H166" s="0" t="n">
        <f aca="false">IFERROR(SUM(F5:F166),"")</f>
        <v>0</v>
      </c>
      <c r="J166" s="0" t="n">
        <v>162</v>
      </c>
      <c r="K166" s="0" t="e">
        <f aca="true" t="array" ref="K166:K166">_xlfn.SWITCH(Charts!$B$3,"average", AVERAGE(INDIRECT(ADDRESS(161+3,K$2+1,,,"Instances") &amp; ":" &amp; ADDRESS(161+3,K$2+1))),"median", MEDIAN(INDIRECT(ADDRESS(161+3,K$2+1,,,"Instances") &amp; ":" &amp; ADDRESS(161+3,K$2+1))),"min", MIN(INDIRECT(ADDRESS(161+3,K$2+1,,,"Instances") &amp; ":" &amp; ADDRESS(161+3,K$2+1))),"max", MAX(INDIRECT(ADDRESS(161+3,K$2+1,,,"Instances") &amp; ":" &amp; ADDRESS(161+3,K$2+1))),"diff", MAX(INDIRECT(ADDRESS(161+3,K$2+1,,,"Instances") &amp; ":" &amp; ADDRESS(161+3,K$2+1)))-MIN(INDIRECT(ADDRESS(161+3,K$2+1,,,"Instances") &amp; ":" &amp; ADDRESS(161+3,K$2+1))))</f>
        <v>#N/A</v>
      </c>
      <c r="L166" s="0" t="str">
        <f aca="false">IFERROR(SMALL(K5:K364,ROW()-ROW($L$5)+1),"")</f>
        <v/>
      </c>
      <c r="N166" s="0" t="n">
        <f aca="false">IFERROR(SUM(L5:L166),"")</f>
        <v>0</v>
      </c>
      <c r="Q166" s="0" t="e">
        <f aca="false">IF(Charts!$B$3="none",E1973,IF(K1973="",NA(),K1973))</f>
        <v>#N/A</v>
      </c>
      <c r="R166" s="0" t="e">
        <f aca="false">IF(Charts!$B$3="none",F1973,IF(L1973="",NA(),L1973))</f>
        <v>#N/A</v>
      </c>
      <c r="S166" s="0" t="e">
        <f aca="false">IF(Charts!$B$3="none",G1973,IF(M1973="",NA(),M1973))</f>
        <v>#N/A</v>
      </c>
      <c r="T166" s="0" t="e">
        <f aca="false">IF(Charts!$B$3="none",H1973,IF(N1973="",NA(),N1973))</f>
        <v>#N/A</v>
      </c>
    </row>
    <row r="167" customFormat="false" ht="15" hidden="false" customHeight="false" outlineLevel="0" collapsed="false">
      <c r="D167" s="0" t="n">
        <v>163</v>
      </c>
      <c r="E167" s="0" t="str">
        <f aca="true">IF(INDIRECT(ADDRESS($D167+2,E$2+1,,,"Instances"))="","",INDIRECT(ADDRESS($D167+2,E$2+1,,,"Instances")))</f>
        <v>Level_4/4-1100101</v>
      </c>
      <c r="F167" s="0" t="str">
        <f aca="false">IFERROR(SMALL(E5:E364,ROW()-ROW($F$5)+1),"")</f>
        <v/>
      </c>
      <c r="H167" s="0" t="n">
        <f aca="false">IFERROR(SUM(F5:F167),"")</f>
        <v>0</v>
      </c>
      <c r="J167" s="0" t="n">
        <v>163</v>
      </c>
      <c r="K167" s="0" t="e">
        <f aca="true" t="array" ref="K167:K167">_xlfn.SWITCH(Charts!$B$3,"average", AVERAGE(INDIRECT(ADDRESS(162+3,K$2+1,,,"Instances") &amp; ":" &amp; ADDRESS(162+3,K$2+1))),"median", MEDIAN(INDIRECT(ADDRESS(162+3,K$2+1,,,"Instances") &amp; ":" &amp; ADDRESS(162+3,K$2+1))),"min", MIN(INDIRECT(ADDRESS(162+3,K$2+1,,,"Instances") &amp; ":" &amp; ADDRESS(162+3,K$2+1))),"max", MAX(INDIRECT(ADDRESS(162+3,K$2+1,,,"Instances") &amp; ":" &amp; ADDRESS(162+3,K$2+1))),"diff", MAX(INDIRECT(ADDRESS(162+3,K$2+1,,,"Instances") &amp; ":" &amp; ADDRESS(162+3,K$2+1)))-MIN(INDIRECT(ADDRESS(162+3,K$2+1,,,"Instances") &amp; ":" &amp; ADDRESS(162+3,K$2+1))))</f>
        <v>#N/A</v>
      </c>
      <c r="L167" s="0" t="str">
        <f aca="false">IFERROR(SMALL(K5:K364,ROW()-ROW($L$5)+1),"")</f>
        <v/>
      </c>
      <c r="N167" s="0" t="n">
        <f aca="false">IFERROR(SUM(L5:L167),"")</f>
        <v>0</v>
      </c>
      <c r="Q167" s="0" t="e">
        <f aca="false">IF(Charts!$B$3="none",E1974,IF(K1974="",NA(),K1974))</f>
        <v>#N/A</v>
      </c>
      <c r="R167" s="0" t="e">
        <f aca="false">IF(Charts!$B$3="none",F1974,IF(L1974="",NA(),L1974))</f>
        <v>#N/A</v>
      </c>
      <c r="S167" s="0" t="e">
        <f aca="false">IF(Charts!$B$3="none",G1974,IF(M1974="",NA(),M1974))</f>
        <v>#N/A</v>
      </c>
      <c r="T167" s="0" t="e">
        <f aca="false">IF(Charts!$B$3="none",H1974,IF(N1974="",NA(),N1974))</f>
        <v>#N/A</v>
      </c>
    </row>
    <row r="168" customFormat="false" ht="15" hidden="false" customHeight="false" outlineLevel="0" collapsed="false">
      <c r="D168" s="0" t="n">
        <v>164</v>
      </c>
      <c r="E168" s="0" t="str">
        <f aca="true">IF(INDIRECT(ADDRESS($D168+2,E$2+1,,,"Instances"))="","",INDIRECT(ADDRESS($D168+2,E$2+1,,,"Instances")))</f>
        <v>Level_4/4-1100110</v>
      </c>
      <c r="F168" s="0" t="str">
        <f aca="false">IFERROR(SMALL(E5:E364,ROW()-ROW($F$5)+1),"")</f>
        <v/>
      </c>
      <c r="H168" s="0" t="n">
        <f aca="false">IFERROR(SUM(F5:F168),"")</f>
        <v>0</v>
      </c>
      <c r="J168" s="0" t="n">
        <v>164</v>
      </c>
      <c r="K168" s="0" t="e">
        <f aca="true" t="array" ref="K168:K168">_xlfn.SWITCH(Charts!$B$3,"average", AVERAGE(INDIRECT(ADDRESS(163+3,K$2+1,,,"Instances") &amp; ":" &amp; ADDRESS(163+3,K$2+1))),"median", MEDIAN(INDIRECT(ADDRESS(163+3,K$2+1,,,"Instances") &amp; ":" &amp; ADDRESS(163+3,K$2+1))),"min", MIN(INDIRECT(ADDRESS(163+3,K$2+1,,,"Instances") &amp; ":" &amp; ADDRESS(163+3,K$2+1))),"max", MAX(INDIRECT(ADDRESS(163+3,K$2+1,,,"Instances") &amp; ":" &amp; ADDRESS(163+3,K$2+1))),"diff", MAX(INDIRECT(ADDRESS(163+3,K$2+1,,,"Instances") &amp; ":" &amp; ADDRESS(163+3,K$2+1)))-MIN(INDIRECT(ADDRESS(163+3,K$2+1,,,"Instances") &amp; ":" &amp; ADDRESS(163+3,K$2+1))))</f>
        <v>#N/A</v>
      </c>
      <c r="L168" s="0" t="str">
        <f aca="false">IFERROR(SMALL(K5:K364,ROW()-ROW($L$5)+1),"")</f>
        <v/>
      </c>
      <c r="N168" s="0" t="n">
        <f aca="false">IFERROR(SUM(L5:L168),"")</f>
        <v>0</v>
      </c>
      <c r="Q168" s="0" t="e">
        <f aca="false">IF(Charts!$B$3="none",E1975,IF(K1975="",NA(),K1975))</f>
        <v>#N/A</v>
      </c>
      <c r="R168" s="0" t="e">
        <f aca="false">IF(Charts!$B$3="none",F1975,IF(L1975="",NA(),L1975))</f>
        <v>#N/A</v>
      </c>
      <c r="S168" s="0" t="e">
        <f aca="false">IF(Charts!$B$3="none",G1975,IF(M1975="",NA(),M1975))</f>
        <v>#N/A</v>
      </c>
      <c r="T168" s="0" t="e">
        <f aca="false">IF(Charts!$B$3="none",H1975,IF(N1975="",NA(),N1975))</f>
        <v>#N/A</v>
      </c>
    </row>
    <row r="169" customFormat="false" ht="15" hidden="false" customHeight="false" outlineLevel="0" collapsed="false">
      <c r="D169" s="0" t="n">
        <v>165</v>
      </c>
      <c r="E169" s="0" t="str">
        <f aca="true">IF(INDIRECT(ADDRESS($D169+2,E$2+1,,,"Instances"))="","",INDIRECT(ADDRESS($D169+2,E$2+1,,,"Instances")))</f>
        <v>Level_4/4-1101001</v>
      </c>
      <c r="F169" s="0" t="str">
        <f aca="false">IFERROR(SMALL(E5:E364,ROW()-ROW($F$5)+1),"")</f>
        <v/>
      </c>
      <c r="H169" s="0" t="n">
        <f aca="false">IFERROR(SUM(F5:F169),"")</f>
        <v>0</v>
      </c>
      <c r="J169" s="0" t="n">
        <v>165</v>
      </c>
      <c r="K169" s="0" t="e">
        <f aca="true" t="array" ref="K169:K169">_xlfn.SWITCH(Charts!$B$3,"average", AVERAGE(INDIRECT(ADDRESS(164+3,K$2+1,,,"Instances") &amp; ":" &amp; ADDRESS(164+3,K$2+1))),"median", MEDIAN(INDIRECT(ADDRESS(164+3,K$2+1,,,"Instances") &amp; ":" &amp; ADDRESS(164+3,K$2+1))),"min", MIN(INDIRECT(ADDRESS(164+3,K$2+1,,,"Instances") &amp; ":" &amp; ADDRESS(164+3,K$2+1))),"max", MAX(INDIRECT(ADDRESS(164+3,K$2+1,,,"Instances") &amp; ":" &amp; ADDRESS(164+3,K$2+1))),"diff", MAX(INDIRECT(ADDRESS(164+3,K$2+1,,,"Instances") &amp; ":" &amp; ADDRESS(164+3,K$2+1)))-MIN(INDIRECT(ADDRESS(164+3,K$2+1,,,"Instances") &amp; ":" &amp; ADDRESS(164+3,K$2+1))))</f>
        <v>#N/A</v>
      </c>
      <c r="L169" s="0" t="str">
        <f aca="false">IFERROR(SMALL(K5:K364,ROW()-ROW($L$5)+1),"")</f>
        <v/>
      </c>
      <c r="N169" s="0" t="n">
        <f aca="false">IFERROR(SUM(L5:L169),"")</f>
        <v>0</v>
      </c>
      <c r="Q169" s="0" t="e">
        <f aca="false">IF(Charts!$B$3="none",E1976,IF(K1976="",NA(),K1976))</f>
        <v>#N/A</v>
      </c>
      <c r="R169" s="0" t="e">
        <f aca="false">IF(Charts!$B$3="none",F1976,IF(L1976="",NA(),L1976))</f>
        <v>#N/A</v>
      </c>
      <c r="S169" s="0" t="e">
        <f aca="false">IF(Charts!$B$3="none",G1976,IF(M1976="",NA(),M1976))</f>
        <v>#N/A</v>
      </c>
      <c r="T169" s="0" t="e">
        <f aca="false">IF(Charts!$B$3="none",H1976,IF(N1976="",NA(),N1976))</f>
        <v>#N/A</v>
      </c>
    </row>
    <row r="170" customFormat="false" ht="15" hidden="false" customHeight="false" outlineLevel="0" collapsed="false">
      <c r="D170" s="0" t="n">
        <v>166</v>
      </c>
      <c r="E170" s="0" t="str">
        <f aca="true">IF(INDIRECT(ADDRESS($D170+2,E$2+1,,,"Instances"))="","",INDIRECT(ADDRESS($D170+2,E$2+1,,,"Instances")))</f>
        <v>Level_4/5-0110111</v>
      </c>
      <c r="F170" s="0" t="str">
        <f aca="false">IFERROR(SMALL(E5:E364,ROW()-ROW($F$5)+1),"")</f>
        <v/>
      </c>
      <c r="H170" s="0" t="n">
        <f aca="false">IFERROR(SUM(F5:F170),"")</f>
        <v>0</v>
      </c>
      <c r="J170" s="0" t="n">
        <v>166</v>
      </c>
      <c r="K170" s="0" t="e">
        <f aca="true" t="array" ref="K170:K170">_xlfn.SWITCH(Charts!$B$3,"average", AVERAGE(INDIRECT(ADDRESS(165+3,K$2+1,,,"Instances") &amp; ":" &amp; ADDRESS(165+3,K$2+1))),"median", MEDIAN(INDIRECT(ADDRESS(165+3,K$2+1,,,"Instances") &amp; ":" &amp; ADDRESS(165+3,K$2+1))),"min", MIN(INDIRECT(ADDRESS(165+3,K$2+1,,,"Instances") &amp; ":" &amp; ADDRESS(165+3,K$2+1))),"max", MAX(INDIRECT(ADDRESS(165+3,K$2+1,,,"Instances") &amp; ":" &amp; ADDRESS(165+3,K$2+1))),"diff", MAX(INDIRECT(ADDRESS(165+3,K$2+1,,,"Instances") &amp; ":" &amp; ADDRESS(165+3,K$2+1)))-MIN(INDIRECT(ADDRESS(165+3,K$2+1,,,"Instances") &amp; ":" &amp; ADDRESS(165+3,K$2+1))))</f>
        <v>#N/A</v>
      </c>
      <c r="L170" s="0" t="str">
        <f aca="false">IFERROR(SMALL(K5:K364,ROW()-ROW($L$5)+1),"")</f>
        <v/>
      </c>
      <c r="N170" s="0" t="n">
        <f aca="false">IFERROR(SUM(L5:L170),"")</f>
        <v>0</v>
      </c>
      <c r="Q170" s="0" t="e">
        <f aca="false">IF(Charts!$B$3="none",E1977,IF(K1977="",NA(),K1977))</f>
        <v>#N/A</v>
      </c>
      <c r="R170" s="0" t="e">
        <f aca="false">IF(Charts!$B$3="none",F1977,IF(L1977="",NA(),L1977))</f>
        <v>#N/A</v>
      </c>
      <c r="S170" s="0" t="e">
        <f aca="false">IF(Charts!$B$3="none",G1977,IF(M1977="",NA(),M1977))</f>
        <v>#N/A</v>
      </c>
      <c r="T170" s="0" t="e">
        <f aca="false">IF(Charts!$B$3="none",H1977,IF(N1977="",NA(),N1977))</f>
        <v>#N/A</v>
      </c>
    </row>
    <row r="171" customFormat="false" ht="15" hidden="false" customHeight="false" outlineLevel="0" collapsed="false">
      <c r="D171" s="0" t="n">
        <v>167</v>
      </c>
      <c r="E171" s="0" t="str">
        <f aca="true">IF(INDIRECT(ADDRESS($D171+2,E$2+1,,,"Instances"))="","",INDIRECT(ADDRESS($D171+2,E$2+1,,,"Instances")))</f>
        <v>Level_4/5-0111101</v>
      </c>
      <c r="F171" s="0" t="str">
        <f aca="false">IFERROR(SMALL(E5:E364,ROW()-ROW($F$5)+1),"")</f>
        <v/>
      </c>
      <c r="H171" s="0" t="n">
        <f aca="false">IFERROR(SUM(F5:F171),"")</f>
        <v>0</v>
      </c>
      <c r="J171" s="0" t="n">
        <v>167</v>
      </c>
      <c r="K171" s="0" t="e">
        <f aca="true" t="array" ref="K171:K171">_xlfn.SWITCH(Charts!$B$3,"average", AVERAGE(INDIRECT(ADDRESS(166+3,K$2+1,,,"Instances") &amp; ":" &amp; ADDRESS(166+3,K$2+1))),"median", MEDIAN(INDIRECT(ADDRESS(166+3,K$2+1,,,"Instances") &amp; ":" &amp; ADDRESS(166+3,K$2+1))),"min", MIN(INDIRECT(ADDRESS(166+3,K$2+1,,,"Instances") &amp; ":" &amp; ADDRESS(166+3,K$2+1))),"max", MAX(INDIRECT(ADDRESS(166+3,K$2+1,,,"Instances") &amp; ":" &amp; ADDRESS(166+3,K$2+1))),"diff", MAX(INDIRECT(ADDRESS(166+3,K$2+1,,,"Instances") &amp; ":" &amp; ADDRESS(166+3,K$2+1)))-MIN(INDIRECT(ADDRESS(166+3,K$2+1,,,"Instances") &amp; ":" &amp; ADDRESS(166+3,K$2+1))))</f>
        <v>#N/A</v>
      </c>
      <c r="L171" s="0" t="str">
        <f aca="false">IFERROR(SMALL(K5:K364,ROW()-ROW($L$5)+1),"")</f>
        <v/>
      </c>
      <c r="N171" s="0" t="n">
        <f aca="false">IFERROR(SUM(L5:L171),"")</f>
        <v>0</v>
      </c>
      <c r="Q171" s="0" t="e">
        <f aca="false">IF(Charts!$B$3="none",E1978,IF(K1978="",NA(),K1978))</f>
        <v>#N/A</v>
      </c>
      <c r="R171" s="0" t="e">
        <f aca="false">IF(Charts!$B$3="none",F1978,IF(L1978="",NA(),L1978))</f>
        <v>#N/A</v>
      </c>
      <c r="S171" s="0" t="e">
        <f aca="false">IF(Charts!$B$3="none",G1978,IF(M1978="",NA(),M1978))</f>
        <v>#N/A</v>
      </c>
      <c r="T171" s="0" t="e">
        <f aca="false">IF(Charts!$B$3="none",H1978,IF(N1978="",NA(),N1978))</f>
        <v>#N/A</v>
      </c>
    </row>
    <row r="172" customFormat="false" ht="15" hidden="false" customHeight="false" outlineLevel="0" collapsed="false">
      <c r="D172" s="0" t="n">
        <v>168</v>
      </c>
      <c r="E172" s="0" t="str">
        <f aca="true">IF(INDIRECT(ADDRESS($D172+2,E$2+1,,,"Instances"))="","",INDIRECT(ADDRESS($D172+2,E$2+1,,,"Instances")))</f>
        <v>Level_4/5-0111110</v>
      </c>
      <c r="F172" s="0" t="str">
        <f aca="false">IFERROR(SMALL(E5:E364,ROW()-ROW($F$5)+1),"")</f>
        <v/>
      </c>
      <c r="H172" s="0" t="n">
        <f aca="false">IFERROR(SUM(F5:F172),"")</f>
        <v>0</v>
      </c>
      <c r="J172" s="0" t="n">
        <v>168</v>
      </c>
      <c r="K172" s="0" t="e">
        <f aca="true" t="array" ref="K172:K172">_xlfn.SWITCH(Charts!$B$3,"average", AVERAGE(INDIRECT(ADDRESS(167+3,K$2+1,,,"Instances") &amp; ":" &amp; ADDRESS(167+3,K$2+1))),"median", MEDIAN(INDIRECT(ADDRESS(167+3,K$2+1,,,"Instances") &amp; ":" &amp; ADDRESS(167+3,K$2+1))),"min", MIN(INDIRECT(ADDRESS(167+3,K$2+1,,,"Instances") &amp; ":" &amp; ADDRESS(167+3,K$2+1))),"max", MAX(INDIRECT(ADDRESS(167+3,K$2+1,,,"Instances") &amp; ":" &amp; ADDRESS(167+3,K$2+1))),"diff", MAX(INDIRECT(ADDRESS(167+3,K$2+1,,,"Instances") &amp; ":" &amp; ADDRESS(167+3,K$2+1)))-MIN(INDIRECT(ADDRESS(167+3,K$2+1,,,"Instances") &amp; ":" &amp; ADDRESS(167+3,K$2+1))))</f>
        <v>#N/A</v>
      </c>
      <c r="L172" s="0" t="str">
        <f aca="false">IFERROR(SMALL(K5:K364,ROW()-ROW($L$5)+1),"")</f>
        <v/>
      </c>
      <c r="N172" s="0" t="n">
        <f aca="false">IFERROR(SUM(L5:L172),"")</f>
        <v>0</v>
      </c>
      <c r="Q172" s="0" t="e">
        <f aca="false">IF(Charts!$B$3="none",E1979,IF(K1979="",NA(),K1979))</f>
        <v>#N/A</v>
      </c>
      <c r="R172" s="0" t="e">
        <f aca="false">IF(Charts!$B$3="none",F1979,IF(L1979="",NA(),L1979))</f>
        <v>#N/A</v>
      </c>
      <c r="S172" s="0" t="e">
        <f aca="false">IF(Charts!$B$3="none",G1979,IF(M1979="",NA(),M1979))</f>
        <v>#N/A</v>
      </c>
      <c r="T172" s="0" t="e">
        <f aca="false">IF(Charts!$B$3="none",H1979,IF(N1979="",NA(),N1979))</f>
        <v>#N/A</v>
      </c>
    </row>
    <row r="173" customFormat="false" ht="15" hidden="false" customHeight="false" outlineLevel="0" collapsed="false">
      <c r="D173" s="0" t="n">
        <v>169</v>
      </c>
      <c r="E173" s="0" t="str">
        <f aca="true">IF(INDIRECT(ADDRESS($D173+2,E$2+1,,,"Instances"))="","",INDIRECT(ADDRESS($D173+2,E$2+1,,,"Instances")))</f>
        <v>Level_4/5-1010111</v>
      </c>
      <c r="F173" s="0" t="str">
        <f aca="false">IFERROR(SMALL(E5:E364,ROW()-ROW($F$5)+1),"")</f>
        <v/>
      </c>
      <c r="H173" s="0" t="n">
        <f aca="false">IFERROR(SUM(F5:F173),"")</f>
        <v>0</v>
      </c>
      <c r="J173" s="0" t="n">
        <v>169</v>
      </c>
      <c r="K173" s="0" t="e">
        <f aca="true" t="array" ref="K173:K173">_xlfn.SWITCH(Charts!$B$3,"average", AVERAGE(INDIRECT(ADDRESS(168+3,K$2+1,,,"Instances") &amp; ":" &amp; ADDRESS(168+3,K$2+1))),"median", MEDIAN(INDIRECT(ADDRESS(168+3,K$2+1,,,"Instances") &amp; ":" &amp; ADDRESS(168+3,K$2+1))),"min", MIN(INDIRECT(ADDRESS(168+3,K$2+1,,,"Instances") &amp; ":" &amp; ADDRESS(168+3,K$2+1))),"max", MAX(INDIRECT(ADDRESS(168+3,K$2+1,,,"Instances") &amp; ":" &amp; ADDRESS(168+3,K$2+1))),"diff", MAX(INDIRECT(ADDRESS(168+3,K$2+1,,,"Instances") &amp; ":" &amp; ADDRESS(168+3,K$2+1)))-MIN(INDIRECT(ADDRESS(168+3,K$2+1,,,"Instances") &amp; ":" &amp; ADDRESS(168+3,K$2+1))))</f>
        <v>#N/A</v>
      </c>
      <c r="L173" s="0" t="str">
        <f aca="false">IFERROR(SMALL(K5:K364,ROW()-ROW($L$5)+1),"")</f>
        <v/>
      </c>
      <c r="N173" s="0" t="n">
        <f aca="false">IFERROR(SUM(L5:L173),"")</f>
        <v>0</v>
      </c>
      <c r="Q173" s="0" t="e">
        <f aca="false">IF(Charts!$B$3="none",E1980,IF(K1980="",NA(),K1980))</f>
        <v>#N/A</v>
      </c>
      <c r="R173" s="0" t="e">
        <f aca="false">IF(Charts!$B$3="none",F1980,IF(L1980="",NA(),L1980))</f>
        <v>#N/A</v>
      </c>
      <c r="S173" s="0" t="e">
        <f aca="false">IF(Charts!$B$3="none",G1980,IF(M1980="",NA(),M1980))</f>
        <v>#N/A</v>
      </c>
      <c r="T173" s="0" t="e">
        <f aca="false">IF(Charts!$B$3="none",H1980,IF(N1980="",NA(),N1980))</f>
        <v>#N/A</v>
      </c>
    </row>
    <row r="174" customFormat="false" ht="15" hidden="false" customHeight="false" outlineLevel="0" collapsed="false">
      <c r="D174" s="0" t="n">
        <v>170</v>
      </c>
      <c r="E174" s="0" t="str">
        <f aca="true">IF(INDIRECT(ADDRESS($D174+2,E$2+1,,,"Instances"))="","",INDIRECT(ADDRESS($D174+2,E$2+1,,,"Instances")))</f>
        <v>Level_4/5-1011110</v>
      </c>
      <c r="F174" s="0" t="str">
        <f aca="false">IFERROR(SMALL(E5:E364,ROW()-ROW($F$5)+1),"")</f>
        <v/>
      </c>
      <c r="H174" s="0" t="n">
        <f aca="false">IFERROR(SUM(F5:F174),"")</f>
        <v>0</v>
      </c>
      <c r="J174" s="0" t="n">
        <v>170</v>
      </c>
      <c r="K174" s="0" t="e">
        <f aca="true" t="array" ref="K174:K174">_xlfn.SWITCH(Charts!$B$3,"average", AVERAGE(INDIRECT(ADDRESS(169+3,K$2+1,,,"Instances") &amp; ":" &amp; ADDRESS(169+3,K$2+1))),"median", MEDIAN(INDIRECT(ADDRESS(169+3,K$2+1,,,"Instances") &amp; ":" &amp; ADDRESS(169+3,K$2+1))),"min", MIN(INDIRECT(ADDRESS(169+3,K$2+1,,,"Instances") &amp; ":" &amp; ADDRESS(169+3,K$2+1))),"max", MAX(INDIRECT(ADDRESS(169+3,K$2+1,,,"Instances") &amp; ":" &amp; ADDRESS(169+3,K$2+1))),"diff", MAX(INDIRECT(ADDRESS(169+3,K$2+1,,,"Instances") &amp; ":" &amp; ADDRESS(169+3,K$2+1)))-MIN(INDIRECT(ADDRESS(169+3,K$2+1,,,"Instances") &amp; ":" &amp; ADDRESS(169+3,K$2+1))))</f>
        <v>#N/A</v>
      </c>
      <c r="L174" s="0" t="str">
        <f aca="false">IFERROR(SMALL(K5:K364,ROW()-ROW($L$5)+1),"")</f>
        <v/>
      </c>
      <c r="N174" s="0" t="n">
        <f aca="false">IFERROR(SUM(L5:L174),"")</f>
        <v>0</v>
      </c>
      <c r="Q174" s="0" t="e">
        <f aca="false">IF(Charts!$B$3="none",E1981,IF(K1981="",NA(),K1981))</f>
        <v>#N/A</v>
      </c>
      <c r="R174" s="0" t="e">
        <f aca="false">IF(Charts!$B$3="none",F1981,IF(L1981="",NA(),L1981))</f>
        <v>#N/A</v>
      </c>
      <c r="S174" s="0" t="e">
        <f aca="false">IF(Charts!$B$3="none",G1981,IF(M1981="",NA(),M1981))</f>
        <v>#N/A</v>
      </c>
      <c r="T174" s="0" t="e">
        <f aca="false">IF(Charts!$B$3="none",H1981,IF(N1981="",NA(),N1981))</f>
        <v>#N/A</v>
      </c>
    </row>
    <row r="175" customFormat="false" ht="15" hidden="false" customHeight="false" outlineLevel="0" collapsed="false">
      <c r="D175" s="0" t="n">
        <v>171</v>
      </c>
      <c r="E175" s="0" t="str">
        <f aca="true">IF(INDIRECT(ADDRESS($D175+2,E$2+1,,,"Instances"))="","",INDIRECT(ADDRESS($D175+2,E$2+1,,,"Instances")))</f>
        <v>Level_4/5-1111010</v>
      </c>
      <c r="F175" s="0" t="str">
        <f aca="false">IFERROR(SMALL(E5:E364,ROW()-ROW($F$5)+1),"")</f>
        <v/>
      </c>
      <c r="H175" s="0" t="n">
        <f aca="false">IFERROR(SUM(F5:F175),"")</f>
        <v>0</v>
      </c>
      <c r="J175" s="0" t="n">
        <v>171</v>
      </c>
      <c r="K175" s="0" t="e">
        <f aca="true" t="array" ref="K175:K175">_xlfn.SWITCH(Charts!$B$3,"average", AVERAGE(INDIRECT(ADDRESS(170+3,K$2+1,,,"Instances") &amp; ":" &amp; ADDRESS(170+3,K$2+1))),"median", MEDIAN(INDIRECT(ADDRESS(170+3,K$2+1,,,"Instances") &amp; ":" &amp; ADDRESS(170+3,K$2+1))),"min", MIN(INDIRECT(ADDRESS(170+3,K$2+1,,,"Instances") &amp; ":" &amp; ADDRESS(170+3,K$2+1))),"max", MAX(INDIRECT(ADDRESS(170+3,K$2+1,,,"Instances") &amp; ":" &amp; ADDRESS(170+3,K$2+1))),"diff", MAX(INDIRECT(ADDRESS(170+3,K$2+1,,,"Instances") &amp; ":" &amp; ADDRESS(170+3,K$2+1)))-MIN(INDIRECT(ADDRESS(170+3,K$2+1,,,"Instances") &amp; ":" &amp; ADDRESS(170+3,K$2+1))))</f>
        <v>#N/A</v>
      </c>
      <c r="L175" s="0" t="str">
        <f aca="false">IFERROR(SMALL(K5:K364,ROW()-ROW($L$5)+1),"")</f>
        <v/>
      </c>
      <c r="N175" s="0" t="n">
        <f aca="false">IFERROR(SUM(L5:L175),"")</f>
        <v>0</v>
      </c>
      <c r="Q175" s="0" t="e">
        <f aca="false">IF(Charts!$B$3="none",E1982,IF(K1982="",NA(),K1982))</f>
        <v>#N/A</v>
      </c>
      <c r="R175" s="0" t="e">
        <f aca="false">IF(Charts!$B$3="none",F1982,IF(L1982="",NA(),L1982))</f>
        <v>#N/A</v>
      </c>
      <c r="S175" s="0" t="e">
        <f aca="false">IF(Charts!$B$3="none",G1982,IF(M1982="",NA(),M1982))</f>
        <v>#N/A</v>
      </c>
      <c r="T175" s="0" t="e">
        <f aca="false">IF(Charts!$B$3="none",H1982,IF(N1982="",NA(),N1982))</f>
        <v>#N/A</v>
      </c>
    </row>
    <row r="176" customFormat="false" ht="15" hidden="false" customHeight="false" outlineLevel="0" collapsed="false">
      <c r="D176" s="0" t="n">
        <v>172</v>
      </c>
      <c r="E176" s="0" t="str">
        <f aca="true">IF(INDIRECT(ADDRESS($D176+2,E$2+1,,,"Instances"))="","",INDIRECT(ADDRESS($D176+2,E$2+1,,,"Instances")))</f>
        <v>Level_4/5-1111100</v>
      </c>
      <c r="F176" s="0" t="str">
        <f aca="false">IFERROR(SMALL(E5:E364,ROW()-ROW($F$5)+1),"")</f>
        <v/>
      </c>
      <c r="H176" s="0" t="n">
        <f aca="false">IFERROR(SUM(F5:F176),"")</f>
        <v>0</v>
      </c>
      <c r="J176" s="0" t="n">
        <v>172</v>
      </c>
      <c r="K176" s="0" t="e">
        <f aca="true" t="array" ref="K176:K176">_xlfn.SWITCH(Charts!$B$3,"average", AVERAGE(INDIRECT(ADDRESS(171+3,K$2+1,,,"Instances") &amp; ":" &amp; ADDRESS(171+3,K$2+1))),"median", MEDIAN(INDIRECT(ADDRESS(171+3,K$2+1,,,"Instances") &amp; ":" &amp; ADDRESS(171+3,K$2+1))),"min", MIN(INDIRECT(ADDRESS(171+3,K$2+1,,,"Instances") &amp; ":" &amp; ADDRESS(171+3,K$2+1))),"max", MAX(INDIRECT(ADDRESS(171+3,K$2+1,,,"Instances") &amp; ":" &amp; ADDRESS(171+3,K$2+1))),"diff", MAX(INDIRECT(ADDRESS(171+3,K$2+1,,,"Instances") &amp; ":" &amp; ADDRESS(171+3,K$2+1)))-MIN(INDIRECT(ADDRESS(171+3,K$2+1,,,"Instances") &amp; ":" &amp; ADDRESS(171+3,K$2+1))))</f>
        <v>#N/A</v>
      </c>
      <c r="L176" s="0" t="str">
        <f aca="false">IFERROR(SMALL(K5:K364,ROW()-ROW($L$5)+1),"")</f>
        <v/>
      </c>
      <c r="N176" s="0" t="n">
        <f aca="false">IFERROR(SUM(L5:L176),"")</f>
        <v>0</v>
      </c>
      <c r="Q176" s="0" t="e">
        <f aca="false">IF(Charts!$B$3="none",E1983,IF(K1983="",NA(),K1983))</f>
        <v>#N/A</v>
      </c>
      <c r="R176" s="0" t="e">
        <f aca="false">IF(Charts!$B$3="none",F1983,IF(L1983="",NA(),L1983))</f>
        <v>#N/A</v>
      </c>
      <c r="S176" s="0" t="e">
        <f aca="false">IF(Charts!$B$3="none",G1983,IF(M1983="",NA(),M1983))</f>
        <v>#N/A</v>
      </c>
      <c r="T176" s="0" t="e">
        <f aca="false">IF(Charts!$B$3="none",H1983,IF(N1983="",NA(),N1983))</f>
        <v>#N/A</v>
      </c>
    </row>
    <row r="177" customFormat="false" ht="15" hidden="false" customHeight="false" outlineLevel="0" collapsed="false">
      <c r="D177" s="0" t="n">
        <v>173</v>
      </c>
      <c r="E177" s="0" t="str">
        <f aca="true">IF(INDIRECT(ADDRESS($D177+2,E$2+1,,,"Instances"))="","",INDIRECT(ADDRESS($D177+2,E$2+1,,,"Instances")))</f>
        <v>Level_4/6-0111111</v>
      </c>
      <c r="F177" s="0" t="str">
        <f aca="false">IFERROR(SMALL(E5:E364,ROW()-ROW($F$5)+1),"")</f>
        <v/>
      </c>
      <c r="H177" s="0" t="n">
        <f aca="false">IFERROR(SUM(F5:F177),"")</f>
        <v>0</v>
      </c>
      <c r="J177" s="0" t="n">
        <v>173</v>
      </c>
      <c r="K177" s="0" t="e">
        <f aca="true" t="array" ref="K177:K177">_xlfn.SWITCH(Charts!$B$3,"average", AVERAGE(INDIRECT(ADDRESS(172+3,K$2+1,,,"Instances") &amp; ":" &amp; ADDRESS(172+3,K$2+1))),"median", MEDIAN(INDIRECT(ADDRESS(172+3,K$2+1,,,"Instances") &amp; ":" &amp; ADDRESS(172+3,K$2+1))),"min", MIN(INDIRECT(ADDRESS(172+3,K$2+1,,,"Instances") &amp; ":" &amp; ADDRESS(172+3,K$2+1))),"max", MAX(INDIRECT(ADDRESS(172+3,K$2+1,,,"Instances") &amp; ":" &amp; ADDRESS(172+3,K$2+1))),"diff", MAX(INDIRECT(ADDRESS(172+3,K$2+1,,,"Instances") &amp; ":" &amp; ADDRESS(172+3,K$2+1)))-MIN(INDIRECT(ADDRESS(172+3,K$2+1,,,"Instances") &amp; ":" &amp; ADDRESS(172+3,K$2+1))))</f>
        <v>#N/A</v>
      </c>
      <c r="L177" s="0" t="str">
        <f aca="false">IFERROR(SMALL(K5:K364,ROW()-ROW($L$5)+1),"")</f>
        <v/>
      </c>
      <c r="N177" s="0" t="n">
        <f aca="false">IFERROR(SUM(L5:L177),"")</f>
        <v>0</v>
      </c>
      <c r="Q177" s="0" t="e">
        <f aca="false">IF(Charts!$B$3="none",E1984,IF(K1984="",NA(),K1984))</f>
        <v>#N/A</v>
      </c>
      <c r="R177" s="0" t="e">
        <f aca="false">IF(Charts!$B$3="none",F1984,IF(L1984="",NA(),L1984))</f>
        <v>#N/A</v>
      </c>
      <c r="S177" s="0" t="e">
        <f aca="false">IF(Charts!$B$3="none",G1984,IF(M1984="",NA(),M1984))</f>
        <v>#N/A</v>
      </c>
      <c r="T177" s="0" t="e">
        <f aca="false">IF(Charts!$B$3="none",H1984,IF(N1984="",NA(),N1984))</f>
        <v>#N/A</v>
      </c>
    </row>
    <row r="178" customFormat="false" ht="15" hidden="false" customHeight="false" outlineLevel="0" collapsed="false">
      <c r="D178" s="0" t="n">
        <v>174</v>
      </c>
      <c r="E178" s="0" t="str">
        <f aca="true">IF(INDIRECT(ADDRESS($D178+2,E$2+1,,,"Instances"))="","",INDIRECT(ADDRESS($D178+2,E$2+1,,,"Instances")))</f>
        <v>Level_4/6-1011111</v>
      </c>
      <c r="F178" s="0" t="str">
        <f aca="false">IFERROR(SMALL(E5:E364,ROW()-ROW($F$5)+1),"")</f>
        <v/>
      </c>
      <c r="H178" s="0" t="n">
        <f aca="false">IFERROR(SUM(F5:F178),"")</f>
        <v>0</v>
      </c>
      <c r="J178" s="0" t="n">
        <v>174</v>
      </c>
      <c r="K178" s="0" t="e">
        <f aca="true" t="array" ref="K178:K178">_xlfn.SWITCH(Charts!$B$3,"average", AVERAGE(INDIRECT(ADDRESS(173+3,K$2+1,,,"Instances") &amp; ":" &amp; ADDRESS(173+3,K$2+1))),"median", MEDIAN(INDIRECT(ADDRESS(173+3,K$2+1,,,"Instances") &amp; ":" &amp; ADDRESS(173+3,K$2+1))),"min", MIN(INDIRECT(ADDRESS(173+3,K$2+1,,,"Instances") &amp; ":" &amp; ADDRESS(173+3,K$2+1))),"max", MAX(INDIRECT(ADDRESS(173+3,K$2+1,,,"Instances") &amp; ":" &amp; ADDRESS(173+3,K$2+1))),"diff", MAX(INDIRECT(ADDRESS(173+3,K$2+1,,,"Instances") &amp; ":" &amp; ADDRESS(173+3,K$2+1)))-MIN(INDIRECT(ADDRESS(173+3,K$2+1,,,"Instances") &amp; ":" &amp; ADDRESS(173+3,K$2+1))))</f>
        <v>#N/A</v>
      </c>
      <c r="L178" s="0" t="str">
        <f aca="false">IFERROR(SMALL(K5:K364,ROW()-ROW($L$5)+1),"")</f>
        <v/>
      </c>
      <c r="N178" s="0" t="n">
        <f aca="false">IFERROR(SUM(L5:L178),"")</f>
        <v>0</v>
      </c>
      <c r="Q178" s="0" t="e">
        <f aca="false">IF(Charts!$B$3="none",E1985,IF(K1985="",NA(),K1985))</f>
        <v>#N/A</v>
      </c>
      <c r="R178" s="0" t="e">
        <f aca="false">IF(Charts!$B$3="none",F1985,IF(L1985="",NA(),L1985))</f>
        <v>#N/A</v>
      </c>
      <c r="S178" s="0" t="e">
        <f aca="false">IF(Charts!$B$3="none",G1985,IF(M1985="",NA(),M1985))</f>
        <v>#N/A</v>
      </c>
      <c r="T178" s="0" t="e">
        <f aca="false">IF(Charts!$B$3="none",H1985,IF(N1985="",NA(),N1985))</f>
        <v>#N/A</v>
      </c>
    </row>
    <row r="179" customFormat="false" ht="15" hidden="false" customHeight="false" outlineLevel="0" collapsed="false">
      <c r="D179" s="0" t="n">
        <v>175</v>
      </c>
      <c r="E179" s="0" t="str">
        <f aca="true">IF(INDIRECT(ADDRESS($D179+2,E$2+1,,,"Instances"))="","",INDIRECT(ADDRESS($D179+2,E$2+1,,,"Instances")))</f>
        <v>Level_4/6-1101111</v>
      </c>
      <c r="F179" s="0" t="str">
        <f aca="false">IFERROR(SMALL(E5:E364,ROW()-ROW($F$5)+1),"")</f>
        <v/>
      </c>
      <c r="H179" s="0" t="n">
        <f aca="false">IFERROR(SUM(F5:F179),"")</f>
        <v>0</v>
      </c>
      <c r="J179" s="0" t="n">
        <v>175</v>
      </c>
      <c r="K179" s="0" t="e">
        <f aca="true" t="array" ref="K179:K179">_xlfn.SWITCH(Charts!$B$3,"average", AVERAGE(INDIRECT(ADDRESS(174+3,K$2+1,,,"Instances") &amp; ":" &amp; ADDRESS(174+3,K$2+1))),"median", MEDIAN(INDIRECT(ADDRESS(174+3,K$2+1,,,"Instances") &amp; ":" &amp; ADDRESS(174+3,K$2+1))),"min", MIN(INDIRECT(ADDRESS(174+3,K$2+1,,,"Instances") &amp; ":" &amp; ADDRESS(174+3,K$2+1))),"max", MAX(INDIRECT(ADDRESS(174+3,K$2+1,,,"Instances") &amp; ":" &amp; ADDRESS(174+3,K$2+1))),"diff", MAX(INDIRECT(ADDRESS(174+3,K$2+1,,,"Instances") &amp; ":" &amp; ADDRESS(174+3,K$2+1)))-MIN(INDIRECT(ADDRESS(174+3,K$2+1,,,"Instances") &amp; ":" &amp; ADDRESS(174+3,K$2+1))))</f>
        <v>#N/A</v>
      </c>
      <c r="L179" s="0" t="str">
        <f aca="false">IFERROR(SMALL(K5:K364,ROW()-ROW($L$5)+1),"")</f>
        <v/>
      </c>
      <c r="N179" s="0" t="n">
        <f aca="false">IFERROR(SUM(L5:L179),"")</f>
        <v>0</v>
      </c>
      <c r="Q179" s="0" t="e">
        <f aca="false">IF(Charts!$B$3="none",E1986,IF(K1986="",NA(),K1986))</f>
        <v>#N/A</v>
      </c>
      <c r="R179" s="0" t="e">
        <f aca="false">IF(Charts!$B$3="none",F1986,IF(L1986="",NA(),L1986))</f>
        <v>#N/A</v>
      </c>
      <c r="S179" s="0" t="e">
        <f aca="false">IF(Charts!$B$3="none",G1986,IF(M1986="",NA(),M1986))</f>
        <v>#N/A</v>
      </c>
      <c r="T179" s="0" t="e">
        <f aca="false">IF(Charts!$B$3="none",H1986,IF(N1986="",NA(),N1986))</f>
        <v>#N/A</v>
      </c>
    </row>
    <row r="180" customFormat="false" ht="15" hidden="false" customHeight="false" outlineLevel="0" collapsed="false">
      <c r="D180" s="0" t="n">
        <v>176</v>
      </c>
      <c r="E180" s="0" t="str">
        <f aca="true">IF(INDIRECT(ADDRESS($D180+2,E$2+1,,,"Instances"))="","",INDIRECT(ADDRESS($D180+2,E$2+1,,,"Instances")))</f>
        <v>Level_4/6-1110111</v>
      </c>
      <c r="F180" s="0" t="str">
        <f aca="false">IFERROR(SMALL(E5:E364,ROW()-ROW($F$5)+1),"")</f>
        <v/>
      </c>
      <c r="H180" s="0" t="n">
        <f aca="false">IFERROR(SUM(F5:F180),"")</f>
        <v>0</v>
      </c>
      <c r="J180" s="0" t="n">
        <v>176</v>
      </c>
      <c r="K180" s="0" t="e">
        <f aca="true" t="array" ref="K180:K180">_xlfn.SWITCH(Charts!$B$3,"average", AVERAGE(INDIRECT(ADDRESS(175+3,K$2+1,,,"Instances") &amp; ":" &amp; ADDRESS(175+3,K$2+1))),"median", MEDIAN(INDIRECT(ADDRESS(175+3,K$2+1,,,"Instances") &amp; ":" &amp; ADDRESS(175+3,K$2+1))),"min", MIN(INDIRECT(ADDRESS(175+3,K$2+1,,,"Instances") &amp; ":" &amp; ADDRESS(175+3,K$2+1))),"max", MAX(INDIRECT(ADDRESS(175+3,K$2+1,,,"Instances") &amp; ":" &amp; ADDRESS(175+3,K$2+1))),"diff", MAX(INDIRECT(ADDRESS(175+3,K$2+1,,,"Instances") &amp; ":" &amp; ADDRESS(175+3,K$2+1)))-MIN(INDIRECT(ADDRESS(175+3,K$2+1,,,"Instances") &amp; ":" &amp; ADDRESS(175+3,K$2+1))))</f>
        <v>#N/A</v>
      </c>
      <c r="L180" s="0" t="str">
        <f aca="false">IFERROR(SMALL(K5:K364,ROW()-ROW($L$5)+1),"")</f>
        <v/>
      </c>
      <c r="N180" s="0" t="n">
        <f aca="false">IFERROR(SUM(L5:L180),"")</f>
        <v>0</v>
      </c>
      <c r="Q180" s="0" t="e">
        <f aca="false">IF(Charts!$B$3="none",E1987,IF(K1987="",NA(),K1987))</f>
        <v>#N/A</v>
      </c>
      <c r="R180" s="0" t="e">
        <f aca="false">IF(Charts!$B$3="none",F1987,IF(L1987="",NA(),L1987))</f>
        <v>#N/A</v>
      </c>
      <c r="S180" s="0" t="e">
        <f aca="false">IF(Charts!$B$3="none",G1987,IF(M1987="",NA(),M1987))</f>
        <v>#N/A</v>
      </c>
      <c r="T180" s="0" t="e">
        <f aca="false">IF(Charts!$B$3="none",H1987,IF(N1987="",NA(),N1987))</f>
        <v>#N/A</v>
      </c>
    </row>
    <row r="181" customFormat="false" ht="15" hidden="false" customHeight="false" outlineLevel="0" collapsed="false">
      <c r="D181" s="0" t="n">
        <v>177</v>
      </c>
      <c r="E181" s="0" t="str">
        <f aca="true">IF(INDIRECT(ADDRESS($D181+2,E$2+1,,,"Instances"))="","",INDIRECT(ADDRESS($D181+2,E$2+1,,,"Instances")))</f>
        <v>Level_4/6-1111011</v>
      </c>
      <c r="F181" s="0" t="str">
        <f aca="false">IFERROR(SMALL(E5:E364,ROW()-ROW($F$5)+1),"")</f>
        <v/>
      </c>
      <c r="H181" s="0" t="n">
        <f aca="false">IFERROR(SUM(F5:F181),"")</f>
        <v>0</v>
      </c>
      <c r="J181" s="0" t="n">
        <v>177</v>
      </c>
      <c r="K181" s="0" t="e">
        <f aca="true" t="array" ref="K181:K181">_xlfn.SWITCH(Charts!$B$3,"average", AVERAGE(INDIRECT(ADDRESS(176+3,K$2+1,,,"Instances") &amp; ":" &amp; ADDRESS(176+3,K$2+1))),"median", MEDIAN(INDIRECT(ADDRESS(176+3,K$2+1,,,"Instances") &amp; ":" &amp; ADDRESS(176+3,K$2+1))),"min", MIN(INDIRECT(ADDRESS(176+3,K$2+1,,,"Instances") &amp; ":" &amp; ADDRESS(176+3,K$2+1))),"max", MAX(INDIRECT(ADDRESS(176+3,K$2+1,,,"Instances") &amp; ":" &amp; ADDRESS(176+3,K$2+1))),"diff", MAX(INDIRECT(ADDRESS(176+3,K$2+1,,,"Instances") &amp; ":" &amp; ADDRESS(176+3,K$2+1)))-MIN(INDIRECT(ADDRESS(176+3,K$2+1,,,"Instances") &amp; ":" &amp; ADDRESS(176+3,K$2+1))))</f>
        <v>#N/A</v>
      </c>
      <c r="L181" s="0" t="str">
        <f aca="false">IFERROR(SMALL(K5:K364,ROW()-ROW($L$5)+1),"")</f>
        <v/>
      </c>
      <c r="N181" s="0" t="n">
        <f aca="false">IFERROR(SUM(L5:L181),"")</f>
        <v>0</v>
      </c>
      <c r="Q181" s="0" t="e">
        <f aca="false">IF(Charts!$B$3="none",E1988,IF(K1988="",NA(),K1988))</f>
        <v>#N/A</v>
      </c>
      <c r="R181" s="0" t="e">
        <f aca="false">IF(Charts!$B$3="none",F1988,IF(L1988="",NA(),L1988))</f>
        <v>#N/A</v>
      </c>
      <c r="S181" s="0" t="e">
        <f aca="false">IF(Charts!$B$3="none",G1988,IF(M1988="",NA(),M1988))</f>
        <v>#N/A</v>
      </c>
      <c r="T181" s="0" t="e">
        <f aca="false">IF(Charts!$B$3="none",H1988,IF(N1988="",NA(),N1988))</f>
        <v>#N/A</v>
      </c>
    </row>
    <row r="182" customFormat="false" ht="15" hidden="false" customHeight="false" outlineLevel="0" collapsed="false">
      <c r="D182" s="0" t="n">
        <v>178</v>
      </c>
      <c r="E182" s="0" t="str">
        <f aca="true">IF(INDIRECT(ADDRESS($D182+2,E$2+1,,,"Instances"))="","",INDIRECT(ADDRESS($D182+2,E$2+1,,,"Instances")))</f>
        <v>Level_4/6-1111101</v>
      </c>
      <c r="F182" s="0" t="str">
        <f aca="false">IFERROR(SMALL(E5:E364,ROW()-ROW($F$5)+1),"")</f>
        <v/>
      </c>
      <c r="H182" s="0" t="n">
        <f aca="false">IFERROR(SUM(F5:F182),"")</f>
        <v>0</v>
      </c>
      <c r="J182" s="0" t="n">
        <v>178</v>
      </c>
      <c r="K182" s="0" t="e">
        <f aca="true" t="array" ref="K182:K182">_xlfn.SWITCH(Charts!$B$3,"average", AVERAGE(INDIRECT(ADDRESS(177+3,K$2+1,,,"Instances") &amp; ":" &amp; ADDRESS(177+3,K$2+1))),"median", MEDIAN(INDIRECT(ADDRESS(177+3,K$2+1,,,"Instances") &amp; ":" &amp; ADDRESS(177+3,K$2+1))),"min", MIN(INDIRECT(ADDRESS(177+3,K$2+1,,,"Instances") &amp; ":" &amp; ADDRESS(177+3,K$2+1))),"max", MAX(INDIRECT(ADDRESS(177+3,K$2+1,,,"Instances") &amp; ":" &amp; ADDRESS(177+3,K$2+1))),"diff", MAX(INDIRECT(ADDRESS(177+3,K$2+1,,,"Instances") &amp; ":" &amp; ADDRESS(177+3,K$2+1)))-MIN(INDIRECT(ADDRESS(177+3,K$2+1,,,"Instances") &amp; ":" &amp; ADDRESS(177+3,K$2+1))))</f>
        <v>#N/A</v>
      </c>
      <c r="L182" s="0" t="str">
        <f aca="false">IFERROR(SMALL(K5:K364,ROW()-ROW($L$5)+1),"")</f>
        <v/>
      </c>
      <c r="N182" s="0" t="n">
        <f aca="false">IFERROR(SUM(L5:L182),"")</f>
        <v>0</v>
      </c>
      <c r="Q182" s="0" t="e">
        <f aca="false">IF(Charts!$B$3="none",E1989,IF(K1989="",NA(),K1989))</f>
        <v>#N/A</v>
      </c>
      <c r="R182" s="0" t="e">
        <f aca="false">IF(Charts!$B$3="none",F1989,IF(L1989="",NA(),L1989))</f>
        <v>#N/A</v>
      </c>
      <c r="S182" s="0" t="e">
        <f aca="false">IF(Charts!$B$3="none",G1989,IF(M1989="",NA(),M1989))</f>
        <v>#N/A</v>
      </c>
      <c r="T182" s="0" t="e">
        <f aca="false">IF(Charts!$B$3="none",H1989,IF(N1989="",NA(),N1989))</f>
        <v>#N/A</v>
      </c>
    </row>
    <row r="183" customFormat="false" ht="15" hidden="false" customHeight="false" outlineLevel="0" collapsed="false">
      <c r="D183" s="0" t="n">
        <v>179</v>
      </c>
      <c r="E183" s="0" t="str">
        <f aca="true">IF(INDIRECT(ADDRESS($D183+2,E$2+1,,,"Instances"))="","",INDIRECT(ADDRESS($D183+2,E$2+1,,,"Instances")))</f>
        <v>Level_4/6-1111110</v>
      </c>
      <c r="F183" s="0" t="str">
        <f aca="false">IFERROR(SMALL(E5:E364,ROW()-ROW($F$5)+1),"")</f>
        <v/>
      </c>
      <c r="H183" s="0" t="n">
        <f aca="false">IFERROR(SUM(F5:F183),"")</f>
        <v>0</v>
      </c>
      <c r="J183" s="0" t="n">
        <v>179</v>
      </c>
      <c r="K183" s="0" t="e">
        <f aca="true" t="array" ref="K183:K183">_xlfn.SWITCH(Charts!$B$3,"average", AVERAGE(INDIRECT(ADDRESS(178+3,K$2+1,,,"Instances") &amp; ":" &amp; ADDRESS(178+3,K$2+1))),"median", MEDIAN(INDIRECT(ADDRESS(178+3,K$2+1,,,"Instances") &amp; ":" &amp; ADDRESS(178+3,K$2+1))),"min", MIN(INDIRECT(ADDRESS(178+3,K$2+1,,,"Instances") &amp; ":" &amp; ADDRESS(178+3,K$2+1))),"max", MAX(INDIRECT(ADDRESS(178+3,K$2+1,,,"Instances") &amp; ":" &amp; ADDRESS(178+3,K$2+1))),"diff", MAX(INDIRECT(ADDRESS(178+3,K$2+1,,,"Instances") &amp; ":" &amp; ADDRESS(178+3,K$2+1)))-MIN(INDIRECT(ADDRESS(178+3,K$2+1,,,"Instances") &amp; ":" &amp; ADDRESS(178+3,K$2+1))))</f>
        <v>#N/A</v>
      </c>
      <c r="L183" s="0" t="str">
        <f aca="false">IFERROR(SMALL(K5:K364,ROW()-ROW($L$5)+1),"")</f>
        <v/>
      </c>
      <c r="N183" s="0" t="n">
        <f aca="false">IFERROR(SUM(L5:L183),"")</f>
        <v>0</v>
      </c>
      <c r="Q183" s="0" t="e">
        <f aca="false">IF(Charts!$B$3="none",E1990,IF(K1990="",NA(),K1990))</f>
        <v>#N/A</v>
      </c>
      <c r="R183" s="0" t="e">
        <f aca="false">IF(Charts!$B$3="none",F1990,IF(L1990="",NA(),L1990))</f>
        <v>#N/A</v>
      </c>
      <c r="S183" s="0" t="e">
        <f aca="false">IF(Charts!$B$3="none",G1990,IF(M1990="",NA(),M1990))</f>
        <v>#N/A</v>
      </c>
      <c r="T183" s="0" t="e">
        <f aca="false">IF(Charts!$B$3="none",H1990,IF(N1990="",NA(),N1990))</f>
        <v>#N/A</v>
      </c>
    </row>
    <row r="184" customFormat="false" ht="15" hidden="false" customHeight="false" outlineLevel="0" collapsed="false">
      <c r="D184" s="0" t="n">
        <v>180</v>
      </c>
      <c r="E184" s="0" t="str">
        <f aca="true">IF(INDIRECT(ADDRESS($D184+2,E$2+1,,,"Instances"))="","",INDIRECT(ADDRESS($D184+2,E$2+1,,,"Instances")))</f>
        <v>Level_4/7-1111111</v>
      </c>
      <c r="F184" s="0" t="str">
        <f aca="false">IFERROR(SMALL(E5:E364,ROW()-ROW($F$5)+1),"")</f>
        <v/>
      </c>
      <c r="H184" s="0" t="n">
        <f aca="false">IFERROR(SUM(F5:F184),"")</f>
        <v>0</v>
      </c>
      <c r="J184" s="0" t="n">
        <v>180</v>
      </c>
      <c r="K184" s="0" t="e">
        <f aca="true" t="array" ref="K184:K184">_xlfn.SWITCH(Charts!$B$3,"average", AVERAGE(INDIRECT(ADDRESS(179+3,K$2+1,,,"Instances") &amp; ":" &amp; ADDRESS(179+3,K$2+1))),"median", MEDIAN(INDIRECT(ADDRESS(179+3,K$2+1,,,"Instances") &amp; ":" &amp; ADDRESS(179+3,K$2+1))),"min", MIN(INDIRECT(ADDRESS(179+3,K$2+1,,,"Instances") &amp; ":" &amp; ADDRESS(179+3,K$2+1))),"max", MAX(INDIRECT(ADDRESS(179+3,K$2+1,,,"Instances") &amp; ":" &amp; ADDRESS(179+3,K$2+1))),"diff", MAX(INDIRECT(ADDRESS(179+3,K$2+1,,,"Instances") &amp; ":" &amp; ADDRESS(179+3,K$2+1)))-MIN(INDIRECT(ADDRESS(179+3,K$2+1,,,"Instances") &amp; ":" &amp; ADDRESS(179+3,K$2+1))))</f>
        <v>#N/A</v>
      </c>
      <c r="L184" s="0" t="str">
        <f aca="false">IFERROR(SMALL(K5:K364,ROW()-ROW($L$5)+1),"")</f>
        <v/>
      </c>
      <c r="N184" s="0" t="n">
        <f aca="false">IFERROR(SUM(L5:L184),"")</f>
        <v>0</v>
      </c>
      <c r="Q184" s="0" t="e">
        <f aca="false">IF(Charts!$B$3="none",E1991,IF(K1991="",NA(),K1991))</f>
        <v>#N/A</v>
      </c>
      <c r="R184" s="0" t="e">
        <f aca="false">IF(Charts!$B$3="none",F1991,IF(L1991="",NA(),L1991))</f>
        <v>#N/A</v>
      </c>
      <c r="S184" s="0" t="e">
        <f aca="false">IF(Charts!$B$3="none",G1991,IF(M1991="",NA(),M1991))</f>
        <v>#N/A</v>
      </c>
      <c r="T184" s="0" t="e">
        <f aca="false">IF(Charts!$B$3="none",H1991,IF(N1991="",NA(),N1991))</f>
        <v>#N/A</v>
      </c>
    </row>
    <row r="185" customFormat="false" ht="15" hidden="false" customHeight="false" outlineLevel="0" collapsed="false">
      <c r="D185" s="0" t="n">
        <v>181</v>
      </c>
      <c r="E185" s="0" t="str">
        <f aca="true">IF(INDIRECT(ADDRESS($D185+2,E$2+1,,,"Instances"))="","",INDIRECT(ADDRESS($D185+2,E$2+1,,,"Instances")))</f>
        <v>Level_5/2-0000011</v>
      </c>
      <c r="F185" s="0" t="str">
        <f aca="false">IFERROR(SMALL(E5:E364,ROW()-ROW($F$5)+1),"")</f>
        <v/>
      </c>
      <c r="H185" s="0" t="n">
        <f aca="false">IFERROR(SUM(F5:F185),"")</f>
        <v>0</v>
      </c>
      <c r="J185" s="0" t="n">
        <v>181</v>
      </c>
      <c r="K185" s="0" t="e">
        <f aca="true" t="array" ref="K185:K185">_xlfn.SWITCH(Charts!$B$3,"average", AVERAGE(INDIRECT(ADDRESS(180+3,K$2+1,,,"Instances") &amp; ":" &amp; ADDRESS(180+3,K$2+1))),"median", MEDIAN(INDIRECT(ADDRESS(180+3,K$2+1,,,"Instances") &amp; ":" &amp; ADDRESS(180+3,K$2+1))),"min", MIN(INDIRECT(ADDRESS(180+3,K$2+1,,,"Instances") &amp; ":" &amp; ADDRESS(180+3,K$2+1))),"max", MAX(INDIRECT(ADDRESS(180+3,K$2+1,,,"Instances") &amp; ":" &amp; ADDRESS(180+3,K$2+1))),"diff", MAX(INDIRECT(ADDRESS(180+3,K$2+1,,,"Instances") &amp; ":" &amp; ADDRESS(180+3,K$2+1)))-MIN(INDIRECT(ADDRESS(180+3,K$2+1,,,"Instances") &amp; ":" &amp; ADDRESS(180+3,K$2+1))))</f>
        <v>#N/A</v>
      </c>
      <c r="L185" s="0" t="str">
        <f aca="false">IFERROR(SMALL(K5:K364,ROW()-ROW($L$5)+1),"")</f>
        <v/>
      </c>
      <c r="N185" s="0" t="n">
        <f aca="false">IFERROR(SUM(L5:L185),"")</f>
        <v>0</v>
      </c>
      <c r="Q185" s="0" t="e">
        <f aca="false">IF(Charts!$B$3="none",E1992,IF(K1992="",NA(),K1992))</f>
        <v>#N/A</v>
      </c>
      <c r="R185" s="0" t="e">
        <f aca="false">IF(Charts!$B$3="none",F1992,IF(L1992="",NA(),L1992))</f>
        <v>#N/A</v>
      </c>
      <c r="S185" s="0" t="e">
        <f aca="false">IF(Charts!$B$3="none",G1992,IF(M1992="",NA(),M1992))</f>
        <v>#N/A</v>
      </c>
      <c r="T185" s="0" t="e">
        <f aca="false">IF(Charts!$B$3="none",H1992,IF(N1992="",NA(),N1992))</f>
        <v>#N/A</v>
      </c>
    </row>
    <row r="186" customFormat="false" ht="15" hidden="false" customHeight="false" outlineLevel="0" collapsed="false">
      <c r="D186" s="0" t="n">
        <v>182</v>
      </c>
      <c r="E186" s="0" t="str">
        <f aca="true">IF(INDIRECT(ADDRESS($D186+2,E$2+1,,,"Instances"))="","",INDIRECT(ADDRESS($D186+2,E$2+1,,,"Instances")))</f>
        <v>Level_5/2-0001100</v>
      </c>
      <c r="F186" s="0" t="str">
        <f aca="false">IFERROR(SMALL(E5:E364,ROW()-ROW($F$5)+1),"")</f>
        <v/>
      </c>
      <c r="H186" s="0" t="n">
        <f aca="false">IFERROR(SUM(F5:F186),"")</f>
        <v>0</v>
      </c>
      <c r="J186" s="0" t="n">
        <v>182</v>
      </c>
      <c r="K186" s="0" t="e">
        <f aca="true" t="array" ref="K186:K186">_xlfn.SWITCH(Charts!$B$3,"average", AVERAGE(INDIRECT(ADDRESS(181+3,K$2+1,,,"Instances") &amp; ":" &amp; ADDRESS(181+3,K$2+1))),"median", MEDIAN(INDIRECT(ADDRESS(181+3,K$2+1,,,"Instances") &amp; ":" &amp; ADDRESS(181+3,K$2+1))),"min", MIN(INDIRECT(ADDRESS(181+3,K$2+1,,,"Instances") &amp; ":" &amp; ADDRESS(181+3,K$2+1))),"max", MAX(INDIRECT(ADDRESS(181+3,K$2+1,,,"Instances") &amp; ":" &amp; ADDRESS(181+3,K$2+1))),"diff", MAX(INDIRECT(ADDRESS(181+3,K$2+1,,,"Instances") &amp; ":" &amp; ADDRESS(181+3,K$2+1)))-MIN(INDIRECT(ADDRESS(181+3,K$2+1,,,"Instances") &amp; ":" &amp; ADDRESS(181+3,K$2+1))))</f>
        <v>#N/A</v>
      </c>
      <c r="L186" s="0" t="str">
        <f aca="false">IFERROR(SMALL(K5:K364,ROW()-ROW($L$5)+1),"")</f>
        <v/>
      </c>
      <c r="N186" s="0" t="n">
        <f aca="false">IFERROR(SUM(L5:L186),"")</f>
        <v>0</v>
      </c>
      <c r="Q186" s="0" t="e">
        <f aca="false">IF(Charts!$B$3="none",E1993,IF(K1993="",NA(),K1993))</f>
        <v>#N/A</v>
      </c>
      <c r="R186" s="0" t="e">
        <f aca="false">IF(Charts!$B$3="none",F1993,IF(L1993="",NA(),L1993))</f>
        <v>#N/A</v>
      </c>
      <c r="S186" s="0" t="e">
        <f aca="false">IF(Charts!$B$3="none",G1993,IF(M1993="",NA(),M1993))</f>
        <v>#N/A</v>
      </c>
      <c r="T186" s="0" t="e">
        <f aca="false">IF(Charts!$B$3="none",H1993,IF(N1993="",NA(),N1993))</f>
        <v>#N/A</v>
      </c>
    </row>
    <row r="187" customFormat="false" ht="15" hidden="false" customHeight="false" outlineLevel="0" collapsed="false">
      <c r="D187" s="0" t="n">
        <v>183</v>
      </c>
      <c r="E187" s="0" t="str">
        <f aca="true">IF(INDIRECT(ADDRESS($D187+2,E$2+1,,,"Instances"))="","",INDIRECT(ADDRESS($D187+2,E$2+1,,,"Instances")))</f>
        <v>Level_5/2-0010010</v>
      </c>
      <c r="F187" s="0" t="str">
        <f aca="false">IFERROR(SMALL(E5:E364,ROW()-ROW($F$5)+1),"")</f>
        <v/>
      </c>
      <c r="H187" s="0" t="n">
        <f aca="false">IFERROR(SUM(F5:F187),"")</f>
        <v>0</v>
      </c>
      <c r="J187" s="0" t="n">
        <v>183</v>
      </c>
      <c r="K187" s="0" t="e">
        <f aca="true" t="array" ref="K187:K187">_xlfn.SWITCH(Charts!$B$3,"average", AVERAGE(INDIRECT(ADDRESS(182+3,K$2+1,,,"Instances") &amp; ":" &amp; ADDRESS(182+3,K$2+1))),"median", MEDIAN(INDIRECT(ADDRESS(182+3,K$2+1,,,"Instances") &amp; ":" &amp; ADDRESS(182+3,K$2+1))),"min", MIN(INDIRECT(ADDRESS(182+3,K$2+1,,,"Instances") &amp; ":" &amp; ADDRESS(182+3,K$2+1))),"max", MAX(INDIRECT(ADDRESS(182+3,K$2+1,,,"Instances") &amp; ":" &amp; ADDRESS(182+3,K$2+1))),"diff", MAX(INDIRECT(ADDRESS(182+3,K$2+1,,,"Instances") &amp; ":" &amp; ADDRESS(182+3,K$2+1)))-MIN(INDIRECT(ADDRESS(182+3,K$2+1,,,"Instances") &amp; ":" &amp; ADDRESS(182+3,K$2+1))))</f>
        <v>#N/A</v>
      </c>
      <c r="L187" s="0" t="str">
        <f aca="false">IFERROR(SMALL(K5:K364,ROW()-ROW($L$5)+1),"")</f>
        <v/>
      </c>
      <c r="N187" s="0" t="n">
        <f aca="false">IFERROR(SUM(L5:L187),"")</f>
        <v>0</v>
      </c>
      <c r="Q187" s="0" t="e">
        <f aca="false">IF(Charts!$B$3="none",E1994,IF(K1994="",NA(),K1994))</f>
        <v>#N/A</v>
      </c>
      <c r="R187" s="0" t="e">
        <f aca="false">IF(Charts!$B$3="none",F1994,IF(L1994="",NA(),L1994))</f>
        <v>#N/A</v>
      </c>
      <c r="S187" s="0" t="e">
        <f aca="false">IF(Charts!$B$3="none",G1994,IF(M1994="",NA(),M1994))</f>
        <v>#N/A</v>
      </c>
      <c r="T187" s="0" t="e">
        <f aca="false">IF(Charts!$B$3="none",H1994,IF(N1994="",NA(),N1994))</f>
        <v>#N/A</v>
      </c>
    </row>
    <row r="188" customFormat="false" ht="15" hidden="false" customHeight="false" outlineLevel="0" collapsed="false">
      <c r="D188" s="0" t="n">
        <v>184</v>
      </c>
      <c r="E188" s="0" t="str">
        <f aca="true">IF(INDIRECT(ADDRESS($D188+2,E$2+1,,,"Instances"))="","",INDIRECT(ADDRESS($D188+2,E$2+1,,,"Instances")))</f>
        <v>Level_5/2-0010100</v>
      </c>
      <c r="F188" s="0" t="str">
        <f aca="false">IFERROR(SMALL(E5:E364,ROW()-ROW($F$5)+1),"")</f>
        <v/>
      </c>
      <c r="H188" s="0" t="n">
        <f aca="false">IFERROR(SUM(F5:F188),"")</f>
        <v>0</v>
      </c>
      <c r="J188" s="0" t="n">
        <v>184</v>
      </c>
      <c r="K188" s="0" t="e">
        <f aca="true" t="array" ref="K188:K188">_xlfn.SWITCH(Charts!$B$3,"average", AVERAGE(INDIRECT(ADDRESS(183+3,K$2+1,,,"Instances") &amp; ":" &amp; ADDRESS(183+3,K$2+1))),"median", MEDIAN(INDIRECT(ADDRESS(183+3,K$2+1,,,"Instances") &amp; ":" &amp; ADDRESS(183+3,K$2+1))),"min", MIN(INDIRECT(ADDRESS(183+3,K$2+1,,,"Instances") &amp; ":" &amp; ADDRESS(183+3,K$2+1))),"max", MAX(INDIRECT(ADDRESS(183+3,K$2+1,,,"Instances") &amp; ":" &amp; ADDRESS(183+3,K$2+1))),"diff", MAX(INDIRECT(ADDRESS(183+3,K$2+1,,,"Instances") &amp; ":" &amp; ADDRESS(183+3,K$2+1)))-MIN(INDIRECT(ADDRESS(183+3,K$2+1,,,"Instances") &amp; ":" &amp; ADDRESS(183+3,K$2+1))))</f>
        <v>#N/A</v>
      </c>
      <c r="L188" s="0" t="str">
        <f aca="false">IFERROR(SMALL(K5:K364,ROW()-ROW($L$5)+1),"")</f>
        <v/>
      </c>
      <c r="N188" s="0" t="n">
        <f aca="false">IFERROR(SUM(L5:L188),"")</f>
        <v>0</v>
      </c>
      <c r="Q188" s="0" t="e">
        <f aca="false">IF(Charts!$B$3="none",E1995,IF(K1995="",NA(),K1995))</f>
        <v>#N/A</v>
      </c>
      <c r="R188" s="0" t="e">
        <f aca="false">IF(Charts!$B$3="none",F1995,IF(L1995="",NA(),L1995))</f>
        <v>#N/A</v>
      </c>
      <c r="S188" s="0" t="e">
        <f aca="false">IF(Charts!$B$3="none",G1995,IF(M1995="",NA(),M1995))</f>
        <v>#N/A</v>
      </c>
      <c r="T188" s="0" t="e">
        <f aca="false">IF(Charts!$B$3="none",H1995,IF(N1995="",NA(),N1995))</f>
        <v>#N/A</v>
      </c>
    </row>
    <row r="189" customFormat="false" ht="15" hidden="false" customHeight="false" outlineLevel="0" collapsed="false">
      <c r="D189" s="0" t="n">
        <v>185</v>
      </c>
      <c r="E189" s="0" t="str">
        <f aca="true">IF(INDIRECT(ADDRESS($D189+2,E$2+1,,,"Instances"))="","",INDIRECT(ADDRESS($D189+2,E$2+1,,,"Instances")))</f>
        <v>Level_5/2-0011000</v>
      </c>
      <c r="F189" s="0" t="str">
        <f aca="false">IFERROR(SMALL(E5:E364,ROW()-ROW($F$5)+1),"")</f>
        <v/>
      </c>
      <c r="H189" s="0" t="n">
        <f aca="false">IFERROR(SUM(F5:F189),"")</f>
        <v>0</v>
      </c>
      <c r="J189" s="0" t="n">
        <v>185</v>
      </c>
      <c r="K189" s="0" t="e">
        <f aca="true" t="array" ref="K189:K189">_xlfn.SWITCH(Charts!$B$3,"average", AVERAGE(INDIRECT(ADDRESS(184+3,K$2+1,,,"Instances") &amp; ":" &amp; ADDRESS(184+3,K$2+1))),"median", MEDIAN(INDIRECT(ADDRESS(184+3,K$2+1,,,"Instances") &amp; ":" &amp; ADDRESS(184+3,K$2+1))),"min", MIN(INDIRECT(ADDRESS(184+3,K$2+1,,,"Instances") &amp; ":" &amp; ADDRESS(184+3,K$2+1))),"max", MAX(INDIRECT(ADDRESS(184+3,K$2+1,,,"Instances") &amp; ":" &amp; ADDRESS(184+3,K$2+1))),"diff", MAX(INDIRECT(ADDRESS(184+3,K$2+1,,,"Instances") &amp; ":" &amp; ADDRESS(184+3,K$2+1)))-MIN(INDIRECT(ADDRESS(184+3,K$2+1,,,"Instances") &amp; ":" &amp; ADDRESS(184+3,K$2+1))))</f>
        <v>#N/A</v>
      </c>
      <c r="L189" s="0" t="str">
        <f aca="false">IFERROR(SMALL(K5:K364,ROW()-ROW($L$5)+1),"")</f>
        <v/>
      </c>
      <c r="N189" s="0" t="n">
        <f aca="false">IFERROR(SUM(L5:L189),"")</f>
        <v>0</v>
      </c>
      <c r="Q189" s="0" t="e">
        <f aca="false">IF(Charts!$B$3="none",E1996,IF(K1996="",NA(),K1996))</f>
        <v>#N/A</v>
      </c>
      <c r="R189" s="0" t="e">
        <f aca="false">IF(Charts!$B$3="none",F1996,IF(L1996="",NA(),L1996))</f>
        <v>#N/A</v>
      </c>
      <c r="S189" s="0" t="e">
        <f aca="false">IF(Charts!$B$3="none",G1996,IF(M1996="",NA(),M1996))</f>
        <v>#N/A</v>
      </c>
      <c r="T189" s="0" t="e">
        <f aca="false">IF(Charts!$B$3="none",H1996,IF(N1996="",NA(),N1996))</f>
        <v>#N/A</v>
      </c>
    </row>
    <row r="190" customFormat="false" ht="15" hidden="false" customHeight="false" outlineLevel="0" collapsed="false">
      <c r="D190" s="0" t="n">
        <v>186</v>
      </c>
      <c r="E190" s="0" t="str">
        <f aca="true">IF(INDIRECT(ADDRESS($D190+2,E$2+1,,,"Instances"))="","",INDIRECT(ADDRESS($D190+2,E$2+1,,,"Instances")))</f>
        <v>Level_5/2-1000001</v>
      </c>
      <c r="F190" s="0" t="str">
        <f aca="false">IFERROR(SMALL(E5:E364,ROW()-ROW($F$5)+1),"")</f>
        <v/>
      </c>
      <c r="H190" s="0" t="n">
        <f aca="false">IFERROR(SUM(F5:F190),"")</f>
        <v>0</v>
      </c>
      <c r="J190" s="0" t="n">
        <v>186</v>
      </c>
      <c r="K190" s="0" t="e">
        <f aca="true" t="array" ref="K190:K190">_xlfn.SWITCH(Charts!$B$3,"average", AVERAGE(INDIRECT(ADDRESS(185+3,K$2+1,,,"Instances") &amp; ":" &amp; ADDRESS(185+3,K$2+1))),"median", MEDIAN(INDIRECT(ADDRESS(185+3,K$2+1,,,"Instances") &amp; ":" &amp; ADDRESS(185+3,K$2+1))),"min", MIN(INDIRECT(ADDRESS(185+3,K$2+1,,,"Instances") &amp; ":" &amp; ADDRESS(185+3,K$2+1))),"max", MAX(INDIRECT(ADDRESS(185+3,K$2+1,,,"Instances") &amp; ":" &amp; ADDRESS(185+3,K$2+1))),"diff", MAX(INDIRECT(ADDRESS(185+3,K$2+1,,,"Instances") &amp; ":" &amp; ADDRESS(185+3,K$2+1)))-MIN(INDIRECT(ADDRESS(185+3,K$2+1,,,"Instances") &amp; ":" &amp; ADDRESS(185+3,K$2+1))))</f>
        <v>#N/A</v>
      </c>
      <c r="L190" s="0" t="str">
        <f aca="false">IFERROR(SMALL(K5:K364,ROW()-ROW($L$5)+1),"")</f>
        <v/>
      </c>
      <c r="N190" s="0" t="n">
        <f aca="false">IFERROR(SUM(L5:L190),"")</f>
        <v>0</v>
      </c>
      <c r="Q190" s="0" t="e">
        <f aca="false">IF(Charts!$B$3="none",E1997,IF(K1997="",NA(),K1997))</f>
        <v>#N/A</v>
      </c>
      <c r="R190" s="0" t="e">
        <f aca="false">IF(Charts!$B$3="none",F1997,IF(L1997="",NA(),L1997))</f>
        <v>#N/A</v>
      </c>
      <c r="S190" s="0" t="e">
        <f aca="false">IF(Charts!$B$3="none",G1997,IF(M1997="",NA(),M1997))</f>
        <v>#N/A</v>
      </c>
      <c r="T190" s="0" t="e">
        <f aca="false">IF(Charts!$B$3="none",H1997,IF(N1997="",NA(),N1997))</f>
        <v>#N/A</v>
      </c>
    </row>
    <row r="191" customFormat="false" ht="15" hidden="false" customHeight="false" outlineLevel="0" collapsed="false">
      <c r="D191" s="0" t="n">
        <v>187</v>
      </c>
      <c r="E191" s="0" t="str">
        <f aca="true">IF(INDIRECT(ADDRESS($D191+2,E$2+1,,,"Instances"))="","",INDIRECT(ADDRESS($D191+2,E$2+1,,,"Instances")))</f>
        <v>Level_5/2-1010000</v>
      </c>
      <c r="F191" s="0" t="str">
        <f aca="false">IFERROR(SMALL(E5:E364,ROW()-ROW($F$5)+1),"")</f>
        <v/>
      </c>
      <c r="H191" s="0" t="n">
        <f aca="false">IFERROR(SUM(F5:F191),"")</f>
        <v>0</v>
      </c>
      <c r="J191" s="0" t="n">
        <v>187</v>
      </c>
      <c r="K191" s="0" t="e">
        <f aca="true" t="array" ref="K191:K191">_xlfn.SWITCH(Charts!$B$3,"average", AVERAGE(INDIRECT(ADDRESS(186+3,K$2+1,,,"Instances") &amp; ":" &amp; ADDRESS(186+3,K$2+1))),"median", MEDIAN(INDIRECT(ADDRESS(186+3,K$2+1,,,"Instances") &amp; ":" &amp; ADDRESS(186+3,K$2+1))),"min", MIN(INDIRECT(ADDRESS(186+3,K$2+1,,,"Instances") &amp; ":" &amp; ADDRESS(186+3,K$2+1))),"max", MAX(INDIRECT(ADDRESS(186+3,K$2+1,,,"Instances") &amp; ":" &amp; ADDRESS(186+3,K$2+1))),"diff", MAX(INDIRECT(ADDRESS(186+3,K$2+1,,,"Instances") &amp; ":" &amp; ADDRESS(186+3,K$2+1)))-MIN(INDIRECT(ADDRESS(186+3,K$2+1,,,"Instances") &amp; ":" &amp; ADDRESS(186+3,K$2+1))))</f>
        <v>#N/A</v>
      </c>
      <c r="L191" s="0" t="str">
        <f aca="false">IFERROR(SMALL(K5:K364,ROW()-ROW($L$5)+1),"")</f>
        <v/>
      </c>
      <c r="N191" s="0" t="n">
        <f aca="false">IFERROR(SUM(L5:L191),"")</f>
        <v>0</v>
      </c>
      <c r="Q191" s="0" t="e">
        <f aca="false">IF(Charts!$B$3="none",E1998,IF(K1998="",NA(),K1998))</f>
        <v>#N/A</v>
      </c>
      <c r="R191" s="0" t="e">
        <f aca="false">IF(Charts!$B$3="none",F1998,IF(L1998="",NA(),L1998))</f>
        <v>#N/A</v>
      </c>
      <c r="S191" s="0" t="e">
        <f aca="false">IF(Charts!$B$3="none",G1998,IF(M1998="",NA(),M1998))</f>
        <v>#N/A</v>
      </c>
      <c r="T191" s="0" t="e">
        <f aca="false">IF(Charts!$B$3="none",H1998,IF(N1998="",NA(),N1998))</f>
        <v>#N/A</v>
      </c>
    </row>
    <row r="192" customFormat="false" ht="15" hidden="false" customHeight="false" outlineLevel="0" collapsed="false">
      <c r="D192" s="0" t="n">
        <v>188</v>
      </c>
      <c r="E192" s="0" t="str">
        <f aca="true">IF(INDIRECT(ADDRESS($D192+2,E$2+1,,,"Instances"))="","",INDIRECT(ADDRESS($D192+2,E$2+1,,,"Instances")))</f>
        <v>Level_5/3-0010011</v>
      </c>
      <c r="F192" s="0" t="str">
        <f aca="false">IFERROR(SMALL(E5:E364,ROW()-ROW($F$5)+1),"")</f>
        <v/>
      </c>
      <c r="H192" s="0" t="n">
        <f aca="false">IFERROR(SUM(F5:F192),"")</f>
        <v>0</v>
      </c>
      <c r="J192" s="0" t="n">
        <v>188</v>
      </c>
      <c r="K192" s="0" t="e">
        <f aca="true" t="array" ref="K192:K192">_xlfn.SWITCH(Charts!$B$3,"average", AVERAGE(INDIRECT(ADDRESS(187+3,K$2+1,,,"Instances") &amp; ":" &amp; ADDRESS(187+3,K$2+1))),"median", MEDIAN(INDIRECT(ADDRESS(187+3,K$2+1,,,"Instances") &amp; ":" &amp; ADDRESS(187+3,K$2+1))),"min", MIN(INDIRECT(ADDRESS(187+3,K$2+1,,,"Instances") &amp; ":" &amp; ADDRESS(187+3,K$2+1))),"max", MAX(INDIRECT(ADDRESS(187+3,K$2+1,,,"Instances") &amp; ":" &amp; ADDRESS(187+3,K$2+1))),"diff", MAX(INDIRECT(ADDRESS(187+3,K$2+1,,,"Instances") &amp; ":" &amp; ADDRESS(187+3,K$2+1)))-MIN(INDIRECT(ADDRESS(187+3,K$2+1,,,"Instances") &amp; ":" &amp; ADDRESS(187+3,K$2+1))))</f>
        <v>#N/A</v>
      </c>
      <c r="L192" s="0" t="str">
        <f aca="false">IFERROR(SMALL(K5:K364,ROW()-ROW($L$5)+1),"")</f>
        <v/>
      </c>
      <c r="N192" s="0" t="n">
        <f aca="false">IFERROR(SUM(L5:L192),"")</f>
        <v>0</v>
      </c>
      <c r="Q192" s="0" t="e">
        <f aca="false">IF(Charts!$B$3="none",E1999,IF(K1999="",NA(),K1999))</f>
        <v>#N/A</v>
      </c>
      <c r="R192" s="0" t="e">
        <f aca="false">IF(Charts!$B$3="none",F1999,IF(L1999="",NA(),L1999))</f>
        <v>#N/A</v>
      </c>
      <c r="S192" s="0" t="e">
        <f aca="false">IF(Charts!$B$3="none",G1999,IF(M1999="",NA(),M1999))</f>
        <v>#N/A</v>
      </c>
      <c r="T192" s="0" t="e">
        <f aca="false">IF(Charts!$B$3="none",H1999,IF(N1999="",NA(),N1999))</f>
        <v>#N/A</v>
      </c>
    </row>
    <row r="193" customFormat="false" ht="15" hidden="false" customHeight="false" outlineLevel="0" collapsed="false">
      <c r="D193" s="0" t="n">
        <v>189</v>
      </c>
      <c r="E193" s="0" t="str">
        <f aca="true">IF(INDIRECT(ADDRESS($D193+2,E$2+1,,,"Instances"))="","",INDIRECT(ADDRESS($D193+2,E$2+1,,,"Instances")))</f>
        <v>Level_5/3-0011100</v>
      </c>
      <c r="F193" s="0" t="str">
        <f aca="false">IFERROR(SMALL(E5:E364,ROW()-ROW($F$5)+1),"")</f>
        <v/>
      </c>
      <c r="H193" s="0" t="n">
        <f aca="false">IFERROR(SUM(F5:F193),"")</f>
        <v>0</v>
      </c>
      <c r="J193" s="0" t="n">
        <v>189</v>
      </c>
      <c r="K193" s="0" t="e">
        <f aca="true" t="array" ref="K193:K193">_xlfn.SWITCH(Charts!$B$3,"average", AVERAGE(INDIRECT(ADDRESS(188+3,K$2+1,,,"Instances") &amp; ":" &amp; ADDRESS(188+3,K$2+1))),"median", MEDIAN(INDIRECT(ADDRESS(188+3,K$2+1,,,"Instances") &amp; ":" &amp; ADDRESS(188+3,K$2+1))),"min", MIN(INDIRECT(ADDRESS(188+3,K$2+1,,,"Instances") &amp; ":" &amp; ADDRESS(188+3,K$2+1))),"max", MAX(INDIRECT(ADDRESS(188+3,K$2+1,,,"Instances") &amp; ":" &amp; ADDRESS(188+3,K$2+1))),"diff", MAX(INDIRECT(ADDRESS(188+3,K$2+1,,,"Instances") &amp; ":" &amp; ADDRESS(188+3,K$2+1)))-MIN(INDIRECT(ADDRESS(188+3,K$2+1,,,"Instances") &amp; ":" &amp; ADDRESS(188+3,K$2+1))))</f>
        <v>#N/A</v>
      </c>
      <c r="L193" s="0" t="str">
        <f aca="false">IFERROR(SMALL(K5:K364,ROW()-ROW($L$5)+1),"")</f>
        <v/>
      </c>
      <c r="N193" s="0" t="n">
        <f aca="false">IFERROR(SUM(L5:L193),"")</f>
        <v>0</v>
      </c>
      <c r="Q193" s="0" t="e">
        <f aca="false">IF(Charts!$B$3="none",E2000,IF(K2000="",NA(),K2000))</f>
        <v>#N/A</v>
      </c>
      <c r="R193" s="0" t="e">
        <f aca="false">IF(Charts!$B$3="none",F2000,IF(L2000="",NA(),L2000))</f>
        <v>#N/A</v>
      </c>
      <c r="S193" s="0" t="e">
        <f aca="false">IF(Charts!$B$3="none",G2000,IF(M2000="",NA(),M2000))</f>
        <v>#N/A</v>
      </c>
      <c r="T193" s="0" t="e">
        <f aca="false">IF(Charts!$B$3="none",H2000,IF(N2000="",NA(),N2000))</f>
        <v>#N/A</v>
      </c>
    </row>
    <row r="194" customFormat="false" ht="15" hidden="false" customHeight="false" outlineLevel="0" collapsed="false">
      <c r="D194" s="0" t="n">
        <v>190</v>
      </c>
      <c r="E194" s="0" t="str">
        <f aca="true">IF(INDIRECT(ADDRESS($D194+2,E$2+1,,,"Instances"))="","",INDIRECT(ADDRESS($D194+2,E$2+1,,,"Instances")))</f>
        <v>Level_5/3-1000011</v>
      </c>
      <c r="F194" s="0" t="str">
        <f aca="false">IFERROR(SMALL(E5:E364,ROW()-ROW($F$5)+1),"")</f>
        <v/>
      </c>
      <c r="H194" s="0" t="n">
        <f aca="false">IFERROR(SUM(F5:F194),"")</f>
        <v>0</v>
      </c>
      <c r="J194" s="0" t="n">
        <v>190</v>
      </c>
      <c r="K194" s="0" t="e">
        <f aca="true" t="array" ref="K194:K194">_xlfn.SWITCH(Charts!$B$3,"average", AVERAGE(INDIRECT(ADDRESS(189+3,K$2+1,,,"Instances") &amp; ":" &amp; ADDRESS(189+3,K$2+1))),"median", MEDIAN(INDIRECT(ADDRESS(189+3,K$2+1,,,"Instances") &amp; ":" &amp; ADDRESS(189+3,K$2+1))),"min", MIN(INDIRECT(ADDRESS(189+3,K$2+1,,,"Instances") &amp; ":" &amp; ADDRESS(189+3,K$2+1))),"max", MAX(INDIRECT(ADDRESS(189+3,K$2+1,,,"Instances") &amp; ":" &amp; ADDRESS(189+3,K$2+1))),"diff", MAX(INDIRECT(ADDRESS(189+3,K$2+1,,,"Instances") &amp; ":" &amp; ADDRESS(189+3,K$2+1)))-MIN(INDIRECT(ADDRESS(189+3,K$2+1,,,"Instances") &amp; ":" &amp; ADDRESS(189+3,K$2+1))))</f>
        <v>#N/A</v>
      </c>
      <c r="L194" s="0" t="str">
        <f aca="false">IFERROR(SMALL(K5:K364,ROW()-ROW($L$5)+1),"")</f>
        <v/>
      </c>
      <c r="N194" s="0" t="n">
        <f aca="false">IFERROR(SUM(L5:L194),"")</f>
        <v>0</v>
      </c>
      <c r="Q194" s="0" t="e">
        <f aca="false">IF(Charts!$B$3="none",E2001,IF(K2001="",NA(),K2001))</f>
        <v>#N/A</v>
      </c>
      <c r="R194" s="0" t="e">
        <f aca="false">IF(Charts!$B$3="none",F2001,IF(L2001="",NA(),L2001))</f>
        <v>#N/A</v>
      </c>
      <c r="S194" s="0" t="e">
        <f aca="false">IF(Charts!$B$3="none",G2001,IF(M2001="",NA(),M2001))</f>
        <v>#N/A</v>
      </c>
      <c r="T194" s="0" t="e">
        <f aca="false">IF(Charts!$B$3="none",H2001,IF(N2001="",NA(),N2001))</f>
        <v>#N/A</v>
      </c>
    </row>
    <row r="195" customFormat="false" ht="15" hidden="false" customHeight="false" outlineLevel="0" collapsed="false">
      <c r="D195" s="0" t="n">
        <v>191</v>
      </c>
      <c r="E195" s="0" t="str">
        <f aca="true">IF(INDIRECT(ADDRESS($D195+2,E$2+1,,,"Instances"))="","",INDIRECT(ADDRESS($D195+2,E$2+1,,,"Instances")))</f>
        <v>Level_5/3-1000110</v>
      </c>
      <c r="F195" s="0" t="str">
        <f aca="false">IFERROR(SMALL(E5:E364,ROW()-ROW($F$5)+1),"")</f>
        <v/>
      </c>
      <c r="H195" s="0" t="n">
        <f aca="false">IFERROR(SUM(F5:F195),"")</f>
        <v>0</v>
      </c>
      <c r="J195" s="0" t="n">
        <v>191</v>
      </c>
      <c r="K195" s="0" t="e">
        <f aca="true" t="array" ref="K195:K195">_xlfn.SWITCH(Charts!$B$3,"average", AVERAGE(INDIRECT(ADDRESS(190+3,K$2+1,,,"Instances") &amp; ":" &amp; ADDRESS(190+3,K$2+1))),"median", MEDIAN(INDIRECT(ADDRESS(190+3,K$2+1,,,"Instances") &amp; ":" &amp; ADDRESS(190+3,K$2+1))),"min", MIN(INDIRECT(ADDRESS(190+3,K$2+1,,,"Instances") &amp; ":" &amp; ADDRESS(190+3,K$2+1))),"max", MAX(INDIRECT(ADDRESS(190+3,K$2+1,,,"Instances") &amp; ":" &amp; ADDRESS(190+3,K$2+1))),"diff", MAX(INDIRECT(ADDRESS(190+3,K$2+1,,,"Instances") &amp; ":" &amp; ADDRESS(190+3,K$2+1)))-MIN(INDIRECT(ADDRESS(190+3,K$2+1,,,"Instances") &amp; ":" &amp; ADDRESS(190+3,K$2+1))))</f>
        <v>#N/A</v>
      </c>
      <c r="L195" s="0" t="str">
        <f aca="false">IFERROR(SMALL(K5:K364,ROW()-ROW($L$5)+1),"")</f>
        <v/>
      </c>
      <c r="N195" s="0" t="n">
        <f aca="false">IFERROR(SUM(L5:L195),"")</f>
        <v>0</v>
      </c>
      <c r="Q195" s="0" t="e">
        <f aca="false">IF(Charts!$B$3="none",E2002,IF(K2002="",NA(),K2002))</f>
        <v>#N/A</v>
      </c>
      <c r="R195" s="0" t="e">
        <f aca="false">IF(Charts!$B$3="none",F2002,IF(L2002="",NA(),L2002))</f>
        <v>#N/A</v>
      </c>
      <c r="S195" s="0" t="e">
        <f aca="false">IF(Charts!$B$3="none",G2002,IF(M2002="",NA(),M2002))</f>
        <v>#N/A</v>
      </c>
      <c r="T195" s="0" t="e">
        <f aca="false">IF(Charts!$B$3="none",H2002,IF(N2002="",NA(),N2002))</f>
        <v>#N/A</v>
      </c>
    </row>
    <row r="196" customFormat="false" ht="15" hidden="false" customHeight="false" outlineLevel="0" collapsed="false">
      <c r="D196" s="0" t="n">
        <v>192</v>
      </c>
      <c r="E196" s="0" t="str">
        <f aca="true">IF(INDIRECT(ADDRESS($D196+2,E$2+1,,,"Instances"))="","",INDIRECT(ADDRESS($D196+2,E$2+1,,,"Instances")))</f>
        <v>Level_5/3-1001001</v>
      </c>
      <c r="F196" s="0" t="str">
        <f aca="false">IFERROR(SMALL(E5:E364,ROW()-ROW($F$5)+1),"")</f>
        <v/>
      </c>
      <c r="H196" s="0" t="n">
        <f aca="false">IFERROR(SUM(F5:F196),"")</f>
        <v>0</v>
      </c>
      <c r="J196" s="0" t="n">
        <v>192</v>
      </c>
      <c r="K196" s="0" t="e">
        <f aca="true" t="array" ref="K196:K196">_xlfn.SWITCH(Charts!$B$3,"average", AVERAGE(INDIRECT(ADDRESS(191+3,K$2+1,,,"Instances") &amp; ":" &amp; ADDRESS(191+3,K$2+1))),"median", MEDIAN(INDIRECT(ADDRESS(191+3,K$2+1,,,"Instances") &amp; ":" &amp; ADDRESS(191+3,K$2+1))),"min", MIN(INDIRECT(ADDRESS(191+3,K$2+1,,,"Instances") &amp; ":" &amp; ADDRESS(191+3,K$2+1))),"max", MAX(INDIRECT(ADDRESS(191+3,K$2+1,,,"Instances") &amp; ":" &amp; ADDRESS(191+3,K$2+1))),"diff", MAX(INDIRECT(ADDRESS(191+3,K$2+1,,,"Instances") &amp; ":" &amp; ADDRESS(191+3,K$2+1)))-MIN(INDIRECT(ADDRESS(191+3,K$2+1,,,"Instances") &amp; ":" &amp; ADDRESS(191+3,K$2+1))))</f>
        <v>#N/A</v>
      </c>
      <c r="L196" s="0" t="str">
        <f aca="false">IFERROR(SMALL(K5:K364,ROW()-ROW($L$5)+1),"")</f>
        <v/>
      </c>
      <c r="N196" s="0" t="n">
        <f aca="false">IFERROR(SUM(L5:L196),"")</f>
        <v>0</v>
      </c>
      <c r="Q196" s="0" t="e">
        <f aca="false">IF(Charts!$B$3="none",E2003,IF(K2003="",NA(),K2003))</f>
        <v>#N/A</v>
      </c>
      <c r="R196" s="0" t="e">
        <f aca="false">IF(Charts!$B$3="none",F2003,IF(L2003="",NA(),L2003))</f>
        <v>#N/A</v>
      </c>
      <c r="S196" s="0" t="e">
        <f aca="false">IF(Charts!$B$3="none",G2003,IF(M2003="",NA(),M2003))</f>
        <v>#N/A</v>
      </c>
      <c r="T196" s="0" t="e">
        <f aca="false">IF(Charts!$B$3="none",H2003,IF(N2003="",NA(),N2003))</f>
        <v>#N/A</v>
      </c>
    </row>
    <row r="197" customFormat="false" ht="15" hidden="false" customHeight="false" outlineLevel="0" collapsed="false">
      <c r="D197" s="0" t="n">
        <v>193</v>
      </c>
      <c r="E197" s="0" t="str">
        <f aca="true">IF(INDIRECT(ADDRESS($D197+2,E$2+1,,,"Instances"))="","",INDIRECT(ADDRESS($D197+2,E$2+1,,,"Instances")))</f>
        <v>Level_5/3-1010001</v>
      </c>
      <c r="F197" s="0" t="str">
        <f aca="false">IFERROR(SMALL(E5:E364,ROW()-ROW($F$5)+1),"")</f>
        <v/>
      </c>
      <c r="H197" s="0" t="n">
        <f aca="false">IFERROR(SUM(F5:F197),"")</f>
        <v>0</v>
      </c>
      <c r="J197" s="0" t="n">
        <v>193</v>
      </c>
      <c r="K197" s="0" t="e">
        <f aca="true" t="array" ref="K197:K197">_xlfn.SWITCH(Charts!$B$3,"average", AVERAGE(INDIRECT(ADDRESS(192+3,K$2+1,,,"Instances") &amp; ":" &amp; ADDRESS(192+3,K$2+1))),"median", MEDIAN(INDIRECT(ADDRESS(192+3,K$2+1,,,"Instances") &amp; ":" &amp; ADDRESS(192+3,K$2+1))),"min", MIN(INDIRECT(ADDRESS(192+3,K$2+1,,,"Instances") &amp; ":" &amp; ADDRESS(192+3,K$2+1))),"max", MAX(INDIRECT(ADDRESS(192+3,K$2+1,,,"Instances") &amp; ":" &amp; ADDRESS(192+3,K$2+1))),"diff", MAX(INDIRECT(ADDRESS(192+3,K$2+1,,,"Instances") &amp; ":" &amp; ADDRESS(192+3,K$2+1)))-MIN(INDIRECT(ADDRESS(192+3,K$2+1,,,"Instances") &amp; ":" &amp; ADDRESS(192+3,K$2+1))))</f>
        <v>#N/A</v>
      </c>
      <c r="L197" s="0" t="str">
        <f aca="false">IFERROR(SMALL(K5:K364,ROW()-ROW($L$5)+1),"")</f>
        <v/>
      </c>
      <c r="N197" s="0" t="n">
        <f aca="false">IFERROR(SUM(L5:L197),"")</f>
        <v>0</v>
      </c>
      <c r="Q197" s="0" t="e">
        <f aca="false">IF(Charts!$B$3="none",E2004,IF(K2004="",NA(),K2004))</f>
        <v>#N/A</v>
      </c>
      <c r="R197" s="0" t="e">
        <f aca="false">IF(Charts!$B$3="none",F2004,IF(L2004="",NA(),L2004))</f>
        <v>#N/A</v>
      </c>
      <c r="S197" s="0" t="e">
        <f aca="false">IF(Charts!$B$3="none",G2004,IF(M2004="",NA(),M2004))</f>
        <v>#N/A</v>
      </c>
      <c r="T197" s="0" t="e">
        <f aca="false">IF(Charts!$B$3="none",H2004,IF(N2004="",NA(),N2004))</f>
        <v>#N/A</v>
      </c>
    </row>
    <row r="198" customFormat="false" ht="15" hidden="false" customHeight="false" outlineLevel="0" collapsed="false">
      <c r="D198" s="0" t="n">
        <v>194</v>
      </c>
      <c r="E198" s="0" t="str">
        <f aca="true">IF(INDIRECT(ADDRESS($D198+2,E$2+1,,,"Instances"))="","",INDIRECT(ADDRESS($D198+2,E$2+1,,,"Instances")))</f>
        <v>Level_5/3-1100001</v>
      </c>
      <c r="F198" s="0" t="str">
        <f aca="false">IFERROR(SMALL(E5:E364,ROW()-ROW($F$5)+1),"")</f>
        <v/>
      </c>
      <c r="H198" s="0" t="n">
        <f aca="false">IFERROR(SUM(F5:F198),"")</f>
        <v>0</v>
      </c>
      <c r="J198" s="0" t="n">
        <v>194</v>
      </c>
      <c r="K198" s="0" t="e">
        <f aca="true" t="array" ref="K198:K198">_xlfn.SWITCH(Charts!$B$3,"average", AVERAGE(INDIRECT(ADDRESS(193+3,K$2+1,,,"Instances") &amp; ":" &amp; ADDRESS(193+3,K$2+1))),"median", MEDIAN(INDIRECT(ADDRESS(193+3,K$2+1,,,"Instances") &amp; ":" &amp; ADDRESS(193+3,K$2+1))),"min", MIN(INDIRECT(ADDRESS(193+3,K$2+1,,,"Instances") &amp; ":" &amp; ADDRESS(193+3,K$2+1))),"max", MAX(INDIRECT(ADDRESS(193+3,K$2+1,,,"Instances") &amp; ":" &amp; ADDRESS(193+3,K$2+1))),"diff", MAX(INDIRECT(ADDRESS(193+3,K$2+1,,,"Instances") &amp; ":" &amp; ADDRESS(193+3,K$2+1)))-MIN(INDIRECT(ADDRESS(193+3,K$2+1,,,"Instances") &amp; ":" &amp; ADDRESS(193+3,K$2+1))))</f>
        <v>#N/A</v>
      </c>
      <c r="L198" s="0" t="str">
        <f aca="false">IFERROR(SMALL(K5:K364,ROW()-ROW($L$5)+1),"")</f>
        <v/>
      </c>
      <c r="N198" s="0" t="n">
        <f aca="false">IFERROR(SUM(L5:L198),"")</f>
        <v>0</v>
      </c>
      <c r="Q198" s="0" t="e">
        <f aca="false">IF(Charts!$B$3="none",E2005,IF(K2005="",NA(),K2005))</f>
        <v>#N/A</v>
      </c>
      <c r="R198" s="0" t="e">
        <f aca="false">IF(Charts!$B$3="none",F2005,IF(L2005="",NA(),L2005))</f>
        <v>#N/A</v>
      </c>
      <c r="S198" s="0" t="e">
        <f aca="false">IF(Charts!$B$3="none",G2005,IF(M2005="",NA(),M2005))</f>
        <v>#N/A</v>
      </c>
      <c r="T198" s="0" t="e">
        <f aca="false">IF(Charts!$B$3="none",H2005,IF(N2005="",NA(),N2005))</f>
        <v>#N/A</v>
      </c>
    </row>
    <row r="199" customFormat="false" ht="15" hidden="false" customHeight="false" outlineLevel="0" collapsed="false">
      <c r="D199" s="0" t="n">
        <v>195</v>
      </c>
      <c r="E199" s="0" t="str">
        <f aca="true">IF(INDIRECT(ADDRESS($D199+2,E$2+1,,,"Instances"))="","",INDIRECT(ADDRESS($D199+2,E$2+1,,,"Instances")))</f>
        <v>Level_5/4-0011101</v>
      </c>
      <c r="F199" s="0" t="str">
        <f aca="false">IFERROR(SMALL(E5:E364,ROW()-ROW($F$5)+1),"")</f>
        <v/>
      </c>
      <c r="H199" s="0" t="n">
        <f aca="false">IFERROR(SUM(F5:F199),"")</f>
        <v>0</v>
      </c>
      <c r="J199" s="0" t="n">
        <v>195</v>
      </c>
      <c r="K199" s="0" t="e">
        <f aca="true" t="array" ref="K199:K199">_xlfn.SWITCH(Charts!$B$3,"average", AVERAGE(INDIRECT(ADDRESS(194+3,K$2+1,,,"Instances") &amp; ":" &amp; ADDRESS(194+3,K$2+1))),"median", MEDIAN(INDIRECT(ADDRESS(194+3,K$2+1,,,"Instances") &amp; ":" &amp; ADDRESS(194+3,K$2+1))),"min", MIN(INDIRECT(ADDRESS(194+3,K$2+1,,,"Instances") &amp; ":" &amp; ADDRESS(194+3,K$2+1))),"max", MAX(INDIRECT(ADDRESS(194+3,K$2+1,,,"Instances") &amp; ":" &amp; ADDRESS(194+3,K$2+1))),"diff", MAX(INDIRECT(ADDRESS(194+3,K$2+1,,,"Instances") &amp; ":" &amp; ADDRESS(194+3,K$2+1)))-MIN(INDIRECT(ADDRESS(194+3,K$2+1,,,"Instances") &amp; ":" &amp; ADDRESS(194+3,K$2+1))))</f>
        <v>#N/A</v>
      </c>
      <c r="L199" s="0" t="str">
        <f aca="false">IFERROR(SMALL(K5:K364,ROW()-ROW($L$5)+1),"")</f>
        <v/>
      </c>
      <c r="N199" s="0" t="n">
        <f aca="false">IFERROR(SUM(L5:L199),"")</f>
        <v>0</v>
      </c>
      <c r="Q199" s="0" t="e">
        <f aca="false">IF(Charts!$B$3="none",E2006,IF(K2006="",NA(),K2006))</f>
        <v>#N/A</v>
      </c>
      <c r="R199" s="0" t="e">
        <f aca="false">IF(Charts!$B$3="none",F2006,IF(L2006="",NA(),L2006))</f>
        <v>#N/A</v>
      </c>
      <c r="S199" s="0" t="e">
        <f aca="false">IF(Charts!$B$3="none",G2006,IF(M2006="",NA(),M2006))</f>
        <v>#N/A</v>
      </c>
      <c r="T199" s="0" t="e">
        <f aca="false">IF(Charts!$B$3="none",H2006,IF(N2006="",NA(),N2006))</f>
        <v>#N/A</v>
      </c>
    </row>
    <row r="200" customFormat="false" ht="15" hidden="false" customHeight="false" outlineLevel="0" collapsed="false">
      <c r="D200" s="0" t="n">
        <v>196</v>
      </c>
      <c r="E200" s="0" t="str">
        <f aca="true">IF(INDIRECT(ADDRESS($D200+2,E$2+1,,,"Instances"))="","",INDIRECT(ADDRESS($D200+2,E$2+1,,,"Instances")))</f>
        <v>Level_5/4-0111001</v>
      </c>
      <c r="F200" s="0" t="str">
        <f aca="false">IFERROR(SMALL(E5:E364,ROW()-ROW($F$5)+1),"")</f>
        <v/>
      </c>
      <c r="H200" s="0" t="n">
        <f aca="false">IFERROR(SUM(F5:F200),"")</f>
        <v>0</v>
      </c>
      <c r="J200" s="0" t="n">
        <v>196</v>
      </c>
      <c r="K200" s="0" t="e">
        <f aca="true" t="array" ref="K200:K200">_xlfn.SWITCH(Charts!$B$3,"average", AVERAGE(INDIRECT(ADDRESS(195+3,K$2+1,,,"Instances") &amp; ":" &amp; ADDRESS(195+3,K$2+1))),"median", MEDIAN(INDIRECT(ADDRESS(195+3,K$2+1,,,"Instances") &amp; ":" &amp; ADDRESS(195+3,K$2+1))),"min", MIN(INDIRECT(ADDRESS(195+3,K$2+1,,,"Instances") &amp; ":" &amp; ADDRESS(195+3,K$2+1))),"max", MAX(INDIRECT(ADDRESS(195+3,K$2+1,,,"Instances") &amp; ":" &amp; ADDRESS(195+3,K$2+1))),"diff", MAX(INDIRECT(ADDRESS(195+3,K$2+1,,,"Instances") &amp; ":" &amp; ADDRESS(195+3,K$2+1)))-MIN(INDIRECT(ADDRESS(195+3,K$2+1,,,"Instances") &amp; ":" &amp; ADDRESS(195+3,K$2+1))))</f>
        <v>#N/A</v>
      </c>
      <c r="L200" s="0" t="str">
        <f aca="false">IFERROR(SMALL(K5:K364,ROW()-ROW($L$5)+1),"")</f>
        <v/>
      </c>
      <c r="N200" s="0" t="n">
        <f aca="false">IFERROR(SUM(L5:L200),"")</f>
        <v>0</v>
      </c>
      <c r="Q200" s="0" t="e">
        <f aca="false">IF(Charts!$B$3="none",E2007,IF(K2007="",NA(),K2007))</f>
        <v>#N/A</v>
      </c>
      <c r="R200" s="0" t="e">
        <f aca="false">IF(Charts!$B$3="none",F2007,IF(L2007="",NA(),L2007))</f>
        <v>#N/A</v>
      </c>
      <c r="S200" s="0" t="e">
        <f aca="false">IF(Charts!$B$3="none",G2007,IF(M2007="",NA(),M2007))</f>
        <v>#N/A</v>
      </c>
      <c r="T200" s="0" t="e">
        <f aca="false">IF(Charts!$B$3="none",H2007,IF(N2007="",NA(),N2007))</f>
        <v>#N/A</v>
      </c>
    </row>
    <row r="201" customFormat="false" ht="15" hidden="false" customHeight="false" outlineLevel="0" collapsed="false">
      <c r="D201" s="0" t="n">
        <v>197</v>
      </c>
      <c r="E201" s="0" t="str">
        <f aca="true">IF(INDIRECT(ADDRESS($D201+2,E$2+1,,,"Instances"))="","",INDIRECT(ADDRESS($D201+2,E$2+1,,,"Instances")))</f>
        <v>Level_5/4-1100011</v>
      </c>
      <c r="F201" s="0" t="str">
        <f aca="false">IFERROR(SMALL(E5:E364,ROW()-ROW($F$5)+1),"")</f>
        <v/>
      </c>
      <c r="H201" s="0" t="n">
        <f aca="false">IFERROR(SUM(F5:F201),"")</f>
        <v>0</v>
      </c>
      <c r="J201" s="0" t="n">
        <v>197</v>
      </c>
      <c r="K201" s="0" t="e">
        <f aca="true" t="array" ref="K201:K201">_xlfn.SWITCH(Charts!$B$3,"average", AVERAGE(INDIRECT(ADDRESS(196+3,K$2+1,,,"Instances") &amp; ":" &amp; ADDRESS(196+3,K$2+1))),"median", MEDIAN(INDIRECT(ADDRESS(196+3,K$2+1,,,"Instances") &amp; ":" &amp; ADDRESS(196+3,K$2+1))),"min", MIN(INDIRECT(ADDRESS(196+3,K$2+1,,,"Instances") &amp; ":" &amp; ADDRESS(196+3,K$2+1))),"max", MAX(INDIRECT(ADDRESS(196+3,K$2+1,,,"Instances") &amp; ":" &amp; ADDRESS(196+3,K$2+1))),"diff", MAX(INDIRECT(ADDRESS(196+3,K$2+1,,,"Instances") &amp; ":" &amp; ADDRESS(196+3,K$2+1)))-MIN(INDIRECT(ADDRESS(196+3,K$2+1,,,"Instances") &amp; ":" &amp; ADDRESS(196+3,K$2+1))))</f>
        <v>#N/A</v>
      </c>
      <c r="L201" s="0" t="str">
        <f aca="false">IFERROR(SMALL(K5:K364,ROW()-ROW($L$5)+1),"")</f>
        <v/>
      </c>
      <c r="N201" s="0" t="n">
        <f aca="false">IFERROR(SUM(L5:L201),"")</f>
        <v>0</v>
      </c>
      <c r="Q201" s="0" t="e">
        <f aca="false">IF(Charts!$B$3="none",E2008,IF(K2008="",NA(),K2008))</f>
        <v>#N/A</v>
      </c>
      <c r="R201" s="0" t="e">
        <f aca="false">IF(Charts!$B$3="none",F2008,IF(L2008="",NA(),L2008))</f>
        <v>#N/A</v>
      </c>
      <c r="S201" s="0" t="e">
        <f aca="false">IF(Charts!$B$3="none",G2008,IF(M2008="",NA(),M2008))</f>
        <v>#N/A</v>
      </c>
      <c r="T201" s="0" t="e">
        <f aca="false">IF(Charts!$B$3="none",H2008,IF(N2008="",NA(),N2008))</f>
        <v>#N/A</v>
      </c>
    </row>
    <row r="202" customFormat="false" ht="15" hidden="false" customHeight="false" outlineLevel="0" collapsed="false">
      <c r="D202" s="0" t="n">
        <v>198</v>
      </c>
      <c r="E202" s="0" t="str">
        <f aca="true">IF(INDIRECT(ADDRESS($D202+2,E$2+1,,,"Instances"))="","",INDIRECT(ADDRESS($D202+2,E$2+1,,,"Instances")))</f>
        <v>Level_5/4-1101010</v>
      </c>
      <c r="F202" s="0" t="str">
        <f aca="false">IFERROR(SMALL(E5:E364,ROW()-ROW($F$5)+1),"")</f>
        <v/>
      </c>
      <c r="H202" s="0" t="n">
        <f aca="false">IFERROR(SUM(F5:F202),"")</f>
        <v>0</v>
      </c>
      <c r="J202" s="0" t="n">
        <v>198</v>
      </c>
      <c r="K202" s="0" t="e">
        <f aca="true" t="array" ref="K202:K202">_xlfn.SWITCH(Charts!$B$3,"average", AVERAGE(INDIRECT(ADDRESS(197+3,K$2+1,,,"Instances") &amp; ":" &amp; ADDRESS(197+3,K$2+1))),"median", MEDIAN(INDIRECT(ADDRESS(197+3,K$2+1,,,"Instances") &amp; ":" &amp; ADDRESS(197+3,K$2+1))),"min", MIN(INDIRECT(ADDRESS(197+3,K$2+1,,,"Instances") &amp; ":" &amp; ADDRESS(197+3,K$2+1))),"max", MAX(INDIRECT(ADDRESS(197+3,K$2+1,,,"Instances") &amp; ":" &amp; ADDRESS(197+3,K$2+1))),"diff", MAX(INDIRECT(ADDRESS(197+3,K$2+1,,,"Instances") &amp; ":" &amp; ADDRESS(197+3,K$2+1)))-MIN(INDIRECT(ADDRESS(197+3,K$2+1,,,"Instances") &amp; ":" &amp; ADDRESS(197+3,K$2+1))))</f>
        <v>#N/A</v>
      </c>
      <c r="L202" s="0" t="str">
        <f aca="false">IFERROR(SMALL(K5:K364,ROW()-ROW($L$5)+1),"")</f>
        <v/>
      </c>
      <c r="N202" s="0" t="n">
        <f aca="false">IFERROR(SUM(L5:L202),"")</f>
        <v>0</v>
      </c>
      <c r="Q202" s="0" t="e">
        <f aca="false">IF(Charts!$B$3="none",E2009,IF(K2009="",NA(),K2009))</f>
        <v>#N/A</v>
      </c>
      <c r="R202" s="0" t="e">
        <f aca="false">IF(Charts!$B$3="none",F2009,IF(L2009="",NA(),L2009))</f>
        <v>#N/A</v>
      </c>
      <c r="S202" s="0" t="e">
        <f aca="false">IF(Charts!$B$3="none",G2009,IF(M2009="",NA(),M2009))</f>
        <v>#N/A</v>
      </c>
      <c r="T202" s="0" t="e">
        <f aca="false">IF(Charts!$B$3="none",H2009,IF(N2009="",NA(),N2009))</f>
        <v>#N/A</v>
      </c>
    </row>
    <row r="203" customFormat="false" ht="15" hidden="false" customHeight="false" outlineLevel="0" collapsed="false">
      <c r="D203" s="0" t="n">
        <v>199</v>
      </c>
      <c r="E203" s="0" t="str">
        <f aca="true">IF(INDIRECT(ADDRESS($D203+2,E$2+1,,,"Instances"))="","",INDIRECT(ADDRESS($D203+2,E$2+1,,,"Instances")))</f>
        <v>Level_5/4-1101100</v>
      </c>
      <c r="F203" s="0" t="str">
        <f aca="false">IFERROR(SMALL(E5:E364,ROW()-ROW($F$5)+1),"")</f>
        <v/>
      </c>
      <c r="H203" s="0" t="n">
        <f aca="false">IFERROR(SUM(F5:F203),"")</f>
        <v>0</v>
      </c>
      <c r="J203" s="0" t="n">
        <v>199</v>
      </c>
      <c r="K203" s="0" t="e">
        <f aca="true" t="array" ref="K203:K203">_xlfn.SWITCH(Charts!$B$3,"average", AVERAGE(INDIRECT(ADDRESS(198+3,K$2+1,,,"Instances") &amp; ":" &amp; ADDRESS(198+3,K$2+1))),"median", MEDIAN(INDIRECT(ADDRESS(198+3,K$2+1,,,"Instances") &amp; ":" &amp; ADDRESS(198+3,K$2+1))),"min", MIN(INDIRECT(ADDRESS(198+3,K$2+1,,,"Instances") &amp; ":" &amp; ADDRESS(198+3,K$2+1))),"max", MAX(INDIRECT(ADDRESS(198+3,K$2+1,,,"Instances") &amp; ":" &amp; ADDRESS(198+3,K$2+1))),"diff", MAX(INDIRECT(ADDRESS(198+3,K$2+1,,,"Instances") &amp; ":" &amp; ADDRESS(198+3,K$2+1)))-MIN(INDIRECT(ADDRESS(198+3,K$2+1,,,"Instances") &amp; ":" &amp; ADDRESS(198+3,K$2+1))))</f>
        <v>#N/A</v>
      </c>
      <c r="L203" s="0" t="str">
        <f aca="false">IFERROR(SMALL(K5:K364,ROW()-ROW($L$5)+1),"")</f>
        <v/>
      </c>
      <c r="N203" s="0" t="n">
        <f aca="false">IFERROR(SUM(L5:L203),"")</f>
        <v>0</v>
      </c>
      <c r="Q203" s="0" t="e">
        <f aca="false">IF(Charts!$B$3="none",E2010,IF(K2010="",NA(),K2010))</f>
        <v>#N/A</v>
      </c>
      <c r="R203" s="0" t="e">
        <f aca="false">IF(Charts!$B$3="none",F2010,IF(L2010="",NA(),L2010))</f>
        <v>#N/A</v>
      </c>
      <c r="S203" s="0" t="e">
        <f aca="false">IF(Charts!$B$3="none",G2010,IF(M2010="",NA(),M2010))</f>
        <v>#N/A</v>
      </c>
      <c r="T203" s="0" t="e">
        <f aca="false">IF(Charts!$B$3="none",H2010,IF(N2010="",NA(),N2010))</f>
        <v>#N/A</v>
      </c>
    </row>
    <row r="204" customFormat="false" ht="15" hidden="false" customHeight="false" outlineLevel="0" collapsed="false">
      <c r="D204" s="0" t="n">
        <v>200</v>
      </c>
      <c r="E204" s="0" t="str">
        <f aca="true">IF(INDIRECT(ADDRESS($D204+2,E$2+1,,,"Instances"))="","",INDIRECT(ADDRESS($D204+2,E$2+1,,,"Instances")))</f>
        <v>Level_5/4-1110010</v>
      </c>
      <c r="F204" s="0" t="str">
        <f aca="false">IFERROR(SMALL(E5:E364,ROW()-ROW($F$5)+1),"")</f>
        <v/>
      </c>
      <c r="H204" s="0" t="n">
        <f aca="false">IFERROR(SUM(F5:F204),"")</f>
        <v>0</v>
      </c>
      <c r="J204" s="0" t="n">
        <v>200</v>
      </c>
      <c r="K204" s="0" t="e">
        <f aca="true" t="array" ref="K204:K204">_xlfn.SWITCH(Charts!$B$3,"average", AVERAGE(INDIRECT(ADDRESS(199+3,K$2+1,,,"Instances") &amp; ":" &amp; ADDRESS(199+3,K$2+1))),"median", MEDIAN(INDIRECT(ADDRESS(199+3,K$2+1,,,"Instances") &amp; ":" &amp; ADDRESS(199+3,K$2+1))),"min", MIN(INDIRECT(ADDRESS(199+3,K$2+1,,,"Instances") &amp; ":" &amp; ADDRESS(199+3,K$2+1))),"max", MAX(INDIRECT(ADDRESS(199+3,K$2+1,,,"Instances") &amp; ":" &amp; ADDRESS(199+3,K$2+1))),"diff", MAX(INDIRECT(ADDRESS(199+3,K$2+1,,,"Instances") &amp; ":" &amp; ADDRESS(199+3,K$2+1)))-MIN(INDIRECT(ADDRESS(199+3,K$2+1,,,"Instances") &amp; ":" &amp; ADDRESS(199+3,K$2+1))))</f>
        <v>#N/A</v>
      </c>
      <c r="L204" s="0" t="str">
        <f aca="false">IFERROR(SMALL(K5:K364,ROW()-ROW($L$5)+1),"")</f>
        <v/>
      </c>
      <c r="N204" s="0" t="n">
        <f aca="false">IFERROR(SUM(L5:L204),"")</f>
        <v>0</v>
      </c>
      <c r="Q204" s="0" t="e">
        <f aca="false">IF(Charts!$B$3="none",E2011,IF(K2011="",NA(),K2011))</f>
        <v>#N/A</v>
      </c>
      <c r="R204" s="0" t="e">
        <f aca="false">IF(Charts!$B$3="none",F2011,IF(L2011="",NA(),L2011))</f>
        <v>#N/A</v>
      </c>
      <c r="S204" s="0" t="e">
        <f aca="false">IF(Charts!$B$3="none",G2011,IF(M2011="",NA(),M2011))</f>
        <v>#N/A</v>
      </c>
      <c r="T204" s="0" t="e">
        <f aca="false">IF(Charts!$B$3="none",H2011,IF(N2011="",NA(),N2011))</f>
        <v>#N/A</v>
      </c>
    </row>
    <row r="205" customFormat="false" ht="15" hidden="false" customHeight="false" outlineLevel="0" collapsed="false">
      <c r="D205" s="0" t="n">
        <v>201</v>
      </c>
      <c r="E205" s="0" t="str">
        <f aca="true">IF(INDIRECT(ADDRESS($D205+2,E$2+1,,,"Instances"))="","",INDIRECT(ADDRESS($D205+2,E$2+1,,,"Instances")))</f>
        <v>Level_5/4-1111000</v>
      </c>
      <c r="F205" s="0" t="str">
        <f aca="false">IFERROR(SMALL(E5:E364,ROW()-ROW($F$5)+1),"")</f>
        <v/>
      </c>
      <c r="H205" s="0" t="n">
        <f aca="false">IFERROR(SUM(F5:F205),"")</f>
        <v>0</v>
      </c>
      <c r="J205" s="0" t="n">
        <v>201</v>
      </c>
      <c r="K205" s="0" t="e">
        <f aca="true" t="array" ref="K205:K205">_xlfn.SWITCH(Charts!$B$3,"average", AVERAGE(INDIRECT(ADDRESS(200+3,K$2+1,,,"Instances") &amp; ":" &amp; ADDRESS(200+3,K$2+1))),"median", MEDIAN(INDIRECT(ADDRESS(200+3,K$2+1,,,"Instances") &amp; ":" &amp; ADDRESS(200+3,K$2+1))),"min", MIN(INDIRECT(ADDRESS(200+3,K$2+1,,,"Instances") &amp; ":" &amp; ADDRESS(200+3,K$2+1))),"max", MAX(INDIRECT(ADDRESS(200+3,K$2+1,,,"Instances") &amp; ":" &amp; ADDRESS(200+3,K$2+1))),"diff", MAX(INDIRECT(ADDRESS(200+3,K$2+1,,,"Instances") &amp; ":" &amp; ADDRESS(200+3,K$2+1)))-MIN(INDIRECT(ADDRESS(200+3,K$2+1,,,"Instances") &amp; ":" &amp; ADDRESS(200+3,K$2+1))))</f>
        <v>#N/A</v>
      </c>
      <c r="L205" s="0" t="str">
        <f aca="false">IFERROR(SMALL(K5:K364,ROW()-ROW($L$5)+1),"")</f>
        <v/>
      </c>
      <c r="N205" s="0" t="n">
        <f aca="false">IFERROR(SUM(L5:L205),"")</f>
        <v>0</v>
      </c>
      <c r="Q205" s="0" t="e">
        <f aca="false">IF(Charts!$B$3="none",E2012,IF(K2012="",NA(),K2012))</f>
        <v>#N/A</v>
      </c>
      <c r="R205" s="0" t="e">
        <f aca="false">IF(Charts!$B$3="none",F2012,IF(L2012="",NA(),L2012))</f>
        <v>#N/A</v>
      </c>
      <c r="S205" s="0" t="e">
        <f aca="false">IF(Charts!$B$3="none",G2012,IF(M2012="",NA(),M2012))</f>
        <v>#N/A</v>
      </c>
      <c r="T205" s="0" t="e">
        <f aca="false">IF(Charts!$B$3="none",H2012,IF(N2012="",NA(),N2012))</f>
        <v>#N/A</v>
      </c>
    </row>
    <row r="206" customFormat="false" ht="15" hidden="false" customHeight="false" outlineLevel="0" collapsed="false">
      <c r="D206" s="0" t="n">
        <v>202</v>
      </c>
      <c r="E206" s="0" t="str">
        <f aca="true">IF(INDIRECT(ADDRESS($D206+2,E$2+1,,,"Instances"))="","",INDIRECT(ADDRESS($D206+2,E$2+1,,,"Instances")))</f>
        <v>Level_5/5-0101111</v>
      </c>
      <c r="F206" s="0" t="str">
        <f aca="false">IFERROR(SMALL(E5:E364,ROW()-ROW($F$5)+1),"")</f>
        <v/>
      </c>
      <c r="H206" s="0" t="n">
        <f aca="false">IFERROR(SUM(F5:F206),"")</f>
        <v>0</v>
      </c>
      <c r="J206" s="0" t="n">
        <v>202</v>
      </c>
      <c r="K206" s="0" t="e">
        <f aca="true" t="array" ref="K206:K206">_xlfn.SWITCH(Charts!$B$3,"average", AVERAGE(INDIRECT(ADDRESS(201+3,K$2+1,,,"Instances") &amp; ":" &amp; ADDRESS(201+3,K$2+1))),"median", MEDIAN(INDIRECT(ADDRESS(201+3,K$2+1,,,"Instances") &amp; ":" &amp; ADDRESS(201+3,K$2+1))),"min", MIN(INDIRECT(ADDRESS(201+3,K$2+1,,,"Instances") &amp; ":" &amp; ADDRESS(201+3,K$2+1))),"max", MAX(INDIRECT(ADDRESS(201+3,K$2+1,,,"Instances") &amp; ":" &amp; ADDRESS(201+3,K$2+1))),"diff", MAX(INDIRECT(ADDRESS(201+3,K$2+1,,,"Instances") &amp; ":" &amp; ADDRESS(201+3,K$2+1)))-MIN(INDIRECT(ADDRESS(201+3,K$2+1,,,"Instances") &amp; ":" &amp; ADDRESS(201+3,K$2+1))))</f>
        <v>#N/A</v>
      </c>
      <c r="L206" s="0" t="str">
        <f aca="false">IFERROR(SMALL(K5:K364,ROW()-ROW($L$5)+1),"")</f>
        <v/>
      </c>
      <c r="N206" s="0" t="n">
        <f aca="false">IFERROR(SUM(L5:L206),"")</f>
        <v>0</v>
      </c>
      <c r="Q206" s="0" t="e">
        <f aca="false">IF(Charts!$B$3="none",E2013,IF(K2013="",NA(),K2013))</f>
        <v>#N/A</v>
      </c>
      <c r="R206" s="0" t="e">
        <f aca="false">IF(Charts!$B$3="none",F2013,IF(L2013="",NA(),L2013))</f>
        <v>#N/A</v>
      </c>
      <c r="S206" s="0" t="e">
        <f aca="false">IF(Charts!$B$3="none",G2013,IF(M2013="",NA(),M2013))</f>
        <v>#N/A</v>
      </c>
      <c r="T206" s="0" t="e">
        <f aca="false">IF(Charts!$B$3="none",H2013,IF(N2013="",NA(),N2013))</f>
        <v>#N/A</v>
      </c>
    </row>
    <row r="207" customFormat="false" ht="15" hidden="false" customHeight="false" outlineLevel="0" collapsed="false">
      <c r="D207" s="0" t="n">
        <v>203</v>
      </c>
      <c r="E207" s="0" t="str">
        <f aca="true">IF(INDIRECT(ADDRESS($D207+2,E$2+1,,,"Instances"))="","",INDIRECT(ADDRESS($D207+2,E$2+1,,,"Instances")))</f>
        <v>Level_5/5-0110111</v>
      </c>
      <c r="F207" s="0" t="str">
        <f aca="false">IFERROR(SMALL(E5:E364,ROW()-ROW($F$5)+1),"")</f>
        <v/>
      </c>
      <c r="H207" s="0" t="n">
        <f aca="false">IFERROR(SUM(F5:F207),"")</f>
        <v>0</v>
      </c>
      <c r="J207" s="0" t="n">
        <v>203</v>
      </c>
      <c r="K207" s="0" t="e">
        <f aca="true" t="array" ref="K207:K207">_xlfn.SWITCH(Charts!$B$3,"average", AVERAGE(INDIRECT(ADDRESS(202+3,K$2+1,,,"Instances") &amp; ":" &amp; ADDRESS(202+3,K$2+1))),"median", MEDIAN(INDIRECT(ADDRESS(202+3,K$2+1,,,"Instances") &amp; ":" &amp; ADDRESS(202+3,K$2+1))),"min", MIN(INDIRECT(ADDRESS(202+3,K$2+1,,,"Instances") &amp; ":" &amp; ADDRESS(202+3,K$2+1))),"max", MAX(INDIRECT(ADDRESS(202+3,K$2+1,,,"Instances") &amp; ":" &amp; ADDRESS(202+3,K$2+1))),"diff", MAX(INDIRECT(ADDRESS(202+3,K$2+1,,,"Instances") &amp; ":" &amp; ADDRESS(202+3,K$2+1)))-MIN(INDIRECT(ADDRESS(202+3,K$2+1,,,"Instances") &amp; ":" &amp; ADDRESS(202+3,K$2+1))))</f>
        <v>#N/A</v>
      </c>
      <c r="L207" s="0" t="str">
        <f aca="false">IFERROR(SMALL(K5:K364,ROW()-ROW($L$5)+1),"")</f>
        <v/>
      </c>
      <c r="N207" s="0" t="n">
        <f aca="false">IFERROR(SUM(L5:L207),"")</f>
        <v>0</v>
      </c>
      <c r="Q207" s="0" t="e">
        <f aca="false">IF(Charts!$B$3="none",E2014,IF(K2014="",NA(),K2014))</f>
        <v>#N/A</v>
      </c>
      <c r="R207" s="0" t="e">
        <f aca="false">IF(Charts!$B$3="none",F2014,IF(L2014="",NA(),L2014))</f>
        <v>#N/A</v>
      </c>
      <c r="S207" s="0" t="e">
        <f aca="false">IF(Charts!$B$3="none",G2014,IF(M2014="",NA(),M2014))</f>
        <v>#N/A</v>
      </c>
      <c r="T207" s="0" t="e">
        <f aca="false">IF(Charts!$B$3="none",H2014,IF(N2014="",NA(),N2014))</f>
        <v>#N/A</v>
      </c>
    </row>
    <row r="208" customFormat="false" ht="15" hidden="false" customHeight="false" outlineLevel="0" collapsed="false">
      <c r="D208" s="0" t="n">
        <v>204</v>
      </c>
      <c r="E208" s="0" t="str">
        <f aca="true">IF(INDIRECT(ADDRESS($D208+2,E$2+1,,,"Instances"))="","",INDIRECT(ADDRESS($D208+2,E$2+1,,,"Instances")))</f>
        <v>Level_5/5-0111011</v>
      </c>
      <c r="F208" s="0" t="str">
        <f aca="false">IFERROR(SMALL(E5:E364,ROW()-ROW($F$5)+1),"")</f>
        <v/>
      </c>
      <c r="H208" s="0" t="n">
        <f aca="false">IFERROR(SUM(F5:F208),"")</f>
        <v>0</v>
      </c>
      <c r="J208" s="0" t="n">
        <v>204</v>
      </c>
      <c r="K208" s="0" t="e">
        <f aca="true" t="array" ref="K208:K208">_xlfn.SWITCH(Charts!$B$3,"average", AVERAGE(INDIRECT(ADDRESS(203+3,K$2+1,,,"Instances") &amp; ":" &amp; ADDRESS(203+3,K$2+1))),"median", MEDIAN(INDIRECT(ADDRESS(203+3,K$2+1,,,"Instances") &amp; ":" &amp; ADDRESS(203+3,K$2+1))),"min", MIN(INDIRECT(ADDRESS(203+3,K$2+1,,,"Instances") &amp; ":" &amp; ADDRESS(203+3,K$2+1))),"max", MAX(INDIRECT(ADDRESS(203+3,K$2+1,,,"Instances") &amp; ":" &amp; ADDRESS(203+3,K$2+1))),"diff", MAX(INDIRECT(ADDRESS(203+3,K$2+1,,,"Instances") &amp; ":" &amp; ADDRESS(203+3,K$2+1)))-MIN(INDIRECT(ADDRESS(203+3,K$2+1,,,"Instances") &amp; ":" &amp; ADDRESS(203+3,K$2+1))))</f>
        <v>#N/A</v>
      </c>
      <c r="L208" s="0" t="str">
        <f aca="false">IFERROR(SMALL(K5:K364,ROW()-ROW($L$5)+1),"")</f>
        <v/>
      </c>
      <c r="N208" s="0" t="n">
        <f aca="false">IFERROR(SUM(L5:L208),"")</f>
        <v>0</v>
      </c>
      <c r="Q208" s="0" t="e">
        <f aca="false">IF(Charts!$B$3="none",E2015,IF(K2015="",NA(),K2015))</f>
        <v>#N/A</v>
      </c>
      <c r="R208" s="0" t="e">
        <f aca="false">IF(Charts!$B$3="none",F2015,IF(L2015="",NA(),L2015))</f>
        <v>#N/A</v>
      </c>
      <c r="S208" s="0" t="e">
        <f aca="false">IF(Charts!$B$3="none",G2015,IF(M2015="",NA(),M2015))</f>
        <v>#N/A</v>
      </c>
      <c r="T208" s="0" t="e">
        <f aca="false">IF(Charts!$B$3="none",H2015,IF(N2015="",NA(),N2015))</f>
        <v>#N/A</v>
      </c>
    </row>
    <row r="209" customFormat="false" ht="15" hidden="false" customHeight="false" outlineLevel="0" collapsed="false">
      <c r="D209" s="0" t="n">
        <v>205</v>
      </c>
      <c r="E209" s="0" t="str">
        <f aca="true">IF(INDIRECT(ADDRESS($D209+2,E$2+1,,,"Instances"))="","",INDIRECT(ADDRESS($D209+2,E$2+1,,,"Instances")))</f>
        <v>Level_5/5-1001111</v>
      </c>
      <c r="F209" s="0" t="str">
        <f aca="false">IFERROR(SMALL(E5:E364,ROW()-ROW($F$5)+1),"")</f>
        <v/>
      </c>
      <c r="H209" s="0" t="n">
        <f aca="false">IFERROR(SUM(F5:F209),"")</f>
        <v>0</v>
      </c>
      <c r="J209" s="0" t="n">
        <v>205</v>
      </c>
      <c r="K209" s="0" t="e">
        <f aca="true" t="array" ref="K209:K209">_xlfn.SWITCH(Charts!$B$3,"average", AVERAGE(INDIRECT(ADDRESS(204+3,K$2+1,,,"Instances") &amp; ":" &amp; ADDRESS(204+3,K$2+1))),"median", MEDIAN(INDIRECT(ADDRESS(204+3,K$2+1,,,"Instances") &amp; ":" &amp; ADDRESS(204+3,K$2+1))),"min", MIN(INDIRECT(ADDRESS(204+3,K$2+1,,,"Instances") &amp; ":" &amp; ADDRESS(204+3,K$2+1))),"max", MAX(INDIRECT(ADDRESS(204+3,K$2+1,,,"Instances") &amp; ":" &amp; ADDRESS(204+3,K$2+1))),"diff", MAX(INDIRECT(ADDRESS(204+3,K$2+1,,,"Instances") &amp; ":" &amp; ADDRESS(204+3,K$2+1)))-MIN(INDIRECT(ADDRESS(204+3,K$2+1,,,"Instances") &amp; ":" &amp; ADDRESS(204+3,K$2+1))))</f>
        <v>#N/A</v>
      </c>
      <c r="L209" s="0" t="str">
        <f aca="false">IFERROR(SMALL(K5:K364,ROW()-ROW($L$5)+1),"")</f>
        <v/>
      </c>
      <c r="N209" s="0" t="n">
        <f aca="false">IFERROR(SUM(L5:L209),"")</f>
        <v>0</v>
      </c>
      <c r="Q209" s="0" t="e">
        <f aca="false">IF(Charts!$B$3="none",E2016,IF(K2016="",NA(),K2016))</f>
        <v>#N/A</v>
      </c>
      <c r="R209" s="0" t="e">
        <f aca="false">IF(Charts!$B$3="none",F2016,IF(L2016="",NA(),L2016))</f>
        <v>#N/A</v>
      </c>
      <c r="S209" s="0" t="e">
        <f aca="false">IF(Charts!$B$3="none",G2016,IF(M2016="",NA(),M2016))</f>
        <v>#N/A</v>
      </c>
      <c r="T209" s="0" t="e">
        <f aca="false">IF(Charts!$B$3="none",H2016,IF(N2016="",NA(),N2016))</f>
        <v>#N/A</v>
      </c>
    </row>
    <row r="210" customFormat="false" ht="15" hidden="false" customHeight="false" outlineLevel="0" collapsed="false">
      <c r="D210" s="0" t="n">
        <v>206</v>
      </c>
      <c r="E210" s="0" t="str">
        <f aca="true">IF(INDIRECT(ADDRESS($D210+2,E$2+1,,,"Instances"))="","",INDIRECT(ADDRESS($D210+2,E$2+1,,,"Instances")))</f>
        <v>Level_5/5-1101011</v>
      </c>
      <c r="F210" s="0" t="str">
        <f aca="false">IFERROR(SMALL(E5:E364,ROW()-ROW($F$5)+1),"")</f>
        <v/>
      </c>
      <c r="H210" s="0" t="n">
        <f aca="false">IFERROR(SUM(F5:F210),"")</f>
        <v>0</v>
      </c>
      <c r="J210" s="0" t="n">
        <v>206</v>
      </c>
      <c r="K210" s="0" t="e">
        <f aca="true" t="array" ref="K210:K210">_xlfn.SWITCH(Charts!$B$3,"average", AVERAGE(INDIRECT(ADDRESS(205+3,K$2+1,,,"Instances") &amp; ":" &amp; ADDRESS(205+3,K$2+1))),"median", MEDIAN(INDIRECT(ADDRESS(205+3,K$2+1,,,"Instances") &amp; ":" &amp; ADDRESS(205+3,K$2+1))),"min", MIN(INDIRECT(ADDRESS(205+3,K$2+1,,,"Instances") &amp; ":" &amp; ADDRESS(205+3,K$2+1))),"max", MAX(INDIRECT(ADDRESS(205+3,K$2+1,,,"Instances") &amp; ":" &amp; ADDRESS(205+3,K$2+1))),"diff", MAX(INDIRECT(ADDRESS(205+3,K$2+1,,,"Instances") &amp; ":" &amp; ADDRESS(205+3,K$2+1)))-MIN(INDIRECT(ADDRESS(205+3,K$2+1,,,"Instances") &amp; ":" &amp; ADDRESS(205+3,K$2+1))))</f>
        <v>#N/A</v>
      </c>
      <c r="L210" s="0" t="str">
        <f aca="false">IFERROR(SMALL(K5:K364,ROW()-ROW($L$5)+1),"")</f>
        <v/>
      </c>
      <c r="N210" s="0" t="n">
        <f aca="false">IFERROR(SUM(L5:L210),"")</f>
        <v>0</v>
      </c>
      <c r="Q210" s="0" t="e">
        <f aca="false">IF(Charts!$B$3="none",E2017,IF(K2017="",NA(),K2017))</f>
        <v>#N/A</v>
      </c>
      <c r="R210" s="0" t="e">
        <f aca="false">IF(Charts!$B$3="none",F2017,IF(L2017="",NA(),L2017))</f>
        <v>#N/A</v>
      </c>
      <c r="S210" s="0" t="e">
        <f aca="false">IF(Charts!$B$3="none",G2017,IF(M2017="",NA(),M2017))</f>
        <v>#N/A</v>
      </c>
      <c r="T210" s="0" t="e">
        <f aca="false">IF(Charts!$B$3="none",H2017,IF(N2017="",NA(),N2017))</f>
        <v>#N/A</v>
      </c>
    </row>
    <row r="211" customFormat="false" ht="15" hidden="false" customHeight="false" outlineLevel="0" collapsed="false">
      <c r="D211" s="0" t="n">
        <v>207</v>
      </c>
      <c r="E211" s="0" t="str">
        <f aca="true">IF(INDIRECT(ADDRESS($D211+2,E$2+1,,,"Instances"))="","",INDIRECT(ADDRESS($D211+2,E$2+1,,,"Instances")))</f>
        <v>Level_5/5-1110011</v>
      </c>
      <c r="F211" s="0" t="str">
        <f aca="false">IFERROR(SMALL(E5:E364,ROW()-ROW($F$5)+1),"")</f>
        <v/>
      </c>
      <c r="H211" s="0" t="n">
        <f aca="false">IFERROR(SUM(F5:F211),"")</f>
        <v>0</v>
      </c>
      <c r="J211" s="0" t="n">
        <v>207</v>
      </c>
      <c r="K211" s="0" t="e">
        <f aca="true" t="array" ref="K211:K211">_xlfn.SWITCH(Charts!$B$3,"average", AVERAGE(INDIRECT(ADDRESS(206+3,K$2+1,,,"Instances") &amp; ":" &amp; ADDRESS(206+3,K$2+1))),"median", MEDIAN(INDIRECT(ADDRESS(206+3,K$2+1,,,"Instances") &amp; ":" &amp; ADDRESS(206+3,K$2+1))),"min", MIN(INDIRECT(ADDRESS(206+3,K$2+1,,,"Instances") &amp; ":" &amp; ADDRESS(206+3,K$2+1))),"max", MAX(INDIRECT(ADDRESS(206+3,K$2+1,,,"Instances") &amp; ":" &amp; ADDRESS(206+3,K$2+1))),"diff", MAX(INDIRECT(ADDRESS(206+3,K$2+1,,,"Instances") &amp; ":" &amp; ADDRESS(206+3,K$2+1)))-MIN(INDIRECT(ADDRESS(206+3,K$2+1,,,"Instances") &amp; ":" &amp; ADDRESS(206+3,K$2+1))))</f>
        <v>#N/A</v>
      </c>
      <c r="L211" s="0" t="str">
        <f aca="false">IFERROR(SMALL(K5:K364,ROW()-ROW($L$5)+1),"")</f>
        <v/>
      </c>
      <c r="N211" s="0" t="n">
        <f aca="false">IFERROR(SUM(L5:L211),"")</f>
        <v>0</v>
      </c>
      <c r="Q211" s="0" t="e">
        <f aca="false">IF(Charts!$B$3="none",E2018,IF(K2018="",NA(),K2018))</f>
        <v>#N/A</v>
      </c>
      <c r="R211" s="0" t="e">
        <f aca="false">IF(Charts!$B$3="none",F2018,IF(L2018="",NA(),L2018))</f>
        <v>#N/A</v>
      </c>
      <c r="S211" s="0" t="e">
        <f aca="false">IF(Charts!$B$3="none",G2018,IF(M2018="",NA(),M2018))</f>
        <v>#N/A</v>
      </c>
      <c r="T211" s="0" t="e">
        <f aca="false">IF(Charts!$B$3="none",H2018,IF(N2018="",NA(),N2018))</f>
        <v>#N/A</v>
      </c>
    </row>
    <row r="212" customFormat="false" ht="15" hidden="false" customHeight="false" outlineLevel="0" collapsed="false">
      <c r="D212" s="0" t="n">
        <v>208</v>
      </c>
      <c r="E212" s="0" t="str">
        <f aca="true">IF(INDIRECT(ADDRESS($D212+2,E$2+1,,,"Instances"))="","",INDIRECT(ADDRESS($D212+2,E$2+1,,,"Instances")))</f>
        <v>Level_5/5-1111100</v>
      </c>
      <c r="F212" s="0" t="str">
        <f aca="false">IFERROR(SMALL(E5:E364,ROW()-ROW($F$5)+1),"")</f>
        <v/>
      </c>
      <c r="H212" s="0" t="n">
        <f aca="false">IFERROR(SUM(F5:F212),"")</f>
        <v>0</v>
      </c>
      <c r="J212" s="0" t="n">
        <v>208</v>
      </c>
      <c r="K212" s="0" t="e">
        <f aca="true" t="array" ref="K212:K212">_xlfn.SWITCH(Charts!$B$3,"average", AVERAGE(INDIRECT(ADDRESS(207+3,K$2+1,,,"Instances") &amp; ":" &amp; ADDRESS(207+3,K$2+1))),"median", MEDIAN(INDIRECT(ADDRESS(207+3,K$2+1,,,"Instances") &amp; ":" &amp; ADDRESS(207+3,K$2+1))),"min", MIN(INDIRECT(ADDRESS(207+3,K$2+1,,,"Instances") &amp; ":" &amp; ADDRESS(207+3,K$2+1))),"max", MAX(INDIRECT(ADDRESS(207+3,K$2+1,,,"Instances") &amp; ":" &amp; ADDRESS(207+3,K$2+1))),"diff", MAX(INDIRECT(ADDRESS(207+3,K$2+1,,,"Instances") &amp; ":" &amp; ADDRESS(207+3,K$2+1)))-MIN(INDIRECT(ADDRESS(207+3,K$2+1,,,"Instances") &amp; ":" &amp; ADDRESS(207+3,K$2+1))))</f>
        <v>#N/A</v>
      </c>
      <c r="L212" s="0" t="str">
        <f aca="false">IFERROR(SMALL(K5:K364,ROW()-ROW($L$5)+1),"")</f>
        <v/>
      </c>
      <c r="N212" s="0" t="n">
        <f aca="false">IFERROR(SUM(L5:L212),"")</f>
        <v>0</v>
      </c>
      <c r="Q212" s="0" t="e">
        <f aca="false">IF(Charts!$B$3="none",E2019,IF(K2019="",NA(),K2019))</f>
        <v>#N/A</v>
      </c>
      <c r="R212" s="0" t="e">
        <f aca="false">IF(Charts!$B$3="none",F2019,IF(L2019="",NA(),L2019))</f>
        <v>#N/A</v>
      </c>
      <c r="S212" s="0" t="e">
        <f aca="false">IF(Charts!$B$3="none",G2019,IF(M2019="",NA(),M2019))</f>
        <v>#N/A</v>
      </c>
      <c r="T212" s="0" t="e">
        <f aca="false">IF(Charts!$B$3="none",H2019,IF(N2019="",NA(),N2019))</f>
        <v>#N/A</v>
      </c>
    </row>
    <row r="213" customFormat="false" ht="15" hidden="false" customHeight="false" outlineLevel="0" collapsed="false">
      <c r="D213" s="0" t="n">
        <v>209</v>
      </c>
      <c r="E213" s="0" t="str">
        <f aca="true">IF(INDIRECT(ADDRESS($D213+2,E$2+1,,,"Instances"))="","",INDIRECT(ADDRESS($D213+2,E$2+1,,,"Instances")))</f>
        <v>Level_5/6-0111111</v>
      </c>
      <c r="F213" s="0" t="str">
        <f aca="false">IFERROR(SMALL(E5:E364,ROW()-ROW($F$5)+1),"")</f>
        <v/>
      </c>
      <c r="H213" s="0" t="n">
        <f aca="false">IFERROR(SUM(F5:F213),"")</f>
        <v>0</v>
      </c>
      <c r="J213" s="0" t="n">
        <v>209</v>
      </c>
      <c r="K213" s="0" t="e">
        <f aca="true" t="array" ref="K213:K213">_xlfn.SWITCH(Charts!$B$3,"average", AVERAGE(INDIRECT(ADDRESS(208+3,K$2+1,,,"Instances") &amp; ":" &amp; ADDRESS(208+3,K$2+1))),"median", MEDIAN(INDIRECT(ADDRESS(208+3,K$2+1,,,"Instances") &amp; ":" &amp; ADDRESS(208+3,K$2+1))),"min", MIN(INDIRECT(ADDRESS(208+3,K$2+1,,,"Instances") &amp; ":" &amp; ADDRESS(208+3,K$2+1))),"max", MAX(INDIRECT(ADDRESS(208+3,K$2+1,,,"Instances") &amp; ":" &amp; ADDRESS(208+3,K$2+1))),"diff", MAX(INDIRECT(ADDRESS(208+3,K$2+1,,,"Instances") &amp; ":" &amp; ADDRESS(208+3,K$2+1)))-MIN(INDIRECT(ADDRESS(208+3,K$2+1,,,"Instances") &amp; ":" &amp; ADDRESS(208+3,K$2+1))))</f>
        <v>#N/A</v>
      </c>
      <c r="L213" s="0" t="str">
        <f aca="false">IFERROR(SMALL(K5:K364,ROW()-ROW($L$5)+1),"")</f>
        <v/>
      </c>
      <c r="N213" s="0" t="n">
        <f aca="false">IFERROR(SUM(L5:L213),"")</f>
        <v>0</v>
      </c>
      <c r="Q213" s="0" t="e">
        <f aca="false">IF(Charts!$B$3="none",E2020,IF(K2020="",NA(),K2020))</f>
        <v>#N/A</v>
      </c>
      <c r="R213" s="0" t="e">
        <f aca="false">IF(Charts!$B$3="none",F2020,IF(L2020="",NA(),L2020))</f>
        <v>#N/A</v>
      </c>
      <c r="S213" s="0" t="e">
        <f aca="false">IF(Charts!$B$3="none",G2020,IF(M2020="",NA(),M2020))</f>
        <v>#N/A</v>
      </c>
      <c r="T213" s="0" t="e">
        <f aca="false">IF(Charts!$B$3="none",H2020,IF(N2020="",NA(),N2020))</f>
        <v>#N/A</v>
      </c>
    </row>
    <row r="214" customFormat="false" ht="15" hidden="false" customHeight="false" outlineLevel="0" collapsed="false">
      <c r="D214" s="0" t="n">
        <v>210</v>
      </c>
      <c r="E214" s="0" t="str">
        <f aca="true">IF(INDIRECT(ADDRESS($D214+2,E$2+1,,,"Instances"))="","",INDIRECT(ADDRESS($D214+2,E$2+1,,,"Instances")))</f>
        <v>Level_5/6-1011111</v>
      </c>
      <c r="F214" s="0" t="str">
        <f aca="false">IFERROR(SMALL(E5:E364,ROW()-ROW($F$5)+1),"")</f>
        <v/>
      </c>
      <c r="H214" s="0" t="n">
        <f aca="false">IFERROR(SUM(F5:F214),"")</f>
        <v>0</v>
      </c>
      <c r="J214" s="0" t="n">
        <v>210</v>
      </c>
      <c r="K214" s="0" t="e">
        <f aca="true" t="array" ref="K214:K214">_xlfn.SWITCH(Charts!$B$3,"average", AVERAGE(INDIRECT(ADDRESS(209+3,K$2+1,,,"Instances") &amp; ":" &amp; ADDRESS(209+3,K$2+1))),"median", MEDIAN(INDIRECT(ADDRESS(209+3,K$2+1,,,"Instances") &amp; ":" &amp; ADDRESS(209+3,K$2+1))),"min", MIN(INDIRECT(ADDRESS(209+3,K$2+1,,,"Instances") &amp; ":" &amp; ADDRESS(209+3,K$2+1))),"max", MAX(INDIRECT(ADDRESS(209+3,K$2+1,,,"Instances") &amp; ":" &amp; ADDRESS(209+3,K$2+1))),"diff", MAX(INDIRECT(ADDRESS(209+3,K$2+1,,,"Instances") &amp; ":" &amp; ADDRESS(209+3,K$2+1)))-MIN(INDIRECT(ADDRESS(209+3,K$2+1,,,"Instances") &amp; ":" &amp; ADDRESS(209+3,K$2+1))))</f>
        <v>#N/A</v>
      </c>
      <c r="L214" s="0" t="str">
        <f aca="false">IFERROR(SMALL(K5:K364,ROW()-ROW($L$5)+1),"")</f>
        <v/>
      </c>
      <c r="N214" s="0" t="n">
        <f aca="false">IFERROR(SUM(L5:L214),"")</f>
        <v>0</v>
      </c>
      <c r="Q214" s="0" t="e">
        <f aca="false">IF(Charts!$B$3="none",E2021,IF(K2021="",NA(),K2021))</f>
        <v>#N/A</v>
      </c>
      <c r="R214" s="0" t="e">
        <f aca="false">IF(Charts!$B$3="none",F2021,IF(L2021="",NA(),L2021))</f>
        <v>#N/A</v>
      </c>
      <c r="S214" s="0" t="e">
        <f aca="false">IF(Charts!$B$3="none",G2021,IF(M2021="",NA(),M2021))</f>
        <v>#N/A</v>
      </c>
      <c r="T214" s="0" t="e">
        <f aca="false">IF(Charts!$B$3="none",H2021,IF(N2021="",NA(),N2021))</f>
        <v>#N/A</v>
      </c>
    </row>
    <row r="215" customFormat="false" ht="15" hidden="false" customHeight="false" outlineLevel="0" collapsed="false">
      <c r="D215" s="0" t="n">
        <v>211</v>
      </c>
      <c r="E215" s="0" t="str">
        <f aca="true">IF(INDIRECT(ADDRESS($D215+2,E$2+1,,,"Instances"))="","",INDIRECT(ADDRESS($D215+2,E$2+1,,,"Instances")))</f>
        <v>Level_5/6-1101111</v>
      </c>
      <c r="F215" s="0" t="str">
        <f aca="false">IFERROR(SMALL(E5:E364,ROW()-ROW($F$5)+1),"")</f>
        <v/>
      </c>
      <c r="H215" s="0" t="n">
        <f aca="false">IFERROR(SUM(F5:F215),"")</f>
        <v>0</v>
      </c>
      <c r="J215" s="0" t="n">
        <v>211</v>
      </c>
      <c r="K215" s="0" t="e">
        <f aca="true" t="array" ref="K215:K215">_xlfn.SWITCH(Charts!$B$3,"average", AVERAGE(INDIRECT(ADDRESS(210+3,K$2+1,,,"Instances") &amp; ":" &amp; ADDRESS(210+3,K$2+1))),"median", MEDIAN(INDIRECT(ADDRESS(210+3,K$2+1,,,"Instances") &amp; ":" &amp; ADDRESS(210+3,K$2+1))),"min", MIN(INDIRECT(ADDRESS(210+3,K$2+1,,,"Instances") &amp; ":" &amp; ADDRESS(210+3,K$2+1))),"max", MAX(INDIRECT(ADDRESS(210+3,K$2+1,,,"Instances") &amp; ":" &amp; ADDRESS(210+3,K$2+1))),"diff", MAX(INDIRECT(ADDRESS(210+3,K$2+1,,,"Instances") &amp; ":" &amp; ADDRESS(210+3,K$2+1)))-MIN(INDIRECT(ADDRESS(210+3,K$2+1,,,"Instances") &amp; ":" &amp; ADDRESS(210+3,K$2+1))))</f>
        <v>#N/A</v>
      </c>
      <c r="L215" s="0" t="str">
        <f aca="false">IFERROR(SMALL(K5:K364,ROW()-ROW($L$5)+1),"")</f>
        <v/>
      </c>
      <c r="N215" s="0" t="n">
        <f aca="false">IFERROR(SUM(L5:L215),"")</f>
        <v>0</v>
      </c>
      <c r="Q215" s="0" t="e">
        <f aca="false">IF(Charts!$B$3="none",E2022,IF(K2022="",NA(),K2022))</f>
        <v>#N/A</v>
      </c>
      <c r="R215" s="0" t="e">
        <f aca="false">IF(Charts!$B$3="none",F2022,IF(L2022="",NA(),L2022))</f>
        <v>#N/A</v>
      </c>
      <c r="S215" s="0" t="e">
        <f aca="false">IF(Charts!$B$3="none",G2022,IF(M2022="",NA(),M2022))</f>
        <v>#N/A</v>
      </c>
      <c r="T215" s="0" t="e">
        <f aca="false">IF(Charts!$B$3="none",H2022,IF(N2022="",NA(),N2022))</f>
        <v>#N/A</v>
      </c>
    </row>
    <row r="216" customFormat="false" ht="15" hidden="false" customHeight="false" outlineLevel="0" collapsed="false">
      <c r="D216" s="0" t="n">
        <v>212</v>
      </c>
      <c r="E216" s="0" t="str">
        <f aca="true">IF(INDIRECT(ADDRESS($D216+2,E$2+1,,,"Instances"))="","",INDIRECT(ADDRESS($D216+2,E$2+1,,,"Instances")))</f>
        <v>Level_5/6-1110111</v>
      </c>
      <c r="F216" s="0" t="str">
        <f aca="false">IFERROR(SMALL(E5:E364,ROW()-ROW($F$5)+1),"")</f>
        <v/>
      </c>
      <c r="H216" s="0" t="n">
        <f aca="false">IFERROR(SUM(F5:F216),"")</f>
        <v>0</v>
      </c>
      <c r="J216" s="0" t="n">
        <v>212</v>
      </c>
      <c r="K216" s="0" t="e">
        <f aca="true" t="array" ref="K216:K216">_xlfn.SWITCH(Charts!$B$3,"average", AVERAGE(INDIRECT(ADDRESS(211+3,K$2+1,,,"Instances") &amp; ":" &amp; ADDRESS(211+3,K$2+1))),"median", MEDIAN(INDIRECT(ADDRESS(211+3,K$2+1,,,"Instances") &amp; ":" &amp; ADDRESS(211+3,K$2+1))),"min", MIN(INDIRECT(ADDRESS(211+3,K$2+1,,,"Instances") &amp; ":" &amp; ADDRESS(211+3,K$2+1))),"max", MAX(INDIRECT(ADDRESS(211+3,K$2+1,,,"Instances") &amp; ":" &amp; ADDRESS(211+3,K$2+1))),"diff", MAX(INDIRECT(ADDRESS(211+3,K$2+1,,,"Instances") &amp; ":" &amp; ADDRESS(211+3,K$2+1)))-MIN(INDIRECT(ADDRESS(211+3,K$2+1,,,"Instances") &amp; ":" &amp; ADDRESS(211+3,K$2+1))))</f>
        <v>#N/A</v>
      </c>
      <c r="L216" s="0" t="str">
        <f aca="false">IFERROR(SMALL(K5:K364,ROW()-ROW($L$5)+1),"")</f>
        <v/>
      </c>
      <c r="N216" s="0" t="n">
        <f aca="false">IFERROR(SUM(L5:L216),"")</f>
        <v>0</v>
      </c>
      <c r="Q216" s="0" t="e">
        <f aca="false">IF(Charts!$B$3="none",E2023,IF(K2023="",NA(),K2023))</f>
        <v>#N/A</v>
      </c>
      <c r="R216" s="0" t="e">
        <f aca="false">IF(Charts!$B$3="none",F2023,IF(L2023="",NA(),L2023))</f>
        <v>#N/A</v>
      </c>
      <c r="S216" s="0" t="e">
        <f aca="false">IF(Charts!$B$3="none",G2023,IF(M2023="",NA(),M2023))</f>
        <v>#N/A</v>
      </c>
      <c r="T216" s="0" t="e">
        <f aca="false">IF(Charts!$B$3="none",H2023,IF(N2023="",NA(),N2023))</f>
        <v>#N/A</v>
      </c>
    </row>
    <row r="217" customFormat="false" ht="15" hidden="false" customHeight="false" outlineLevel="0" collapsed="false">
      <c r="D217" s="0" t="n">
        <v>213</v>
      </c>
      <c r="E217" s="0" t="str">
        <f aca="true">IF(INDIRECT(ADDRESS($D217+2,E$2+1,,,"Instances"))="","",INDIRECT(ADDRESS($D217+2,E$2+1,,,"Instances")))</f>
        <v>Level_5/6-1111011</v>
      </c>
      <c r="F217" s="0" t="str">
        <f aca="false">IFERROR(SMALL(E5:E364,ROW()-ROW($F$5)+1),"")</f>
        <v/>
      </c>
      <c r="H217" s="0" t="n">
        <f aca="false">IFERROR(SUM(F5:F217),"")</f>
        <v>0</v>
      </c>
      <c r="J217" s="0" t="n">
        <v>213</v>
      </c>
      <c r="K217" s="0" t="e">
        <f aca="true" t="array" ref="K217:K217">_xlfn.SWITCH(Charts!$B$3,"average", AVERAGE(INDIRECT(ADDRESS(212+3,K$2+1,,,"Instances") &amp; ":" &amp; ADDRESS(212+3,K$2+1))),"median", MEDIAN(INDIRECT(ADDRESS(212+3,K$2+1,,,"Instances") &amp; ":" &amp; ADDRESS(212+3,K$2+1))),"min", MIN(INDIRECT(ADDRESS(212+3,K$2+1,,,"Instances") &amp; ":" &amp; ADDRESS(212+3,K$2+1))),"max", MAX(INDIRECT(ADDRESS(212+3,K$2+1,,,"Instances") &amp; ":" &amp; ADDRESS(212+3,K$2+1))),"diff", MAX(INDIRECT(ADDRESS(212+3,K$2+1,,,"Instances") &amp; ":" &amp; ADDRESS(212+3,K$2+1)))-MIN(INDIRECT(ADDRESS(212+3,K$2+1,,,"Instances") &amp; ":" &amp; ADDRESS(212+3,K$2+1))))</f>
        <v>#N/A</v>
      </c>
      <c r="L217" s="0" t="str">
        <f aca="false">IFERROR(SMALL(K5:K364,ROW()-ROW($L$5)+1),"")</f>
        <v/>
      </c>
      <c r="N217" s="0" t="n">
        <f aca="false">IFERROR(SUM(L5:L217),"")</f>
        <v>0</v>
      </c>
      <c r="Q217" s="0" t="e">
        <f aca="false">IF(Charts!$B$3="none",E2024,IF(K2024="",NA(),K2024))</f>
        <v>#N/A</v>
      </c>
      <c r="R217" s="0" t="e">
        <f aca="false">IF(Charts!$B$3="none",F2024,IF(L2024="",NA(),L2024))</f>
        <v>#N/A</v>
      </c>
      <c r="S217" s="0" t="e">
        <f aca="false">IF(Charts!$B$3="none",G2024,IF(M2024="",NA(),M2024))</f>
        <v>#N/A</v>
      </c>
      <c r="T217" s="0" t="e">
        <f aca="false">IF(Charts!$B$3="none",H2024,IF(N2024="",NA(),N2024))</f>
        <v>#N/A</v>
      </c>
    </row>
    <row r="218" customFormat="false" ht="15" hidden="false" customHeight="false" outlineLevel="0" collapsed="false">
      <c r="D218" s="0" t="n">
        <v>214</v>
      </c>
      <c r="E218" s="0" t="str">
        <f aca="true">IF(INDIRECT(ADDRESS($D218+2,E$2+1,,,"Instances"))="","",INDIRECT(ADDRESS($D218+2,E$2+1,,,"Instances")))</f>
        <v>Level_5/6-1111101</v>
      </c>
      <c r="F218" s="0" t="str">
        <f aca="false">IFERROR(SMALL(E5:E364,ROW()-ROW($F$5)+1),"")</f>
        <v/>
      </c>
      <c r="H218" s="0" t="n">
        <f aca="false">IFERROR(SUM(F5:F218),"")</f>
        <v>0</v>
      </c>
      <c r="J218" s="0" t="n">
        <v>214</v>
      </c>
      <c r="K218" s="0" t="e">
        <f aca="true" t="array" ref="K218:K218">_xlfn.SWITCH(Charts!$B$3,"average", AVERAGE(INDIRECT(ADDRESS(213+3,K$2+1,,,"Instances") &amp; ":" &amp; ADDRESS(213+3,K$2+1))),"median", MEDIAN(INDIRECT(ADDRESS(213+3,K$2+1,,,"Instances") &amp; ":" &amp; ADDRESS(213+3,K$2+1))),"min", MIN(INDIRECT(ADDRESS(213+3,K$2+1,,,"Instances") &amp; ":" &amp; ADDRESS(213+3,K$2+1))),"max", MAX(INDIRECT(ADDRESS(213+3,K$2+1,,,"Instances") &amp; ":" &amp; ADDRESS(213+3,K$2+1))),"diff", MAX(INDIRECT(ADDRESS(213+3,K$2+1,,,"Instances") &amp; ":" &amp; ADDRESS(213+3,K$2+1)))-MIN(INDIRECT(ADDRESS(213+3,K$2+1,,,"Instances") &amp; ":" &amp; ADDRESS(213+3,K$2+1))))</f>
        <v>#N/A</v>
      </c>
      <c r="L218" s="0" t="str">
        <f aca="false">IFERROR(SMALL(K5:K364,ROW()-ROW($L$5)+1),"")</f>
        <v/>
      </c>
      <c r="N218" s="0" t="n">
        <f aca="false">IFERROR(SUM(L5:L218),"")</f>
        <v>0</v>
      </c>
      <c r="Q218" s="0" t="e">
        <f aca="false">IF(Charts!$B$3="none",E2025,IF(K2025="",NA(),K2025))</f>
        <v>#N/A</v>
      </c>
      <c r="R218" s="0" t="e">
        <f aca="false">IF(Charts!$B$3="none",F2025,IF(L2025="",NA(),L2025))</f>
        <v>#N/A</v>
      </c>
      <c r="S218" s="0" t="e">
        <f aca="false">IF(Charts!$B$3="none",G2025,IF(M2025="",NA(),M2025))</f>
        <v>#N/A</v>
      </c>
      <c r="T218" s="0" t="e">
        <f aca="false">IF(Charts!$B$3="none",H2025,IF(N2025="",NA(),N2025))</f>
        <v>#N/A</v>
      </c>
    </row>
    <row r="219" customFormat="false" ht="15" hidden="false" customHeight="false" outlineLevel="0" collapsed="false">
      <c r="D219" s="0" t="n">
        <v>215</v>
      </c>
      <c r="E219" s="0" t="str">
        <f aca="true">IF(INDIRECT(ADDRESS($D219+2,E$2+1,,,"Instances"))="","",INDIRECT(ADDRESS($D219+2,E$2+1,,,"Instances")))</f>
        <v>Level_5/6-1111110</v>
      </c>
      <c r="F219" s="0" t="str">
        <f aca="false">IFERROR(SMALL(E5:E364,ROW()-ROW($F$5)+1),"")</f>
        <v/>
      </c>
      <c r="H219" s="0" t="n">
        <f aca="false">IFERROR(SUM(F5:F219),"")</f>
        <v>0</v>
      </c>
      <c r="J219" s="0" t="n">
        <v>215</v>
      </c>
      <c r="K219" s="0" t="e">
        <f aca="true" t="array" ref="K219:K219">_xlfn.SWITCH(Charts!$B$3,"average", AVERAGE(INDIRECT(ADDRESS(214+3,K$2+1,,,"Instances") &amp; ":" &amp; ADDRESS(214+3,K$2+1))),"median", MEDIAN(INDIRECT(ADDRESS(214+3,K$2+1,,,"Instances") &amp; ":" &amp; ADDRESS(214+3,K$2+1))),"min", MIN(INDIRECT(ADDRESS(214+3,K$2+1,,,"Instances") &amp; ":" &amp; ADDRESS(214+3,K$2+1))),"max", MAX(INDIRECT(ADDRESS(214+3,K$2+1,,,"Instances") &amp; ":" &amp; ADDRESS(214+3,K$2+1))),"diff", MAX(INDIRECT(ADDRESS(214+3,K$2+1,,,"Instances") &amp; ":" &amp; ADDRESS(214+3,K$2+1)))-MIN(INDIRECT(ADDRESS(214+3,K$2+1,,,"Instances") &amp; ":" &amp; ADDRESS(214+3,K$2+1))))</f>
        <v>#N/A</v>
      </c>
      <c r="L219" s="0" t="str">
        <f aca="false">IFERROR(SMALL(K5:K364,ROW()-ROW($L$5)+1),"")</f>
        <v/>
      </c>
      <c r="N219" s="0" t="n">
        <f aca="false">IFERROR(SUM(L5:L219),"")</f>
        <v>0</v>
      </c>
      <c r="Q219" s="0" t="e">
        <f aca="false">IF(Charts!$B$3="none",E2026,IF(K2026="",NA(),K2026))</f>
        <v>#N/A</v>
      </c>
      <c r="R219" s="0" t="e">
        <f aca="false">IF(Charts!$B$3="none",F2026,IF(L2026="",NA(),L2026))</f>
        <v>#N/A</v>
      </c>
      <c r="S219" s="0" t="e">
        <f aca="false">IF(Charts!$B$3="none",G2026,IF(M2026="",NA(),M2026))</f>
        <v>#N/A</v>
      </c>
      <c r="T219" s="0" t="e">
        <f aca="false">IF(Charts!$B$3="none",H2026,IF(N2026="",NA(),N2026))</f>
        <v>#N/A</v>
      </c>
    </row>
    <row r="220" customFormat="false" ht="15" hidden="false" customHeight="false" outlineLevel="0" collapsed="false">
      <c r="D220" s="0" t="n">
        <v>216</v>
      </c>
      <c r="E220" s="0" t="str">
        <f aca="true">IF(INDIRECT(ADDRESS($D220+2,E$2+1,,,"Instances"))="","",INDIRECT(ADDRESS($D220+2,E$2+1,,,"Instances")))</f>
        <v>Level_5/7-1111111</v>
      </c>
      <c r="F220" s="0" t="str">
        <f aca="false">IFERROR(SMALL(E5:E364,ROW()-ROW($F$5)+1),"")</f>
        <v/>
      </c>
      <c r="H220" s="0" t="n">
        <f aca="false">IFERROR(SUM(F5:F220),"")</f>
        <v>0</v>
      </c>
      <c r="J220" s="0" t="n">
        <v>216</v>
      </c>
      <c r="K220" s="0" t="e">
        <f aca="true" t="array" ref="K220:K220">_xlfn.SWITCH(Charts!$B$3,"average", AVERAGE(INDIRECT(ADDRESS(215+3,K$2+1,,,"Instances") &amp; ":" &amp; ADDRESS(215+3,K$2+1))),"median", MEDIAN(INDIRECT(ADDRESS(215+3,K$2+1,,,"Instances") &amp; ":" &amp; ADDRESS(215+3,K$2+1))),"min", MIN(INDIRECT(ADDRESS(215+3,K$2+1,,,"Instances") &amp; ":" &amp; ADDRESS(215+3,K$2+1))),"max", MAX(INDIRECT(ADDRESS(215+3,K$2+1,,,"Instances") &amp; ":" &amp; ADDRESS(215+3,K$2+1))),"diff", MAX(INDIRECT(ADDRESS(215+3,K$2+1,,,"Instances") &amp; ":" &amp; ADDRESS(215+3,K$2+1)))-MIN(INDIRECT(ADDRESS(215+3,K$2+1,,,"Instances") &amp; ":" &amp; ADDRESS(215+3,K$2+1))))</f>
        <v>#N/A</v>
      </c>
      <c r="L220" s="0" t="str">
        <f aca="false">IFERROR(SMALL(K5:K364,ROW()-ROW($L$5)+1),"")</f>
        <v/>
      </c>
      <c r="N220" s="0" t="n">
        <f aca="false">IFERROR(SUM(L5:L220),"")</f>
        <v>0</v>
      </c>
      <c r="Q220" s="0" t="e">
        <f aca="false">IF(Charts!$B$3="none",E2027,IF(K2027="",NA(),K2027))</f>
        <v>#N/A</v>
      </c>
      <c r="R220" s="0" t="e">
        <f aca="false">IF(Charts!$B$3="none",F2027,IF(L2027="",NA(),L2027))</f>
        <v>#N/A</v>
      </c>
      <c r="S220" s="0" t="e">
        <f aca="false">IF(Charts!$B$3="none",G2027,IF(M2027="",NA(),M2027))</f>
        <v>#N/A</v>
      </c>
      <c r="T220" s="0" t="e">
        <f aca="false">IF(Charts!$B$3="none",H2027,IF(N2027="",NA(),N2027))</f>
        <v>#N/A</v>
      </c>
    </row>
    <row r="221" customFormat="false" ht="15" hidden="false" customHeight="false" outlineLevel="0" collapsed="false">
      <c r="D221" s="0" t="n">
        <v>217</v>
      </c>
      <c r="E221" s="0" t="str">
        <f aca="true">IF(INDIRECT(ADDRESS($D221+2,E$2+1,,,"Instances"))="","",INDIRECT(ADDRESS($D221+2,E$2+1,,,"Instances")))</f>
        <v>Level_6/2-0000011</v>
      </c>
      <c r="F221" s="0" t="str">
        <f aca="false">IFERROR(SMALL(E5:E364,ROW()-ROW($F$5)+1),"")</f>
        <v/>
      </c>
      <c r="H221" s="0" t="n">
        <f aca="false">IFERROR(SUM(F5:F221),"")</f>
        <v>0</v>
      </c>
      <c r="J221" s="0" t="n">
        <v>217</v>
      </c>
      <c r="K221" s="0" t="e">
        <f aca="true" t="array" ref="K221:K221">_xlfn.SWITCH(Charts!$B$3,"average", AVERAGE(INDIRECT(ADDRESS(216+3,K$2+1,,,"Instances") &amp; ":" &amp; ADDRESS(216+3,K$2+1))),"median", MEDIAN(INDIRECT(ADDRESS(216+3,K$2+1,,,"Instances") &amp; ":" &amp; ADDRESS(216+3,K$2+1))),"min", MIN(INDIRECT(ADDRESS(216+3,K$2+1,,,"Instances") &amp; ":" &amp; ADDRESS(216+3,K$2+1))),"max", MAX(INDIRECT(ADDRESS(216+3,K$2+1,,,"Instances") &amp; ":" &amp; ADDRESS(216+3,K$2+1))),"diff", MAX(INDIRECT(ADDRESS(216+3,K$2+1,,,"Instances") &amp; ":" &amp; ADDRESS(216+3,K$2+1)))-MIN(INDIRECT(ADDRESS(216+3,K$2+1,,,"Instances") &amp; ":" &amp; ADDRESS(216+3,K$2+1))))</f>
        <v>#N/A</v>
      </c>
      <c r="L221" s="0" t="str">
        <f aca="false">IFERROR(SMALL(K5:K364,ROW()-ROW($L$5)+1),"")</f>
        <v/>
      </c>
      <c r="N221" s="0" t="n">
        <f aca="false">IFERROR(SUM(L5:L221),"")</f>
        <v>0</v>
      </c>
      <c r="Q221" s="0" t="e">
        <f aca="false">IF(Charts!$B$3="none",E2028,IF(K2028="",NA(),K2028))</f>
        <v>#N/A</v>
      </c>
      <c r="R221" s="0" t="e">
        <f aca="false">IF(Charts!$B$3="none",F2028,IF(L2028="",NA(),L2028))</f>
        <v>#N/A</v>
      </c>
      <c r="S221" s="0" t="e">
        <f aca="false">IF(Charts!$B$3="none",G2028,IF(M2028="",NA(),M2028))</f>
        <v>#N/A</v>
      </c>
      <c r="T221" s="0" t="e">
        <f aca="false">IF(Charts!$B$3="none",H2028,IF(N2028="",NA(),N2028))</f>
        <v>#N/A</v>
      </c>
    </row>
    <row r="222" customFormat="false" ht="15" hidden="false" customHeight="false" outlineLevel="0" collapsed="false">
      <c r="D222" s="0" t="n">
        <v>218</v>
      </c>
      <c r="E222" s="0" t="str">
        <f aca="true">IF(INDIRECT(ADDRESS($D222+2,E$2+1,,,"Instances"))="","",INDIRECT(ADDRESS($D222+2,E$2+1,,,"Instances")))</f>
        <v>Level_6/2-0000101</v>
      </c>
      <c r="F222" s="0" t="str">
        <f aca="false">IFERROR(SMALL(E5:E364,ROW()-ROW($F$5)+1),"")</f>
        <v/>
      </c>
      <c r="H222" s="0" t="n">
        <f aca="false">IFERROR(SUM(F5:F222),"")</f>
        <v>0</v>
      </c>
      <c r="J222" s="0" t="n">
        <v>218</v>
      </c>
      <c r="K222" s="0" t="e">
        <f aca="true" t="array" ref="K222:K222">_xlfn.SWITCH(Charts!$B$3,"average", AVERAGE(INDIRECT(ADDRESS(217+3,K$2+1,,,"Instances") &amp; ":" &amp; ADDRESS(217+3,K$2+1))),"median", MEDIAN(INDIRECT(ADDRESS(217+3,K$2+1,,,"Instances") &amp; ":" &amp; ADDRESS(217+3,K$2+1))),"min", MIN(INDIRECT(ADDRESS(217+3,K$2+1,,,"Instances") &amp; ":" &amp; ADDRESS(217+3,K$2+1))),"max", MAX(INDIRECT(ADDRESS(217+3,K$2+1,,,"Instances") &amp; ":" &amp; ADDRESS(217+3,K$2+1))),"diff", MAX(INDIRECT(ADDRESS(217+3,K$2+1,,,"Instances") &amp; ":" &amp; ADDRESS(217+3,K$2+1)))-MIN(INDIRECT(ADDRESS(217+3,K$2+1,,,"Instances") &amp; ":" &amp; ADDRESS(217+3,K$2+1))))</f>
        <v>#N/A</v>
      </c>
      <c r="L222" s="0" t="str">
        <f aca="false">IFERROR(SMALL(K5:K364,ROW()-ROW($L$5)+1),"")</f>
        <v/>
      </c>
      <c r="N222" s="0" t="n">
        <f aca="false">IFERROR(SUM(L5:L222),"")</f>
        <v>0</v>
      </c>
      <c r="Q222" s="0" t="e">
        <f aca="false">IF(Charts!$B$3="none",E2029,IF(K2029="",NA(),K2029))</f>
        <v>#N/A</v>
      </c>
      <c r="R222" s="0" t="e">
        <f aca="false">IF(Charts!$B$3="none",F2029,IF(L2029="",NA(),L2029))</f>
        <v>#N/A</v>
      </c>
      <c r="S222" s="0" t="e">
        <f aca="false">IF(Charts!$B$3="none",G2029,IF(M2029="",NA(),M2029))</f>
        <v>#N/A</v>
      </c>
      <c r="T222" s="0" t="e">
        <f aca="false">IF(Charts!$B$3="none",H2029,IF(N2029="",NA(),N2029))</f>
        <v>#N/A</v>
      </c>
    </row>
    <row r="223" customFormat="false" ht="15" hidden="false" customHeight="false" outlineLevel="0" collapsed="false">
      <c r="D223" s="0" t="n">
        <v>219</v>
      </c>
      <c r="E223" s="0" t="str">
        <f aca="true">IF(INDIRECT(ADDRESS($D223+2,E$2+1,,,"Instances"))="","",INDIRECT(ADDRESS($D223+2,E$2+1,,,"Instances")))</f>
        <v>Level_6/2-0001001</v>
      </c>
      <c r="F223" s="0" t="str">
        <f aca="false">IFERROR(SMALL(E5:E364,ROW()-ROW($F$5)+1),"")</f>
        <v/>
      </c>
      <c r="H223" s="0" t="n">
        <f aca="false">IFERROR(SUM(F5:F223),"")</f>
        <v>0</v>
      </c>
      <c r="J223" s="0" t="n">
        <v>219</v>
      </c>
      <c r="K223" s="0" t="e">
        <f aca="true" t="array" ref="K223:K223">_xlfn.SWITCH(Charts!$B$3,"average", AVERAGE(INDIRECT(ADDRESS(218+3,K$2+1,,,"Instances") &amp; ":" &amp; ADDRESS(218+3,K$2+1))),"median", MEDIAN(INDIRECT(ADDRESS(218+3,K$2+1,,,"Instances") &amp; ":" &amp; ADDRESS(218+3,K$2+1))),"min", MIN(INDIRECT(ADDRESS(218+3,K$2+1,,,"Instances") &amp; ":" &amp; ADDRESS(218+3,K$2+1))),"max", MAX(INDIRECT(ADDRESS(218+3,K$2+1,,,"Instances") &amp; ":" &amp; ADDRESS(218+3,K$2+1))),"diff", MAX(INDIRECT(ADDRESS(218+3,K$2+1,,,"Instances") &amp; ":" &amp; ADDRESS(218+3,K$2+1)))-MIN(INDIRECT(ADDRESS(218+3,K$2+1,,,"Instances") &amp; ":" &amp; ADDRESS(218+3,K$2+1))))</f>
        <v>#N/A</v>
      </c>
      <c r="L223" s="0" t="str">
        <f aca="false">IFERROR(SMALL(K5:K364,ROW()-ROW($L$5)+1),"")</f>
        <v/>
      </c>
      <c r="N223" s="0" t="n">
        <f aca="false">IFERROR(SUM(L5:L223),"")</f>
        <v>0</v>
      </c>
      <c r="Q223" s="0" t="e">
        <f aca="false">IF(Charts!$B$3="none",E2030,IF(K2030="",NA(),K2030))</f>
        <v>#N/A</v>
      </c>
      <c r="R223" s="0" t="e">
        <f aca="false">IF(Charts!$B$3="none",F2030,IF(L2030="",NA(),L2030))</f>
        <v>#N/A</v>
      </c>
      <c r="S223" s="0" t="e">
        <f aca="false">IF(Charts!$B$3="none",G2030,IF(M2030="",NA(),M2030))</f>
        <v>#N/A</v>
      </c>
      <c r="T223" s="0" t="e">
        <f aca="false">IF(Charts!$B$3="none",H2030,IF(N2030="",NA(),N2030))</f>
        <v>#N/A</v>
      </c>
    </row>
    <row r="224" customFormat="false" ht="15" hidden="false" customHeight="false" outlineLevel="0" collapsed="false">
      <c r="D224" s="0" t="n">
        <v>220</v>
      </c>
      <c r="E224" s="0" t="str">
        <f aca="true">IF(INDIRECT(ADDRESS($D224+2,E$2+1,,,"Instances"))="","",INDIRECT(ADDRESS($D224+2,E$2+1,,,"Instances")))</f>
        <v>Level_6/2-0001100</v>
      </c>
      <c r="F224" s="0" t="str">
        <f aca="false">IFERROR(SMALL(E5:E364,ROW()-ROW($F$5)+1),"")</f>
        <v/>
      </c>
      <c r="H224" s="0" t="n">
        <f aca="false">IFERROR(SUM(F5:F224),"")</f>
        <v>0</v>
      </c>
      <c r="J224" s="0" t="n">
        <v>220</v>
      </c>
      <c r="K224" s="0" t="e">
        <f aca="true" t="array" ref="K224:K224">_xlfn.SWITCH(Charts!$B$3,"average", AVERAGE(INDIRECT(ADDRESS(219+3,K$2+1,,,"Instances") &amp; ":" &amp; ADDRESS(219+3,K$2+1))),"median", MEDIAN(INDIRECT(ADDRESS(219+3,K$2+1,,,"Instances") &amp; ":" &amp; ADDRESS(219+3,K$2+1))),"min", MIN(INDIRECT(ADDRESS(219+3,K$2+1,,,"Instances") &amp; ":" &amp; ADDRESS(219+3,K$2+1))),"max", MAX(INDIRECT(ADDRESS(219+3,K$2+1,,,"Instances") &amp; ":" &amp; ADDRESS(219+3,K$2+1))),"diff", MAX(INDIRECT(ADDRESS(219+3,K$2+1,,,"Instances") &amp; ":" &amp; ADDRESS(219+3,K$2+1)))-MIN(INDIRECT(ADDRESS(219+3,K$2+1,,,"Instances") &amp; ":" &amp; ADDRESS(219+3,K$2+1))))</f>
        <v>#N/A</v>
      </c>
      <c r="L224" s="0" t="str">
        <f aca="false">IFERROR(SMALL(K5:K364,ROW()-ROW($L$5)+1),"")</f>
        <v/>
      </c>
      <c r="N224" s="0" t="n">
        <f aca="false">IFERROR(SUM(L5:L224),"")</f>
        <v>0</v>
      </c>
      <c r="Q224" s="0" t="e">
        <f aca="false">IF(Charts!$B$3="none",E2031,IF(K2031="",NA(),K2031))</f>
        <v>#N/A</v>
      </c>
      <c r="R224" s="0" t="e">
        <f aca="false">IF(Charts!$B$3="none",F2031,IF(L2031="",NA(),L2031))</f>
        <v>#N/A</v>
      </c>
      <c r="S224" s="0" t="e">
        <f aca="false">IF(Charts!$B$3="none",G2031,IF(M2031="",NA(),M2031))</f>
        <v>#N/A</v>
      </c>
      <c r="T224" s="0" t="e">
        <f aca="false">IF(Charts!$B$3="none",H2031,IF(N2031="",NA(),N2031))</f>
        <v>#N/A</v>
      </c>
    </row>
    <row r="225" customFormat="false" ht="15" hidden="false" customHeight="false" outlineLevel="0" collapsed="false">
      <c r="D225" s="0" t="n">
        <v>221</v>
      </c>
      <c r="E225" s="0" t="str">
        <f aca="true">IF(INDIRECT(ADDRESS($D225+2,E$2+1,,,"Instances"))="","",INDIRECT(ADDRESS($D225+2,E$2+1,,,"Instances")))</f>
        <v>Level_6/2-0100001</v>
      </c>
      <c r="F225" s="0" t="str">
        <f aca="false">IFERROR(SMALL(E5:E364,ROW()-ROW($F$5)+1),"")</f>
        <v/>
      </c>
      <c r="H225" s="0" t="n">
        <f aca="false">IFERROR(SUM(F5:F225),"")</f>
        <v>0</v>
      </c>
      <c r="J225" s="0" t="n">
        <v>221</v>
      </c>
      <c r="K225" s="0" t="e">
        <f aca="true" t="array" ref="K225:K225">_xlfn.SWITCH(Charts!$B$3,"average", AVERAGE(INDIRECT(ADDRESS(220+3,K$2+1,,,"Instances") &amp; ":" &amp; ADDRESS(220+3,K$2+1))),"median", MEDIAN(INDIRECT(ADDRESS(220+3,K$2+1,,,"Instances") &amp; ":" &amp; ADDRESS(220+3,K$2+1))),"min", MIN(INDIRECT(ADDRESS(220+3,K$2+1,,,"Instances") &amp; ":" &amp; ADDRESS(220+3,K$2+1))),"max", MAX(INDIRECT(ADDRESS(220+3,K$2+1,,,"Instances") &amp; ":" &amp; ADDRESS(220+3,K$2+1))),"diff", MAX(INDIRECT(ADDRESS(220+3,K$2+1,,,"Instances") &amp; ":" &amp; ADDRESS(220+3,K$2+1)))-MIN(INDIRECT(ADDRESS(220+3,K$2+1,,,"Instances") &amp; ":" &amp; ADDRESS(220+3,K$2+1))))</f>
        <v>#N/A</v>
      </c>
      <c r="L225" s="0" t="str">
        <f aca="false">IFERROR(SMALL(K5:K364,ROW()-ROW($L$5)+1),"")</f>
        <v/>
      </c>
      <c r="N225" s="0" t="n">
        <f aca="false">IFERROR(SUM(L5:L225),"")</f>
        <v>0</v>
      </c>
      <c r="Q225" s="0" t="e">
        <f aca="false">IF(Charts!$B$3="none",E2032,IF(K2032="",NA(),K2032))</f>
        <v>#N/A</v>
      </c>
      <c r="R225" s="0" t="e">
        <f aca="false">IF(Charts!$B$3="none",F2032,IF(L2032="",NA(),L2032))</f>
        <v>#N/A</v>
      </c>
      <c r="S225" s="0" t="e">
        <f aca="false">IF(Charts!$B$3="none",G2032,IF(M2032="",NA(),M2032))</f>
        <v>#N/A</v>
      </c>
      <c r="T225" s="0" t="e">
        <f aca="false">IF(Charts!$B$3="none",H2032,IF(N2032="",NA(),N2032))</f>
        <v>#N/A</v>
      </c>
    </row>
    <row r="226" customFormat="false" ht="15" hidden="false" customHeight="false" outlineLevel="0" collapsed="false">
      <c r="D226" s="0" t="n">
        <v>222</v>
      </c>
      <c r="E226" s="0" t="str">
        <f aca="true">IF(INDIRECT(ADDRESS($D226+2,E$2+1,,,"Instances"))="","",INDIRECT(ADDRESS($D226+2,E$2+1,,,"Instances")))</f>
        <v>Level_6/2-0110000</v>
      </c>
      <c r="F226" s="0" t="str">
        <f aca="false">IFERROR(SMALL(E5:E364,ROW()-ROW($F$5)+1),"")</f>
        <v/>
      </c>
      <c r="H226" s="0" t="n">
        <f aca="false">IFERROR(SUM(F5:F226),"")</f>
        <v>0</v>
      </c>
      <c r="J226" s="0" t="n">
        <v>222</v>
      </c>
      <c r="K226" s="0" t="e">
        <f aca="true" t="array" ref="K226:K226">_xlfn.SWITCH(Charts!$B$3,"average", AVERAGE(INDIRECT(ADDRESS(221+3,K$2+1,,,"Instances") &amp; ":" &amp; ADDRESS(221+3,K$2+1))),"median", MEDIAN(INDIRECT(ADDRESS(221+3,K$2+1,,,"Instances") &amp; ":" &amp; ADDRESS(221+3,K$2+1))),"min", MIN(INDIRECT(ADDRESS(221+3,K$2+1,,,"Instances") &amp; ":" &amp; ADDRESS(221+3,K$2+1))),"max", MAX(INDIRECT(ADDRESS(221+3,K$2+1,,,"Instances") &amp; ":" &amp; ADDRESS(221+3,K$2+1))),"diff", MAX(INDIRECT(ADDRESS(221+3,K$2+1,,,"Instances") &amp; ":" &amp; ADDRESS(221+3,K$2+1)))-MIN(INDIRECT(ADDRESS(221+3,K$2+1,,,"Instances") &amp; ":" &amp; ADDRESS(221+3,K$2+1))))</f>
        <v>#N/A</v>
      </c>
      <c r="L226" s="0" t="str">
        <f aca="false">IFERROR(SMALL(K5:K364,ROW()-ROW($L$5)+1),"")</f>
        <v/>
      </c>
      <c r="N226" s="0" t="n">
        <f aca="false">IFERROR(SUM(L5:L226),"")</f>
        <v>0</v>
      </c>
      <c r="Q226" s="0" t="e">
        <f aca="false">IF(Charts!$B$3="none",E2033,IF(K2033="",NA(),K2033))</f>
        <v>#N/A</v>
      </c>
      <c r="R226" s="0" t="e">
        <f aca="false">IF(Charts!$B$3="none",F2033,IF(L2033="",NA(),L2033))</f>
        <v>#N/A</v>
      </c>
      <c r="S226" s="0" t="e">
        <f aca="false">IF(Charts!$B$3="none",G2033,IF(M2033="",NA(),M2033))</f>
        <v>#N/A</v>
      </c>
      <c r="T226" s="0" t="e">
        <f aca="false">IF(Charts!$B$3="none",H2033,IF(N2033="",NA(),N2033))</f>
        <v>#N/A</v>
      </c>
    </row>
    <row r="227" customFormat="false" ht="15" hidden="false" customHeight="false" outlineLevel="0" collapsed="false">
      <c r="D227" s="0" t="n">
        <v>223</v>
      </c>
      <c r="E227" s="0" t="str">
        <f aca="true">IF(INDIRECT(ADDRESS($D227+2,E$2+1,,,"Instances"))="","",INDIRECT(ADDRESS($D227+2,E$2+1,,,"Instances")))</f>
        <v>Level_6/2-1001000</v>
      </c>
      <c r="F227" s="0" t="str">
        <f aca="false">IFERROR(SMALL(E5:E364,ROW()-ROW($F$5)+1),"")</f>
        <v/>
      </c>
      <c r="H227" s="0" t="n">
        <f aca="false">IFERROR(SUM(F5:F227),"")</f>
        <v>0</v>
      </c>
      <c r="J227" s="0" t="n">
        <v>223</v>
      </c>
      <c r="K227" s="0" t="e">
        <f aca="true" t="array" ref="K227:K227">_xlfn.SWITCH(Charts!$B$3,"average", AVERAGE(INDIRECT(ADDRESS(222+3,K$2+1,,,"Instances") &amp; ":" &amp; ADDRESS(222+3,K$2+1))),"median", MEDIAN(INDIRECT(ADDRESS(222+3,K$2+1,,,"Instances") &amp; ":" &amp; ADDRESS(222+3,K$2+1))),"min", MIN(INDIRECT(ADDRESS(222+3,K$2+1,,,"Instances") &amp; ":" &amp; ADDRESS(222+3,K$2+1))),"max", MAX(INDIRECT(ADDRESS(222+3,K$2+1,,,"Instances") &amp; ":" &amp; ADDRESS(222+3,K$2+1))),"diff", MAX(INDIRECT(ADDRESS(222+3,K$2+1,,,"Instances") &amp; ":" &amp; ADDRESS(222+3,K$2+1)))-MIN(INDIRECT(ADDRESS(222+3,K$2+1,,,"Instances") &amp; ":" &amp; ADDRESS(222+3,K$2+1))))</f>
        <v>#N/A</v>
      </c>
      <c r="L227" s="0" t="str">
        <f aca="false">IFERROR(SMALL(K5:K364,ROW()-ROW($L$5)+1),"")</f>
        <v/>
      </c>
      <c r="N227" s="0" t="n">
        <f aca="false">IFERROR(SUM(L5:L227),"")</f>
        <v>0</v>
      </c>
      <c r="Q227" s="0" t="e">
        <f aca="false">IF(Charts!$B$3="none",E2034,IF(K2034="",NA(),K2034))</f>
        <v>#N/A</v>
      </c>
      <c r="R227" s="0" t="e">
        <f aca="false">IF(Charts!$B$3="none",F2034,IF(L2034="",NA(),L2034))</f>
        <v>#N/A</v>
      </c>
      <c r="S227" s="0" t="e">
        <f aca="false">IF(Charts!$B$3="none",G2034,IF(M2034="",NA(),M2034))</f>
        <v>#N/A</v>
      </c>
      <c r="T227" s="0" t="e">
        <f aca="false">IF(Charts!$B$3="none",H2034,IF(N2034="",NA(),N2034))</f>
        <v>#N/A</v>
      </c>
    </row>
    <row r="228" customFormat="false" ht="15" hidden="false" customHeight="false" outlineLevel="0" collapsed="false">
      <c r="D228" s="0" t="n">
        <v>224</v>
      </c>
      <c r="E228" s="0" t="str">
        <f aca="true">IF(INDIRECT(ADDRESS($D228+2,E$2+1,,,"Instances"))="","",INDIRECT(ADDRESS($D228+2,E$2+1,,,"Instances")))</f>
        <v>Level_6/3-0001011</v>
      </c>
      <c r="F228" s="0" t="str">
        <f aca="false">IFERROR(SMALL(E5:E364,ROW()-ROW($F$5)+1),"")</f>
        <v/>
      </c>
      <c r="H228" s="0" t="n">
        <f aca="false">IFERROR(SUM(F5:F228),"")</f>
        <v>0</v>
      </c>
      <c r="J228" s="0" t="n">
        <v>224</v>
      </c>
      <c r="K228" s="0" t="e">
        <f aca="true" t="array" ref="K228:K228">_xlfn.SWITCH(Charts!$B$3,"average", AVERAGE(INDIRECT(ADDRESS(223+3,K$2+1,,,"Instances") &amp; ":" &amp; ADDRESS(223+3,K$2+1))),"median", MEDIAN(INDIRECT(ADDRESS(223+3,K$2+1,,,"Instances") &amp; ":" &amp; ADDRESS(223+3,K$2+1))),"min", MIN(INDIRECT(ADDRESS(223+3,K$2+1,,,"Instances") &amp; ":" &amp; ADDRESS(223+3,K$2+1))),"max", MAX(INDIRECT(ADDRESS(223+3,K$2+1,,,"Instances") &amp; ":" &amp; ADDRESS(223+3,K$2+1))),"diff", MAX(INDIRECT(ADDRESS(223+3,K$2+1,,,"Instances") &amp; ":" &amp; ADDRESS(223+3,K$2+1)))-MIN(INDIRECT(ADDRESS(223+3,K$2+1,,,"Instances") &amp; ":" &amp; ADDRESS(223+3,K$2+1))))</f>
        <v>#N/A</v>
      </c>
      <c r="L228" s="0" t="str">
        <f aca="false">IFERROR(SMALL(K5:K364,ROW()-ROW($L$5)+1),"")</f>
        <v/>
      </c>
      <c r="N228" s="0" t="n">
        <f aca="false">IFERROR(SUM(L5:L228),"")</f>
        <v>0</v>
      </c>
      <c r="Q228" s="0" t="e">
        <f aca="false">IF(Charts!$B$3="none",E2035,IF(K2035="",NA(),K2035))</f>
        <v>#N/A</v>
      </c>
      <c r="R228" s="0" t="e">
        <f aca="false">IF(Charts!$B$3="none",F2035,IF(L2035="",NA(),L2035))</f>
        <v>#N/A</v>
      </c>
      <c r="S228" s="0" t="e">
        <f aca="false">IF(Charts!$B$3="none",G2035,IF(M2035="",NA(),M2035))</f>
        <v>#N/A</v>
      </c>
      <c r="T228" s="0" t="e">
        <f aca="false">IF(Charts!$B$3="none",H2035,IF(N2035="",NA(),N2035))</f>
        <v>#N/A</v>
      </c>
    </row>
    <row r="229" customFormat="false" ht="15" hidden="false" customHeight="false" outlineLevel="0" collapsed="false">
      <c r="D229" s="0" t="n">
        <v>225</v>
      </c>
      <c r="E229" s="0" t="str">
        <f aca="true">IF(INDIRECT(ADDRESS($D229+2,E$2+1,,,"Instances"))="","",INDIRECT(ADDRESS($D229+2,E$2+1,,,"Instances")))</f>
        <v>Level_6/3-0001101</v>
      </c>
      <c r="F229" s="0" t="str">
        <f aca="false">IFERROR(SMALL(E5:E364,ROW()-ROW($F$5)+1),"")</f>
        <v/>
      </c>
      <c r="H229" s="0" t="n">
        <f aca="false">IFERROR(SUM(F5:F229),"")</f>
        <v>0</v>
      </c>
      <c r="J229" s="0" t="n">
        <v>225</v>
      </c>
      <c r="K229" s="0" t="e">
        <f aca="true" t="array" ref="K229:K229">_xlfn.SWITCH(Charts!$B$3,"average", AVERAGE(INDIRECT(ADDRESS(224+3,K$2+1,,,"Instances") &amp; ":" &amp; ADDRESS(224+3,K$2+1))),"median", MEDIAN(INDIRECT(ADDRESS(224+3,K$2+1,,,"Instances") &amp; ":" &amp; ADDRESS(224+3,K$2+1))),"min", MIN(INDIRECT(ADDRESS(224+3,K$2+1,,,"Instances") &amp; ":" &amp; ADDRESS(224+3,K$2+1))),"max", MAX(INDIRECT(ADDRESS(224+3,K$2+1,,,"Instances") &amp; ":" &amp; ADDRESS(224+3,K$2+1))),"diff", MAX(INDIRECT(ADDRESS(224+3,K$2+1,,,"Instances") &amp; ":" &amp; ADDRESS(224+3,K$2+1)))-MIN(INDIRECT(ADDRESS(224+3,K$2+1,,,"Instances") &amp; ":" &amp; ADDRESS(224+3,K$2+1))))</f>
        <v>#N/A</v>
      </c>
      <c r="L229" s="0" t="str">
        <f aca="false">IFERROR(SMALL(K5:K364,ROW()-ROW($L$5)+1),"")</f>
        <v/>
      </c>
      <c r="N229" s="0" t="n">
        <f aca="false">IFERROR(SUM(L5:L229),"")</f>
        <v>0</v>
      </c>
      <c r="Q229" s="0" t="e">
        <f aca="false">IF(Charts!$B$3="none",E2036,IF(K2036="",NA(),K2036))</f>
        <v>#N/A</v>
      </c>
      <c r="R229" s="0" t="e">
        <f aca="false">IF(Charts!$B$3="none",F2036,IF(L2036="",NA(),L2036))</f>
        <v>#N/A</v>
      </c>
      <c r="S229" s="0" t="e">
        <f aca="false">IF(Charts!$B$3="none",G2036,IF(M2036="",NA(),M2036))</f>
        <v>#N/A</v>
      </c>
      <c r="T229" s="0" t="e">
        <f aca="false">IF(Charts!$B$3="none",H2036,IF(N2036="",NA(),N2036))</f>
        <v>#N/A</v>
      </c>
    </row>
    <row r="230" customFormat="false" ht="15" hidden="false" customHeight="false" outlineLevel="0" collapsed="false">
      <c r="D230" s="0" t="n">
        <v>226</v>
      </c>
      <c r="E230" s="0" t="str">
        <f aca="true">IF(INDIRECT(ADDRESS($D230+2,E$2+1,,,"Instances"))="","",INDIRECT(ADDRESS($D230+2,E$2+1,,,"Instances")))</f>
        <v>Level_6/3-0010110</v>
      </c>
      <c r="F230" s="0" t="str">
        <f aca="false">IFERROR(SMALL(E5:E364,ROW()-ROW($F$5)+1),"")</f>
        <v/>
      </c>
      <c r="H230" s="0" t="n">
        <f aca="false">IFERROR(SUM(F5:F230),"")</f>
        <v>0</v>
      </c>
      <c r="J230" s="0" t="n">
        <v>226</v>
      </c>
      <c r="K230" s="0" t="e">
        <f aca="true" t="array" ref="K230:K230">_xlfn.SWITCH(Charts!$B$3,"average", AVERAGE(INDIRECT(ADDRESS(225+3,K$2+1,,,"Instances") &amp; ":" &amp; ADDRESS(225+3,K$2+1))),"median", MEDIAN(INDIRECT(ADDRESS(225+3,K$2+1,,,"Instances") &amp; ":" &amp; ADDRESS(225+3,K$2+1))),"min", MIN(INDIRECT(ADDRESS(225+3,K$2+1,,,"Instances") &amp; ":" &amp; ADDRESS(225+3,K$2+1))),"max", MAX(INDIRECT(ADDRESS(225+3,K$2+1,,,"Instances") &amp; ":" &amp; ADDRESS(225+3,K$2+1))),"diff", MAX(INDIRECT(ADDRESS(225+3,K$2+1,,,"Instances") &amp; ":" &amp; ADDRESS(225+3,K$2+1)))-MIN(INDIRECT(ADDRESS(225+3,K$2+1,,,"Instances") &amp; ":" &amp; ADDRESS(225+3,K$2+1))))</f>
        <v>#N/A</v>
      </c>
      <c r="L230" s="0" t="str">
        <f aca="false">IFERROR(SMALL(K5:K364,ROW()-ROW($L$5)+1),"")</f>
        <v/>
      </c>
      <c r="N230" s="0" t="n">
        <f aca="false">IFERROR(SUM(L5:L230),"")</f>
        <v>0</v>
      </c>
      <c r="Q230" s="0" t="e">
        <f aca="false">IF(Charts!$B$3="none",E2037,IF(K2037="",NA(),K2037))</f>
        <v>#N/A</v>
      </c>
      <c r="R230" s="0" t="e">
        <f aca="false">IF(Charts!$B$3="none",F2037,IF(L2037="",NA(),L2037))</f>
        <v>#N/A</v>
      </c>
      <c r="S230" s="0" t="e">
        <f aca="false">IF(Charts!$B$3="none",G2037,IF(M2037="",NA(),M2037))</f>
        <v>#N/A</v>
      </c>
      <c r="T230" s="0" t="e">
        <f aca="false">IF(Charts!$B$3="none",H2037,IF(N2037="",NA(),N2037))</f>
        <v>#N/A</v>
      </c>
    </row>
    <row r="231" customFormat="false" ht="15" hidden="false" customHeight="false" outlineLevel="0" collapsed="false">
      <c r="D231" s="0" t="n">
        <v>227</v>
      </c>
      <c r="E231" s="0" t="str">
        <f aca="true">IF(INDIRECT(ADDRESS($D231+2,E$2+1,,,"Instances"))="","",INDIRECT(ADDRESS($D231+2,E$2+1,,,"Instances")))</f>
        <v>Level_6/3-0011100</v>
      </c>
      <c r="F231" s="0" t="str">
        <f aca="false">IFERROR(SMALL(E5:E364,ROW()-ROW($F$5)+1),"")</f>
        <v/>
      </c>
      <c r="H231" s="0" t="n">
        <f aca="false">IFERROR(SUM(F5:F231),"")</f>
        <v>0</v>
      </c>
      <c r="J231" s="0" t="n">
        <v>227</v>
      </c>
      <c r="K231" s="0" t="e">
        <f aca="true" t="array" ref="K231:K231">_xlfn.SWITCH(Charts!$B$3,"average", AVERAGE(INDIRECT(ADDRESS(226+3,K$2+1,,,"Instances") &amp; ":" &amp; ADDRESS(226+3,K$2+1))),"median", MEDIAN(INDIRECT(ADDRESS(226+3,K$2+1,,,"Instances") &amp; ":" &amp; ADDRESS(226+3,K$2+1))),"min", MIN(INDIRECT(ADDRESS(226+3,K$2+1,,,"Instances") &amp; ":" &amp; ADDRESS(226+3,K$2+1))),"max", MAX(INDIRECT(ADDRESS(226+3,K$2+1,,,"Instances") &amp; ":" &amp; ADDRESS(226+3,K$2+1))),"diff", MAX(INDIRECT(ADDRESS(226+3,K$2+1,,,"Instances") &amp; ":" &amp; ADDRESS(226+3,K$2+1)))-MIN(INDIRECT(ADDRESS(226+3,K$2+1,,,"Instances") &amp; ":" &amp; ADDRESS(226+3,K$2+1))))</f>
        <v>#N/A</v>
      </c>
      <c r="L231" s="0" t="str">
        <f aca="false">IFERROR(SMALL(K5:K364,ROW()-ROW($L$5)+1),"")</f>
        <v/>
      </c>
      <c r="N231" s="0" t="n">
        <f aca="false">IFERROR(SUM(L5:L231),"")</f>
        <v>0</v>
      </c>
      <c r="Q231" s="0" t="e">
        <f aca="false">IF(Charts!$B$3="none",E2038,IF(K2038="",NA(),K2038))</f>
        <v>#N/A</v>
      </c>
      <c r="R231" s="0" t="e">
        <f aca="false">IF(Charts!$B$3="none",F2038,IF(L2038="",NA(),L2038))</f>
        <v>#N/A</v>
      </c>
      <c r="S231" s="0" t="e">
        <f aca="false">IF(Charts!$B$3="none",G2038,IF(M2038="",NA(),M2038))</f>
        <v>#N/A</v>
      </c>
      <c r="T231" s="0" t="e">
        <f aca="false">IF(Charts!$B$3="none",H2038,IF(N2038="",NA(),N2038))</f>
        <v>#N/A</v>
      </c>
    </row>
    <row r="232" customFormat="false" ht="15" hidden="false" customHeight="false" outlineLevel="0" collapsed="false">
      <c r="D232" s="0" t="n">
        <v>228</v>
      </c>
      <c r="E232" s="0" t="str">
        <f aca="true">IF(INDIRECT(ADDRESS($D232+2,E$2+1,,,"Instances"))="","",INDIRECT(ADDRESS($D232+2,E$2+1,,,"Instances")))</f>
        <v>Level_6/3-1001001</v>
      </c>
      <c r="F232" s="0" t="str">
        <f aca="false">IFERROR(SMALL(E5:E364,ROW()-ROW($F$5)+1),"")</f>
        <v/>
      </c>
      <c r="H232" s="0" t="n">
        <f aca="false">IFERROR(SUM(F5:F232),"")</f>
        <v>0</v>
      </c>
      <c r="J232" s="0" t="n">
        <v>228</v>
      </c>
      <c r="K232" s="0" t="e">
        <f aca="true" t="array" ref="K232:K232">_xlfn.SWITCH(Charts!$B$3,"average", AVERAGE(INDIRECT(ADDRESS(227+3,K$2+1,,,"Instances") &amp; ":" &amp; ADDRESS(227+3,K$2+1))),"median", MEDIAN(INDIRECT(ADDRESS(227+3,K$2+1,,,"Instances") &amp; ":" &amp; ADDRESS(227+3,K$2+1))),"min", MIN(INDIRECT(ADDRESS(227+3,K$2+1,,,"Instances") &amp; ":" &amp; ADDRESS(227+3,K$2+1))),"max", MAX(INDIRECT(ADDRESS(227+3,K$2+1,,,"Instances") &amp; ":" &amp; ADDRESS(227+3,K$2+1))),"diff", MAX(INDIRECT(ADDRESS(227+3,K$2+1,,,"Instances") &amp; ":" &amp; ADDRESS(227+3,K$2+1)))-MIN(INDIRECT(ADDRESS(227+3,K$2+1,,,"Instances") &amp; ":" &amp; ADDRESS(227+3,K$2+1))))</f>
        <v>#N/A</v>
      </c>
      <c r="L232" s="0" t="str">
        <f aca="false">IFERROR(SMALL(K5:K364,ROW()-ROW($L$5)+1),"")</f>
        <v/>
      </c>
      <c r="N232" s="0" t="n">
        <f aca="false">IFERROR(SUM(L5:L232),"")</f>
        <v>0</v>
      </c>
      <c r="Q232" s="0" t="e">
        <f aca="false">IF(Charts!$B$3="none",E2039,IF(K2039="",NA(),K2039))</f>
        <v>#N/A</v>
      </c>
      <c r="R232" s="0" t="e">
        <f aca="false">IF(Charts!$B$3="none",F2039,IF(L2039="",NA(),L2039))</f>
        <v>#N/A</v>
      </c>
      <c r="S232" s="0" t="e">
        <f aca="false">IF(Charts!$B$3="none",G2039,IF(M2039="",NA(),M2039))</f>
        <v>#N/A</v>
      </c>
      <c r="T232" s="0" t="e">
        <f aca="false">IF(Charts!$B$3="none",H2039,IF(N2039="",NA(),N2039))</f>
        <v>#N/A</v>
      </c>
    </row>
    <row r="233" customFormat="false" ht="15" hidden="false" customHeight="false" outlineLevel="0" collapsed="false">
      <c r="D233" s="0" t="n">
        <v>229</v>
      </c>
      <c r="E233" s="0" t="str">
        <f aca="true">IF(INDIRECT(ADDRESS($D233+2,E$2+1,,,"Instances"))="","",INDIRECT(ADDRESS($D233+2,E$2+1,,,"Instances")))</f>
        <v>Level_6/3-1010010</v>
      </c>
      <c r="F233" s="0" t="str">
        <f aca="false">IFERROR(SMALL(E5:E364,ROW()-ROW($F$5)+1),"")</f>
        <v/>
      </c>
      <c r="H233" s="0" t="n">
        <f aca="false">IFERROR(SUM(F5:F233),"")</f>
        <v>0</v>
      </c>
      <c r="J233" s="0" t="n">
        <v>229</v>
      </c>
      <c r="K233" s="0" t="e">
        <f aca="true" t="array" ref="K233:K233">_xlfn.SWITCH(Charts!$B$3,"average", AVERAGE(INDIRECT(ADDRESS(228+3,K$2+1,,,"Instances") &amp; ":" &amp; ADDRESS(228+3,K$2+1))),"median", MEDIAN(INDIRECT(ADDRESS(228+3,K$2+1,,,"Instances") &amp; ":" &amp; ADDRESS(228+3,K$2+1))),"min", MIN(INDIRECT(ADDRESS(228+3,K$2+1,,,"Instances") &amp; ":" &amp; ADDRESS(228+3,K$2+1))),"max", MAX(INDIRECT(ADDRESS(228+3,K$2+1,,,"Instances") &amp; ":" &amp; ADDRESS(228+3,K$2+1))),"diff", MAX(INDIRECT(ADDRESS(228+3,K$2+1,,,"Instances") &amp; ":" &amp; ADDRESS(228+3,K$2+1)))-MIN(INDIRECT(ADDRESS(228+3,K$2+1,,,"Instances") &amp; ":" &amp; ADDRESS(228+3,K$2+1))))</f>
        <v>#N/A</v>
      </c>
      <c r="L233" s="0" t="str">
        <f aca="false">IFERROR(SMALL(K5:K364,ROW()-ROW($L$5)+1),"")</f>
        <v/>
      </c>
      <c r="N233" s="0" t="n">
        <f aca="false">IFERROR(SUM(L5:L233),"")</f>
        <v>0</v>
      </c>
      <c r="Q233" s="0" t="e">
        <f aca="false">IF(Charts!$B$3="none",E2040,IF(K2040="",NA(),K2040))</f>
        <v>#N/A</v>
      </c>
      <c r="R233" s="0" t="e">
        <f aca="false">IF(Charts!$B$3="none",F2040,IF(L2040="",NA(),L2040))</f>
        <v>#N/A</v>
      </c>
      <c r="S233" s="0" t="e">
        <f aca="false">IF(Charts!$B$3="none",G2040,IF(M2040="",NA(),M2040))</f>
        <v>#N/A</v>
      </c>
      <c r="T233" s="0" t="e">
        <f aca="false">IF(Charts!$B$3="none",H2040,IF(N2040="",NA(),N2040))</f>
        <v>#N/A</v>
      </c>
    </row>
    <row r="234" customFormat="false" ht="15" hidden="false" customHeight="false" outlineLevel="0" collapsed="false">
      <c r="D234" s="0" t="n">
        <v>230</v>
      </c>
      <c r="E234" s="0" t="str">
        <f aca="true">IF(INDIRECT(ADDRESS($D234+2,E$2+1,,,"Instances"))="","",INDIRECT(ADDRESS($D234+2,E$2+1,,,"Instances")))</f>
        <v>Level_6/3-1101000</v>
      </c>
      <c r="F234" s="0" t="str">
        <f aca="false">IFERROR(SMALL(E5:E364,ROW()-ROW($F$5)+1),"")</f>
        <v/>
      </c>
      <c r="H234" s="0" t="n">
        <f aca="false">IFERROR(SUM(F5:F234),"")</f>
        <v>0</v>
      </c>
      <c r="J234" s="0" t="n">
        <v>230</v>
      </c>
      <c r="K234" s="0" t="e">
        <f aca="true" t="array" ref="K234:K234">_xlfn.SWITCH(Charts!$B$3,"average", AVERAGE(INDIRECT(ADDRESS(229+3,K$2+1,,,"Instances") &amp; ":" &amp; ADDRESS(229+3,K$2+1))),"median", MEDIAN(INDIRECT(ADDRESS(229+3,K$2+1,,,"Instances") &amp; ":" &amp; ADDRESS(229+3,K$2+1))),"min", MIN(INDIRECT(ADDRESS(229+3,K$2+1,,,"Instances") &amp; ":" &amp; ADDRESS(229+3,K$2+1))),"max", MAX(INDIRECT(ADDRESS(229+3,K$2+1,,,"Instances") &amp; ":" &amp; ADDRESS(229+3,K$2+1))),"diff", MAX(INDIRECT(ADDRESS(229+3,K$2+1,,,"Instances") &amp; ":" &amp; ADDRESS(229+3,K$2+1)))-MIN(INDIRECT(ADDRESS(229+3,K$2+1,,,"Instances") &amp; ":" &amp; ADDRESS(229+3,K$2+1))))</f>
        <v>#N/A</v>
      </c>
      <c r="L234" s="0" t="str">
        <f aca="false">IFERROR(SMALL(K5:K364,ROW()-ROW($L$5)+1),"")</f>
        <v/>
      </c>
      <c r="N234" s="0" t="n">
        <f aca="false">IFERROR(SUM(L5:L234),"")</f>
        <v>0</v>
      </c>
      <c r="Q234" s="0" t="e">
        <f aca="false">IF(Charts!$B$3="none",E2041,IF(K2041="",NA(),K2041))</f>
        <v>#N/A</v>
      </c>
      <c r="R234" s="0" t="e">
        <f aca="false">IF(Charts!$B$3="none",F2041,IF(L2041="",NA(),L2041))</f>
        <v>#N/A</v>
      </c>
      <c r="S234" s="0" t="e">
        <f aca="false">IF(Charts!$B$3="none",G2041,IF(M2041="",NA(),M2041))</f>
        <v>#N/A</v>
      </c>
      <c r="T234" s="0" t="e">
        <f aca="false">IF(Charts!$B$3="none",H2041,IF(N2041="",NA(),N2041))</f>
        <v>#N/A</v>
      </c>
    </row>
    <row r="235" customFormat="false" ht="15" hidden="false" customHeight="false" outlineLevel="0" collapsed="false">
      <c r="D235" s="0" t="n">
        <v>231</v>
      </c>
      <c r="E235" s="0" t="str">
        <f aca="true">IF(INDIRECT(ADDRESS($D235+2,E$2+1,,,"Instances"))="","",INDIRECT(ADDRESS($D235+2,E$2+1,,,"Instances")))</f>
        <v>Level_6/4-0110011</v>
      </c>
      <c r="F235" s="0" t="str">
        <f aca="false">IFERROR(SMALL(E5:E364,ROW()-ROW($F$5)+1),"")</f>
        <v/>
      </c>
      <c r="H235" s="0" t="n">
        <f aca="false">IFERROR(SUM(F5:F235),"")</f>
        <v>0</v>
      </c>
      <c r="J235" s="0" t="n">
        <v>231</v>
      </c>
      <c r="K235" s="0" t="e">
        <f aca="true" t="array" ref="K235:K235">_xlfn.SWITCH(Charts!$B$3,"average", AVERAGE(INDIRECT(ADDRESS(230+3,K$2+1,,,"Instances") &amp; ":" &amp; ADDRESS(230+3,K$2+1))),"median", MEDIAN(INDIRECT(ADDRESS(230+3,K$2+1,,,"Instances") &amp; ":" &amp; ADDRESS(230+3,K$2+1))),"min", MIN(INDIRECT(ADDRESS(230+3,K$2+1,,,"Instances") &amp; ":" &amp; ADDRESS(230+3,K$2+1))),"max", MAX(INDIRECT(ADDRESS(230+3,K$2+1,,,"Instances") &amp; ":" &amp; ADDRESS(230+3,K$2+1))),"diff", MAX(INDIRECT(ADDRESS(230+3,K$2+1,,,"Instances") &amp; ":" &amp; ADDRESS(230+3,K$2+1)))-MIN(INDIRECT(ADDRESS(230+3,K$2+1,,,"Instances") &amp; ":" &amp; ADDRESS(230+3,K$2+1))))</f>
        <v>#N/A</v>
      </c>
      <c r="L235" s="0" t="str">
        <f aca="false">IFERROR(SMALL(K5:K364,ROW()-ROW($L$5)+1),"")</f>
        <v/>
      </c>
      <c r="N235" s="0" t="n">
        <f aca="false">IFERROR(SUM(L5:L235),"")</f>
        <v>0</v>
      </c>
      <c r="Q235" s="0" t="e">
        <f aca="false">IF(Charts!$B$3="none",E2042,IF(K2042="",NA(),K2042))</f>
        <v>#N/A</v>
      </c>
      <c r="R235" s="0" t="e">
        <f aca="false">IF(Charts!$B$3="none",F2042,IF(L2042="",NA(),L2042))</f>
        <v>#N/A</v>
      </c>
      <c r="S235" s="0" t="e">
        <f aca="false">IF(Charts!$B$3="none",G2042,IF(M2042="",NA(),M2042))</f>
        <v>#N/A</v>
      </c>
      <c r="T235" s="0" t="e">
        <f aca="false">IF(Charts!$B$3="none",H2042,IF(N2042="",NA(),N2042))</f>
        <v>#N/A</v>
      </c>
    </row>
    <row r="236" customFormat="false" ht="15" hidden="false" customHeight="false" outlineLevel="0" collapsed="false">
      <c r="D236" s="0" t="n">
        <v>232</v>
      </c>
      <c r="E236" s="0" t="str">
        <f aca="true">IF(INDIRECT(ADDRESS($D236+2,E$2+1,,,"Instances"))="","",INDIRECT(ADDRESS($D236+2,E$2+1,,,"Instances")))</f>
        <v>Level_6/4-0110110</v>
      </c>
      <c r="F236" s="0" t="str">
        <f aca="false">IFERROR(SMALL(E5:E364,ROW()-ROW($F$5)+1),"")</f>
        <v/>
      </c>
      <c r="H236" s="0" t="n">
        <f aca="false">IFERROR(SUM(F5:F236),"")</f>
        <v>0</v>
      </c>
      <c r="J236" s="0" t="n">
        <v>232</v>
      </c>
      <c r="K236" s="0" t="e">
        <f aca="true" t="array" ref="K236:K236">_xlfn.SWITCH(Charts!$B$3,"average", AVERAGE(INDIRECT(ADDRESS(231+3,K$2+1,,,"Instances") &amp; ":" &amp; ADDRESS(231+3,K$2+1))),"median", MEDIAN(INDIRECT(ADDRESS(231+3,K$2+1,,,"Instances") &amp; ":" &amp; ADDRESS(231+3,K$2+1))),"min", MIN(INDIRECT(ADDRESS(231+3,K$2+1,,,"Instances") &amp; ":" &amp; ADDRESS(231+3,K$2+1))),"max", MAX(INDIRECT(ADDRESS(231+3,K$2+1,,,"Instances") &amp; ":" &amp; ADDRESS(231+3,K$2+1))),"diff", MAX(INDIRECT(ADDRESS(231+3,K$2+1,,,"Instances") &amp; ":" &amp; ADDRESS(231+3,K$2+1)))-MIN(INDIRECT(ADDRESS(231+3,K$2+1,,,"Instances") &amp; ":" &amp; ADDRESS(231+3,K$2+1))))</f>
        <v>#N/A</v>
      </c>
      <c r="L236" s="0" t="str">
        <f aca="false">IFERROR(SMALL(K5:K364,ROW()-ROW($L$5)+1),"")</f>
        <v/>
      </c>
      <c r="N236" s="0" t="n">
        <f aca="false">IFERROR(SUM(L5:L236),"")</f>
        <v>0</v>
      </c>
      <c r="Q236" s="0" t="e">
        <f aca="false">IF(Charts!$B$3="none",E2043,IF(K2043="",NA(),K2043))</f>
        <v>#N/A</v>
      </c>
      <c r="R236" s="0" t="e">
        <f aca="false">IF(Charts!$B$3="none",F2043,IF(L2043="",NA(),L2043))</f>
        <v>#N/A</v>
      </c>
      <c r="S236" s="0" t="e">
        <f aca="false">IF(Charts!$B$3="none",G2043,IF(M2043="",NA(),M2043))</f>
        <v>#N/A</v>
      </c>
      <c r="T236" s="0" t="e">
        <f aca="false">IF(Charts!$B$3="none",H2043,IF(N2043="",NA(),N2043))</f>
        <v>#N/A</v>
      </c>
    </row>
    <row r="237" customFormat="false" ht="15" hidden="false" customHeight="false" outlineLevel="0" collapsed="false">
      <c r="D237" s="0" t="n">
        <v>233</v>
      </c>
      <c r="E237" s="0" t="str">
        <f aca="true">IF(INDIRECT(ADDRESS($D237+2,E$2+1,,,"Instances"))="","",INDIRECT(ADDRESS($D237+2,E$2+1,,,"Instances")))</f>
        <v>Level_6/4-1000111</v>
      </c>
      <c r="F237" s="0" t="str">
        <f aca="false">IFERROR(SMALL(E5:E364,ROW()-ROW($F$5)+1),"")</f>
        <v/>
      </c>
      <c r="H237" s="0" t="n">
        <f aca="false">IFERROR(SUM(F5:F237),"")</f>
        <v>0</v>
      </c>
      <c r="J237" s="0" t="n">
        <v>233</v>
      </c>
      <c r="K237" s="0" t="e">
        <f aca="true" t="array" ref="K237:K237">_xlfn.SWITCH(Charts!$B$3,"average", AVERAGE(INDIRECT(ADDRESS(232+3,K$2+1,,,"Instances") &amp; ":" &amp; ADDRESS(232+3,K$2+1))),"median", MEDIAN(INDIRECT(ADDRESS(232+3,K$2+1,,,"Instances") &amp; ":" &amp; ADDRESS(232+3,K$2+1))),"min", MIN(INDIRECT(ADDRESS(232+3,K$2+1,,,"Instances") &amp; ":" &amp; ADDRESS(232+3,K$2+1))),"max", MAX(INDIRECT(ADDRESS(232+3,K$2+1,,,"Instances") &amp; ":" &amp; ADDRESS(232+3,K$2+1))),"diff", MAX(INDIRECT(ADDRESS(232+3,K$2+1,,,"Instances") &amp; ":" &amp; ADDRESS(232+3,K$2+1)))-MIN(INDIRECT(ADDRESS(232+3,K$2+1,,,"Instances") &amp; ":" &amp; ADDRESS(232+3,K$2+1))))</f>
        <v>#N/A</v>
      </c>
      <c r="L237" s="0" t="str">
        <f aca="false">IFERROR(SMALL(K5:K364,ROW()-ROW($L$5)+1),"")</f>
        <v/>
      </c>
      <c r="N237" s="0" t="n">
        <f aca="false">IFERROR(SUM(L5:L237),"")</f>
        <v>0</v>
      </c>
      <c r="Q237" s="0" t="e">
        <f aca="false">IF(Charts!$B$3="none",E2044,IF(K2044="",NA(),K2044))</f>
        <v>#N/A</v>
      </c>
      <c r="R237" s="0" t="e">
        <f aca="false">IF(Charts!$B$3="none",F2044,IF(L2044="",NA(),L2044))</f>
        <v>#N/A</v>
      </c>
      <c r="S237" s="0" t="e">
        <f aca="false">IF(Charts!$B$3="none",G2044,IF(M2044="",NA(),M2044))</f>
        <v>#N/A</v>
      </c>
      <c r="T237" s="0" t="e">
        <f aca="false">IF(Charts!$B$3="none",H2044,IF(N2044="",NA(),N2044))</f>
        <v>#N/A</v>
      </c>
    </row>
    <row r="238" customFormat="false" ht="15" hidden="false" customHeight="false" outlineLevel="0" collapsed="false">
      <c r="D238" s="0" t="n">
        <v>234</v>
      </c>
      <c r="E238" s="0" t="str">
        <f aca="true">IF(INDIRECT(ADDRESS($D238+2,E$2+1,,,"Instances"))="","",INDIRECT(ADDRESS($D238+2,E$2+1,,,"Instances")))</f>
        <v>Level_6/4-1001011</v>
      </c>
      <c r="F238" s="0" t="str">
        <f aca="false">IFERROR(SMALL(E5:E364,ROW()-ROW($F$5)+1),"")</f>
        <v/>
      </c>
      <c r="H238" s="0" t="n">
        <f aca="false">IFERROR(SUM(F5:F238),"")</f>
        <v>0</v>
      </c>
      <c r="J238" s="0" t="n">
        <v>234</v>
      </c>
      <c r="K238" s="0" t="e">
        <f aca="true" t="array" ref="K238:K238">_xlfn.SWITCH(Charts!$B$3,"average", AVERAGE(INDIRECT(ADDRESS(233+3,K$2+1,,,"Instances") &amp; ":" &amp; ADDRESS(233+3,K$2+1))),"median", MEDIAN(INDIRECT(ADDRESS(233+3,K$2+1,,,"Instances") &amp; ":" &amp; ADDRESS(233+3,K$2+1))),"min", MIN(INDIRECT(ADDRESS(233+3,K$2+1,,,"Instances") &amp; ":" &amp; ADDRESS(233+3,K$2+1))),"max", MAX(INDIRECT(ADDRESS(233+3,K$2+1,,,"Instances") &amp; ":" &amp; ADDRESS(233+3,K$2+1))),"diff", MAX(INDIRECT(ADDRESS(233+3,K$2+1,,,"Instances") &amp; ":" &amp; ADDRESS(233+3,K$2+1)))-MIN(INDIRECT(ADDRESS(233+3,K$2+1,,,"Instances") &amp; ":" &amp; ADDRESS(233+3,K$2+1))))</f>
        <v>#N/A</v>
      </c>
      <c r="L238" s="0" t="str">
        <f aca="false">IFERROR(SMALL(K5:K364,ROW()-ROW($L$5)+1),"")</f>
        <v/>
      </c>
      <c r="N238" s="0" t="n">
        <f aca="false">IFERROR(SUM(L5:L238),"")</f>
        <v>0</v>
      </c>
      <c r="Q238" s="0" t="e">
        <f aca="false">IF(Charts!$B$3="none",E2045,IF(K2045="",NA(),K2045))</f>
        <v>#N/A</v>
      </c>
      <c r="R238" s="0" t="e">
        <f aca="false">IF(Charts!$B$3="none",F2045,IF(L2045="",NA(),L2045))</f>
        <v>#N/A</v>
      </c>
      <c r="S238" s="0" t="e">
        <f aca="false">IF(Charts!$B$3="none",G2045,IF(M2045="",NA(),M2045))</f>
        <v>#N/A</v>
      </c>
      <c r="T238" s="0" t="e">
        <f aca="false">IF(Charts!$B$3="none",H2045,IF(N2045="",NA(),N2045))</f>
        <v>#N/A</v>
      </c>
    </row>
    <row r="239" customFormat="false" ht="15" hidden="false" customHeight="false" outlineLevel="0" collapsed="false">
      <c r="D239" s="0" t="n">
        <v>235</v>
      </c>
      <c r="E239" s="0" t="str">
        <f aca="true">IF(INDIRECT(ADDRESS($D239+2,E$2+1,,,"Instances"))="","",INDIRECT(ADDRESS($D239+2,E$2+1,,,"Instances")))</f>
        <v>Level_6/4-1010011</v>
      </c>
      <c r="F239" s="0" t="str">
        <f aca="false">IFERROR(SMALL(E5:E364,ROW()-ROW($F$5)+1),"")</f>
        <v/>
      </c>
      <c r="H239" s="0" t="n">
        <f aca="false">IFERROR(SUM(F5:F239),"")</f>
        <v>0</v>
      </c>
      <c r="J239" s="0" t="n">
        <v>235</v>
      </c>
      <c r="K239" s="0" t="e">
        <f aca="true" t="array" ref="K239:K239">_xlfn.SWITCH(Charts!$B$3,"average", AVERAGE(INDIRECT(ADDRESS(234+3,K$2+1,,,"Instances") &amp; ":" &amp; ADDRESS(234+3,K$2+1))),"median", MEDIAN(INDIRECT(ADDRESS(234+3,K$2+1,,,"Instances") &amp; ":" &amp; ADDRESS(234+3,K$2+1))),"min", MIN(INDIRECT(ADDRESS(234+3,K$2+1,,,"Instances") &amp; ":" &amp; ADDRESS(234+3,K$2+1))),"max", MAX(INDIRECT(ADDRESS(234+3,K$2+1,,,"Instances") &amp; ":" &amp; ADDRESS(234+3,K$2+1))),"diff", MAX(INDIRECT(ADDRESS(234+3,K$2+1,,,"Instances") &amp; ":" &amp; ADDRESS(234+3,K$2+1)))-MIN(INDIRECT(ADDRESS(234+3,K$2+1,,,"Instances") &amp; ":" &amp; ADDRESS(234+3,K$2+1))))</f>
        <v>#N/A</v>
      </c>
      <c r="L239" s="0" t="str">
        <f aca="false">IFERROR(SMALL(K5:K364,ROW()-ROW($L$5)+1),"")</f>
        <v/>
      </c>
      <c r="N239" s="0" t="n">
        <f aca="false">IFERROR(SUM(L5:L239),"")</f>
        <v>0</v>
      </c>
      <c r="Q239" s="0" t="e">
        <f aca="false">IF(Charts!$B$3="none",E2046,IF(K2046="",NA(),K2046))</f>
        <v>#N/A</v>
      </c>
      <c r="R239" s="0" t="e">
        <f aca="false">IF(Charts!$B$3="none",F2046,IF(L2046="",NA(),L2046))</f>
        <v>#N/A</v>
      </c>
      <c r="S239" s="0" t="e">
        <f aca="false">IF(Charts!$B$3="none",G2046,IF(M2046="",NA(),M2046))</f>
        <v>#N/A</v>
      </c>
      <c r="T239" s="0" t="e">
        <f aca="false">IF(Charts!$B$3="none",H2046,IF(N2046="",NA(),N2046))</f>
        <v>#N/A</v>
      </c>
    </row>
    <row r="240" customFormat="false" ht="15" hidden="false" customHeight="false" outlineLevel="0" collapsed="false">
      <c r="D240" s="0" t="n">
        <v>236</v>
      </c>
      <c r="E240" s="0" t="str">
        <f aca="true">IF(INDIRECT(ADDRESS($D240+2,E$2+1,,,"Instances"))="","",INDIRECT(ADDRESS($D240+2,E$2+1,,,"Instances")))</f>
        <v>Level_6/4-1011001</v>
      </c>
      <c r="F240" s="0" t="str">
        <f aca="false">IFERROR(SMALL(E5:E364,ROW()-ROW($F$5)+1),"")</f>
        <v/>
      </c>
      <c r="H240" s="0" t="n">
        <f aca="false">IFERROR(SUM(F5:F240),"")</f>
        <v>0</v>
      </c>
      <c r="J240" s="0" t="n">
        <v>236</v>
      </c>
      <c r="K240" s="0" t="e">
        <f aca="true" t="array" ref="K240:K240">_xlfn.SWITCH(Charts!$B$3,"average", AVERAGE(INDIRECT(ADDRESS(235+3,K$2+1,,,"Instances") &amp; ":" &amp; ADDRESS(235+3,K$2+1))),"median", MEDIAN(INDIRECT(ADDRESS(235+3,K$2+1,,,"Instances") &amp; ":" &amp; ADDRESS(235+3,K$2+1))),"min", MIN(INDIRECT(ADDRESS(235+3,K$2+1,,,"Instances") &amp; ":" &amp; ADDRESS(235+3,K$2+1))),"max", MAX(INDIRECT(ADDRESS(235+3,K$2+1,,,"Instances") &amp; ":" &amp; ADDRESS(235+3,K$2+1))),"diff", MAX(INDIRECT(ADDRESS(235+3,K$2+1,,,"Instances") &amp; ":" &amp; ADDRESS(235+3,K$2+1)))-MIN(INDIRECT(ADDRESS(235+3,K$2+1,,,"Instances") &amp; ":" &amp; ADDRESS(235+3,K$2+1))))</f>
        <v>#N/A</v>
      </c>
      <c r="L240" s="0" t="str">
        <f aca="false">IFERROR(SMALL(K5:K364,ROW()-ROW($L$5)+1),"")</f>
        <v/>
      </c>
      <c r="N240" s="0" t="n">
        <f aca="false">IFERROR(SUM(L5:L240),"")</f>
        <v>0</v>
      </c>
      <c r="Q240" s="0" t="e">
        <f aca="false">IF(Charts!$B$3="none",E2047,IF(K2047="",NA(),K2047))</f>
        <v>#N/A</v>
      </c>
      <c r="R240" s="0" t="e">
        <f aca="false">IF(Charts!$B$3="none",F2047,IF(L2047="",NA(),L2047))</f>
        <v>#N/A</v>
      </c>
      <c r="S240" s="0" t="e">
        <f aca="false">IF(Charts!$B$3="none",G2047,IF(M2047="",NA(),M2047))</f>
        <v>#N/A</v>
      </c>
      <c r="T240" s="0" t="e">
        <f aca="false">IF(Charts!$B$3="none",H2047,IF(N2047="",NA(),N2047))</f>
        <v>#N/A</v>
      </c>
    </row>
    <row r="241" customFormat="false" ht="15" hidden="false" customHeight="false" outlineLevel="0" collapsed="false">
      <c r="D241" s="0" t="n">
        <v>237</v>
      </c>
      <c r="E241" s="0" t="str">
        <f aca="true">IF(INDIRECT(ADDRESS($D241+2,E$2+1,,,"Instances"))="","",INDIRECT(ADDRESS($D241+2,E$2+1,,,"Instances")))</f>
        <v>Level_6/4-1011100</v>
      </c>
      <c r="F241" s="0" t="str">
        <f aca="false">IFERROR(SMALL(E5:E364,ROW()-ROW($F$5)+1),"")</f>
        <v/>
      </c>
      <c r="H241" s="0" t="n">
        <f aca="false">IFERROR(SUM(F5:F241),"")</f>
        <v>0</v>
      </c>
      <c r="J241" s="0" t="n">
        <v>237</v>
      </c>
      <c r="K241" s="0" t="e">
        <f aca="true" t="array" ref="K241:K241">_xlfn.SWITCH(Charts!$B$3,"average", AVERAGE(INDIRECT(ADDRESS(236+3,K$2+1,,,"Instances") &amp; ":" &amp; ADDRESS(236+3,K$2+1))),"median", MEDIAN(INDIRECT(ADDRESS(236+3,K$2+1,,,"Instances") &amp; ":" &amp; ADDRESS(236+3,K$2+1))),"min", MIN(INDIRECT(ADDRESS(236+3,K$2+1,,,"Instances") &amp; ":" &amp; ADDRESS(236+3,K$2+1))),"max", MAX(INDIRECT(ADDRESS(236+3,K$2+1,,,"Instances") &amp; ":" &amp; ADDRESS(236+3,K$2+1))),"diff", MAX(INDIRECT(ADDRESS(236+3,K$2+1,,,"Instances") &amp; ":" &amp; ADDRESS(236+3,K$2+1)))-MIN(INDIRECT(ADDRESS(236+3,K$2+1,,,"Instances") &amp; ":" &amp; ADDRESS(236+3,K$2+1))))</f>
        <v>#N/A</v>
      </c>
      <c r="L241" s="0" t="str">
        <f aca="false">IFERROR(SMALL(K5:K364,ROW()-ROW($L$5)+1),"")</f>
        <v/>
      </c>
      <c r="N241" s="0" t="n">
        <f aca="false">IFERROR(SUM(L5:L241),"")</f>
        <v>0</v>
      </c>
      <c r="Q241" s="0" t="e">
        <f aca="false">IF(Charts!$B$3="none",E2048,IF(K2048="",NA(),K2048))</f>
        <v>#N/A</v>
      </c>
      <c r="R241" s="0" t="e">
        <f aca="false">IF(Charts!$B$3="none",F2048,IF(L2048="",NA(),L2048))</f>
        <v>#N/A</v>
      </c>
      <c r="S241" s="0" t="e">
        <f aca="false">IF(Charts!$B$3="none",G2048,IF(M2048="",NA(),M2048))</f>
        <v>#N/A</v>
      </c>
      <c r="T241" s="0" t="e">
        <f aca="false">IF(Charts!$B$3="none",H2048,IF(N2048="",NA(),N2048))</f>
        <v>#N/A</v>
      </c>
    </row>
    <row r="242" customFormat="false" ht="15" hidden="false" customHeight="false" outlineLevel="0" collapsed="false">
      <c r="D242" s="0" t="n">
        <v>238</v>
      </c>
      <c r="E242" s="0" t="str">
        <f aca="true">IF(INDIRECT(ADDRESS($D242+2,E$2+1,,,"Instances"))="","",INDIRECT(ADDRESS($D242+2,E$2+1,,,"Instances")))</f>
        <v>Level_6/5-0111011</v>
      </c>
      <c r="F242" s="0" t="str">
        <f aca="false">IFERROR(SMALL(E5:E364,ROW()-ROW($F$5)+1),"")</f>
        <v/>
      </c>
      <c r="H242" s="0" t="n">
        <f aca="false">IFERROR(SUM(F5:F242),"")</f>
        <v>0</v>
      </c>
      <c r="J242" s="0" t="n">
        <v>238</v>
      </c>
      <c r="K242" s="0" t="e">
        <f aca="true" t="array" ref="K242:K242">_xlfn.SWITCH(Charts!$B$3,"average", AVERAGE(INDIRECT(ADDRESS(237+3,K$2+1,,,"Instances") &amp; ":" &amp; ADDRESS(237+3,K$2+1))),"median", MEDIAN(INDIRECT(ADDRESS(237+3,K$2+1,,,"Instances") &amp; ":" &amp; ADDRESS(237+3,K$2+1))),"min", MIN(INDIRECT(ADDRESS(237+3,K$2+1,,,"Instances") &amp; ":" &amp; ADDRESS(237+3,K$2+1))),"max", MAX(INDIRECT(ADDRESS(237+3,K$2+1,,,"Instances") &amp; ":" &amp; ADDRESS(237+3,K$2+1))),"diff", MAX(INDIRECT(ADDRESS(237+3,K$2+1,,,"Instances") &amp; ":" &amp; ADDRESS(237+3,K$2+1)))-MIN(INDIRECT(ADDRESS(237+3,K$2+1,,,"Instances") &amp; ":" &amp; ADDRESS(237+3,K$2+1))))</f>
        <v>#N/A</v>
      </c>
      <c r="L242" s="0" t="str">
        <f aca="false">IFERROR(SMALL(K5:K364,ROW()-ROW($L$5)+1),"")</f>
        <v/>
      </c>
      <c r="N242" s="0" t="n">
        <f aca="false">IFERROR(SUM(L5:L242),"")</f>
        <v>0</v>
      </c>
      <c r="Q242" s="0" t="e">
        <f aca="false">IF(Charts!$B$3="none",E2049,IF(K2049="",NA(),K2049))</f>
        <v>#N/A</v>
      </c>
      <c r="R242" s="0" t="e">
        <f aca="false">IF(Charts!$B$3="none",F2049,IF(L2049="",NA(),L2049))</f>
        <v>#N/A</v>
      </c>
      <c r="S242" s="0" t="e">
        <f aca="false">IF(Charts!$B$3="none",G2049,IF(M2049="",NA(),M2049))</f>
        <v>#N/A</v>
      </c>
      <c r="T242" s="0" t="e">
        <f aca="false">IF(Charts!$B$3="none",H2049,IF(N2049="",NA(),N2049))</f>
        <v>#N/A</v>
      </c>
    </row>
    <row r="243" customFormat="false" ht="15" hidden="false" customHeight="false" outlineLevel="0" collapsed="false">
      <c r="D243" s="0" t="n">
        <v>239</v>
      </c>
      <c r="E243" s="0" t="str">
        <f aca="true">IF(INDIRECT(ADDRESS($D243+2,E$2+1,,,"Instances"))="","",INDIRECT(ADDRESS($D243+2,E$2+1,,,"Instances")))</f>
        <v>Level_6/5-0111101</v>
      </c>
      <c r="F243" s="0" t="str">
        <f aca="false">IFERROR(SMALL(E5:E364,ROW()-ROW($F$5)+1),"")</f>
        <v/>
      </c>
      <c r="H243" s="0" t="n">
        <f aca="false">IFERROR(SUM(F5:F243),"")</f>
        <v>0</v>
      </c>
      <c r="J243" s="0" t="n">
        <v>239</v>
      </c>
      <c r="K243" s="0" t="e">
        <f aca="true" t="array" ref="K243:K243">_xlfn.SWITCH(Charts!$B$3,"average", AVERAGE(INDIRECT(ADDRESS(238+3,K$2+1,,,"Instances") &amp; ":" &amp; ADDRESS(238+3,K$2+1))),"median", MEDIAN(INDIRECT(ADDRESS(238+3,K$2+1,,,"Instances") &amp; ":" &amp; ADDRESS(238+3,K$2+1))),"min", MIN(INDIRECT(ADDRESS(238+3,K$2+1,,,"Instances") &amp; ":" &amp; ADDRESS(238+3,K$2+1))),"max", MAX(INDIRECT(ADDRESS(238+3,K$2+1,,,"Instances") &amp; ":" &amp; ADDRESS(238+3,K$2+1))),"diff", MAX(INDIRECT(ADDRESS(238+3,K$2+1,,,"Instances") &amp; ":" &amp; ADDRESS(238+3,K$2+1)))-MIN(INDIRECT(ADDRESS(238+3,K$2+1,,,"Instances") &amp; ":" &amp; ADDRESS(238+3,K$2+1))))</f>
        <v>#N/A</v>
      </c>
      <c r="L243" s="0" t="str">
        <f aca="false">IFERROR(SMALL(K5:K364,ROW()-ROW($L$5)+1),"")</f>
        <v/>
      </c>
      <c r="N243" s="0" t="n">
        <f aca="false">IFERROR(SUM(L5:L243),"")</f>
        <v>0</v>
      </c>
      <c r="Q243" s="0" t="e">
        <f aca="false">IF(Charts!$B$3="none",E2050,IF(K2050="",NA(),K2050))</f>
        <v>#N/A</v>
      </c>
      <c r="R243" s="0" t="e">
        <f aca="false">IF(Charts!$B$3="none",F2050,IF(L2050="",NA(),L2050))</f>
        <v>#N/A</v>
      </c>
      <c r="S243" s="0" t="e">
        <f aca="false">IF(Charts!$B$3="none",G2050,IF(M2050="",NA(),M2050))</f>
        <v>#N/A</v>
      </c>
      <c r="T243" s="0" t="e">
        <f aca="false">IF(Charts!$B$3="none",H2050,IF(N2050="",NA(),N2050))</f>
        <v>#N/A</v>
      </c>
    </row>
    <row r="244" customFormat="false" ht="15" hidden="false" customHeight="false" outlineLevel="0" collapsed="false">
      <c r="D244" s="0" t="n">
        <v>240</v>
      </c>
      <c r="E244" s="0" t="str">
        <f aca="true">IF(INDIRECT(ADDRESS($D244+2,E$2+1,,,"Instances"))="","",INDIRECT(ADDRESS($D244+2,E$2+1,,,"Instances")))</f>
        <v>Level_6/5-1101110</v>
      </c>
      <c r="F244" s="0" t="str">
        <f aca="false">IFERROR(SMALL(E5:E364,ROW()-ROW($F$5)+1),"")</f>
        <v/>
      </c>
      <c r="H244" s="0" t="n">
        <f aca="false">IFERROR(SUM(F5:F244),"")</f>
        <v>0</v>
      </c>
      <c r="J244" s="0" t="n">
        <v>240</v>
      </c>
      <c r="K244" s="0" t="e">
        <f aca="true" t="array" ref="K244:K244">_xlfn.SWITCH(Charts!$B$3,"average", AVERAGE(INDIRECT(ADDRESS(239+3,K$2+1,,,"Instances") &amp; ":" &amp; ADDRESS(239+3,K$2+1))),"median", MEDIAN(INDIRECT(ADDRESS(239+3,K$2+1,,,"Instances") &amp; ":" &amp; ADDRESS(239+3,K$2+1))),"min", MIN(INDIRECT(ADDRESS(239+3,K$2+1,,,"Instances") &amp; ":" &amp; ADDRESS(239+3,K$2+1))),"max", MAX(INDIRECT(ADDRESS(239+3,K$2+1,,,"Instances") &amp; ":" &amp; ADDRESS(239+3,K$2+1))),"diff", MAX(INDIRECT(ADDRESS(239+3,K$2+1,,,"Instances") &amp; ":" &amp; ADDRESS(239+3,K$2+1)))-MIN(INDIRECT(ADDRESS(239+3,K$2+1,,,"Instances") &amp; ":" &amp; ADDRESS(239+3,K$2+1))))</f>
        <v>#N/A</v>
      </c>
      <c r="L244" s="0" t="str">
        <f aca="false">IFERROR(SMALL(K5:K364,ROW()-ROW($L$5)+1),"")</f>
        <v/>
      </c>
      <c r="N244" s="0" t="n">
        <f aca="false">IFERROR(SUM(L5:L244),"")</f>
        <v>0</v>
      </c>
      <c r="Q244" s="0" t="e">
        <f aca="false">IF(Charts!$B$3="none",E2051,IF(K2051="",NA(),K2051))</f>
        <v>#N/A</v>
      </c>
      <c r="R244" s="0" t="e">
        <f aca="false">IF(Charts!$B$3="none",F2051,IF(L2051="",NA(),L2051))</f>
        <v>#N/A</v>
      </c>
      <c r="S244" s="0" t="e">
        <f aca="false">IF(Charts!$B$3="none",G2051,IF(M2051="",NA(),M2051))</f>
        <v>#N/A</v>
      </c>
      <c r="T244" s="0" t="e">
        <f aca="false">IF(Charts!$B$3="none",H2051,IF(N2051="",NA(),N2051))</f>
        <v>#N/A</v>
      </c>
    </row>
    <row r="245" customFormat="false" ht="15" hidden="false" customHeight="false" outlineLevel="0" collapsed="false">
      <c r="D245" s="0" t="n">
        <v>241</v>
      </c>
      <c r="E245" s="0" t="str">
        <f aca="true">IF(INDIRECT(ADDRESS($D245+2,E$2+1,,,"Instances"))="","",INDIRECT(ADDRESS($D245+2,E$2+1,,,"Instances")))</f>
        <v>Level_6/5-1110011</v>
      </c>
      <c r="F245" s="0" t="str">
        <f aca="false">IFERROR(SMALL(E5:E364,ROW()-ROW($F$5)+1),"")</f>
        <v/>
      </c>
      <c r="H245" s="0" t="n">
        <f aca="false">IFERROR(SUM(F5:F245),"")</f>
        <v>0</v>
      </c>
      <c r="J245" s="0" t="n">
        <v>241</v>
      </c>
      <c r="K245" s="0" t="e">
        <f aca="true" t="array" ref="K245:K245">_xlfn.SWITCH(Charts!$B$3,"average", AVERAGE(INDIRECT(ADDRESS(240+3,K$2+1,,,"Instances") &amp; ":" &amp; ADDRESS(240+3,K$2+1))),"median", MEDIAN(INDIRECT(ADDRESS(240+3,K$2+1,,,"Instances") &amp; ":" &amp; ADDRESS(240+3,K$2+1))),"min", MIN(INDIRECT(ADDRESS(240+3,K$2+1,,,"Instances") &amp; ":" &amp; ADDRESS(240+3,K$2+1))),"max", MAX(INDIRECT(ADDRESS(240+3,K$2+1,,,"Instances") &amp; ":" &amp; ADDRESS(240+3,K$2+1))),"diff", MAX(INDIRECT(ADDRESS(240+3,K$2+1,,,"Instances") &amp; ":" &amp; ADDRESS(240+3,K$2+1)))-MIN(INDIRECT(ADDRESS(240+3,K$2+1,,,"Instances") &amp; ":" &amp; ADDRESS(240+3,K$2+1))))</f>
        <v>#N/A</v>
      </c>
      <c r="L245" s="0" t="str">
        <f aca="false">IFERROR(SMALL(K5:K364,ROW()-ROW($L$5)+1),"")</f>
        <v/>
      </c>
      <c r="N245" s="0" t="n">
        <f aca="false">IFERROR(SUM(L5:L245),"")</f>
        <v>0</v>
      </c>
      <c r="Q245" s="0" t="e">
        <f aca="false">IF(Charts!$B$3="none",E2052,IF(K2052="",NA(),K2052))</f>
        <v>#N/A</v>
      </c>
      <c r="R245" s="0" t="e">
        <f aca="false">IF(Charts!$B$3="none",F2052,IF(L2052="",NA(),L2052))</f>
        <v>#N/A</v>
      </c>
      <c r="S245" s="0" t="e">
        <f aca="false">IF(Charts!$B$3="none",G2052,IF(M2052="",NA(),M2052))</f>
        <v>#N/A</v>
      </c>
      <c r="T245" s="0" t="e">
        <f aca="false">IF(Charts!$B$3="none",H2052,IF(N2052="",NA(),N2052))</f>
        <v>#N/A</v>
      </c>
    </row>
    <row r="246" customFormat="false" ht="15" hidden="false" customHeight="false" outlineLevel="0" collapsed="false">
      <c r="D246" s="0" t="n">
        <v>242</v>
      </c>
      <c r="E246" s="0" t="str">
        <f aca="true">IF(INDIRECT(ADDRESS($D246+2,E$2+1,,,"Instances"))="","",INDIRECT(ADDRESS($D246+2,E$2+1,,,"Instances")))</f>
        <v>Level_6/5-1110101</v>
      </c>
      <c r="F246" s="0" t="str">
        <f aca="false">IFERROR(SMALL(E5:E364,ROW()-ROW($F$5)+1),"")</f>
        <v/>
      </c>
      <c r="H246" s="0" t="n">
        <f aca="false">IFERROR(SUM(F5:F246),"")</f>
        <v>0</v>
      </c>
      <c r="J246" s="0" t="n">
        <v>242</v>
      </c>
      <c r="K246" s="0" t="e">
        <f aca="true" t="array" ref="K246:K246">_xlfn.SWITCH(Charts!$B$3,"average", AVERAGE(INDIRECT(ADDRESS(241+3,K$2+1,,,"Instances") &amp; ":" &amp; ADDRESS(241+3,K$2+1))),"median", MEDIAN(INDIRECT(ADDRESS(241+3,K$2+1,,,"Instances") &amp; ":" &amp; ADDRESS(241+3,K$2+1))),"min", MIN(INDIRECT(ADDRESS(241+3,K$2+1,,,"Instances") &amp; ":" &amp; ADDRESS(241+3,K$2+1))),"max", MAX(INDIRECT(ADDRESS(241+3,K$2+1,,,"Instances") &amp; ":" &amp; ADDRESS(241+3,K$2+1))),"diff", MAX(INDIRECT(ADDRESS(241+3,K$2+1,,,"Instances") &amp; ":" &amp; ADDRESS(241+3,K$2+1)))-MIN(INDIRECT(ADDRESS(241+3,K$2+1,,,"Instances") &amp; ":" &amp; ADDRESS(241+3,K$2+1))))</f>
        <v>#N/A</v>
      </c>
      <c r="L246" s="0" t="str">
        <f aca="false">IFERROR(SMALL(K5:K364,ROW()-ROW($L$5)+1),"")</f>
        <v/>
      </c>
      <c r="N246" s="0" t="n">
        <f aca="false">IFERROR(SUM(L5:L246),"")</f>
        <v>0</v>
      </c>
      <c r="Q246" s="0" t="e">
        <f aca="false">IF(Charts!$B$3="none",E2053,IF(K2053="",NA(),K2053))</f>
        <v>#N/A</v>
      </c>
      <c r="R246" s="0" t="e">
        <f aca="false">IF(Charts!$B$3="none",F2053,IF(L2053="",NA(),L2053))</f>
        <v>#N/A</v>
      </c>
      <c r="S246" s="0" t="e">
        <f aca="false">IF(Charts!$B$3="none",G2053,IF(M2053="",NA(),M2053))</f>
        <v>#N/A</v>
      </c>
      <c r="T246" s="0" t="e">
        <f aca="false">IF(Charts!$B$3="none",H2053,IF(N2053="",NA(),N2053))</f>
        <v>#N/A</v>
      </c>
    </row>
    <row r="247" customFormat="false" ht="15" hidden="false" customHeight="false" outlineLevel="0" collapsed="false">
      <c r="D247" s="0" t="n">
        <v>243</v>
      </c>
      <c r="E247" s="0" t="str">
        <f aca="true">IF(INDIRECT(ADDRESS($D247+2,E$2+1,,,"Instances"))="","",INDIRECT(ADDRESS($D247+2,E$2+1,,,"Instances")))</f>
        <v>Level_6/5-1111001</v>
      </c>
      <c r="F247" s="0" t="str">
        <f aca="false">IFERROR(SMALL(E5:E364,ROW()-ROW($F$5)+1),"")</f>
        <v/>
      </c>
      <c r="H247" s="0" t="n">
        <f aca="false">IFERROR(SUM(F5:F247),"")</f>
        <v>0</v>
      </c>
      <c r="J247" s="0" t="n">
        <v>243</v>
      </c>
      <c r="K247" s="0" t="e">
        <f aca="true" t="array" ref="K247:K247">_xlfn.SWITCH(Charts!$B$3,"average", AVERAGE(INDIRECT(ADDRESS(242+3,K$2+1,,,"Instances") &amp; ":" &amp; ADDRESS(242+3,K$2+1))),"median", MEDIAN(INDIRECT(ADDRESS(242+3,K$2+1,,,"Instances") &amp; ":" &amp; ADDRESS(242+3,K$2+1))),"min", MIN(INDIRECT(ADDRESS(242+3,K$2+1,,,"Instances") &amp; ":" &amp; ADDRESS(242+3,K$2+1))),"max", MAX(INDIRECT(ADDRESS(242+3,K$2+1,,,"Instances") &amp; ":" &amp; ADDRESS(242+3,K$2+1))),"diff", MAX(INDIRECT(ADDRESS(242+3,K$2+1,,,"Instances") &amp; ":" &amp; ADDRESS(242+3,K$2+1)))-MIN(INDIRECT(ADDRESS(242+3,K$2+1,,,"Instances") &amp; ":" &amp; ADDRESS(242+3,K$2+1))))</f>
        <v>#N/A</v>
      </c>
      <c r="L247" s="0" t="str">
        <f aca="false">IFERROR(SMALL(K5:K364,ROW()-ROW($L$5)+1),"")</f>
        <v/>
      </c>
      <c r="N247" s="0" t="n">
        <f aca="false">IFERROR(SUM(L5:L247),"")</f>
        <v>0</v>
      </c>
      <c r="Q247" s="0" t="e">
        <f aca="false">IF(Charts!$B$3="none",E2054,IF(K2054="",NA(),K2054))</f>
        <v>#N/A</v>
      </c>
      <c r="R247" s="0" t="e">
        <f aca="false">IF(Charts!$B$3="none",F2054,IF(L2054="",NA(),L2054))</f>
        <v>#N/A</v>
      </c>
      <c r="S247" s="0" t="e">
        <f aca="false">IF(Charts!$B$3="none",G2054,IF(M2054="",NA(),M2054))</f>
        <v>#N/A</v>
      </c>
      <c r="T247" s="0" t="e">
        <f aca="false">IF(Charts!$B$3="none",H2054,IF(N2054="",NA(),N2054))</f>
        <v>#N/A</v>
      </c>
    </row>
    <row r="248" customFormat="false" ht="15" hidden="false" customHeight="false" outlineLevel="0" collapsed="false">
      <c r="D248" s="0" t="n">
        <v>244</v>
      </c>
      <c r="E248" s="0" t="str">
        <f aca="true">IF(INDIRECT(ADDRESS($D248+2,E$2+1,,,"Instances"))="","",INDIRECT(ADDRESS($D248+2,E$2+1,,,"Instances")))</f>
        <v>Level_6/5-1111100</v>
      </c>
      <c r="F248" s="0" t="str">
        <f aca="false">IFERROR(SMALL(E5:E364,ROW()-ROW($F$5)+1),"")</f>
        <v/>
      </c>
      <c r="H248" s="0" t="n">
        <f aca="false">IFERROR(SUM(F5:F248),"")</f>
        <v>0</v>
      </c>
      <c r="J248" s="0" t="n">
        <v>244</v>
      </c>
      <c r="K248" s="0" t="e">
        <f aca="true" t="array" ref="K248:K248">_xlfn.SWITCH(Charts!$B$3,"average", AVERAGE(INDIRECT(ADDRESS(243+3,K$2+1,,,"Instances") &amp; ":" &amp; ADDRESS(243+3,K$2+1))),"median", MEDIAN(INDIRECT(ADDRESS(243+3,K$2+1,,,"Instances") &amp; ":" &amp; ADDRESS(243+3,K$2+1))),"min", MIN(INDIRECT(ADDRESS(243+3,K$2+1,,,"Instances") &amp; ":" &amp; ADDRESS(243+3,K$2+1))),"max", MAX(INDIRECT(ADDRESS(243+3,K$2+1,,,"Instances") &amp; ":" &amp; ADDRESS(243+3,K$2+1))),"diff", MAX(INDIRECT(ADDRESS(243+3,K$2+1,,,"Instances") &amp; ":" &amp; ADDRESS(243+3,K$2+1)))-MIN(INDIRECT(ADDRESS(243+3,K$2+1,,,"Instances") &amp; ":" &amp; ADDRESS(243+3,K$2+1))))</f>
        <v>#N/A</v>
      </c>
      <c r="L248" s="0" t="str">
        <f aca="false">IFERROR(SMALL(K5:K364,ROW()-ROW($L$5)+1),"")</f>
        <v/>
      </c>
      <c r="N248" s="0" t="n">
        <f aca="false">IFERROR(SUM(L5:L248),"")</f>
        <v>0</v>
      </c>
      <c r="Q248" s="0" t="e">
        <f aca="false">IF(Charts!$B$3="none",E2055,IF(K2055="",NA(),K2055))</f>
        <v>#N/A</v>
      </c>
      <c r="R248" s="0" t="e">
        <f aca="false">IF(Charts!$B$3="none",F2055,IF(L2055="",NA(),L2055))</f>
        <v>#N/A</v>
      </c>
      <c r="S248" s="0" t="e">
        <f aca="false">IF(Charts!$B$3="none",G2055,IF(M2055="",NA(),M2055))</f>
        <v>#N/A</v>
      </c>
      <c r="T248" s="0" t="e">
        <f aca="false">IF(Charts!$B$3="none",H2055,IF(N2055="",NA(),N2055))</f>
        <v>#N/A</v>
      </c>
    </row>
    <row r="249" customFormat="false" ht="15" hidden="false" customHeight="false" outlineLevel="0" collapsed="false">
      <c r="D249" s="0" t="n">
        <v>245</v>
      </c>
      <c r="E249" s="0" t="str">
        <f aca="true">IF(INDIRECT(ADDRESS($D249+2,E$2+1,,,"Instances"))="","",INDIRECT(ADDRESS($D249+2,E$2+1,,,"Instances")))</f>
        <v>Level_6/6-0111111</v>
      </c>
      <c r="F249" s="0" t="str">
        <f aca="false">IFERROR(SMALL(E5:E364,ROW()-ROW($F$5)+1),"")</f>
        <v/>
      </c>
      <c r="H249" s="0" t="n">
        <f aca="false">IFERROR(SUM(F5:F249),"")</f>
        <v>0</v>
      </c>
      <c r="J249" s="0" t="n">
        <v>245</v>
      </c>
      <c r="K249" s="0" t="e">
        <f aca="true" t="array" ref="K249:K249">_xlfn.SWITCH(Charts!$B$3,"average", AVERAGE(INDIRECT(ADDRESS(244+3,K$2+1,,,"Instances") &amp; ":" &amp; ADDRESS(244+3,K$2+1))),"median", MEDIAN(INDIRECT(ADDRESS(244+3,K$2+1,,,"Instances") &amp; ":" &amp; ADDRESS(244+3,K$2+1))),"min", MIN(INDIRECT(ADDRESS(244+3,K$2+1,,,"Instances") &amp; ":" &amp; ADDRESS(244+3,K$2+1))),"max", MAX(INDIRECT(ADDRESS(244+3,K$2+1,,,"Instances") &amp; ":" &amp; ADDRESS(244+3,K$2+1))),"diff", MAX(INDIRECT(ADDRESS(244+3,K$2+1,,,"Instances") &amp; ":" &amp; ADDRESS(244+3,K$2+1)))-MIN(INDIRECT(ADDRESS(244+3,K$2+1,,,"Instances") &amp; ":" &amp; ADDRESS(244+3,K$2+1))))</f>
        <v>#N/A</v>
      </c>
      <c r="L249" s="0" t="str">
        <f aca="false">IFERROR(SMALL(K5:K364,ROW()-ROW($L$5)+1),"")</f>
        <v/>
      </c>
      <c r="N249" s="0" t="n">
        <f aca="false">IFERROR(SUM(L5:L249),"")</f>
        <v>0</v>
      </c>
      <c r="Q249" s="0" t="e">
        <f aca="false">IF(Charts!$B$3="none",E2056,IF(K2056="",NA(),K2056))</f>
        <v>#N/A</v>
      </c>
      <c r="R249" s="0" t="e">
        <f aca="false">IF(Charts!$B$3="none",F2056,IF(L2056="",NA(),L2056))</f>
        <v>#N/A</v>
      </c>
      <c r="S249" s="0" t="e">
        <f aca="false">IF(Charts!$B$3="none",G2056,IF(M2056="",NA(),M2056))</f>
        <v>#N/A</v>
      </c>
      <c r="T249" s="0" t="e">
        <f aca="false">IF(Charts!$B$3="none",H2056,IF(N2056="",NA(),N2056))</f>
        <v>#N/A</v>
      </c>
    </row>
    <row r="250" customFormat="false" ht="15" hidden="false" customHeight="false" outlineLevel="0" collapsed="false">
      <c r="D250" s="0" t="n">
        <v>246</v>
      </c>
      <c r="E250" s="0" t="str">
        <f aca="true">IF(INDIRECT(ADDRESS($D250+2,E$2+1,,,"Instances"))="","",INDIRECT(ADDRESS($D250+2,E$2+1,,,"Instances")))</f>
        <v>Level_6/6-1011111</v>
      </c>
      <c r="F250" s="0" t="str">
        <f aca="false">IFERROR(SMALL(E5:E364,ROW()-ROW($F$5)+1),"")</f>
        <v/>
      </c>
      <c r="H250" s="0" t="n">
        <f aca="false">IFERROR(SUM(F5:F250),"")</f>
        <v>0</v>
      </c>
      <c r="J250" s="0" t="n">
        <v>246</v>
      </c>
      <c r="K250" s="0" t="e">
        <f aca="true" t="array" ref="K250:K250">_xlfn.SWITCH(Charts!$B$3,"average", AVERAGE(INDIRECT(ADDRESS(245+3,K$2+1,,,"Instances") &amp; ":" &amp; ADDRESS(245+3,K$2+1))),"median", MEDIAN(INDIRECT(ADDRESS(245+3,K$2+1,,,"Instances") &amp; ":" &amp; ADDRESS(245+3,K$2+1))),"min", MIN(INDIRECT(ADDRESS(245+3,K$2+1,,,"Instances") &amp; ":" &amp; ADDRESS(245+3,K$2+1))),"max", MAX(INDIRECT(ADDRESS(245+3,K$2+1,,,"Instances") &amp; ":" &amp; ADDRESS(245+3,K$2+1))),"diff", MAX(INDIRECT(ADDRESS(245+3,K$2+1,,,"Instances") &amp; ":" &amp; ADDRESS(245+3,K$2+1)))-MIN(INDIRECT(ADDRESS(245+3,K$2+1,,,"Instances") &amp; ":" &amp; ADDRESS(245+3,K$2+1))))</f>
        <v>#N/A</v>
      </c>
      <c r="L250" s="0" t="str">
        <f aca="false">IFERROR(SMALL(K5:K364,ROW()-ROW($L$5)+1),"")</f>
        <v/>
      </c>
      <c r="N250" s="0" t="n">
        <f aca="false">IFERROR(SUM(L5:L250),"")</f>
        <v>0</v>
      </c>
      <c r="Q250" s="0" t="e">
        <f aca="false">IF(Charts!$B$3="none",E2057,IF(K2057="",NA(),K2057))</f>
        <v>#N/A</v>
      </c>
      <c r="R250" s="0" t="e">
        <f aca="false">IF(Charts!$B$3="none",F2057,IF(L2057="",NA(),L2057))</f>
        <v>#N/A</v>
      </c>
      <c r="S250" s="0" t="e">
        <f aca="false">IF(Charts!$B$3="none",G2057,IF(M2057="",NA(),M2057))</f>
        <v>#N/A</v>
      </c>
      <c r="T250" s="0" t="e">
        <f aca="false">IF(Charts!$B$3="none",H2057,IF(N2057="",NA(),N2057))</f>
        <v>#N/A</v>
      </c>
    </row>
    <row r="251" customFormat="false" ht="15" hidden="false" customHeight="false" outlineLevel="0" collapsed="false">
      <c r="D251" s="0" t="n">
        <v>247</v>
      </c>
      <c r="E251" s="0" t="str">
        <f aca="true">IF(INDIRECT(ADDRESS($D251+2,E$2+1,,,"Instances"))="","",INDIRECT(ADDRESS($D251+2,E$2+1,,,"Instances")))</f>
        <v>Level_6/6-1101111</v>
      </c>
      <c r="F251" s="0" t="str">
        <f aca="false">IFERROR(SMALL(E5:E364,ROW()-ROW($F$5)+1),"")</f>
        <v/>
      </c>
      <c r="H251" s="0" t="n">
        <f aca="false">IFERROR(SUM(F5:F251),"")</f>
        <v>0</v>
      </c>
      <c r="J251" s="0" t="n">
        <v>247</v>
      </c>
      <c r="K251" s="0" t="e">
        <f aca="true" t="array" ref="K251:K251">_xlfn.SWITCH(Charts!$B$3,"average", AVERAGE(INDIRECT(ADDRESS(246+3,K$2+1,,,"Instances") &amp; ":" &amp; ADDRESS(246+3,K$2+1))),"median", MEDIAN(INDIRECT(ADDRESS(246+3,K$2+1,,,"Instances") &amp; ":" &amp; ADDRESS(246+3,K$2+1))),"min", MIN(INDIRECT(ADDRESS(246+3,K$2+1,,,"Instances") &amp; ":" &amp; ADDRESS(246+3,K$2+1))),"max", MAX(INDIRECT(ADDRESS(246+3,K$2+1,,,"Instances") &amp; ":" &amp; ADDRESS(246+3,K$2+1))),"diff", MAX(INDIRECT(ADDRESS(246+3,K$2+1,,,"Instances") &amp; ":" &amp; ADDRESS(246+3,K$2+1)))-MIN(INDIRECT(ADDRESS(246+3,K$2+1,,,"Instances") &amp; ":" &amp; ADDRESS(246+3,K$2+1))))</f>
        <v>#N/A</v>
      </c>
      <c r="L251" s="0" t="str">
        <f aca="false">IFERROR(SMALL(K5:K364,ROW()-ROW($L$5)+1),"")</f>
        <v/>
      </c>
      <c r="N251" s="0" t="n">
        <f aca="false">IFERROR(SUM(L5:L251),"")</f>
        <v>0</v>
      </c>
      <c r="Q251" s="0" t="e">
        <f aca="false">IF(Charts!$B$3="none",E2058,IF(K2058="",NA(),K2058))</f>
        <v>#N/A</v>
      </c>
      <c r="R251" s="0" t="e">
        <f aca="false">IF(Charts!$B$3="none",F2058,IF(L2058="",NA(),L2058))</f>
        <v>#N/A</v>
      </c>
      <c r="S251" s="0" t="e">
        <f aca="false">IF(Charts!$B$3="none",G2058,IF(M2058="",NA(),M2058))</f>
        <v>#N/A</v>
      </c>
      <c r="T251" s="0" t="e">
        <f aca="false">IF(Charts!$B$3="none",H2058,IF(N2058="",NA(),N2058))</f>
        <v>#N/A</v>
      </c>
    </row>
    <row r="252" customFormat="false" ht="15" hidden="false" customHeight="false" outlineLevel="0" collapsed="false">
      <c r="D252" s="0" t="n">
        <v>248</v>
      </c>
      <c r="E252" s="0" t="str">
        <f aca="true">IF(INDIRECT(ADDRESS($D252+2,E$2+1,,,"Instances"))="","",INDIRECT(ADDRESS($D252+2,E$2+1,,,"Instances")))</f>
        <v>Level_6/6-1110111</v>
      </c>
      <c r="F252" s="0" t="str">
        <f aca="false">IFERROR(SMALL(E5:E364,ROW()-ROW($F$5)+1),"")</f>
        <v/>
      </c>
      <c r="H252" s="0" t="n">
        <f aca="false">IFERROR(SUM(F5:F252),"")</f>
        <v>0</v>
      </c>
      <c r="J252" s="0" t="n">
        <v>248</v>
      </c>
      <c r="K252" s="0" t="e">
        <f aca="true" t="array" ref="K252:K252">_xlfn.SWITCH(Charts!$B$3,"average", AVERAGE(INDIRECT(ADDRESS(247+3,K$2+1,,,"Instances") &amp; ":" &amp; ADDRESS(247+3,K$2+1))),"median", MEDIAN(INDIRECT(ADDRESS(247+3,K$2+1,,,"Instances") &amp; ":" &amp; ADDRESS(247+3,K$2+1))),"min", MIN(INDIRECT(ADDRESS(247+3,K$2+1,,,"Instances") &amp; ":" &amp; ADDRESS(247+3,K$2+1))),"max", MAX(INDIRECT(ADDRESS(247+3,K$2+1,,,"Instances") &amp; ":" &amp; ADDRESS(247+3,K$2+1))),"diff", MAX(INDIRECT(ADDRESS(247+3,K$2+1,,,"Instances") &amp; ":" &amp; ADDRESS(247+3,K$2+1)))-MIN(INDIRECT(ADDRESS(247+3,K$2+1,,,"Instances") &amp; ":" &amp; ADDRESS(247+3,K$2+1))))</f>
        <v>#N/A</v>
      </c>
      <c r="L252" s="0" t="str">
        <f aca="false">IFERROR(SMALL(K5:K364,ROW()-ROW($L$5)+1),"")</f>
        <v/>
      </c>
      <c r="N252" s="0" t="n">
        <f aca="false">IFERROR(SUM(L5:L252),"")</f>
        <v>0</v>
      </c>
      <c r="Q252" s="0" t="e">
        <f aca="false">IF(Charts!$B$3="none",E2059,IF(K2059="",NA(),K2059))</f>
        <v>#N/A</v>
      </c>
      <c r="R252" s="0" t="e">
        <f aca="false">IF(Charts!$B$3="none",F2059,IF(L2059="",NA(),L2059))</f>
        <v>#N/A</v>
      </c>
      <c r="S252" s="0" t="e">
        <f aca="false">IF(Charts!$B$3="none",G2059,IF(M2059="",NA(),M2059))</f>
        <v>#N/A</v>
      </c>
      <c r="T252" s="0" t="e">
        <f aca="false">IF(Charts!$B$3="none",H2059,IF(N2059="",NA(),N2059))</f>
        <v>#N/A</v>
      </c>
    </row>
    <row r="253" customFormat="false" ht="15" hidden="false" customHeight="false" outlineLevel="0" collapsed="false">
      <c r="D253" s="0" t="n">
        <v>249</v>
      </c>
      <c r="E253" s="0" t="str">
        <f aca="true">IF(INDIRECT(ADDRESS($D253+2,E$2+1,,,"Instances"))="","",INDIRECT(ADDRESS($D253+2,E$2+1,,,"Instances")))</f>
        <v>Level_6/6-1111011</v>
      </c>
      <c r="F253" s="0" t="str">
        <f aca="false">IFERROR(SMALL(E5:E364,ROW()-ROW($F$5)+1),"")</f>
        <v/>
      </c>
      <c r="H253" s="0" t="n">
        <f aca="false">IFERROR(SUM(F5:F253),"")</f>
        <v>0</v>
      </c>
      <c r="J253" s="0" t="n">
        <v>249</v>
      </c>
      <c r="K253" s="0" t="e">
        <f aca="true" t="array" ref="K253:K253">_xlfn.SWITCH(Charts!$B$3,"average", AVERAGE(INDIRECT(ADDRESS(248+3,K$2+1,,,"Instances") &amp; ":" &amp; ADDRESS(248+3,K$2+1))),"median", MEDIAN(INDIRECT(ADDRESS(248+3,K$2+1,,,"Instances") &amp; ":" &amp; ADDRESS(248+3,K$2+1))),"min", MIN(INDIRECT(ADDRESS(248+3,K$2+1,,,"Instances") &amp; ":" &amp; ADDRESS(248+3,K$2+1))),"max", MAX(INDIRECT(ADDRESS(248+3,K$2+1,,,"Instances") &amp; ":" &amp; ADDRESS(248+3,K$2+1))),"diff", MAX(INDIRECT(ADDRESS(248+3,K$2+1,,,"Instances") &amp; ":" &amp; ADDRESS(248+3,K$2+1)))-MIN(INDIRECT(ADDRESS(248+3,K$2+1,,,"Instances") &amp; ":" &amp; ADDRESS(248+3,K$2+1))))</f>
        <v>#N/A</v>
      </c>
      <c r="L253" s="0" t="str">
        <f aca="false">IFERROR(SMALL(K5:K364,ROW()-ROW($L$5)+1),"")</f>
        <v/>
      </c>
      <c r="N253" s="0" t="n">
        <f aca="false">IFERROR(SUM(L5:L253),"")</f>
        <v>0</v>
      </c>
      <c r="Q253" s="0" t="e">
        <f aca="false">IF(Charts!$B$3="none",E2060,IF(K2060="",NA(),K2060))</f>
        <v>#N/A</v>
      </c>
      <c r="R253" s="0" t="e">
        <f aca="false">IF(Charts!$B$3="none",F2060,IF(L2060="",NA(),L2060))</f>
        <v>#N/A</v>
      </c>
      <c r="S253" s="0" t="e">
        <f aca="false">IF(Charts!$B$3="none",G2060,IF(M2060="",NA(),M2060))</f>
        <v>#N/A</v>
      </c>
      <c r="T253" s="0" t="e">
        <f aca="false">IF(Charts!$B$3="none",H2060,IF(N2060="",NA(),N2060))</f>
        <v>#N/A</v>
      </c>
    </row>
    <row r="254" customFormat="false" ht="15" hidden="false" customHeight="false" outlineLevel="0" collapsed="false">
      <c r="D254" s="0" t="n">
        <v>250</v>
      </c>
      <c r="E254" s="0" t="str">
        <f aca="true">IF(INDIRECT(ADDRESS($D254+2,E$2+1,,,"Instances"))="","",INDIRECT(ADDRESS($D254+2,E$2+1,,,"Instances")))</f>
        <v>Level_6/6-1111101</v>
      </c>
      <c r="F254" s="0" t="str">
        <f aca="false">IFERROR(SMALL(E5:E364,ROW()-ROW($F$5)+1),"")</f>
        <v/>
      </c>
      <c r="H254" s="0" t="n">
        <f aca="false">IFERROR(SUM(F5:F254),"")</f>
        <v>0</v>
      </c>
      <c r="J254" s="0" t="n">
        <v>250</v>
      </c>
      <c r="K254" s="0" t="e">
        <f aca="true" t="array" ref="K254:K254">_xlfn.SWITCH(Charts!$B$3,"average", AVERAGE(INDIRECT(ADDRESS(249+3,K$2+1,,,"Instances") &amp; ":" &amp; ADDRESS(249+3,K$2+1))),"median", MEDIAN(INDIRECT(ADDRESS(249+3,K$2+1,,,"Instances") &amp; ":" &amp; ADDRESS(249+3,K$2+1))),"min", MIN(INDIRECT(ADDRESS(249+3,K$2+1,,,"Instances") &amp; ":" &amp; ADDRESS(249+3,K$2+1))),"max", MAX(INDIRECT(ADDRESS(249+3,K$2+1,,,"Instances") &amp; ":" &amp; ADDRESS(249+3,K$2+1))),"diff", MAX(INDIRECT(ADDRESS(249+3,K$2+1,,,"Instances") &amp; ":" &amp; ADDRESS(249+3,K$2+1)))-MIN(INDIRECT(ADDRESS(249+3,K$2+1,,,"Instances") &amp; ":" &amp; ADDRESS(249+3,K$2+1))))</f>
        <v>#N/A</v>
      </c>
      <c r="L254" s="0" t="str">
        <f aca="false">IFERROR(SMALL(K5:K364,ROW()-ROW($L$5)+1),"")</f>
        <v/>
      </c>
      <c r="N254" s="0" t="n">
        <f aca="false">IFERROR(SUM(L5:L254),"")</f>
        <v>0</v>
      </c>
      <c r="Q254" s="0" t="e">
        <f aca="false">IF(Charts!$B$3="none",E2061,IF(K2061="",NA(),K2061))</f>
        <v>#N/A</v>
      </c>
      <c r="R254" s="0" t="e">
        <f aca="false">IF(Charts!$B$3="none",F2061,IF(L2061="",NA(),L2061))</f>
        <v>#N/A</v>
      </c>
      <c r="S254" s="0" t="e">
        <f aca="false">IF(Charts!$B$3="none",G2061,IF(M2061="",NA(),M2061))</f>
        <v>#N/A</v>
      </c>
      <c r="T254" s="0" t="e">
        <f aca="false">IF(Charts!$B$3="none",H2061,IF(N2061="",NA(),N2061))</f>
        <v>#N/A</v>
      </c>
    </row>
    <row r="255" customFormat="false" ht="15" hidden="false" customHeight="false" outlineLevel="0" collapsed="false">
      <c r="D255" s="0" t="n">
        <v>251</v>
      </c>
      <c r="E255" s="0" t="str">
        <f aca="true">IF(INDIRECT(ADDRESS($D255+2,E$2+1,,,"Instances"))="","",INDIRECT(ADDRESS($D255+2,E$2+1,,,"Instances")))</f>
        <v>Level_6/6-1111110</v>
      </c>
      <c r="F255" s="0" t="str">
        <f aca="false">IFERROR(SMALL(E5:E364,ROW()-ROW($F$5)+1),"")</f>
        <v/>
      </c>
      <c r="H255" s="0" t="n">
        <f aca="false">IFERROR(SUM(F5:F255),"")</f>
        <v>0</v>
      </c>
      <c r="J255" s="0" t="n">
        <v>251</v>
      </c>
      <c r="K255" s="0" t="e">
        <f aca="true" t="array" ref="K255:K255">_xlfn.SWITCH(Charts!$B$3,"average", AVERAGE(INDIRECT(ADDRESS(250+3,K$2+1,,,"Instances") &amp; ":" &amp; ADDRESS(250+3,K$2+1))),"median", MEDIAN(INDIRECT(ADDRESS(250+3,K$2+1,,,"Instances") &amp; ":" &amp; ADDRESS(250+3,K$2+1))),"min", MIN(INDIRECT(ADDRESS(250+3,K$2+1,,,"Instances") &amp; ":" &amp; ADDRESS(250+3,K$2+1))),"max", MAX(INDIRECT(ADDRESS(250+3,K$2+1,,,"Instances") &amp; ":" &amp; ADDRESS(250+3,K$2+1))),"diff", MAX(INDIRECT(ADDRESS(250+3,K$2+1,,,"Instances") &amp; ":" &amp; ADDRESS(250+3,K$2+1)))-MIN(INDIRECT(ADDRESS(250+3,K$2+1,,,"Instances") &amp; ":" &amp; ADDRESS(250+3,K$2+1))))</f>
        <v>#N/A</v>
      </c>
      <c r="L255" s="0" t="str">
        <f aca="false">IFERROR(SMALL(K5:K364,ROW()-ROW($L$5)+1),"")</f>
        <v/>
      </c>
      <c r="N255" s="0" t="n">
        <f aca="false">IFERROR(SUM(L5:L255),"")</f>
        <v>0</v>
      </c>
      <c r="Q255" s="0" t="e">
        <f aca="false">IF(Charts!$B$3="none",E2062,IF(K2062="",NA(),K2062))</f>
        <v>#N/A</v>
      </c>
      <c r="R255" s="0" t="e">
        <f aca="false">IF(Charts!$B$3="none",F2062,IF(L2062="",NA(),L2062))</f>
        <v>#N/A</v>
      </c>
      <c r="S255" s="0" t="e">
        <f aca="false">IF(Charts!$B$3="none",G2062,IF(M2062="",NA(),M2062))</f>
        <v>#N/A</v>
      </c>
      <c r="T255" s="0" t="e">
        <f aca="false">IF(Charts!$B$3="none",H2062,IF(N2062="",NA(),N2062))</f>
        <v>#N/A</v>
      </c>
    </row>
    <row r="256" customFormat="false" ht="15" hidden="false" customHeight="false" outlineLevel="0" collapsed="false">
      <c r="D256" s="0" t="n">
        <v>252</v>
      </c>
      <c r="E256" s="0" t="str">
        <f aca="true">IF(INDIRECT(ADDRESS($D256+2,E$2+1,,,"Instances"))="","",INDIRECT(ADDRESS($D256+2,E$2+1,,,"Instances")))</f>
        <v>Level_6/7-1111111</v>
      </c>
      <c r="F256" s="0" t="str">
        <f aca="false">IFERROR(SMALL(E5:E364,ROW()-ROW($F$5)+1),"")</f>
        <v/>
      </c>
      <c r="H256" s="0" t="n">
        <f aca="false">IFERROR(SUM(F5:F256),"")</f>
        <v>0</v>
      </c>
      <c r="J256" s="0" t="n">
        <v>252</v>
      </c>
      <c r="K256" s="0" t="e">
        <f aca="true" t="array" ref="K256:K256">_xlfn.SWITCH(Charts!$B$3,"average", AVERAGE(INDIRECT(ADDRESS(251+3,K$2+1,,,"Instances") &amp; ":" &amp; ADDRESS(251+3,K$2+1))),"median", MEDIAN(INDIRECT(ADDRESS(251+3,K$2+1,,,"Instances") &amp; ":" &amp; ADDRESS(251+3,K$2+1))),"min", MIN(INDIRECT(ADDRESS(251+3,K$2+1,,,"Instances") &amp; ":" &amp; ADDRESS(251+3,K$2+1))),"max", MAX(INDIRECT(ADDRESS(251+3,K$2+1,,,"Instances") &amp; ":" &amp; ADDRESS(251+3,K$2+1))),"diff", MAX(INDIRECT(ADDRESS(251+3,K$2+1,,,"Instances") &amp; ":" &amp; ADDRESS(251+3,K$2+1)))-MIN(INDIRECT(ADDRESS(251+3,K$2+1,,,"Instances") &amp; ":" &amp; ADDRESS(251+3,K$2+1))))</f>
        <v>#N/A</v>
      </c>
      <c r="L256" s="0" t="str">
        <f aca="false">IFERROR(SMALL(K5:K364,ROW()-ROW($L$5)+1),"")</f>
        <v/>
      </c>
      <c r="N256" s="0" t="n">
        <f aca="false">IFERROR(SUM(L5:L256),"")</f>
        <v>0</v>
      </c>
      <c r="Q256" s="0" t="e">
        <f aca="false">IF(Charts!$B$3="none",E2063,IF(K2063="",NA(),K2063))</f>
        <v>#N/A</v>
      </c>
      <c r="R256" s="0" t="e">
        <f aca="false">IF(Charts!$B$3="none",F2063,IF(L2063="",NA(),L2063))</f>
        <v>#N/A</v>
      </c>
      <c r="S256" s="0" t="e">
        <f aca="false">IF(Charts!$B$3="none",G2063,IF(M2063="",NA(),M2063))</f>
        <v>#N/A</v>
      </c>
      <c r="T256" s="0" t="e">
        <f aca="false">IF(Charts!$B$3="none",H2063,IF(N2063="",NA(),N2063))</f>
        <v>#N/A</v>
      </c>
    </row>
    <row r="257" customFormat="false" ht="15" hidden="false" customHeight="false" outlineLevel="0" collapsed="false">
      <c r="D257" s="0" t="n">
        <v>253</v>
      </c>
      <c r="E257" s="0" t="str">
        <f aca="true">IF(INDIRECT(ADDRESS($D257+2,E$2+1,,,"Instances"))="","",INDIRECT(ADDRESS($D257+2,E$2+1,,,"Instances")))</f>
        <v>Level_7/2-0000110</v>
      </c>
      <c r="F257" s="0" t="str">
        <f aca="false">IFERROR(SMALL(E5:E364,ROW()-ROW($F$5)+1),"")</f>
        <v/>
      </c>
      <c r="H257" s="0" t="n">
        <f aca="false">IFERROR(SUM(F5:F257),"")</f>
        <v>0</v>
      </c>
      <c r="J257" s="0" t="n">
        <v>253</v>
      </c>
      <c r="K257" s="0" t="e">
        <f aca="true" t="array" ref="K257:K257">_xlfn.SWITCH(Charts!$B$3,"average", AVERAGE(INDIRECT(ADDRESS(252+3,K$2+1,,,"Instances") &amp; ":" &amp; ADDRESS(252+3,K$2+1))),"median", MEDIAN(INDIRECT(ADDRESS(252+3,K$2+1,,,"Instances") &amp; ":" &amp; ADDRESS(252+3,K$2+1))),"min", MIN(INDIRECT(ADDRESS(252+3,K$2+1,,,"Instances") &amp; ":" &amp; ADDRESS(252+3,K$2+1))),"max", MAX(INDIRECT(ADDRESS(252+3,K$2+1,,,"Instances") &amp; ":" &amp; ADDRESS(252+3,K$2+1))),"diff", MAX(INDIRECT(ADDRESS(252+3,K$2+1,,,"Instances") &amp; ":" &amp; ADDRESS(252+3,K$2+1)))-MIN(INDIRECT(ADDRESS(252+3,K$2+1,,,"Instances") &amp; ":" &amp; ADDRESS(252+3,K$2+1))))</f>
        <v>#N/A</v>
      </c>
      <c r="L257" s="0" t="str">
        <f aca="false">IFERROR(SMALL(K5:K364,ROW()-ROW($L$5)+1),"")</f>
        <v/>
      </c>
      <c r="N257" s="0" t="n">
        <f aca="false">IFERROR(SUM(L5:L257),"")</f>
        <v>0</v>
      </c>
      <c r="Q257" s="0" t="e">
        <f aca="false">IF(Charts!$B$3="none",E2064,IF(K2064="",NA(),K2064))</f>
        <v>#N/A</v>
      </c>
      <c r="R257" s="0" t="e">
        <f aca="false">IF(Charts!$B$3="none",F2064,IF(L2064="",NA(),L2064))</f>
        <v>#N/A</v>
      </c>
      <c r="S257" s="0" t="e">
        <f aca="false">IF(Charts!$B$3="none",G2064,IF(M2064="",NA(),M2064))</f>
        <v>#N/A</v>
      </c>
      <c r="T257" s="0" t="e">
        <f aca="false">IF(Charts!$B$3="none",H2064,IF(N2064="",NA(),N2064))</f>
        <v>#N/A</v>
      </c>
    </row>
    <row r="258" customFormat="false" ht="15" hidden="false" customHeight="false" outlineLevel="0" collapsed="false">
      <c r="D258" s="0" t="n">
        <v>254</v>
      </c>
      <c r="E258" s="0" t="str">
        <f aca="true">IF(INDIRECT(ADDRESS($D258+2,E$2+1,,,"Instances"))="","",INDIRECT(ADDRESS($D258+2,E$2+1,,,"Instances")))</f>
        <v>Level_7/2-0001001</v>
      </c>
      <c r="F258" s="0" t="str">
        <f aca="false">IFERROR(SMALL(E5:E364,ROW()-ROW($F$5)+1),"")</f>
        <v/>
      </c>
      <c r="H258" s="0" t="n">
        <f aca="false">IFERROR(SUM(F5:F258),"")</f>
        <v>0</v>
      </c>
      <c r="J258" s="0" t="n">
        <v>254</v>
      </c>
      <c r="K258" s="0" t="e">
        <f aca="true" t="array" ref="K258:K258">_xlfn.SWITCH(Charts!$B$3,"average", AVERAGE(INDIRECT(ADDRESS(253+3,K$2+1,,,"Instances") &amp; ":" &amp; ADDRESS(253+3,K$2+1))),"median", MEDIAN(INDIRECT(ADDRESS(253+3,K$2+1,,,"Instances") &amp; ":" &amp; ADDRESS(253+3,K$2+1))),"min", MIN(INDIRECT(ADDRESS(253+3,K$2+1,,,"Instances") &amp; ":" &amp; ADDRESS(253+3,K$2+1))),"max", MAX(INDIRECT(ADDRESS(253+3,K$2+1,,,"Instances") &amp; ":" &amp; ADDRESS(253+3,K$2+1))),"diff", MAX(INDIRECT(ADDRESS(253+3,K$2+1,,,"Instances") &amp; ":" &amp; ADDRESS(253+3,K$2+1)))-MIN(INDIRECT(ADDRESS(253+3,K$2+1,,,"Instances") &amp; ":" &amp; ADDRESS(253+3,K$2+1))))</f>
        <v>#N/A</v>
      </c>
      <c r="L258" s="0" t="str">
        <f aca="false">IFERROR(SMALL(K5:K364,ROW()-ROW($L$5)+1),"")</f>
        <v/>
      </c>
      <c r="N258" s="0" t="n">
        <f aca="false">IFERROR(SUM(L5:L258),"")</f>
        <v>0</v>
      </c>
      <c r="Q258" s="0" t="e">
        <f aca="false">IF(Charts!$B$3="none",E2065,IF(K2065="",NA(),K2065))</f>
        <v>#N/A</v>
      </c>
      <c r="R258" s="0" t="e">
        <f aca="false">IF(Charts!$B$3="none",F2065,IF(L2065="",NA(),L2065))</f>
        <v>#N/A</v>
      </c>
      <c r="S258" s="0" t="e">
        <f aca="false">IF(Charts!$B$3="none",G2065,IF(M2065="",NA(),M2065))</f>
        <v>#N/A</v>
      </c>
      <c r="T258" s="0" t="e">
        <f aca="false">IF(Charts!$B$3="none",H2065,IF(N2065="",NA(),N2065))</f>
        <v>#N/A</v>
      </c>
    </row>
    <row r="259" customFormat="false" ht="15" hidden="false" customHeight="false" outlineLevel="0" collapsed="false">
      <c r="D259" s="0" t="n">
        <v>255</v>
      </c>
      <c r="E259" s="0" t="str">
        <f aca="true">IF(INDIRECT(ADDRESS($D259+2,E$2+1,,,"Instances"))="","",INDIRECT(ADDRESS($D259+2,E$2+1,,,"Instances")))</f>
        <v>Level_7/2-0001010</v>
      </c>
      <c r="F259" s="0" t="str">
        <f aca="false">IFERROR(SMALL(E5:E364,ROW()-ROW($F$5)+1),"")</f>
        <v/>
      </c>
      <c r="H259" s="0" t="n">
        <f aca="false">IFERROR(SUM(F5:F259),"")</f>
        <v>0</v>
      </c>
      <c r="J259" s="0" t="n">
        <v>255</v>
      </c>
      <c r="K259" s="0" t="e">
        <f aca="true" t="array" ref="K259:K259">_xlfn.SWITCH(Charts!$B$3,"average", AVERAGE(INDIRECT(ADDRESS(254+3,K$2+1,,,"Instances") &amp; ":" &amp; ADDRESS(254+3,K$2+1))),"median", MEDIAN(INDIRECT(ADDRESS(254+3,K$2+1,,,"Instances") &amp; ":" &amp; ADDRESS(254+3,K$2+1))),"min", MIN(INDIRECT(ADDRESS(254+3,K$2+1,,,"Instances") &amp; ":" &amp; ADDRESS(254+3,K$2+1))),"max", MAX(INDIRECT(ADDRESS(254+3,K$2+1,,,"Instances") &amp; ":" &amp; ADDRESS(254+3,K$2+1))),"diff", MAX(INDIRECT(ADDRESS(254+3,K$2+1,,,"Instances") &amp; ":" &amp; ADDRESS(254+3,K$2+1)))-MIN(INDIRECT(ADDRESS(254+3,K$2+1,,,"Instances") &amp; ":" &amp; ADDRESS(254+3,K$2+1))))</f>
        <v>#N/A</v>
      </c>
      <c r="L259" s="0" t="str">
        <f aca="false">IFERROR(SMALL(K5:K364,ROW()-ROW($L$5)+1),"")</f>
        <v/>
      </c>
      <c r="N259" s="0" t="n">
        <f aca="false">IFERROR(SUM(L5:L259),"")</f>
        <v>0</v>
      </c>
      <c r="Q259" s="0" t="e">
        <f aca="false">IF(Charts!$B$3="none",E2066,IF(K2066="",NA(),K2066))</f>
        <v>#N/A</v>
      </c>
      <c r="R259" s="0" t="e">
        <f aca="false">IF(Charts!$B$3="none",F2066,IF(L2066="",NA(),L2066))</f>
        <v>#N/A</v>
      </c>
      <c r="S259" s="0" t="e">
        <f aca="false">IF(Charts!$B$3="none",G2066,IF(M2066="",NA(),M2066))</f>
        <v>#N/A</v>
      </c>
      <c r="T259" s="0" t="e">
        <f aca="false">IF(Charts!$B$3="none",H2066,IF(N2066="",NA(),N2066))</f>
        <v>#N/A</v>
      </c>
    </row>
    <row r="260" customFormat="false" ht="15" hidden="false" customHeight="false" outlineLevel="0" collapsed="false">
      <c r="D260" s="0" t="n">
        <v>256</v>
      </c>
      <c r="E260" s="0" t="str">
        <f aca="true">IF(INDIRECT(ADDRESS($D260+2,E$2+1,,,"Instances"))="","",INDIRECT(ADDRESS($D260+2,E$2+1,,,"Instances")))</f>
        <v>Level_7/2-0010100</v>
      </c>
      <c r="F260" s="0" t="str">
        <f aca="false">IFERROR(SMALL(E5:E364,ROW()-ROW($F$5)+1),"")</f>
        <v/>
      </c>
      <c r="H260" s="0" t="n">
        <f aca="false">IFERROR(SUM(F5:F260),"")</f>
        <v>0</v>
      </c>
      <c r="J260" s="0" t="n">
        <v>256</v>
      </c>
      <c r="K260" s="0" t="e">
        <f aca="true" t="array" ref="K260:K260">_xlfn.SWITCH(Charts!$B$3,"average", AVERAGE(INDIRECT(ADDRESS(255+3,K$2+1,,,"Instances") &amp; ":" &amp; ADDRESS(255+3,K$2+1))),"median", MEDIAN(INDIRECT(ADDRESS(255+3,K$2+1,,,"Instances") &amp; ":" &amp; ADDRESS(255+3,K$2+1))),"min", MIN(INDIRECT(ADDRESS(255+3,K$2+1,,,"Instances") &amp; ":" &amp; ADDRESS(255+3,K$2+1))),"max", MAX(INDIRECT(ADDRESS(255+3,K$2+1,,,"Instances") &amp; ":" &amp; ADDRESS(255+3,K$2+1))),"diff", MAX(INDIRECT(ADDRESS(255+3,K$2+1,,,"Instances") &amp; ":" &amp; ADDRESS(255+3,K$2+1)))-MIN(INDIRECT(ADDRESS(255+3,K$2+1,,,"Instances") &amp; ":" &amp; ADDRESS(255+3,K$2+1))))</f>
        <v>#N/A</v>
      </c>
      <c r="L260" s="0" t="str">
        <f aca="false">IFERROR(SMALL(K5:K364,ROW()-ROW($L$5)+1),"")</f>
        <v/>
      </c>
      <c r="N260" s="0" t="n">
        <f aca="false">IFERROR(SUM(L5:L260),"")</f>
        <v>0</v>
      </c>
      <c r="Q260" s="0" t="e">
        <f aca="false">IF(Charts!$B$3="none",E2067,IF(K2067="",NA(),K2067))</f>
        <v>#N/A</v>
      </c>
      <c r="R260" s="0" t="e">
        <f aca="false">IF(Charts!$B$3="none",F2067,IF(L2067="",NA(),L2067))</f>
        <v>#N/A</v>
      </c>
      <c r="S260" s="0" t="e">
        <f aca="false">IF(Charts!$B$3="none",G2067,IF(M2067="",NA(),M2067))</f>
        <v>#N/A</v>
      </c>
      <c r="T260" s="0" t="e">
        <f aca="false">IF(Charts!$B$3="none",H2067,IF(N2067="",NA(),N2067))</f>
        <v>#N/A</v>
      </c>
    </row>
    <row r="261" customFormat="false" ht="15" hidden="false" customHeight="false" outlineLevel="0" collapsed="false">
      <c r="D261" s="0" t="n">
        <v>257</v>
      </c>
      <c r="E261" s="0" t="str">
        <f aca="true">IF(INDIRECT(ADDRESS($D261+2,E$2+1,,,"Instances"))="","",INDIRECT(ADDRESS($D261+2,E$2+1,,,"Instances")))</f>
        <v>Level_7/2-0100001</v>
      </c>
      <c r="F261" s="0" t="str">
        <f aca="false">IFERROR(SMALL(E5:E364,ROW()-ROW($F$5)+1),"")</f>
        <v/>
      </c>
      <c r="H261" s="0" t="n">
        <f aca="false">IFERROR(SUM(F5:F261),"")</f>
        <v>0</v>
      </c>
      <c r="J261" s="0" t="n">
        <v>257</v>
      </c>
      <c r="K261" s="0" t="e">
        <f aca="true" t="array" ref="K261:K261">_xlfn.SWITCH(Charts!$B$3,"average", AVERAGE(INDIRECT(ADDRESS(256+3,K$2+1,,,"Instances") &amp; ":" &amp; ADDRESS(256+3,K$2+1))),"median", MEDIAN(INDIRECT(ADDRESS(256+3,K$2+1,,,"Instances") &amp; ":" &amp; ADDRESS(256+3,K$2+1))),"min", MIN(INDIRECT(ADDRESS(256+3,K$2+1,,,"Instances") &amp; ":" &amp; ADDRESS(256+3,K$2+1))),"max", MAX(INDIRECT(ADDRESS(256+3,K$2+1,,,"Instances") &amp; ":" &amp; ADDRESS(256+3,K$2+1))),"diff", MAX(INDIRECT(ADDRESS(256+3,K$2+1,,,"Instances") &amp; ":" &amp; ADDRESS(256+3,K$2+1)))-MIN(INDIRECT(ADDRESS(256+3,K$2+1,,,"Instances") &amp; ":" &amp; ADDRESS(256+3,K$2+1))))</f>
        <v>#N/A</v>
      </c>
      <c r="L261" s="0" t="str">
        <f aca="false">IFERROR(SMALL(K5:K364,ROW()-ROW($L$5)+1),"")</f>
        <v/>
      </c>
      <c r="N261" s="0" t="n">
        <f aca="false">IFERROR(SUM(L5:L261),"")</f>
        <v>0</v>
      </c>
      <c r="Q261" s="0" t="e">
        <f aca="false">IF(Charts!$B$3="none",E2068,IF(K2068="",NA(),K2068))</f>
        <v>#N/A</v>
      </c>
      <c r="R261" s="0" t="e">
        <f aca="false">IF(Charts!$B$3="none",F2068,IF(L2068="",NA(),L2068))</f>
        <v>#N/A</v>
      </c>
      <c r="S261" s="0" t="e">
        <f aca="false">IF(Charts!$B$3="none",G2068,IF(M2068="",NA(),M2068))</f>
        <v>#N/A</v>
      </c>
      <c r="T261" s="0" t="e">
        <f aca="false">IF(Charts!$B$3="none",H2068,IF(N2068="",NA(),N2068))</f>
        <v>#N/A</v>
      </c>
    </row>
    <row r="262" customFormat="false" ht="15" hidden="false" customHeight="false" outlineLevel="0" collapsed="false">
      <c r="D262" s="0" t="n">
        <v>258</v>
      </c>
      <c r="E262" s="0" t="str">
        <f aca="true">IF(INDIRECT(ADDRESS($D262+2,E$2+1,,,"Instances"))="","",INDIRECT(ADDRESS($D262+2,E$2+1,,,"Instances")))</f>
        <v>Level_7/2-0101000</v>
      </c>
      <c r="F262" s="0" t="str">
        <f aca="false">IFERROR(SMALL(E5:E364,ROW()-ROW($F$5)+1),"")</f>
        <v/>
      </c>
      <c r="H262" s="0" t="n">
        <f aca="false">IFERROR(SUM(F5:F262),"")</f>
        <v>0</v>
      </c>
      <c r="J262" s="0" t="n">
        <v>258</v>
      </c>
      <c r="K262" s="0" t="e">
        <f aca="true" t="array" ref="K262:K262">_xlfn.SWITCH(Charts!$B$3,"average", AVERAGE(INDIRECT(ADDRESS(257+3,K$2+1,,,"Instances") &amp; ":" &amp; ADDRESS(257+3,K$2+1))),"median", MEDIAN(INDIRECT(ADDRESS(257+3,K$2+1,,,"Instances") &amp; ":" &amp; ADDRESS(257+3,K$2+1))),"min", MIN(INDIRECT(ADDRESS(257+3,K$2+1,,,"Instances") &amp; ":" &amp; ADDRESS(257+3,K$2+1))),"max", MAX(INDIRECT(ADDRESS(257+3,K$2+1,,,"Instances") &amp; ":" &amp; ADDRESS(257+3,K$2+1))),"diff", MAX(INDIRECT(ADDRESS(257+3,K$2+1,,,"Instances") &amp; ":" &amp; ADDRESS(257+3,K$2+1)))-MIN(INDIRECT(ADDRESS(257+3,K$2+1,,,"Instances") &amp; ":" &amp; ADDRESS(257+3,K$2+1))))</f>
        <v>#N/A</v>
      </c>
      <c r="L262" s="0" t="str">
        <f aca="false">IFERROR(SMALL(K5:K364,ROW()-ROW($L$5)+1),"")</f>
        <v/>
      </c>
      <c r="N262" s="0" t="n">
        <f aca="false">IFERROR(SUM(L5:L262),"")</f>
        <v>0</v>
      </c>
      <c r="Q262" s="0" t="e">
        <f aca="false">IF(Charts!$B$3="none",E2069,IF(K2069="",NA(),K2069))</f>
        <v>#N/A</v>
      </c>
      <c r="R262" s="0" t="e">
        <f aca="false">IF(Charts!$B$3="none",F2069,IF(L2069="",NA(),L2069))</f>
        <v>#N/A</v>
      </c>
      <c r="S262" s="0" t="e">
        <f aca="false">IF(Charts!$B$3="none",G2069,IF(M2069="",NA(),M2069))</f>
        <v>#N/A</v>
      </c>
      <c r="T262" s="0" t="e">
        <f aca="false">IF(Charts!$B$3="none",H2069,IF(N2069="",NA(),N2069))</f>
        <v>#N/A</v>
      </c>
    </row>
    <row r="263" customFormat="false" ht="15" hidden="false" customHeight="false" outlineLevel="0" collapsed="false">
      <c r="D263" s="0" t="n">
        <v>259</v>
      </c>
      <c r="E263" s="0" t="str">
        <f aca="true">IF(INDIRECT(ADDRESS($D263+2,E$2+1,,,"Instances"))="","",INDIRECT(ADDRESS($D263+2,E$2+1,,,"Instances")))</f>
        <v>Level_7/2-1000001</v>
      </c>
      <c r="F263" s="0" t="str">
        <f aca="false">IFERROR(SMALL(E5:E364,ROW()-ROW($F$5)+1),"")</f>
        <v/>
      </c>
      <c r="H263" s="0" t="n">
        <f aca="false">IFERROR(SUM(F5:F263),"")</f>
        <v>0</v>
      </c>
      <c r="J263" s="0" t="n">
        <v>259</v>
      </c>
      <c r="K263" s="0" t="e">
        <f aca="true" t="array" ref="K263:K263">_xlfn.SWITCH(Charts!$B$3,"average", AVERAGE(INDIRECT(ADDRESS(258+3,K$2+1,,,"Instances") &amp; ":" &amp; ADDRESS(258+3,K$2+1))),"median", MEDIAN(INDIRECT(ADDRESS(258+3,K$2+1,,,"Instances") &amp; ":" &amp; ADDRESS(258+3,K$2+1))),"min", MIN(INDIRECT(ADDRESS(258+3,K$2+1,,,"Instances") &amp; ":" &amp; ADDRESS(258+3,K$2+1))),"max", MAX(INDIRECT(ADDRESS(258+3,K$2+1,,,"Instances") &amp; ":" &amp; ADDRESS(258+3,K$2+1))),"diff", MAX(INDIRECT(ADDRESS(258+3,K$2+1,,,"Instances") &amp; ":" &amp; ADDRESS(258+3,K$2+1)))-MIN(INDIRECT(ADDRESS(258+3,K$2+1,,,"Instances") &amp; ":" &amp; ADDRESS(258+3,K$2+1))))</f>
        <v>#N/A</v>
      </c>
      <c r="L263" s="0" t="str">
        <f aca="false">IFERROR(SMALL(K5:K364,ROW()-ROW($L$5)+1),"")</f>
        <v/>
      </c>
      <c r="N263" s="0" t="n">
        <f aca="false">IFERROR(SUM(L5:L263),"")</f>
        <v>0</v>
      </c>
      <c r="Q263" s="0" t="e">
        <f aca="false">IF(Charts!$B$3="none",E2070,IF(K2070="",NA(),K2070))</f>
        <v>#N/A</v>
      </c>
      <c r="R263" s="0" t="e">
        <f aca="false">IF(Charts!$B$3="none",F2070,IF(L2070="",NA(),L2070))</f>
        <v>#N/A</v>
      </c>
      <c r="S263" s="0" t="e">
        <f aca="false">IF(Charts!$B$3="none",G2070,IF(M2070="",NA(),M2070))</f>
        <v>#N/A</v>
      </c>
      <c r="T263" s="0" t="e">
        <f aca="false">IF(Charts!$B$3="none",H2070,IF(N2070="",NA(),N2070))</f>
        <v>#N/A</v>
      </c>
    </row>
    <row r="264" customFormat="false" ht="15" hidden="false" customHeight="false" outlineLevel="0" collapsed="false">
      <c r="D264" s="0" t="n">
        <v>260</v>
      </c>
      <c r="E264" s="0" t="str">
        <f aca="true">IF(INDIRECT(ADDRESS($D264+2,E$2+1,,,"Instances"))="","",INDIRECT(ADDRESS($D264+2,E$2+1,,,"Instances")))</f>
        <v>Level_7/3-0001011</v>
      </c>
      <c r="F264" s="0" t="str">
        <f aca="false">IFERROR(SMALL(E5:E364,ROW()-ROW($F$5)+1),"")</f>
        <v/>
      </c>
      <c r="H264" s="0" t="n">
        <f aca="false">IFERROR(SUM(F5:F264),"")</f>
        <v>0</v>
      </c>
      <c r="J264" s="0" t="n">
        <v>260</v>
      </c>
      <c r="K264" s="0" t="e">
        <f aca="true" t="array" ref="K264:K264">_xlfn.SWITCH(Charts!$B$3,"average", AVERAGE(INDIRECT(ADDRESS(259+3,K$2+1,,,"Instances") &amp; ":" &amp; ADDRESS(259+3,K$2+1))),"median", MEDIAN(INDIRECT(ADDRESS(259+3,K$2+1,,,"Instances") &amp; ":" &amp; ADDRESS(259+3,K$2+1))),"min", MIN(INDIRECT(ADDRESS(259+3,K$2+1,,,"Instances") &amp; ":" &amp; ADDRESS(259+3,K$2+1))),"max", MAX(INDIRECT(ADDRESS(259+3,K$2+1,,,"Instances") &amp; ":" &amp; ADDRESS(259+3,K$2+1))),"diff", MAX(INDIRECT(ADDRESS(259+3,K$2+1,,,"Instances") &amp; ":" &amp; ADDRESS(259+3,K$2+1)))-MIN(INDIRECT(ADDRESS(259+3,K$2+1,,,"Instances") &amp; ":" &amp; ADDRESS(259+3,K$2+1))))</f>
        <v>#N/A</v>
      </c>
      <c r="L264" s="0" t="str">
        <f aca="false">IFERROR(SMALL(K5:K364,ROW()-ROW($L$5)+1),"")</f>
        <v/>
      </c>
      <c r="N264" s="0" t="n">
        <f aca="false">IFERROR(SUM(L5:L264),"")</f>
        <v>0</v>
      </c>
      <c r="Q264" s="0" t="e">
        <f aca="false">IF(Charts!$B$3="none",E2071,IF(K2071="",NA(),K2071))</f>
        <v>#N/A</v>
      </c>
      <c r="R264" s="0" t="e">
        <f aca="false">IF(Charts!$B$3="none",F2071,IF(L2071="",NA(),L2071))</f>
        <v>#N/A</v>
      </c>
      <c r="S264" s="0" t="e">
        <f aca="false">IF(Charts!$B$3="none",G2071,IF(M2071="",NA(),M2071))</f>
        <v>#N/A</v>
      </c>
      <c r="T264" s="0" t="e">
        <f aca="false">IF(Charts!$B$3="none",H2071,IF(N2071="",NA(),N2071))</f>
        <v>#N/A</v>
      </c>
    </row>
    <row r="265" customFormat="false" ht="15" hidden="false" customHeight="false" outlineLevel="0" collapsed="false">
      <c r="D265" s="0" t="n">
        <v>261</v>
      </c>
      <c r="E265" s="0" t="str">
        <f aca="true">IF(INDIRECT(ADDRESS($D265+2,E$2+1,,,"Instances"))="","",INDIRECT(ADDRESS($D265+2,E$2+1,,,"Instances")))</f>
        <v>Level_7/3-0100011</v>
      </c>
      <c r="F265" s="0" t="str">
        <f aca="false">IFERROR(SMALL(E5:E364,ROW()-ROW($F$5)+1),"")</f>
        <v/>
      </c>
      <c r="H265" s="0" t="n">
        <f aca="false">IFERROR(SUM(F5:F265),"")</f>
        <v>0</v>
      </c>
      <c r="J265" s="0" t="n">
        <v>261</v>
      </c>
      <c r="K265" s="0" t="e">
        <f aca="true" t="array" ref="K265:K265">_xlfn.SWITCH(Charts!$B$3,"average", AVERAGE(INDIRECT(ADDRESS(260+3,K$2+1,,,"Instances") &amp; ":" &amp; ADDRESS(260+3,K$2+1))),"median", MEDIAN(INDIRECT(ADDRESS(260+3,K$2+1,,,"Instances") &amp; ":" &amp; ADDRESS(260+3,K$2+1))),"min", MIN(INDIRECT(ADDRESS(260+3,K$2+1,,,"Instances") &amp; ":" &amp; ADDRESS(260+3,K$2+1))),"max", MAX(INDIRECT(ADDRESS(260+3,K$2+1,,,"Instances") &amp; ":" &amp; ADDRESS(260+3,K$2+1))),"diff", MAX(INDIRECT(ADDRESS(260+3,K$2+1,,,"Instances") &amp; ":" &amp; ADDRESS(260+3,K$2+1)))-MIN(INDIRECT(ADDRESS(260+3,K$2+1,,,"Instances") &amp; ":" &amp; ADDRESS(260+3,K$2+1))))</f>
        <v>#N/A</v>
      </c>
      <c r="L265" s="0" t="str">
        <f aca="false">IFERROR(SMALL(K5:K364,ROW()-ROW($L$5)+1),"")</f>
        <v/>
      </c>
      <c r="N265" s="0" t="n">
        <f aca="false">IFERROR(SUM(L5:L265),"")</f>
        <v>0</v>
      </c>
      <c r="Q265" s="0" t="e">
        <f aca="false">IF(Charts!$B$3="none",E2072,IF(K2072="",NA(),K2072))</f>
        <v>#N/A</v>
      </c>
      <c r="R265" s="0" t="e">
        <f aca="false">IF(Charts!$B$3="none",F2072,IF(L2072="",NA(),L2072))</f>
        <v>#N/A</v>
      </c>
      <c r="S265" s="0" t="e">
        <f aca="false">IF(Charts!$B$3="none",G2072,IF(M2072="",NA(),M2072))</f>
        <v>#N/A</v>
      </c>
      <c r="T265" s="0" t="e">
        <f aca="false">IF(Charts!$B$3="none",H2072,IF(N2072="",NA(),N2072))</f>
        <v>#N/A</v>
      </c>
    </row>
    <row r="266" customFormat="false" ht="15" hidden="false" customHeight="false" outlineLevel="0" collapsed="false">
      <c r="D266" s="0" t="n">
        <v>262</v>
      </c>
      <c r="E266" s="0" t="str">
        <f aca="true">IF(INDIRECT(ADDRESS($D266+2,E$2+1,,,"Instances"))="","",INDIRECT(ADDRESS($D266+2,E$2+1,,,"Instances")))</f>
        <v>Level_7/3-0100101</v>
      </c>
      <c r="F266" s="0" t="str">
        <f aca="false">IFERROR(SMALL(E5:E364,ROW()-ROW($F$5)+1),"")</f>
        <v/>
      </c>
      <c r="H266" s="0" t="n">
        <f aca="false">IFERROR(SUM(F5:F266),"")</f>
        <v>0</v>
      </c>
      <c r="J266" s="0" t="n">
        <v>262</v>
      </c>
      <c r="K266" s="0" t="e">
        <f aca="true" t="array" ref="K266:K266">_xlfn.SWITCH(Charts!$B$3,"average", AVERAGE(INDIRECT(ADDRESS(261+3,K$2+1,,,"Instances") &amp; ":" &amp; ADDRESS(261+3,K$2+1))),"median", MEDIAN(INDIRECT(ADDRESS(261+3,K$2+1,,,"Instances") &amp; ":" &amp; ADDRESS(261+3,K$2+1))),"min", MIN(INDIRECT(ADDRESS(261+3,K$2+1,,,"Instances") &amp; ":" &amp; ADDRESS(261+3,K$2+1))),"max", MAX(INDIRECT(ADDRESS(261+3,K$2+1,,,"Instances") &amp; ":" &amp; ADDRESS(261+3,K$2+1))),"diff", MAX(INDIRECT(ADDRESS(261+3,K$2+1,,,"Instances") &amp; ":" &amp; ADDRESS(261+3,K$2+1)))-MIN(INDIRECT(ADDRESS(261+3,K$2+1,,,"Instances") &amp; ":" &amp; ADDRESS(261+3,K$2+1))))</f>
        <v>#N/A</v>
      </c>
      <c r="L266" s="0" t="str">
        <f aca="false">IFERROR(SMALL(K5:K364,ROW()-ROW($L$5)+1),"")</f>
        <v/>
      </c>
      <c r="N266" s="0" t="n">
        <f aca="false">IFERROR(SUM(L5:L266),"")</f>
        <v>0</v>
      </c>
      <c r="Q266" s="0" t="e">
        <f aca="false">IF(Charts!$B$3="none",E2073,IF(K2073="",NA(),K2073))</f>
        <v>#N/A</v>
      </c>
      <c r="R266" s="0" t="e">
        <f aca="false">IF(Charts!$B$3="none",F2073,IF(L2073="",NA(),L2073))</f>
        <v>#N/A</v>
      </c>
      <c r="S266" s="0" t="e">
        <f aca="false">IF(Charts!$B$3="none",G2073,IF(M2073="",NA(),M2073))</f>
        <v>#N/A</v>
      </c>
      <c r="T266" s="0" t="e">
        <f aca="false">IF(Charts!$B$3="none",H2073,IF(N2073="",NA(),N2073))</f>
        <v>#N/A</v>
      </c>
    </row>
    <row r="267" customFormat="false" ht="15" hidden="false" customHeight="false" outlineLevel="0" collapsed="false">
      <c r="D267" s="0" t="n">
        <v>263</v>
      </c>
      <c r="E267" s="0" t="str">
        <f aca="true">IF(INDIRECT(ADDRESS($D267+2,E$2+1,,,"Instances"))="","",INDIRECT(ADDRESS($D267+2,E$2+1,,,"Instances")))</f>
        <v>Level_7/3-0101001</v>
      </c>
      <c r="F267" s="0" t="str">
        <f aca="false">IFERROR(SMALL(E5:E364,ROW()-ROW($F$5)+1),"")</f>
        <v/>
      </c>
      <c r="H267" s="0" t="n">
        <f aca="false">IFERROR(SUM(F5:F267),"")</f>
        <v>0</v>
      </c>
      <c r="J267" s="0" t="n">
        <v>263</v>
      </c>
      <c r="K267" s="0" t="e">
        <f aca="true" t="array" ref="K267:K267">_xlfn.SWITCH(Charts!$B$3,"average", AVERAGE(INDIRECT(ADDRESS(262+3,K$2+1,,,"Instances") &amp; ":" &amp; ADDRESS(262+3,K$2+1))),"median", MEDIAN(INDIRECT(ADDRESS(262+3,K$2+1,,,"Instances") &amp; ":" &amp; ADDRESS(262+3,K$2+1))),"min", MIN(INDIRECT(ADDRESS(262+3,K$2+1,,,"Instances") &amp; ":" &amp; ADDRESS(262+3,K$2+1))),"max", MAX(INDIRECT(ADDRESS(262+3,K$2+1,,,"Instances") &amp; ":" &amp; ADDRESS(262+3,K$2+1))),"diff", MAX(INDIRECT(ADDRESS(262+3,K$2+1,,,"Instances") &amp; ":" &amp; ADDRESS(262+3,K$2+1)))-MIN(INDIRECT(ADDRESS(262+3,K$2+1,,,"Instances") &amp; ":" &amp; ADDRESS(262+3,K$2+1))))</f>
        <v>#N/A</v>
      </c>
      <c r="L267" s="0" t="str">
        <f aca="false">IFERROR(SMALL(K5:K364,ROW()-ROW($L$5)+1),"")</f>
        <v/>
      </c>
      <c r="N267" s="0" t="n">
        <f aca="false">IFERROR(SUM(L5:L267),"")</f>
        <v>0</v>
      </c>
      <c r="Q267" s="0" t="e">
        <f aca="false">IF(Charts!$B$3="none",E2074,IF(K2074="",NA(),K2074))</f>
        <v>#N/A</v>
      </c>
      <c r="R267" s="0" t="e">
        <f aca="false">IF(Charts!$B$3="none",F2074,IF(L2074="",NA(),L2074))</f>
        <v>#N/A</v>
      </c>
      <c r="S267" s="0" t="e">
        <f aca="false">IF(Charts!$B$3="none",G2074,IF(M2074="",NA(),M2074))</f>
        <v>#N/A</v>
      </c>
      <c r="T267" s="0" t="e">
        <f aca="false">IF(Charts!$B$3="none",H2074,IF(N2074="",NA(),N2074))</f>
        <v>#N/A</v>
      </c>
    </row>
    <row r="268" customFormat="false" ht="15" hidden="false" customHeight="false" outlineLevel="0" collapsed="false">
      <c r="D268" s="0" t="n">
        <v>264</v>
      </c>
      <c r="E268" s="0" t="str">
        <f aca="true">IF(INDIRECT(ADDRESS($D268+2,E$2+1,,,"Instances"))="","",INDIRECT(ADDRESS($D268+2,E$2+1,,,"Instances")))</f>
        <v>Level_7/3-0110001</v>
      </c>
      <c r="F268" s="0" t="str">
        <f aca="false">IFERROR(SMALL(E5:E364,ROW()-ROW($F$5)+1),"")</f>
        <v/>
      </c>
      <c r="H268" s="0" t="n">
        <f aca="false">IFERROR(SUM(F5:F268),"")</f>
        <v>0</v>
      </c>
      <c r="J268" s="0" t="n">
        <v>264</v>
      </c>
      <c r="K268" s="0" t="e">
        <f aca="true" t="array" ref="K268:K268">_xlfn.SWITCH(Charts!$B$3,"average", AVERAGE(INDIRECT(ADDRESS(263+3,K$2+1,,,"Instances") &amp; ":" &amp; ADDRESS(263+3,K$2+1))),"median", MEDIAN(INDIRECT(ADDRESS(263+3,K$2+1,,,"Instances") &amp; ":" &amp; ADDRESS(263+3,K$2+1))),"min", MIN(INDIRECT(ADDRESS(263+3,K$2+1,,,"Instances") &amp; ":" &amp; ADDRESS(263+3,K$2+1))),"max", MAX(INDIRECT(ADDRESS(263+3,K$2+1,,,"Instances") &amp; ":" &amp; ADDRESS(263+3,K$2+1))),"diff", MAX(INDIRECT(ADDRESS(263+3,K$2+1,,,"Instances") &amp; ":" &amp; ADDRESS(263+3,K$2+1)))-MIN(INDIRECT(ADDRESS(263+3,K$2+1,,,"Instances") &amp; ":" &amp; ADDRESS(263+3,K$2+1))))</f>
        <v>#N/A</v>
      </c>
      <c r="L268" s="0" t="str">
        <f aca="false">IFERROR(SMALL(K5:K364,ROW()-ROW($L$5)+1),"")</f>
        <v/>
      </c>
      <c r="N268" s="0" t="n">
        <f aca="false">IFERROR(SUM(L5:L268),"")</f>
        <v>0</v>
      </c>
      <c r="Q268" s="0" t="e">
        <f aca="false">IF(Charts!$B$3="none",E2075,IF(K2075="",NA(),K2075))</f>
        <v>#N/A</v>
      </c>
      <c r="R268" s="0" t="e">
        <f aca="false">IF(Charts!$B$3="none",F2075,IF(L2075="",NA(),L2075))</f>
        <v>#N/A</v>
      </c>
      <c r="S268" s="0" t="e">
        <f aca="false">IF(Charts!$B$3="none",G2075,IF(M2075="",NA(),M2075))</f>
        <v>#N/A</v>
      </c>
      <c r="T268" s="0" t="e">
        <f aca="false">IF(Charts!$B$3="none",H2075,IF(N2075="",NA(),N2075))</f>
        <v>#N/A</v>
      </c>
    </row>
    <row r="269" customFormat="false" ht="15" hidden="false" customHeight="false" outlineLevel="0" collapsed="false">
      <c r="D269" s="0" t="n">
        <v>265</v>
      </c>
      <c r="E269" s="0" t="str">
        <f aca="true">IF(INDIRECT(ADDRESS($D269+2,E$2+1,,,"Instances"))="","",INDIRECT(ADDRESS($D269+2,E$2+1,,,"Instances")))</f>
        <v>Level_7/3-1100001</v>
      </c>
      <c r="F269" s="0" t="str">
        <f aca="false">IFERROR(SMALL(E5:E364,ROW()-ROW($F$5)+1),"")</f>
        <v/>
      </c>
      <c r="H269" s="0" t="n">
        <f aca="false">IFERROR(SUM(F5:F269),"")</f>
        <v>0</v>
      </c>
      <c r="J269" s="0" t="n">
        <v>265</v>
      </c>
      <c r="K269" s="0" t="e">
        <f aca="true" t="array" ref="K269:K269">_xlfn.SWITCH(Charts!$B$3,"average", AVERAGE(INDIRECT(ADDRESS(264+3,K$2+1,,,"Instances") &amp; ":" &amp; ADDRESS(264+3,K$2+1))),"median", MEDIAN(INDIRECT(ADDRESS(264+3,K$2+1,,,"Instances") &amp; ":" &amp; ADDRESS(264+3,K$2+1))),"min", MIN(INDIRECT(ADDRESS(264+3,K$2+1,,,"Instances") &amp; ":" &amp; ADDRESS(264+3,K$2+1))),"max", MAX(INDIRECT(ADDRESS(264+3,K$2+1,,,"Instances") &amp; ":" &amp; ADDRESS(264+3,K$2+1))),"diff", MAX(INDIRECT(ADDRESS(264+3,K$2+1,,,"Instances") &amp; ":" &amp; ADDRESS(264+3,K$2+1)))-MIN(INDIRECT(ADDRESS(264+3,K$2+1,,,"Instances") &amp; ":" &amp; ADDRESS(264+3,K$2+1))))</f>
        <v>#N/A</v>
      </c>
      <c r="L269" s="0" t="str">
        <f aca="false">IFERROR(SMALL(K5:K364,ROW()-ROW($L$5)+1),"")</f>
        <v/>
      </c>
      <c r="N269" s="0" t="n">
        <f aca="false">IFERROR(SUM(L5:L269),"")</f>
        <v>0</v>
      </c>
      <c r="Q269" s="0" t="e">
        <f aca="false">IF(Charts!$B$3="none",E2076,IF(K2076="",NA(),K2076))</f>
        <v>#N/A</v>
      </c>
      <c r="R269" s="0" t="e">
        <f aca="false">IF(Charts!$B$3="none",F2076,IF(L2076="",NA(),L2076))</f>
        <v>#N/A</v>
      </c>
      <c r="S269" s="0" t="e">
        <f aca="false">IF(Charts!$B$3="none",G2076,IF(M2076="",NA(),M2076))</f>
        <v>#N/A</v>
      </c>
      <c r="T269" s="0" t="e">
        <f aca="false">IF(Charts!$B$3="none",H2076,IF(N2076="",NA(),N2076))</f>
        <v>#N/A</v>
      </c>
    </row>
    <row r="270" customFormat="false" ht="15" hidden="false" customHeight="false" outlineLevel="0" collapsed="false">
      <c r="D270" s="0" t="n">
        <v>266</v>
      </c>
      <c r="E270" s="0" t="str">
        <f aca="true">IF(INDIRECT(ADDRESS($D270+2,E$2+1,,,"Instances"))="","",INDIRECT(ADDRESS($D270+2,E$2+1,,,"Instances")))</f>
        <v>Level_7/3-1101000</v>
      </c>
      <c r="F270" s="0" t="str">
        <f aca="false">IFERROR(SMALL(E5:E364,ROW()-ROW($F$5)+1),"")</f>
        <v/>
      </c>
      <c r="H270" s="0" t="n">
        <f aca="false">IFERROR(SUM(F5:F270),"")</f>
        <v>0</v>
      </c>
      <c r="J270" s="0" t="n">
        <v>266</v>
      </c>
      <c r="K270" s="0" t="e">
        <f aca="true" t="array" ref="K270:K270">_xlfn.SWITCH(Charts!$B$3,"average", AVERAGE(INDIRECT(ADDRESS(265+3,K$2+1,,,"Instances") &amp; ":" &amp; ADDRESS(265+3,K$2+1))),"median", MEDIAN(INDIRECT(ADDRESS(265+3,K$2+1,,,"Instances") &amp; ":" &amp; ADDRESS(265+3,K$2+1))),"min", MIN(INDIRECT(ADDRESS(265+3,K$2+1,,,"Instances") &amp; ":" &amp; ADDRESS(265+3,K$2+1))),"max", MAX(INDIRECT(ADDRESS(265+3,K$2+1,,,"Instances") &amp; ":" &amp; ADDRESS(265+3,K$2+1))),"diff", MAX(INDIRECT(ADDRESS(265+3,K$2+1,,,"Instances") &amp; ":" &amp; ADDRESS(265+3,K$2+1)))-MIN(INDIRECT(ADDRESS(265+3,K$2+1,,,"Instances") &amp; ":" &amp; ADDRESS(265+3,K$2+1))))</f>
        <v>#N/A</v>
      </c>
      <c r="L270" s="0" t="str">
        <f aca="false">IFERROR(SMALL(K5:K364,ROW()-ROW($L$5)+1),"")</f>
        <v/>
      </c>
      <c r="N270" s="0" t="n">
        <f aca="false">IFERROR(SUM(L5:L270),"")</f>
        <v>0</v>
      </c>
      <c r="Q270" s="0" t="e">
        <f aca="false">IF(Charts!$B$3="none",E2077,IF(K2077="",NA(),K2077))</f>
        <v>#N/A</v>
      </c>
      <c r="R270" s="0" t="e">
        <f aca="false">IF(Charts!$B$3="none",F2077,IF(L2077="",NA(),L2077))</f>
        <v>#N/A</v>
      </c>
      <c r="S270" s="0" t="e">
        <f aca="false">IF(Charts!$B$3="none",G2077,IF(M2077="",NA(),M2077))</f>
        <v>#N/A</v>
      </c>
      <c r="T270" s="0" t="e">
        <f aca="false">IF(Charts!$B$3="none",H2077,IF(N2077="",NA(),N2077))</f>
        <v>#N/A</v>
      </c>
    </row>
    <row r="271" customFormat="false" ht="15" hidden="false" customHeight="false" outlineLevel="0" collapsed="false">
      <c r="D271" s="0" t="n">
        <v>267</v>
      </c>
      <c r="E271" s="0" t="str">
        <f aca="true">IF(INDIRECT(ADDRESS($D271+2,E$2+1,,,"Instances"))="","",INDIRECT(ADDRESS($D271+2,E$2+1,,,"Instances")))</f>
        <v>Level_7/4-0010111</v>
      </c>
      <c r="F271" s="0" t="str">
        <f aca="false">IFERROR(SMALL(E5:E364,ROW()-ROW($F$5)+1),"")</f>
        <v/>
      </c>
      <c r="H271" s="0" t="n">
        <f aca="false">IFERROR(SUM(F5:F271),"")</f>
        <v>0</v>
      </c>
      <c r="J271" s="0" t="n">
        <v>267</v>
      </c>
      <c r="K271" s="0" t="e">
        <f aca="true" t="array" ref="K271:K271">_xlfn.SWITCH(Charts!$B$3,"average", AVERAGE(INDIRECT(ADDRESS(266+3,K$2+1,,,"Instances") &amp; ":" &amp; ADDRESS(266+3,K$2+1))),"median", MEDIAN(INDIRECT(ADDRESS(266+3,K$2+1,,,"Instances") &amp; ":" &amp; ADDRESS(266+3,K$2+1))),"min", MIN(INDIRECT(ADDRESS(266+3,K$2+1,,,"Instances") &amp; ":" &amp; ADDRESS(266+3,K$2+1))),"max", MAX(INDIRECT(ADDRESS(266+3,K$2+1,,,"Instances") &amp; ":" &amp; ADDRESS(266+3,K$2+1))),"diff", MAX(INDIRECT(ADDRESS(266+3,K$2+1,,,"Instances") &amp; ":" &amp; ADDRESS(266+3,K$2+1)))-MIN(INDIRECT(ADDRESS(266+3,K$2+1,,,"Instances") &amp; ":" &amp; ADDRESS(266+3,K$2+1))))</f>
        <v>#N/A</v>
      </c>
      <c r="L271" s="0" t="str">
        <f aca="false">IFERROR(SMALL(K5:K364,ROW()-ROW($L$5)+1),"")</f>
        <v/>
      </c>
      <c r="N271" s="0" t="n">
        <f aca="false">IFERROR(SUM(L5:L271),"")</f>
        <v>0</v>
      </c>
      <c r="Q271" s="0" t="e">
        <f aca="false">IF(Charts!$B$3="none",E2078,IF(K2078="",NA(),K2078))</f>
        <v>#N/A</v>
      </c>
      <c r="R271" s="0" t="e">
        <f aca="false">IF(Charts!$B$3="none",F2078,IF(L2078="",NA(),L2078))</f>
        <v>#N/A</v>
      </c>
      <c r="S271" s="0" t="e">
        <f aca="false">IF(Charts!$B$3="none",G2078,IF(M2078="",NA(),M2078))</f>
        <v>#N/A</v>
      </c>
      <c r="T271" s="0" t="e">
        <f aca="false">IF(Charts!$B$3="none",H2078,IF(N2078="",NA(),N2078))</f>
        <v>#N/A</v>
      </c>
    </row>
    <row r="272" customFormat="false" ht="15" hidden="false" customHeight="false" outlineLevel="0" collapsed="false">
      <c r="D272" s="0" t="n">
        <v>268</v>
      </c>
      <c r="E272" s="0" t="str">
        <f aca="true">IF(INDIRECT(ADDRESS($D272+2,E$2+1,,,"Instances"))="","",INDIRECT(ADDRESS($D272+2,E$2+1,,,"Instances")))</f>
        <v>Level_7/4-0100111</v>
      </c>
      <c r="F272" s="0" t="str">
        <f aca="false">IFERROR(SMALL(E5:E364,ROW()-ROW($F$5)+1),"")</f>
        <v/>
      </c>
      <c r="H272" s="0" t="n">
        <f aca="false">IFERROR(SUM(F5:F272),"")</f>
        <v>0</v>
      </c>
      <c r="J272" s="0" t="n">
        <v>268</v>
      </c>
      <c r="K272" s="0" t="e">
        <f aca="true" t="array" ref="K272:K272">_xlfn.SWITCH(Charts!$B$3,"average", AVERAGE(INDIRECT(ADDRESS(267+3,K$2+1,,,"Instances") &amp; ":" &amp; ADDRESS(267+3,K$2+1))),"median", MEDIAN(INDIRECT(ADDRESS(267+3,K$2+1,,,"Instances") &amp; ":" &amp; ADDRESS(267+3,K$2+1))),"min", MIN(INDIRECT(ADDRESS(267+3,K$2+1,,,"Instances") &amp; ":" &amp; ADDRESS(267+3,K$2+1))),"max", MAX(INDIRECT(ADDRESS(267+3,K$2+1,,,"Instances") &amp; ":" &amp; ADDRESS(267+3,K$2+1))),"diff", MAX(INDIRECT(ADDRESS(267+3,K$2+1,,,"Instances") &amp; ":" &amp; ADDRESS(267+3,K$2+1)))-MIN(INDIRECT(ADDRESS(267+3,K$2+1,,,"Instances") &amp; ":" &amp; ADDRESS(267+3,K$2+1))))</f>
        <v>#N/A</v>
      </c>
      <c r="L272" s="0" t="str">
        <f aca="false">IFERROR(SMALL(K5:K364,ROW()-ROW($L$5)+1),"")</f>
        <v/>
      </c>
      <c r="N272" s="0" t="n">
        <f aca="false">IFERROR(SUM(L5:L272),"")</f>
        <v>0</v>
      </c>
      <c r="Q272" s="0" t="e">
        <f aca="false">IF(Charts!$B$3="none",E2079,IF(K2079="",NA(),K2079))</f>
        <v>#N/A</v>
      </c>
      <c r="R272" s="0" t="e">
        <f aca="false">IF(Charts!$B$3="none",F2079,IF(L2079="",NA(),L2079))</f>
        <v>#N/A</v>
      </c>
      <c r="S272" s="0" t="e">
        <f aca="false">IF(Charts!$B$3="none",G2079,IF(M2079="",NA(),M2079))</f>
        <v>#N/A</v>
      </c>
      <c r="T272" s="0" t="e">
        <f aca="false">IF(Charts!$B$3="none",H2079,IF(N2079="",NA(),N2079))</f>
        <v>#N/A</v>
      </c>
    </row>
    <row r="273" customFormat="false" ht="15" hidden="false" customHeight="false" outlineLevel="0" collapsed="false">
      <c r="D273" s="0" t="n">
        <v>269</v>
      </c>
      <c r="E273" s="0" t="str">
        <f aca="true">IF(INDIRECT(ADDRESS($D273+2,E$2+1,,,"Instances"))="","",INDIRECT(ADDRESS($D273+2,E$2+1,,,"Instances")))</f>
        <v>Level_7/4-0101110</v>
      </c>
      <c r="F273" s="0" t="str">
        <f aca="false">IFERROR(SMALL(E5:E364,ROW()-ROW($F$5)+1),"")</f>
        <v/>
      </c>
      <c r="H273" s="0" t="n">
        <f aca="false">IFERROR(SUM(F5:F273),"")</f>
        <v>0</v>
      </c>
      <c r="J273" s="0" t="n">
        <v>269</v>
      </c>
      <c r="K273" s="0" t="e">
        <f aca="true" t="array" ref="K273:K273">_xlfn.SWITCH(Charts!$B$3,"average", AVERAGE(INDIRECT(ADDRESS(268+3,K$2+1,,,"Instances") &amp; ":" &amp; ADDRESS(268+3,K$2+1))),"median", MEDIAN(INDIRECT(ADDRESS(268+3,K$2+1,,,"Instances") &amp; ":" &amp; ADDRESS(268+3,K$2+1))),"min", MIN(INDIRECT(ADDRESS(268+3,K$2+1,,,"Instances") &amp; ":" &amp; ADDRESS(268+3,K$2+1))),"max", MAX(INDIRECT(ADDRESS(268+3,K$2+1,,,"Instances") &amp; ":" &amp; ADDRESS(268+3,K$2+1))),"diff", MAX(INDIRECT(ADDRESS(268+3,K$2+1,,,"Instances") &amp; ":" &amp; ADDRESS(268+3,K$2+1)))-MIN(INDIRECT(ADDRESS(268+3,K$2+1,,,"Instances") &amp; ":" &amp; ADDRESS(268+3,K$2+1))))</f>
        <v>#N/A</v>
      </c>
      <c r="L273" s="0" t="str">
        <f aca="false">IFERROR(SMALL(K5:K364,ROW()-ROW($L$5)+1),"")</f>
        <v/>
      </c>
      <c r="N273" s="0" t="n">
        <f aca="false">IFERROR(SUM(L5:L273),"")</f>
        <v>0</v>
      </c>
      <c r="Q273" s="0" t="e">
        <f aca="false">IF(Charts!$B$3="none",E2080,IF(K2080="",NA(),K2080))</f>
        <v>#N/A</v>
      </c>
      <c r="R273" s="0" t="e">
        <f aca="false">IF(Charts!$B$3="none",F2080,IF(L2080="",NA(),L2080))</f>
        <v>#N/A</v>
      </c>
      <c r="S273" s="0" t="e">
        <f aca="false">IF(Charts!$B$3="none",G2080,IF(M2080="",NA(),M2080))</f>
        <v>#N/A</v>
      </c>
      <c r="T273" s="0" t="e">
        <f aca="false">IF(Charts!$B$3="none",H2080,IF(N2080="",NA(),N2080))</f>
        <v>#N/A</v>
      </c>
    </row>
    <row r="274" customFormat="false" ht="15" hidden="false" customHeight="false" outlineLevel="0" collapsed="false">
      <c r="D274" s="0" t="n">
        <v>270</v>
      </c>
      <c r="E274" s="0" t="str">
        <f aca="true">IF(INDIRECT(ADDRESS($D274+2,E$2+1,,,"Instances"))="","",INDIRECT(ADDRESS($D274+2,E$2+1,,,"Instances")))</f>
        <v>Level_7/4-0110011</v>
      </c>
      <c r="F274" s="0" t="str">
        <f aca="false">IFERROR(SMALL(E5:E364,ROW()-ROW($F$5)+1),"")</f>
        <v/>
      </c>
      <c r="H274" s="0" t="n">
        <f aca="false">IFERROR(SUM(F5:F274),"")</f>
        <v>0</v>
      </c>
      <c r="J274" s="0" t="n">
        <v>270</v>
      </c>
      <c r="K274" s="0" t="e">
        <f aca="true" t="array" ref="K274:K274">_xlfn.SWITCH(Charts!$B$3,"average", AVERAGE(INDIRECT(ADDRESS(269+3,K$2+1,,,"Instances") &amp; ":" &amp; ADDRESS(269+3,K$2+1))),"median", MEDIAN(INDIRECT(ADDRESS(269+3,K$2+1,,,"Instances") &amp; ":" &amp; ADDRESS(269+3,K$2+1))),"min", MIN(INDIRECT(ADDRESS(269+3,K$2+1,,,"Instances") &amp; ":" &amp; ADDRESS(269+3,K$2+1))),"max", MAX(INDIRECT(ADDRESS(269+3,K$2+1,,,"Instances") &amp; ":" &amp; ADDRESS(269+3,K$2+1))),"diff", MAX(INDIRECT(ADDRESS(269+3,K$2+1,,,"Instances") &amp; ":" &amp; ADDRESS(269+3,K$2+1)))-MIN(INDIRECT(ADDRESS(269+3,K$2+1,,,"Instances") &amp; ":" &amp; ADDRESS(269+3,K$2+1))))</f>
        <v>#N/A</v>
      </c>
      <c r="L274" s="0" t="str">
        <f aca="false">IFERROR(SMALL(K5:K364,ROW()-ROW($L$5)+1),"")</f>
        <v/>
      </c>
      <c r="N274" s="0" t="n">
        <f aca="false">IFERROR(SUM(L5:L274),"")</f>
        <v>0</v>
      </c>
      <c r="Q274" s="0" t="e">
        <f aca="false">IF(Charts!$B$3="none",E2081,IF(K2081="",NA(),K2081))</f>
        <v>#N/A</v>
      </c>
      <c r="R274" s="0" t="e">
        <f aca="false">IF(Charts!$B$3="none",F2081,IF(L2081="",NA(),L2081))</f>
        <v>#N/A</v>
      </c>
      <c r="S274" s="0" t="e">
        <f aca="false">IF(Charts!$B$3="none",G2081,IF(M2081="",NA(),M2081))</f>
        <v>#N/A</v>
      </c>
      <c r="T274" s="0" t="e">
        <f aca="false">IF(Charts!$B$3="none",H2081,IF(N2081="",NA(),N2081))</f>
        <v>#N/A</v>
      </c>
    </row>
    <row r="275" customFormat="false" ht="15" hidden="false" customHeight="false" outlineLevel="0" collapsed="false">
      <c r="D275" s="0" t="n">
        <v>271</v>
      </c>
      <c r="E275" s="0" t="str">
        <f aca="true">IF(INDIRECT(ADDRESS($D275+2,E$2+1,,,"Instances"))="","",INDIRECT(ADDRESS($D275+2,E$2+1,,,"Instances")))</f>
        <v>Level_7/4-1010011</v>
      </c>
      <c r="F275" s="0" t="str">
        <f aca="false">IFERROR(SMALL(E5:E364,ROW()-ROW($F$5)+1),"")</f>
        <v/>
      </c>
      <c r="H275" s="0" t="n">
        <f aca="false">IFERROR(SUM(F5:F275),"")</f>
        <v>0</v>
      </c>
      <c r="J275" s="0" t="n">
        <v>271</v>
      </c>
      <c r="K275" s="0" t="e">
        <f aca="true" t="array" ref="K275:K275">_xlfn.SWITCH(Charts!$B$3,"average", AVERAGE(INDIRECT(ADDRESS(270+3,K$2+1,,,"Instances") &amp; ":" &amp; ADDRESS(270+3,K$2+1))),"median", MEDIAN(INDIRECT(ADDRESS(270+3,K$2+1,,,"Instances") &amp; ":" &amp; ADDRESS(270+3,K$2+1))),"min", MIN(INDIRECT(ADDRESS(270+3,K$2+1,,,"Instances") &amp; ":" &amp; ADDRESS(270+3,K$2+1))),"max", MAX(INDIRECT(ADDRESS(270+3,K$2+1,,,"Instances") &amp; ":" &amp; ADDRESS(270+3,K$2+1))),"diff", MAX(INDIRECT(ADDRESS(270+3,K$2+1,,,"Instances") &amp; ":" &amp; ADDRESS(270+3,K$2+1)))-MIN(INDIRECT(ADDRESS(270+3,K$2+1,,,"Instances") &amp; ":" &amp; ADDRESS(270+3,K$2+1))))</f>
        <v>#N/A</v>
      </c>
      <c r="L275" s="0" t="str">
        <f aca="false">IFERROR(SMALL(K5:K364,ROW()-ROW($L$5)+1),"")</f>
        <v/>
      </c>
      <c r="N275" s="0" t="n">
        <f aca="false">IFERROR(SUM(L5:L275),"")</f>
        <v>0</v>
      </c>
      <c r="Q275" s="0" t="e">
        <f aca="false">IF(Charts!$B$3="none",E2082,IF(K2082="",NA(),K2082))</f>
        <v>#N/A</v>
      </c>
      <c r="R275" s="0" t="e">
        <f aca="false">IF(Charts!$B$3="none",F2082,IF(L2082="",NA(),L2082))</f>
        <v>#N/A</v>
      </c>
      <c r="S275" s="0" t="e">
        <f aca="false">IF(Charts!$B$3="none",G2082,IF(M2082="",NA(),M2082))</f>
        <v>#N/A</v>
      </c>
      <c r="T275" s="0" t="e">
        <f aca="false">IF(Charts!$B$3="none",H2082,IF(N2082="",NA(),N2082))</f>
        <v>#N/A</v>
      </c>
    </row>
    <row r="276" customFormat="false" ht="15" hidden="false" customHeight="false" outlineLevel="0" collapsed="false">
      <c r="D276" s="0" t="n">
        <v>272</v>
      </c>
      <c r="E276" s="0" t="str">
        <f aca="true">IF(INDIRECT(ADDRESS($D276+2,E$2+1,,,"Instances"))="","",INDIRECT(ADDRESS($D276+2,E$2+1,,,"Instances")))</f>
        <v>Level_7/4-1011001</v>
      </c>
      <c r="F276" s="0" t="str">
        <f aca="false">IFERROR(SMALL(E5:E364,ROW()-ROW($F$5)+1),"")</f>
        <v/>
      </c>
      <c r="H276" s="0" t="n">
        <f aca="false">IFERROR(SUM(F5:F276),"")</f>
        <v>0</v>
      </c>
      <c r="J276" s="0" t="n">
        <v>272</v>
      </c>
      <c r="K276" s="0" t="e">
        <f aca="true" t="array" ref="K276:K276">_xlfn.SWITCH(Charts!$B$3,"average", AVERAGE(INDIRECT(ADDRESS(271+3,K$2+1,,,"Instances") &amp; ":" &amp; ADDRESS(271+3,K$2+1))),"median", MEDIAN(INDIRECT(ADDRESS(271+3,K$2+1,,,"Instances") &amp; ":" &amp; ADDRESS(271+3,K$2+1))),"min", MIN(INDIRECT(ADDRESS(271+3,K$2+1,,,"Instances") &amp; ":" &amp; ADDRESS(271+3,K$2+1))),"max", MAX(INDIRECT(ADDRESS(271+3,K$2+1,,,"Instances") &amp; ":" &amp; ADDRESS(271+3,K$2+1))),"diff", MAX(INDIRECT(ADDRESS(271+3,K$2+1,,,"Instances") &amp; ":" &amp; ADDRESS(271+3,K$2+1)))-MIN(INDIRECT(ADDRESS(271+3,K$2+1,,,"Instances") &amp; ":" &amp; ADDRESS(271+3,K$2+1))))</f>
        <v>#N/A</v>
      </c>
      <c r="L276" s="0" t="str">
        <f aca="false">IFERROR(SMALL(K5:K364,ROW()-ROW($L$5)+1),"")</f>
        <v/>
      </c>
      <c r="N276" s="0" t="n">
        <f aca="false">IFERROR(SUM(L5:L276),"")</f>
        <v>0</v>
      </c>
      <c r="Q276" s="0" t="e">
        <f aca="false">IF(Charts!$B$3="none",E2083,IF(K2083="",NA(),K2083))</f>
        <v>#N/A</v>
      </c>
      <c r="R276" s="0" t="e">
        <f aca="false">IF(Charts!$B$3="none",F2083,IF(L2083="",NA(),L2083))</f>
        <v>#N/A</v>
      </c>
      <c r="S276" s="0" t="e">
        <f aca="false">IF(Charts!$B$3="none",G2083,IF(M2083="",NA(),M2083))</f>
        <v>#N/A</v>
      </c>
      <c r="T276" s="0" t="e">
        <f aca="false">IF(Charts!$B$3="none",H2083,IF(N2083="",NA(),N2083))</f>
        <v>#N/A</v>
      </c>
    </row>
    <row r="277" customFormat="false" ht="15" hidden="false" customHeight="false" outlineLevel="0" collapsed="false">
      <c r="D277" s="0" t="n">
        <v>273</v>
      </c>
      <c r="E277" s="0" t="str">
        <f aca="true">IF(INDIRECT(ADDRESS($D277+2,E$2+1,,,"Instances"))="","",INDIRECT(ADDRESS($D277+2,E$2+1,,,"Instances")))</f>
        <v>Level_7/4-1100110</v>
      </c>
      <c r="F277" s="0" t="str">
        <f aca="false">IFERROR(SMALL(E5:E364,ROW()-ROW($F$5)+1),"")</f>
        <v/>
      </c>
      <c r="H277" s="0" t="n">
        <f aca="false">IFERROR(SUM(F5:F277),"")</f>
        <v>0</v>
      </c>
      <c r="J277" s="0" t="n">
        <v>273</v>
      </c>
      <c r="K277" s="0" t="e">
        <f aca="true" t="array" ref="K277:K277">_xlfn.SWITCH(Charts!$B$3,"average", AVERAGE(INDIRECT(ADDRESS(272+3,K$2+1,,,"Instances") &amp; ":" &amp; ADDRESS(272+3,K$2+1))),"median", MEDIAN(INDIRECT(ADDRESS(272+3,K$2+1,,,"Instances") &amp; ":" &amp; ADDRESS(272+3,K$2+1))),"min", MIN(INDIRECT(ADDRESS(272+3,K$2+1,,,"Instances") &amp; ":" &amp; ADDRESS(272+3,K$2+1))),"max", MAX(INDIRECT(ADDRESS(272+3,K$2+1,,,"Instances") &amp; ":" &amp; ADDRESS(272+3,K$2+1))),"diff", MAX(INDIRECT(ADDRESS(272+3,K$2+1,,,"Instances") &amp; ":" &amp; ADDRESS(272+3,K$2+1)))-MIN(INDIRECT(ADDRESS(272+3,K$2+1,,,"Instances") &amp; ":" &amp; ADDRESS(272+3,K$2+1))))</f>
        <v>#N/A</v>
      </c>
      <c r="L277" s="0" t="str">
        <f aca="false">IFERROR(SMALL(K5:K364,ROW()-ROW($L$5)+1),"")</f>
        <v/>
      </c>
      <c r="N277" s="0" t="n">
        <f aca="false">IFERROR(SUM(L5:L277),"")</f>
        <v>0</v>
      </c>
      <c r="Q277" s="0" t="e">
        <f aca="false">IF(Charts!$B$3="none",E2084,IF(K2084="",NA(),K2084))</f>
        <v>#N/A</v>
      </c>
      <c r="R277" s="0" t="e">
        <f aca="false">IF(Charts!$B$3="none",F2084,IF(L2084="",NA(),L2084))</f>
        <v>#N/A</v>
      </c>
      <c r="S277" s="0" t="e">
        <f aca="false">IF(Charts!$B$3="none",G2084,IF(M2084="",NA(),M2084))</f>
        <v>#N/A</v>
      </c>
      <c r="T277" s="0" t="e">
        <f aca="false">IF(Charts!$B$3="none",H2084,IF(N2084="",NA(),N2084))</f>
        <v>#N/A</v>
      </c>
    </row>
    <row r="278" customFormat="false" ht="15" hidden="false" customHeight="false" outlineLevel="0" collapsed="false">
      <c r="D278" s="0" t="n">
        <v>274</v>
      </c>
      <c r="E278" s="0" t="str">
        <f aca="true">IF(INDIRECT(ADDRESS($D278+2,E$2+1,,,"Instances"))="","",INDIRECT(ADDRESS($D278+2,E$2+1,,,"Instances")))</f>
        <v>Level_7/5-0111110</v>
      </c>
      <c r="F278" s="0" t="str">
        <f aca="false">IFERROR(SMALL(E5:E364,ROW()-ROW($F$5)+1),"")</f>
        <v/>
      </c>
      <c r="H278" s="0" t="n">
        <f aca="false">IFERROR(SUM(F5:F278),"")</f>
        <v>0</v>
      </c>
      <c r="J278" s="0" t="n">
        <v>274</v>
      </c>
      <c r="K278" s="0" t="e">
        <f aca="true" t="array" ref="K278:K278">_xlfn.SWITCH(Charts!$B$3,"average", AVERAGE(INDIRECT(ADDRESS(273+3,K$2+1,,,"Instances") &amp; ":" &amp; ADDRESS(273+3,K$2+1))),"median", MEDIAN(INDIRECT(ADDRESS(273+3,K$2+1,,,"Instances") &amp; ":" &amp; ADDRESS(273+3,K$2+1))),"min", MIN(INDIRECT(ADDRESS(273+3,K$2+1,,,"Instances") &amp; ":" &amp; ADDRESS(273+3,K$2+1))),"max", MAX(INDIRECT(ADDRESS(273+3,K$2+1,,,"Instances") &amp; ":" &amp; ADDRESS(273+3,K$2+1))),"diff", MAX(INDIRECT(ADDRESS(273+3,K$2+1,,,"Instances") &amp; ":" &amp; ADDRESS(273+3,K$2+1)))-MIN(INDIRECT(ADDRESS(273+3,K$2+1,,,"Instances") &amp; ":" &amp; ADDRESS(273+3,K$2+1))))</f>
        <v>#N/A</v>
      </c>
      <c r="L278" s="0" t="str">
        <f aca="false">IFERROR(SMALL(K5:K364,ROW()-ROW($L$5)+1),"")</f>
        <v/>
      </c>
      <c r="N278" s="0" t="n">
        <f aca="false">IFERROR(SUM(L5:L278),"")</f>
        <v>0</v>
      </c>
      <c r="Q278" s="0" t="e">
        <f aca="false">IF(Charts!$B$3="none",E2085,IF(K2085="",NA(),K2085))</f>
        <v>#N/A</v>
      </c>
      <c r="R278" s="0" t="e">
        <f aca="false">IF(Charts!$B$3="none",F2085,IF(L2085="",NA(),L2085))</f>
        <v>#N/A</v>
      </c>
      <c r="S278" s="0" t="e">
        <f aca="false">IF(Charts!$B$3="none",G2085,IF(M2085="",NA(),M2085))</f>
        <v>#N/A</v>
      </c>
      <c r="T278" s="0" t="e">
        <f aca="false">IF(Charts!$B$3="none",H2085,IF(N2085="",NA(),N2085))</f>
        <v>#N/A</v>
      </c>
    </row>
    <row r="279" customFormat="false" ht="15" hidden="false" customHeight="false" outlineLevel="0" collapsed="false">
      <c r="D279" s="0" t="n">
        <v>275</v>
      </c>
      <c r="E279" s="0" t="str">
        <f aca="true">IF(INDIRECT(ADDRESS($D279+2,E$2+1,,,"Instances"))="","",INDIRECT(ADDRESS($D279+2,E$2+1,,,"Instances")))</f>
        <v>Level_7/5-1010111</v>
      </c>
      <c r="F279" s="0" t="str">
        <f aca="false">IFERROR(SMALL(E5:E364,ROW()-ROW($F$5)+1),"")</f>
        <v/>
      </c>
      <c r="H279" s="0" t="n">
        <f aca="false">IFERROR(SUM(F5:F279),"")</f>
        <v>0</v>
      </c>
      <c r="J279" s="0" t="n">
        <v>275</v>
      </c>
      <c r="K279" s="0" t="e">
        <f aca="true" t="array" ref="K279:K279">_xlfn.SWITCH(Charts!$B$3,"average", AVERAGE(INDIRECT(ADDRESS(274+3,K$2+1,,,"Instances") &amp; ":" &amp; ADDRESS(274+3,K$2+1))),"median", MEDIAN(INDIRECT(ADDRESS(274+3,K$2+1,,,"Instances") &amp; ":" &amp; ADDRESS(274+3,K$2+1))),"min", MIN(INDIRECT(ADDRESS(274+3,K$2+1,,,"Instances") &amp; ":" &amp; ADDRESS(274+3,K$2+1))),"max", MAX(INDIRECT(ADDRESS(274+3,K$2+1,,,"Instances") &amp; ":" &amp; ADDRESS(274+3,K$2+1))),"diff", MAX(INDIRECT(ADDRESS(274+3,K$2+1,,,"Instances") &amp; ":" &amp; ADDRESS(274+3,K$2+1)))-MIN(INDIRECT(ADDRESS(274+3,K$2+1,,,"Instances") &amp; ":" &amp; ADDRESS(274+3,K$2+1))))</f>
        <v>#N/A</v>
      </c>
      <c r="L279" s="0" t="str">
        <f aca="false">IFERROR(SMALL(K5:K364,ROW()-ROW($L$5)+1),"")</f>
        <v/>
      </c>
      <c r="N279" s="0" t="n">
        <f aca="false">IFERROR(SUM(L5:L279),"")</f>
        <v>0</v>
      </c>
      <c r="Q279" s="0" t="e">
        <f aca="false">IF(Charts!$B$3="none",E2086,IF(K2086="",NA(),K2086))</f>
        <v>#N/A</v>
      </c>
      <c r="R279" s="0" t="e">
        <f aca="false">IF(Charts!$B$3="none",F2086,IF(L2086="",NA(),L2086))</f>
        <v>#N/A</v>
      </c>
      <c r="S279" s="0" t="e">
        <f aca="false">IF(Charts!$B$3="none",G2086,IF(M2086="",NA(),M2086))</f>
        <v>#N/A</v>
      </c>
      <c r="T279" s="0" t="e">
        <f aca="false">IF(Charts!$B$3="none",H2086,IF(N2086="",NA(),N2086))</f>
        <v>#N/A</v>
      </c>
    </row>
    <row r="280" customFormat="false" ht="15" hidden="false" customHeight="false" outlineLevel="0" collapsed="false">
      <c r="D280" s="0" t="n">
        <v>276</v>
      </c>
      <c r="E280" s="0" t="str">
        <f aca="true">IF(INDIRECT(ADDRESS($D280+2,E$2+1,,,"Instances"))="","",INDIRECT(ADDRESS($D280+2,E$2+1,,,"Instances")))</f>
        <v>Level_7/5-1011110</v>
      </c>
      <c r="F280" s="0" t="str">
        <f aca="false">IFERROR(SMALL(E5:E364,ROW()-ROW($F$5)+1),"")</f>
        <v/>
      </c>
      <c r="H280" s="0" t="n">
        <f aca="false">IFERROR(SUM(F5:F280),"")</f>
        <v>0</v>
      </c>
      <c r="J280" s="0" t="n">
        <v>276</v>
      </c>
      <c r="K280" s="0" t="e">
        <f aca="true" t="array" ref="K280:K280">_xlfn.SWITCH(Charts!$B$3,"average", AVERAGE(INDIRECT(ADDRESS(275+3,K$2+1,,,"Instances") &amp; ":" &amp; ADDRESS(275+3,K$2+1))),"median", MEDIAN(INDIRECT(ADDRESS(275+3,K$2+1,,,"Instances") &amp; ":" &amp; ADDRESS(275+3,K$2+1))),"min", MIN(INDIRECT(ADDRESS(275+3,K$2+1,,,"Instances") &amp; ":" &amp; ADDRESS(275+3,K$2+1))),"max", MAX(INDIRECT(ADDRESS(275+3,K$2+1,,,"Instances") &amp; ":" &amp; ADDRESS(275+3,K$2+1))),"diff", MAX(INDIRECT(ADDRESS(275+3,K$2+1,,,"Instances") &amp; ":" &amp; ADDRESS(275+3,K$2+1)))-MIN(INDIRECT(ADDRESS(275+3,K$2+1,,,"Instances") &amp; ":" &amp; ADDRESS(275+3,K$2+1))))</f>
        <v>#N/A</v>
      </c>
      <c r="L280" s="0" t="str">
        <f aca="false">IFERROR(SMALL(K5:K364,ROW()-ROW($L$5)+1),"")</f>
        <v/>
      </c>
      <c r="N280" s="0" t="n">
        <f aca="false">IFERROR(SUM(L5:L280),"")</f>
        <v>0</v>
      </c>
      <c r="Q280" s="0" t="e">
        <f aca="false">IF(Charts!$B$3="none",E2087,IF(K2087="",NA(),K2087))</f>
        <v>#N/A</v>
      </c>
      <c r="R280" s="0" t="e">
        <f aca="false">IF(Charts!$B$3="none",F2087,IF(L2087="",NA(),L2087))</f>
        <v>#N/A</v>
      </c>
      <c r="S280" s="0" t="e">
        <f aca="false">IF(Charts!$B$3="none",G2087,IF(M2087="",NA(),M2087))</f>
        <v>#N/A</v>
      </c>
      <c r="T280" s="0" t="e">
        <f aca="false">IF(Charts!$B$3="none",H2087,IF(N2087="",NA(),N2087))</f>
        <v>#N/A</v>
      </c>
    </row>
    <row r="281" customFormat="false" ht="15" hidden="false" customHeight="false" outlineLevel="0" collapsed="false">
      <c r="D281" s="0" t="n">
        <v>277</v>
      </c>
      <c r="E281" s="0" t="str">
        <f aca="true">IF(INDIRECT(ADDRESS($D281+2,E$2+1,,,"Instances"))="","",INDIRECT(ADDRESS($D281+2,E$2+1,,,"Instances")))</f>
        <v>Level_7/5-1100111</v>
      </c>
      <c r="F281" s="0" t="str">
        <f aca="false">IFERROR(SMALL(E5:E364,ROW()-ROW($F$5)+1),"")</f>
        <v/>
      </c>
      <c r="H281" s="0" t="n">
        <f aca="false">IFERROR(SUM(F5:F281),"")</f>
        <v>0</v>
      </c>
      <c r="J281" s="0" t="n">
        <v>277</v>
      </c>
      <c r="K281" s="0" t="e">
        <f aca="true" t="array" ref="K281:K281">_xlfn.SWITCH(Charts!$B$3,"average", AVERAGE(INDIRECT(ADDRESS(276+3,K$2+1,,,"Instances") &amp; ":" &amp; ADDRESS(276+3,K$2+1))),"median", MEDIAN(INDIRECT(ADDRESS(276+3,K$2+1,,,"Instances") &amp; ":" &amp; ADDRESS(276+3,K$2+1))),"min", MIN(INDIRECT(ADDRESS(276+3,K$2+1,,,"Instances") &amp; ":" &amp; ADDRESS(276+3,K$2+1))),"max", MAX(INDIRECT(ADDRESS(276+3,K$2+1,,,"Instances") &amp; ":" &amp; ADDRESS(276+3,K$2+1))),"diff", MAX(INDIRECT(ADDRESS(276+3,K$2+1,,,"Instances") &amp; ":" &amp; ADDRESS(276+3,K$2+1)))-MIN(INDIRECT(ADDRESS(276+3,K$2+1,,,"Instances") &amp; ":" &amp; ADDRESS(276+3,K$2+1))))</f>
        <v>#N/A</v>
      </c>
      <c r="L281" s="0" t="str">
        <f aca="false">IFERROR(SMALL(K5:K364,ROW()-ROW($L$5)+1),"")</f>
        <v/>
      </c>
      <c r="N281" s="0" t="n">
        <f aca="false">IFERROR(SUM(L5:L281),"")</f>
        <v>0</v>
      </c>
      <c r="Q281" s="0" t="e">
        <f aca="false">IF(Charts!$B$3="none",E2088,IF(K2088="",NA(),K2088))</f>
        <v>#N/A</v>
      </c>
      <c r="R281" s="0" t="e">
        <f aca="false">IF(Charts!$B$3="none",F2088,IF(L2088="",NA(),L2088))</f>
        <v>#N/A</v>
      </c>
      <c r="S281" s="0" t="e">
        <f aca="false">IF(Charts!$B$3="none",G2088,IF(M2088="",NA(),M2088))</f>
        <v>#N/A</v>
      </c>
      <c r="T281" s="0" t="e">
        <f aca="false">IF(Charts!$B$3="none",H2088,IF(N2088="",NA(),N2088))</f>
        <v>#N/A</v>
      </c>
    </row>
    <row r="282" customFormat="false" ht="15" hidden="false" customHeight="false" outlineLevel="0" collapsed="false">
      <c r="D282" s="0" t="n">
        <v>278</v>
      </c>
      <c r="E282" s="0" t="str">
        <f aca="true">IF(INDIRECT(ADDRESS($D282+2,E$2+1,,,"Instances"))="","",INDIRECT(ADDRESS($D282+2,E$2+1,,,"Instances")))</f>
        <v>Level_7/5-1110011</v>
      </c>
      <c r="F282" s="0" t="str">
        <f aca="false">IFERROR(SMALL(E5:E364,ROW()-ROW($F$5)+1),"")</f>
        <v/>
      </c>
      <c r="H282" s="0" t="n">
        <f aca="false">IFERROR(SUM(F5:F282),"")</f>
        <v>0</v>
      </c>
      <c r="J282" s="0" t="n">
        <v>278</v>
      </c>
      <c r="K282" s="0" t="e">
        <f aca="true" t="array" ref="K282:K282">_xlfn.SWITCH(Charts!$B$3,"average", AVERAGE(INDIRECT(ADDRESS(277+3,K$2+1,,,"Instances") &amp; ":" &amp; ADDRESS(277+3,K$2+1))),"median", MEDIAN(INDIRECT(ADDRESS(277+3,K$2+1,,,"Instances") &amp; ":" &amp; ADDRESS(277+3,K$2+1))),"min", MIN(INDIRECT(ADDRESS(277+3,K$2+1,,,"Instances") &amp; ":" &amp; ADDRESS(277+3,K$2+1))),"max", MAX(INDIRECT(ADDRESS(277+3,K$2+1,,,"Instances") &amp; ":" &amp; ADDRESS(277+3,K$2+1))),"diff", MAX(INDIRECT(ADDRESS(277+3,K$2+1,,,"Instances") &amp; ":" &amp; ADDRESS(277+3,K$2+1)))-MIN(INDIRECT(ADDRESS(277+3,K$2+1,,,"Instances") &amp; ":" &amp; ADDRESS(277+3,K$2+1))))</f>
        <v>#N/A</v>
      </c>
      <c r="L282" s="0" t="str">
        <f aca="false">IFERROR(SMALL(K5:K364,ROW()-ROW($L$5)+1),"")</f>
        <v/>
      </c>
      <c r="N282" s="0" t="n">
        <f aca="false">IFERROR(SUM(L5:L282),"")</f>
        <v>0</v>
      </c>
      <c r="Q282" s="0" t="e">
        <f aca="false">IF(Charts!$B$3="none",E2089,IF(K2089="",NA(),K2089))</f>
        <v>#N/A</v>
      </c>
      <c r="R282" s="0" t="e">
        <f aca="false">IF(Charts!$B$3="none",F2089,IF(L2089="",NA(),L2089))</f>
        <v>#N/A</v>
      </c>
      <c r="S282" s="0" t="e">
        <f aca="false">IF(Charts!$B$3="none",G2089,IF(M2089="",NA(),M2089))</f>
        <v>#N/A</v>
      </c>
      <c r="T282" s="0" t="e">
        <f aca="false">IF(Charts!$B$3="none",H2089,IF(N2089="",NA(),N2089))</f>
        <v>#N/A</v>
      </c>
    </row>
    <row r="283" customFormat="false" ht="15" hidden="false" customHeight="false" outlineLevel="0" collapsed="false">
      <c r="D283" s="0" t="n">
        <v>279</v>
      </c>
      <c r="E283" s="0" t="str">
        <f aca="true">IF(INDIRECT(ADDRESS($D283+2,E$2+1,,,"Instances"))="","",INDIRECT(ADDRESS($D283+2,E$2+1,,,"Instances")))</f>
        <v>Level_7/5-1110101</v>
      </c>
      <c r="F283" s="0" t="str">
        <f aca="false">IFERROR(SMALL(E5:E364,ROW()-ROW($F$5)+1),"")</f>
        <v/>
      </c>
      <c r="H283" s="0" t="n">
        <f aca="false">IFERROR(SUM(F5:F283),"")</f>
        <v>0</v>
      </c>
      <c r="J283" s="0" t="n">
        <v>279</v>
      </c>
      <c r="K283" s="0" t="e">
        <f aca="true" t="array" ref="K283:K283">_xlfn.SWITCH(Charts!$B$3,"average", AVERAGE(INDIRECT(ADDRESS(278+3,K$2+1,,,"Instances") &amp; ":" &amp; ADDRESS(278+3,K$2+1))),"median", MEDIAN(INDIRECT(ADDRESS(278+3,K$2+1,,,"Instances") &amp; ":" &amp; ADDRESS(278+3,K$2+1))),"min", MIN(INDIRECT(ADDRESS(278+3,K$2+1,,,"Instances") &amp; ":" &amp; ADDRESS(278+3,K$2+1))),"max", MAX(INDIRECT(ADDRESS(278+3,K$2+1,,,"Instances") &amp; ":" &amp; ADDRESS(278+3,K$2+1))),"diff", MAX(INDIRECT(ADDRESS(278+3,K$2+1,,,"Instances") &amp; ":" &amp; ADDRESS(278+3,K$2+1)))-MIN(INDIRECT(ADDRESS(278+3,K$2+1,,,"Instances") &amp; ":" &amp; ADDRESS(278+3,K$2+1))))</f>
        <v>#N/A</v>
      </c>
      <c r="L283" s="0" t="str">
        <f aca="false">IFERROR(SMALL(K5:K364,ROW()-ROW($L$5)+1),"")</f>
        <v/>
      </c>
      <c r="N283" s="0" t="n">
        <f aca="false">IFERROR(SUM(L5:L283),"")</f>
        <v>0</v>
      </c>
      <c r="Q283" s="0" t="e">
        <f aca="false">IF(Charts!$B$3="none",E2090,IF(K2090="",NA(),K2090))</f>
        <v>#N/A</v>
      </c>
      <c r="R283" s="0" t="e">
        <f aca="false">IF(Charts!$B$3="none",F2090,IF(L2090="",NA(),L2090))</f>
        <v>#N/A</v>
      </c>
      <c r="S283" s="0" t="e">
        <f aca="false">IF(Charts!$B$3="none",G2090,IF(M2090="",NA(),M2090))</f>
        <v>#N/A</v>
      </c>
      <c r="T283" s="0" t="e">
        <f aca="false">IF(Charts!$B$3="none",H2090,IF(N2090="",NA(),N2090))</f>
        <v>#N/A</v>
      </c>
    </row>
    <row r="284" customFormat="false" ht="15" hidden="false" customHeight="false" outlineLevel="0" collapsed="false">
      <c r="D284" s="0" t="n">
        <v>280</v>
      </c>
      <c r="E284" s="0" t="str">
        <f aca="true">IF(INDIRECT(ADDRESS($D284+2,E$2+1,,,"Instances"))="","",INDIRECT(ADDRESS($D284+2,E$2+1,,,"Instances")))</f>
        <v>Level_7/5-1111010</v>
      </c>
      <c r="F284" s="0" t="str">
        <f aca="false">IFERROR(SMALL(E5:E364,ROW()-ROW($F$5)+1),"")</f>
        <v/>
      </c>
      <c r="H284" s="0" t="n">
        <f aca="false">IFERROR(SUM(F5:F284),"")</f>
        <v>0</v>
      </c>
      <c r="J284" s="0" t="n">
        <v>280</v>
      </c>
      <c r="K284" s="0" t="e">
        <f aca="true" t="array" ref="K284:K284">_xlfn.SWITCH(Charts!$B$3,"average", AVERAGE(INDIRECT(ADDRESS(279+3,K$2+1,,,"Instances") &amp; ":" &amp; ADDRESS(279+3,K$2+1))),"median", MEDIAN(INDIRECT(ADDRESS(279+3,K$2+1,,,"Instances") &amp; ":" &amp; ADDRESS(279+3,K$2+1))),"min", MIN(INDIRECT(ADDRESS(279+3,K$2+1,,,"Instances") &amp; ":" &amp; ADDRESS(279+3,K$2+1))),"max", MAX(INDIRECT(ADDRESS(279+3,K$2+1,,,"Instances") &amp; ":" &amp; ADDRESS(279+3,K$2+1))),"diff", MAX(INDIRECT(ADDRESS(279+3,K$2+1,,,"Instances") &amp; ":" &amp; ADDRESS(279+3,K$2+1)))-MIN(INDIRECT(ADDRESS(279+3,K$2+1,,,"Instances") &amp; ":" &amp; ADDRESS(279+3,K$2+1))))</f>
        <v>#N/A</v>
      </c>
      <c r="L284" s="0" t="str">
        <f aca="false">IFERROR(SMALL(K5:K364,ROW()-ROW($L$5)+1),"")</f>
        <v/>
      </c>
      <c r="N284" s="0" t="n">
        <f aca="false">IFERROR(SUM(L5:L284),"")</f>
        <v>0</v>
      </c>
      <c r="Q284" s="0" t="e">
        <f aca="false">IF(Charts!$B$3="none",E2091,IF(K2091="",NA(),K2091))</f>
        <v>#N/A</v>
      </c>
      <c r="R284" s="0" t="e">
        <f aca="false">IF(Charts!$B$3="none",F2091,IF(L2091="",NA(),L2091))</f>
        <v>#N/A</v>
      </c>
      <c r="S284" s="0" t="e">
        <f aca="false">IF(Charts!$B$3="none",G2091,IF(M2091="",NA(),M2091))</f>
        <v>#N/A</v>
      </c>
      <c r="T284" s="0" t="e">
        <f aca="false">IF(Charts!$B$3="none",H2091,IF(N2091="",NA(),N2091))</f>
        <v>#N/A</v>
      </c>
    </row>
    <row r="285" customFormat="false" ht="15" hidden="false" customHeight="false" outlineLevel="0" collapsed="false">
      <c r="D285" s="0" t="n">
        <v>281</v>
      </c>
      <c r="E285" s="0" t="str">
        <f aca="true">IF(INDIRECT(ADDRESS($D285+2,E$2+1,,,"Instances"))="","",INDIRECT(ADDRESS($D285+2,E$2+1,,,"Instances")))</f>
        <v>Level_7/6-0111111</v>
      </c>
      <c r="F285" s="0" t="str">
        <f aca="false">IFERROR(SMALL(E5:E364,ROW()-ROW($F$5)+1),"")</f>
        <v/>
      </c>
      <c r="H285" s="0" t="n">
        <f aca="false">IFERROR(SUM(F5:F285),"")</f>
        <v>0</v>
      </c>
      <c r="J285" s="0" t="n">
        <v>281</v>
      </c>
      <c r="K285" s="0" t="e">
        <f aca="true" t="array" ref="K285:K285">_xlfn.SWITCH(Charts!$B$3,"average", AVERAGE(INDIRECT(ADDRESS(280+3,K$2+1,,,"Instances") &amp; ":" &amp; ADDRESS(280+3,K$2+1))),"median", MEDIAN(INDIRECT(ADDRESS(280+3,K$2+1,,,"Instances") &amp; ":" &amp; ADDRESS(280+3,K$2+1))),"min", MIN(INDIRECT(ADDRESS(280+3,K$2+1,,,"Instances") &amp; ":" &amp; ADDRESS(280+3,K$2+1))),"max", MAX(INDIRECT(ADDRESS(280+3,K$2+1,,,"Instances") &amp; ":" &amp; ADDRESS(280+3,K$2+1))),"diff", MAX(INDIRECT(ADDRESS(280+3,K$2+1,,,"Instances") &amp; ":" &amp; ADDRESS(280+3,K$2+1)))-MIN(INDIRECT(ADDRESS(280+3,K$2+1,,,"Instances") &amp; ":" &amp; ADDRESS(280+3,K$2+1))))</f>
        <v>#N/A</v>
      </c>
      <c r="L285" s="0" t="str">
        <f aca="false">IFERROR(SMALL(K5:K364,ROW()-ROW($L$5)+1),"")</f>
        <v/>
      </c>
      <c r="N285" s="0" t="n">
        <f aca="false">IFERROR(SUM(L5:L285),"")</f>
        <v>0</v>
      </c>
      <c r="Q285" s="0" t="e">
        <f aca="false">IF(Charts!$B$3="none",E2092,IF(K2092="",NA(),K2092))</f>
        <v>#N/A</v>
      </c>
      <c r="R285" s="0" t="e">
        <f aca="false">IF(Charts!$B$3="none",F2092,IF(L2092="",NA(),L2092))</f>
        <v>#N/A</v>
      </c>
      <c r="S285" s="0" t="e">
        <f aca="false">IF(Charts!$B$3="none",G2092,IF(M2092="",NA(),M2092))</f>
        <v>#N/A</v>
      </c>
      <c r="T285" s="0" t="e">
        <f aca="false">IF(Charts!$B$3="none",H2092,IF(N2092="",NA(),N2092))</f>
        <v>#N/A</v>
      </c>
    </row>
    <row r="286" customFormat="false" ht="15" hidden="false" customHeight="false" outlineLevel="0" collapsed="false">
      <c r="D286" s="0" t="n">
        <v>282</v>
      </c>
      <c r="E286" s="0" t="str">
        <f aca="true">IF(INDIRECT(ADDRESS($D286+2,E$2+1,,,"Instances"))="","",INDIRECT(ADDRESS($D286+2,E$2+1,,,"Instances")))</f>
        <v>Level_7/6-1011111</v>
      </c>
      <c r="F286" s="0" t="str">
        <f aca="false">IFERROR(SMALL(E5:E364,ROW()-ROW($F$5)+1),"")</f>
        <v/>
      </c>
      <c r="H286" s="0" t="n">
        <f aca="false">IFERROR(SUM(F5:F286),"")</f>
        <v>0</v>
      </c>
      <c r="J286" s="0" t="n">
        <v>282</v>
      </c>
      <c r="K286" s="0" t="e">
        <f aca="true" t="array" ref="K286:K286">_xlfn.SWITCH(Charts!$B$3,"average", AVERAGE(INDIRECT(ADDRESS(281+3,K$2+1,,,"Instances") &amp; ":" &amp; ADDRESS(281+3,K$2+1))),"median", MEDIAN(INDIRECT(ADDRESS(281+3,K$2+1,,,"Instances") &amp; ":" &amp; ADDRESS(281+3,K$2+1))),"min", MIN(INDIRECT(ADDRESS(281+3,K$2+1,,,"Instances") &amp; ":" &amp; ADDRESS(281+3,K$2+1))),"max", MAX(INDIRECT(ADDRESS(281+3,K$2+1,,,"Instances") &amp; ":" &amp; ADDRESS(281+3,K$2+1))),"diff", MAX(INDIRECT(ADDRESS(281+3,K$2+1,,,"Instances") &amp; ":" &amp; ADDRESS(281+3,K$2+1)))-MIN(INDIRECT(ADDRESS(281+3,K$2+1,,,"Instances") &amp; ":" &amp; ADDRESS(281+3,K$2+1))))</f>
        <v>#N/A</v>
      </c>
      <c r="L286" s="0" t="str">
        <f aca="false">IFERROR(SMALL(K5:K364,ROW()-ROW($L$5)+1),"")</f>
        <v/>
      </c>
      <c r="N286" s="0" t="n">
        <f aca="false">IFERROR(SUM(L5:L286),"")</f>
        <v>0</v>
      </c>
      <c r="Q286" s="0" t="e">
        <f aca="false">IF(Charts!$B$3="none",E2093,IF(K2093="",NA(),K2093))</f>
        <v>#N/A</v>
      </c>
      <c r="R286" s="0" t="e">
        <f aca="false">IF(Charts!$B$3="none",F2093,IF(L2093="",NA(),L2093))</f>
        <v>#N/A</v>
      </c>
      <c r="S286" s="0" t="e">
        <f aca="false">IF(Charts!$B$3="none",G2093,IF(M2093="",NA(),M2093))</f>
        <v>#N/A</v>
      </c>
      <c r="T286" s="0" t="e">
        <f aca="false">IF(Charts!$B$3="none",H2093,IF(N2093="",NA(),N2093))</f>
        <v>#N/A</v>
      </c>
    </row>
    <row r="287" customFormat="false" ht="15" hidden="false" customHeight="false" outlineLevel="0" collapsed="false">
      <c r="D287" s="0" t="n">
        <v>283</v>
      </c>
      <c r="E287" s="0" t="str">
        <f aca="true">IF(INDIRECT(ADDRESS($D287+2,E$2+1,,,"Instances"))="","",INDIRECT(ADDRESS($D287+2,E$2+1,,,"Instances")))</f>
        <v>Level_7/6-1101111</v>
      </c>
      <c r="F287" s="0" t="str">
        <f aca="false">IFERROR(SMALL(E5:E364,ROW()-ROW($F$5)+1),"")</f>
        <v/>
      </c>
      <c r="H287" s="0" t="n">
        <f aca="false">IFERROR(SUM(F5:F287),"")</f>
        <v>0</v>
      </c>
      <c r="J287" s="0" t="n">
        <v>283</v>
      </c>
      <c r="K287" s="0" t="e">
        <f aca="true" t="array" ref="K287:K287">_xlfn.SWITCH(Charts!$B$3,"average", AVERAGE(INDIRECT(ADDRESS(282+3,K$2+1,,,"Instances") &amp; ":" &amp; ADDRESS(282+3,K$2+1))),"median", MEDIAN(INDIRECT(ADDRESS(282+3,K$2+1,,,"Instances") &amp; ":" &amp; ADDRESS(282+3,K$2+1))),"min", MIN(INDIRECT(ADDRESS(282+3,K$2+1,,,"Instances") &amp; ":" &amp; ADDRESS(282+3,K$2+1))),"max", MAX(INDIRECT(ADDRESS(282+3,K$2+1,,,"Instances") &amp; ":" &amp; ADDRESS(282+3,K$2+1))),"diff", MAX(INDIRECT(ADDRESS(282+3,K$2+1,,,"Instances") &amp; ":" &amp; ADDRESS(282+3,K$2+1)))-MIN(INDIRECT(ADDRESS(282+3,K$2+1,,,"Instances") &amp; ":" &amp; ADDRESS(282+3,K$2+1))))</f>
        <v>#N/A</v>
      </c>
      <c r="L287" s="0" t="str">
        <f aca="false">IFERROR(SMALL(K5:K364,ROW()-ROW($L$5)+1),"")</f>
        <v/>
      </c>
      <c r="N287" s="0" t="n">
        <f aca="false">IFERROR(SUM(L5:L287),"")</f>
        <v>0</v>
      </c>
      <c r="Q287" s="0" t="e">
        <f aca="false">IF(Charts!$B$3="none",E2094,IF(K2094="",NA(),K2094))</f>
        <v>#N/A</v>
      </c>
      <c r="R287" s="0" t="e">
        <f aca="false">IF(Charts!$B$3="none",F2094,IF(L2094="",NA(),L2094))</f>
        <v>#N/A</v>
      </c>
      <c r="S287" s="0" t="e">
        <f aca="false">IF(Charts!$B$3="none",G2094,IF(M2094="",NA(),M2094))</f>
        <v>#N/A</v>
      </c>
      <c r="T287" s="0" t="e">
        <f aca="false">IF(Charts!$B$3="none",H2094,IF(N2094="",NA(),N2094))</f>
        <v>#N/A</v>
      </c>
    </row>
    <row r="288" customFormat="false" ht="15" hidden="false" customHeight="false" outlineLevel="0" collapsed="false">
      <c r="D288" s="0" t="n">
        <v>284</v>
      </c>
      <c r="E288" s="0" t="str">
        <f aca="true">IF(INDIRECT(ADDRESS($D288+2,E$2+1,,,"Instances"))="","",INDIRECT(ADDRESS($D288+2,E$2+1,,,"Instances")))</f>
        <v>Level_7/6-1110111</v>
      </c>
      <c r="F288" s="0" t="str">
        <f aca="false">IFERROR(SMALL(E5:E364,ROW()-ROW($F$5)+1),"")</f>
        <v/>
      </c>
      <c r="H288" s="0" t="n">
        <f aca="false">IFERROR(SUM(F5:F288),"")</f>
        <v>0</v>
      </c>
      <c r="J288" s="0" t="n">
        <v>284</v>
      </c>
      <c r="K288" s="0" t="e">
        <f aca="true" t="array" ref="K288:K288">_xlfn.SWITCH(Charts!$B$3,"average", AVERAGE(INDIRECT(ADDRESS(283+3,K$2+1,,,"Instances") &amp; ":" &amp; ADDRESS(283+3,K$2+1))),"median", MEDIAN(INDIRECT(ADDRESS(283+3,K$2+1,,,"Instances") &amp; ":" &amp; ADDRESS(283+3,K$2+1))),"min", MIN(INDIRECT(ADDRESS(283+3,K$2+1,,,"Instances") &amp; ":" &amp; ADDRESS(283+3,K$2+1))),"max", MAX(INDIRECT(ADDRESS(283+3,K$2+1,,,"Instances") &amp; ":" &amp; ADDRESS(283+3,K$2+1))),"diff", MAX(INDIRECT(ADDRESS(283+3,K$2+1,,,"Instances") &amp; ":" &amp; ADDRESS(283+3,K$2+1)))-MIN(INDIRECT(ADDRESS(283+3,K$2+1,,,"Instances") &amp; ":" &amp; ADDRESS(283+3,K$2+1))))</f>
        <v>#N/A</v>
      </c>
      <c r="L288" s="0" t="str">
        <f aca="false">IFERROR(SMALL(K5:K364,ROW()-ROW($L$5)+1),"")</f>
        <v/>
      </c>
      <c r="N288" s="0" t="n">
        <f aca="false">IFERROR(SUM(L5:L288),"")</f>
        <v>0</v>
      </c>
      <c r="Q288" s="0" t="e">
        <f aca="false">IF(Charts!$B$3="none",E2095,IF(K2095="",NA(),K2095))</f>
        <v>#N/A</v>
      </c>
      <c r="R288" s="0" t="e">
        <f aca="false">IF(Charts!$B$3="none",F2095,IF(L2095="",NA(),L2095))</f>
        <v>#N/A</v>
      </c>
      <c r="S288" s="0" t="e">
        <f aca="false">IF(Charts!$B$3="none",G2095,IF(M2095="",NA(),M2095))</f>
        <v>#N/A</v>
      </c>
      <c r="T288" s="0" t="e">
        <f aca="false">IF(Charts!$B$3="none",H2095,IF(N2095="",NA(),N2095))</f>
        <v>#N/A</v>
      </c>
    </row>
    <row r="289" customFormat="false" ht="15" hidden="false" customHeight="false" outlineLevel="0" collapsed="false">
      <c r="D289" s="0" t="n">
        <v>285</v>
      </c>
      <c r="E289" s="0" t="str">
        <f aca="true">IF(INDIRECT(ADDRESS($D289+2,E$2+1,,,"Instances"))="","",INDIRECT(ADDRESS($D289+2,E$2+1,,,"Instances")))</f>
        <v>Level_7/6-1111011</v>
      </c>
      <c r="F289" s="0" t="str">
        <f aca="false">IFERROR(SMALL(E5:E364,ROW()-ROW($F$5)+1),"")</f>
        <v/>
      </c>
      <c r="H289" s="0" t="n">
        <f aca="false">IFERROR(SUM(F5:F289),"")</f>
        <v>0</v>
      </c>
      <c r="J289" s="0" t="n">
        <v>285</v>
      </c>
      <c r="K289" s="0" t="e">
        <f aca="true" t="array" ref="K289:K289">_xlfn.SWITCH(Charts!$B$3,"average", AVERAGE(INDIRECT(ADDRESS(284+3,K$2+1,,,"Instances") &amp; ":" &amp; ADDRESS(284+3,K$2+1))),"median", MEDIAN(INDIRECT(ADDRESS(284+3,K$2+1,,,"Instances") &amp; ":" &amp; ADDRESS(284+3,K$2+1))),"min", MIN(INDIRECT(ADDRESS(284+3,K$2+1,,,"Instances") &amp; ":" &amp; ADDRESS(284+3,K$2+1))),"max", MAX(INDIRECT(ADDRESS(284+3,K$2+1,,,"Instances") &amp; ":" &amp; ADDRESS(284+3,K$2+1))),"diff", MAX(INDIRECT(ADDRESS(284+3,K$2+1,,,"Instances") &amp; ":" &amp; ADDRESS(284+3,K$2+1)))-MIN(INDIRECT(ADDRESS(284+3,K$2+1,,,"Instances") &amp; ":" &amp; ADDRESS(284+3,K$2+1))))</f>
        <v>#N/A</v>
      </c>
      <c r="L289" s="0" t="str">
        <f aca="false">IFERROR(SMALL(K5:K364,ROW()-ROW($L$5)+1),"")</f>
        <v/>
      </c>
      <c r="N289" s="0" t="n">
        <f aca="false">IFERROR(SUM(L5:L289),"")</f>
        <v>0</v>
      </c>
      <c r="Q289" s="0" t="e">
        <f aca="false">IF(Charts!$B$3="none",E2096,IF(K2096="",NA(),K2096))</f>
        <v>#N/A</v>
      </c>
      <c r="R289" s="0" t="e">
        <f aca="false">IF(Charts!$B$3="none",F2096,IF(L2096="",NA(),L2096))</f>
        <v>#N/A</v>
      </c>
      <c r="S289" s="0" t="e">
        <f aca="false">IF(Charts!$B$3="none",G2096,IF(M2096="",NA(),M2096))</f>
        <v>#N/A</v>
      </c>
      <c r="T289" s="0" t="e">
        <f aca="false">IF(Charts!$B$3="none",H2096,IF(N2096="",NA(),N2096))</f>
        <v>#N/A</v>
      </c>
    </row>
    <row r="290" customFormat="false" ht="15" hidden="false" customHeight="false" outlineLevel="0" collapsed="false">
      <c r="D290" s="0" t="n">
        <v>286</v>
      </c>
      <c r="E290" s="0" t="str">
        <f aca="true">IF(INDIRECT(ADDRESS($D290+2,E$2+1,,,"Instances"))="","",INDIRECT(ADDRESS($D290+2,E$2+1,,,"Instances")))</f>
        <v>Level_7/6-1111101</v>
      </c>
      <c r="F290" s="0" t="str">
        <f aca="false">IFERROR(SMALL(E5:E364,ROW()-ROW($F$5)+1),"")</f>
        <v/>
      </c>
      <c r="H290" s="0" t="n">
        <f aca="false">IFERROR(SUM(F5:F290),"")</f>
        <v>0</v>
      </c>
      <c r="J290" s="0" t="n">
        <v>286</v>
      </c>
      <c r="K290" s="0" t="e">
        <f aca="true" t="array" ref="K290:K290">_xlfn.SWITCH(Charts!$B$3,"average", AVERAGE(INDIRECT(ADDRESS(285+3,K$2+1,,,"Instances") &amp; ":" &amp; ADDRESS(285+3,K$2+1))),"median", MEDIAN(INDIRECT(ADDRESS(285+3,K$2+1,,,"Instances") &amp; ":" &amp; ADDRESS(285+3,K$2+1))),"min", MIN(INDIRECT(ADDRESS(285+3,K$2+1,,,"Instances") &amp; ":" &amp; ADDRESS(285+3,K$2+1))),"max", MAX(INDIRECT(ADDRESS(285+3,K$2+1,,,"Instances") &amp; ":" &amp; ADDRESS(285+3,K$2+1))),"diff", MAX(INDIRECT(ADDRESS(285+3,K$2+1,,,"Instances") &amp; ":" &amp; ADDRESS(285+3,K$2+1)))-MIN(INDIRECT(ADDRESS(285+3,K$2+1,,,"Instances") &amp; ":" &amp; ADDRESS(285+3,K$2+1))))</f>
        <v>#N/A</v>
      </c>
      <c r="L290" s="0" t="str">
        <f aca="false">IFERROR(SMALL(K5:K364,ROW()-ROW($L$5)+1),"")</f>
        <v/>
      </c>
      <c r="N290" s="0" t="n">
        <f aca="false">IFERROR(SUM(L5:L290),"")</f>
        <v>0</v>
      </c>
      <c r="Q290" s="0" t="e">
        <f aca="false">IF(Charts!$B$3="none",E2097,IF(K2097="",NA(),K2097))</f>
        <v>#N/A</v>
      </c>
      <c r="R290" s="0" t="e">
        <f aca="false">IF(Charts!$B$3="none",F2097,IF(L2097="",NA(),L2097))</f>
        <v>#N/A</v>
      </c>
      <c r="S290" s="0" t="e">
        <f aca="false">IF(Charts!$B$3="none",G2097,IF(M2097="",NA(),M2097))</f>
        <v>#N/A</v>
      </c>
      <c r="T290" s="0" t="e">
        <f aca="false">IF(Charts!$B$3="none",H2097,IF(N2097="",NA(),N2097))</f>
        <v>#N/A</v>
      </c>
    </row>
    <row r="291" customFormat="false" ht="15" hidden="false" customHeight="false" outlineLevel="0" collapsed="false">
      <c r="D291" s="0" t="n">
        <v>287</v>
      </c>
      <c r="E291" s="0" t="str">
        <f aca="true">IF(INDIRECT(ADDRESS($D291+2,E$2+1,,,"Instances"))="","",INDIRECT(ADDRESS($D291+2,E$2+1,,,"Instances")))</f>
        <v>Level_7/6-1111110</v>
      </c>
      <c r="F291" s="0" t="str">
        <f aca="false">IFERROR(SMALL(E5:E364,ROW()-ROW($F$5)+1),"")</f>
        <v/>
      </c>
      <c r="H291" s="0" t="n">
        <f aca="false">IFERROR(SUM(F5:F291),"")</f>
        <v>0</v>
      </c>
      <c r="J291" s="0" t="n">
        <v>287</v>
      </c>
      <c r="K291" s="0" t="e">
        <f aca="true" t="array" ref="K291:K291">_xlfn.SWITCH(Charts!$B$3,"average", AVERAGE(INDIRECT(ADDRESS(286+3,K$2+1,,,"Instances") &amp; ":" &amp; ADDRESS(286+3,K$2+1))),"median", MEDIAN(INDIRECT(ADDRESS(286+3,K$2+1,,,"Instances") &amp; ":" &amp; ADDRESS(286+3,K$2+1))),"min", MIN(INDIRECT(ADDRESS(286+3,K$2+1,,,"Instances") &amp; ":" &amp; ADDRESS(286+3,K$2+1))),"max", MAX(INDIRECT(ADDRESS(286+3,K$2+1,,,"Instances") &amp; ":" &amp; ADDRESS(286+3,K$2+1))),"diff", MAX(INDIRECT(ADDRESS(286+3,K$2+1,,,"Instances") &amp; ":" &amp; ADDRESS(286+3,K$2+1)))-MIN(INDIRECT(ADDRESS(286+3,K$2+1,,,"Instances") &amp; ":" &amp; ADDRESS(286+3,K$2+1))))</f>
        <v>#N/A</v>
      </c>
      <c r="L291" s="0" t="str">
        <f aca="false">IFERROR(SMALL(K5:K364,ROW()-ROW($L$5)+1),"")</f>
        <v/>
      </c>
      <c r="N291" s="0" t="n">
        <f aca="false">IFERROR(SUM(L5:L291),"")</f>
        <v>0</v>
      </c>
      <c r="Q291" s="0" t="e">
        <f aca="false">IF(Charts!$B$3="none",E2098,IF(K2098="",NA(),K2098))</f>
        <v>#N/A</v>
      </c>
      <c r="R291" s="0" t="e">
        <f aca="false">IF(Charts!$B$3="none",F2098,IF(L2098="",NA(),L2098))</f>
        <v>#N/A</v>
      </c>
      <c r="S291" s="0" t="e">
        <f aca="false">IF(Charts!$B$3="none",G2098,IF(M2098="",NA(),M2098))</f>
        <v>#N/A</v>
      </c>
      <c r="T291" s="0" t="e">
        <f aca="false">IF(Charts!$B$3="none",H2098,IF(N2098="",NA(),N2098))</f>
        <v>#N/A</v>
      </c>
    </row>
    <row r="292" customFormat="false" ht="15" hidden="false" customHeight="false" outlineLevel="0" collapsed="false">
      <c r="D292" s="0" t="n">
        <v>288</v>
      </c>
      <c r="E292" s="0" t="str">
        <f aca="true">IF(INDIRECT(ADDRESS($D292+2,E$2+1,,,"Instances"))="","",INDIRECT(ADDRESS($D292+2,E$2+1,,,"Instances")))</f>
        <v>Level_7/7-1111111</v>
      </c>
      <c r="F292" s="0" t="str">
        <f aca="false">IFERROR(SMALL(E5:E364,ROW()-ROW($F$5)+1),"")</f>
        <v/>
      </c>
      <c r="H292" s="0" t="n">
        <f aca="false">IFERROR(SUM(F5:F292),"")</f>
        <v>0</v>
      </c>
      <c r="J292" s="0" t="n">
        <v>288</v>
      </c>
      <c r="K292" s="0" t="e">
        <f aca="true" t="array" ref="K292:K292">_xlfn.SWITCH(Charts!$B$3,"average", AVERAGE(INDIRECT(ADDRESS(287+3,K$2+1,,,"Instances") &amp; ":" &amp; ADDRESS(287+3,K$2+1))),"median", MEDIAN(INDIRECT(ADDRESS(287+3,K$2+1,,,"Instances") &amp; ":" &amp; ADDRESS(287+3,K$2+1))),"min", MIN(INDIRECT(ADDRESS(287+3,K$2+1,,,"Instances") &amp; ":" &amp; ADDRESS(287+3,K$2+1))),"max", MAX(INDIRECT(ADDRESS(287+3,K$2+1,,,"Instances") &amp; ":" &amp; ADDRESS(287+3,K$2+1))),"diff", MAX(INDIRECT(ADDRESS(287+3,K$2+1,,,"Instances") &amp; ":" &amp; ADDRESS(287+3,K$2+1)))-MIN(INDIRECT(ADDRESS(287+3,K$2+1,,,"Instances") &amp; ":" &amp; ADDRESS(287+3,K$2+1))))</f>
        <v>#N/A</v>
      </c>
      <c r="L292" s="0" t="str">
        <f aca="false">IFERROR(SMALL(K5:K364,ROW()-ROW($L$5)+1),"")</f>
        <v/>
      </c>
      <c r="N292" s="0" t="n">
        <f aca="false">IFERROR(SUM(L5:L292),"")</f>
        <v>0</v>
      </c>
      <c r="Q292" s="0" t="e">
        <f aca="false">IF(Charts!$B$3="none",E2099,IF(K2099="",NA(),K2099))</f>
        <v>#N/A</v>
      </c>
      <c r="R292" s="0" t="e">
        <f aca="false">IF(Charts!$B$3="none",F2099,IF(L2099="",NA(),L2099))</f>
        <v>#N/A</v>
      </c>
      <c r="S292" s="0" t="e">
        <f aca="false">IF(Charts!$B$3="none",G2099,IF(M2099="",NA(),M2099))</f>
        <v>#N/A</v>
      </c>
      <c r="T292" s="0" t="e">
        <f aca="false">IF(Charts!$B$3="none",H2099,IF(N2099="",NA(),N2099))</f>
        <v>#N/A</v>
      </c>
    </row>
    <row r="293" customFormat="false" ht="15" hidden="false" customHeight="false" outlineLevel="0" collapsed="false">
      <c r="D293" s="0" t="n">
        <v>289</v>
      </c>
      <c r="E293" s="0" t="str">
        <f aca="true">IF(INDIRECT(ADDRESS($D293+2,E$2+1,,,"Instances"))="","",INDIRECT(ADDRESS($D293+2,E$2+1,,,"Instances")))</f>
        <v>Level_8/2-0001001</v>
      </c>
      <c r="F293" s="0" t="str">
        <f aca="false">IFERROR(SMALL(E5:E364,ROW()-ROW($F$5)+1),"")</f>
        <v/>
      </c>
      <c r="H293" s="0" t="n">
        <f aca="false">IFERROR(SUM(F5:F293),"")</f>
        <v>0</v>
      </c>
      <c r="J293" s="0" t="n">
        <v>289</v>
      </c>
      <c r="K293" s="0" t="e">
        <f aca="true" t="array" ref="K293:K293">_xlfn.SWITCH(Charts!$B$3,"average", AVERAGE(INDIRECT(ADDRESS(288+3,K$2+1,,,"Instances") &amp; ":" &amp; ADDRESS(288+3,K$2+1))),"median", MEDIAN(INDIRECT(ADDRESS(288+3,K$2+1,,,"Instances") &amp; ":" &amp; ADDRESS(288+3,K$2+1))),"min", MIN(INDIRECT(ADDRESS(288+3,K$2+1,,,"Instances") &amp; ":" &amp; ADDRESS(288+3,K$2+1))),"max", MAX(INDIRECT(ADDRESS(288+3,K$2+1,,,"Instances") &amp; ":" &amp; ADDRESS(288+3,K$2+1))),"diff", MAX(INDIRECT(ADDRESS(288+3,K$2+1,,,"Instances") &amp; ":" &amp; ADDRESS(288+3,K$2+1)))-MIN(INDIRECT(ADDRESS(288+3,K$2+1,,,"Instances") &amp; ":" &amp; ADDRESS(288+3,K$2+1))))</f>
        <v>#N/A</v>
      </c>
      <c r="L293" s="0" t="str">
        <f aca="false">IFERROR(SMALL(K5:K364,ROW()-ROW($L$5)+1),"")</f>
        <v/>
      </c>
      <c r="N293" s="0" t="n">
        <f aca="false">IFERROR(SUM(L5:L293),"")</f>
        <v>0</v>
      </c>
      <c r="Q293" s="0" t="e">
        <f aca="false">IF(Charts!$B$3="none",E2100,IF(K2100="",NA(),K2100))</f>
        <v>#N/A</v>
      </c>
      <c r="R293" s="0" t="e">
        <f aca="false">IF(Charts!$B$3="none",F2100,IF(L2100="",NA(),L2100))</f>
        <v>#N/A</v>
      </c>
      <c r="S293" s="0" t="e">
        <f aca="false">IF(Charts!$B$3="none",G2100,IF(M2100="",NA(),M2100))</f>
        <v>#N/A</v>
      </c>
      <c r="T293" s="0" t="e">
        <f aca="false">IF(Charts!$B$3="none",H2100,IF(N2100="",NA(),N2100))</f>
        <v>#N/A</v>
      </c>
    </row>
    <row r="294" customFormat="false" ht="15" hidden="false" customHeight="false" outlineLevel="0" collapsed="false">
      <c r="D294" s="0" t="n">
        <v>290</v>
      </c>
      <c r="E294" s="0" t="str">
        <f aca="true">IF(INDIRECT(ADDRESS($D294+2,E$2+1,,,"Instances"))="","",INDIRECT(ADDRESS($D294+2,E$2+1,,,"Instances")))</f>
        <v>Level_8/2-0010001</v>
      </c>
      <c r="F294" s="0" t="str">
        <f aca="false">IFERROR(SMALL(E5:E364,ROW()-ROW($F$5)+1),"")</f>
        <v/>
      </c>
      <c r="H294" s="0" t="n">
        <f aca="false">IFERROR(SUM(F5:F294),"")</f>
        <v>0</v>
      </c>
      <c r="J294" s="0" t="n">
        <v>290</v>
      </c>
      <c r="K294" s="0" t="e">
        <f aca="true" t="array" ref="K294:K294">_xlfn.SWITCH(Charts!$B$3,"average", AVERAGE(INDIRECT(ADDRESS(289+3,K$2+1,,,"Instances") &amp; ":" &amp; ADDRESS(289+3,K$2+1))),"median", MEDIAN(INDIRECT(ADDRESS(289+3,K$2+1,,,"Instances") &amp; ":" &amp; ADDRESS(289+3,K$2+1))),"min", MIN(INDIRECT(ADDRESS(289+3,K$2+1,,,"Instances") &amp; ":" &amp; ADDRESS(289+3,K$2+1))),"max", MAX(INDIRECT(ADDRESS(289+3,K$2+1,,,"Instances") &amp; ":" &amp; ADDRESS(289+3,K$2+1))),"diff", MAX(INDIRECT(ADDRESS(289+3,K$2+1,,,"Instances") &amp; ":" &amp; ADDRESS(289+3,K$2+1)))-MIN(INDIRECT(ADDRESS(289+3,K$2+1,,,"Instances") &amp; ":" &amp; ADDRESS(289+3,K$2+1))))</f>
        <v>#N/A</v>
      </c>
      <c r="L294" s="0" t="str">
        <f aca="false">IFERROR(SMALL(K5:K364,ROW()-ROW($L$5)+1),"")</f>
        <v/>
      </c>
      <c r="N294" s="0" t="n">
        <f aca="false">IFERROR(SUM(L5:L294),"")</f>
        <v>0</v>
      </c>
      <c r="Q294" s="0" t="e">
        <f aca="false">IF(Charts!$B$3="none",E2101,IF(K2101="",NA(),K2101))</f>
        <v>#N/A</v>
      </c>
      <c r="R294" s="0" t="e">
        <f aca="false">IF(Charts!$B$3="none",F2101,IF(L2101="",NA(),L2101))</f>
        <v>#N/A</v>
      </c>
      <c r="S294" s="0" t="e">
        <f aca="false">IF(Charts!$B$3="none",G2101,IF(M2101="",NA(),M2101))</f>
        <v>#N/A</v>
      </c>
      <c r="T294" s="0" t="e">
        <f aca="false">IF(Charts!$B$3="none",H2101,IF(N2101="",NA(),N2101))</f>
        <v>#N/A</v>
      </c>
    </row>
    <row r="295" customFormat="false" ht="15" hidden="false" customHeight="false" outlineLevel="0" collapsed="false">
      <c r="D295" s="0" t="n">
        <v>291</v>
      </c>
      <c r="E295" s="0" t="str">
        <f aca="true">IF(INDIRECT(ADDRESS($D295+2,E$2+1,,,"Instances"))="","",INDIRECT(ADDRESS($D295+2,E$2+1,,,"Instances")))</f>
        <v>Level_8/2-0010010</v>
      </c>
      <c r="F295" s="0" t="str">
        <f aca="false">IFERROR(SMALL(E5:E364,ROW()-ROW($F$5)+1),"")</f>
        <v/>
      </c>
      <c r="H295" s="0" t="n">
        <f aca="false">IFERROR(SUM(F5:F295),"")</f>
        <v>0</v>
      </c>
      <c r="J295" s="0" t="n">
        <v>291</v>
      </c>
      <c r="K295" s="0" t="e">
        <f aca="true" t="array" ref="K295:K295">_xlfn.SWITCH(Charts!$B$3,"average", AVERAGE(INDIRECT(ADDRESS(290+3,K$2+1,,,"Instances") &amp; ":" &amp; ADDRESS(290+3,K$2+1))),"median", MEDIAN(INDIRECT(ADDRESS(290+3,K$2+1,,,"Instances") &amp; ":" &amp; ADDRESS(290+3,K$2+1))),"min", MIN(INDIRECT(ADDRESS(290+3,K$2+1,,,"Instances") &amp; ":" &amp; ADDRESS(290+3,K$2+1))),"max", MAX(INDIRECT(ADDRESS(290+3,K$2+1,,,"Instances") &amp; ":" &amp; ADDRESS(290+3,K$2+1))),"diff", MAX(INDIRECT(ADDRESS(290+3,K$2+1,,,"Instances") &amp; ":" &amp; ADDRESS(290+3,K$2+1)))-MIN(INDIRECT(ADDRESS(290+3,K$2+1,,,"Instances") &amp; ":" &amp; ADDRESS(290+3,K$2+1))))</f>
        <v>#N/A</v>
      </c>
      <c r="L295" s="0" t="str">
        <f aca="false">IFERROR(SMALL(K5:K364,ROW()-ROW($L$5)+1),"")</f>
        <v/>
      </c>
      <c r="N295" s="0" t="n">
        <f aca="false">IFERROR(SUM(L5:L295),"")</f>
        <v>0</v>
      </c>
      <c r="Q295" s="0" t="e">
        <f aca="false">IF(Charts!$B$3="none",E2102,IF(K2102="",NA(),K2102))</f>
        <v>#N/A</v>
      </c>
      <c r="R295" s="0" t="e">
        <f aca="false">IF(Charts!$B$3="none",F2102,IF(L2102="",NA(),L2102))</f>
        <v>#N/A</v>
      </c>
      <c r="S295" s="0" t="e">
        <f aca="false">IF(Charts!$B$3="none",G2102,IF(M2102="",NA(),M2102))</f>
        <v>#N/A</v>
      </c>
      <c r="T295" s="0" t="e">
        <f aca="false">IF(Charts!$B$3="none",H2102,IF(N2102="",NA(),N2102))</f>
        <v>#N/A</v>
      </c>
    </row>
    <row r="296" customFormat="false" ht="15" hidden="false" customHeight="false" outlineLevel="0" collapsed="false">
      <c r="D296" s="0" t="n">
        <v>292</v>
      </c>
      <c r="E296" s="0" t="str">
        <f aca="true">IF(INDIRECT(ADDRESS($D296+2,E$2+1,,,"Instances"))="","",INDIRECT(ADDRESS($D296+2,E$2+1,,,"Instances")))</f>
        <v>Level_8/2-0100100</v>
      </c>
      <c r="F296" s="0" t="str">
        <f aca="false">IFERROR(SMALL(E5:E364,ROW()-ROW($F$5)+1),"")</f>
        <v/>
      </c>
      <c r="H296" s="0" t="n">
        <f aca="false">IFERROR(SUM(F5:F296),"")</f>
        <v>0</v>
      </c>
      <c r="J296" s="0" t="n">
        <v>292</v>
      </c>
      <c r="K296" s="0" t="e">
        <f aca="true" t="array" ref="K296:K296">_xlfn.SWITCH(Charts!$B$3,"average", AVERAGE(INDIRECT(ADDRESS(291+3,K$2+1,,,"Instances") &amp; ":" &amp; ADDRESS(291+3,K$2+1))),"median", MEDIAN(INDIRECT(ADDRESS(291+3,K$2+1,,,"Instances") &amp; ":" &amp; ADDRESS(291+3,K$2+1))),"min", MIN(INDIRECT(ADDRESS(291+3,K$2+1,,,"Instances") &amp; ":" &amp; ADDRESS(291+3,K$2+1))),"max", MAX(INDIRECT(ADDRESS(291+3,K$2+1,,,"Instances") &amp; ":" &amp; ADDRESS(291+3,K$2+1))),"diff", MAX(INDIRECT(ADDRESS(291+3,K$2+1,,,"Instances") &amp; ":" &amp; ADDRESS(291+3,K$2+1)))-MIN(INDIRECT(ADDRESS(291+3,K$2+1,,,"Instances") &amp; ":" &amp; ADDRESS(291+3,K$2+1))))</f>
        <v>#N/A</v>
      </c>
      <c r="L296" s="0" t="str">
        <f aca="false">IFERROR(SMALL(K5:K364,ROW()-ROW($L$5)+1),"")</f>
        <v/>
      </c>
      <c r="N296" s="0" t="n">
        <f aca="false">IFERROR(SUM(L5:L296),"")</f>
        <v>0</v>
      </c>
      <c r="Q296" s="0" t="e">
        <f aca="false">IF(Charts!$B$3="none",E2103,IF(K2103="",NA(),K2103))</f>
        <v>#N/A</v>
      </c>
      <c r="R296" s="0" t="e">
        <f aca="false">IF(Charts!$B$3="none",F2103,IF(L2103="",NA(),L2103))</f>
        <v>#N/A</v>
      </c>
      <c r="S296" s="0" t="e">
        <f aca="false">IF(Charts!$B$3="none",G2103,IF(M2103="",NA(),M2103))</f>
        <v>#N/A</v>
      </c>
      <c r="T296" s="0" t="e">
        <f aca="false">IF(Charts!$B$3="none",H2103,IF(N2103="",NA(),N2103))</f>
        <v>#N/A</v>
      </c>
    </row>
    <row r="297" customFormat="false" ht="15" hidden="false" customHeight="false" outlineLevel="0" collapsed="false">
      <c r="D297" s="0" t="n">
        <v>293</v>
      </c>
      <c r="E297" s="0" t="str">
        <f aca="true">IF(INDIRECT(ADDRESS($D297+2,E$2+1,,,"Instances"))="","",INDIRECT(ADDRESS($D297+2,E$2+1,,,"Instances")))</f>
        <v>Level_8/2-1000100</v>
      </c>
      <c r="F297" s="0" t="str">
        <f aca="false">IFERROR(SMALL(E5:E364,ROW()-ROW($F$5)+1),"")</f>
        <v/>
      </c>
      <c r="H297" s="0" t="n">
        <f aca="false">IFERROR(SUM(F5:F297),"")</f>
        <v>0</v>
      </c>
      <c r="J297" s="0" t="n">
        <v>293</v>
      </c>
      <c r="K297" s="0" t="e">
        <f aca="true" t="array" ref="K297:K297">_xlfn.SWITCH(Charts!$B$3,"average", AVERAGE(INDIRECT(ADDRESS(292+3,K$2+1,,,"Instances") &amp; ":" &amp; ADDRESS(292+3,K$2+1))),"median", MEDIAN(INDIRECT(ADDRESS(292+3,K$2+1,,,"Instances") &amp; ":" &amp; ADDRESS(292+3,K$2+1))),"min", MIN(INDIRECT(ADDRESS(292+3,K$2+1,,,"Instances") &amp; ":" &amp; ADDRESS(292+3,K$2+1))),"max", MAX(INDIRECT(ADDRESS(292+3,K$2+1,,,"Instances") &amp; ":" &amp; ADDRESS(292+3,K$2+1))),"diff", MAX(INDIRECT(ADDRESS(292+3,K$2+1,,,"Instances") &amp; ":" &amp; ADDRESS(292+3,K$2+1)))-MIN(INDIRECT(ADDRESS(292+3,K$2+1,,,"Instances") &amp; ":" &amp; ADDRESS(292+3,K$2+1))))</f>
        <v>#N/A</v>
      </c>
      <c r="L297" s="0" t="str">
        <f aca="false">IFERROR(SMALL(K5:K364,ROW()-ROW($L$5)+1),"")</f>
        <v/>
      </c>
      <c r="N297" s="0" t="n">
        <f aca="false">IFERROR(SUM(L5:L297),"")</f>
        <v>0</v>
      </c>
      <c r="Q297" s="0" t="e">
        <f aca="false">IF(Charts!$B$3="none",E2104,IF(K2104="",NA(),K2104))</f>
        <v>#N/A</v>
      </c>
      <c r="R297" s="0" t="e">
        <f aca="false">IF(Charts!$B$3="none",F2104,IF(L2104="",NA(),L2104))</f>
        <v>#N/A</v>
      </c>
      <c r="S297" s="0" t="e">
        <f aca="false">IF(Charts!$B$3="none",G2104,IF(M2104="",NA(),M2104))</f>
        <v>#N/A</v>
      </c>
      <c r="T297" s="0" t="e">
        <f aca="false">IF(Charts!$B$3="none",H2104,IF(N2104="",NA(),N2104))</f>
        <v>#N/A</v>
      </c>
    </row>
    <row r="298" customFormat="false" ht="15" hidden="false" customHeight="false" outlineLevel="0" collapsed="false">
      <c r="D298" s="0" t="n">
        <v>294</v>
      </c>
      <c r="E298" s="0" t="str">
        <f aca="true">IF(INDIRECT(ADDRESS($D298+2,E$2+1,,,"Instances"))="","",INDIRECT(ADDRESS($D298+2,E$2+1,,,"Instances")))</f>
        <v>Level_8/2-1010000</v>
      </c>
      <c r="F298" s="0" t="str">
        <f aca="false">IFERROR(SMALL(E5:E364,ROW()-ROW($F$5)+1),"")</f>
        <v/>
      </c>
      <c r="H298" s="0" t="n">
        <f aca="false">IFERROR(SUM(F5:F298),"")</f>
        <v>0</v>
      </c>
      <c r="J298" s="0" t="n">
        <v>294</v>
      </c>
      <c r="K298" s="0" t="e">
        <f aca="true" t="array" ref="K298:K298">_xlfn.SWITCH(Charts!$B$3,"average", AVERAGE(INDIRECT(ADDRESS(293+3,K$2+1,,,"Instances") &amp; ":" &amp; ADDRESS(293+3,K$2+1))),"median", MEDIAN(INDIRECT(ADDRESS(293+3,K$2+1,,,"Instances") &amp; ":" &amp; ADDRESS(293+3,K$2+1))),"min", MIN(INDIRECT(ADDRESS(293+3,K$2+1,,,"Instances") &amp; ":" &amp; ADDRESS(293+3,K$2+1))),"max", MAX(INDIRECT(ADDRESS(293+3,K$2+1,,,"Instances") &amp; ":" &amp; ADDRESS(293+3,K$2+1))),"diff", MAX(INDIRECT(ADDRESS(293+3,K$2+1,,,"Instances") &amp; ":" &amp; ADDRESS(293+3,K$2+1)))-MIN(INDIRECT(ADDRESS(293+3,K$2+1,,,"Instances") &amp; ":" &amp; ADDRESS(293+3,K$2+1))))</f>
        <v>#N/A</v>
      </c>
      <c r="L298" s="0" t="str">
        <f aca="false">IFERROR(SMALL(K5:K364,ROW()-ROW($L$5)+1),"")</f>
        <v/>
      </c>
      <c r="N298" s="0" t="n">
        <f aca="false">IFERROR(SUM(L5:L298),"")</f>
        <v>0</v>
      </c>
      <c r="Q298" s="0" t="e">
        <f aca="false">IF(Charts!$B$3="none",E2105,IF(K2105="",NA(),K2105))</f>
        <v>#N/A</v>
      </c>
      <c r="R298" s="0" t="e">
        <f aca="false">IF(Charts!$B$3="none",F2105,IF(L2105="",NA(),L2105))</f>
        <v>#N/A</v>
      </c>
      <c r="S298" s="0" t="e">
        <f aca="false">IF(Charts!$B$3="none",G2105,IF(M2105="",NA(),M2105))</f>
        <v>#N/A</v>
      </c>
      <c r="T298" s="0" t="e">
        <f aca="false">IF(Charts!$B$3="none",H2105,IF(N2105="",NA(),N2105))</f>
        <v>#N/A</v>
      </c>
    </row>
    <row r="299" customFormat="false" ht="15" hidden="false" customHeight="false" outlineLevel="0" collapsed="false">
      <c r="D299" s="0" t="n">
        <v>295</v>
      </c>
      <c r="E299" s="0" t="str">
        <f aca="true">IF(INDIRECT(ADDRESS($D299+2,E$2+1,,,"Instances"))="","",INDIRECT(ADDRESS($D299+2,E$2+1,,,"Instances")))</f>
        <v>Level_8/2-1100000</v>
      </c>
      <c r="F299" s="0" t="str">
        <f aca="false">IFERROR(SMALL(E5:E364,ROW()-ROW($F$5)+1),"")</f>
        <v/>
      </c>
      <c r="H299" s="0" t="n">
        <f aca="false">IFERROR(SUM(F5:F299),"")</f>
        <v>0</v>
      </c>
      <c r="J299" s="0" t="n">
        <v>295</v>
      </c>
      <c r="K299" s="0" t="e">
        <f aca="true" t="array" ref="K299:K299">_xlfn.SWITCH(Charts!$B$3,"average", AVERAGE(INDIRECT(ADDRESS(294+3,K$2+1,,,"Instances") &amp; ":" &amp; ADDRESS(294+3,K$2+1))),"median", MEDIAN(INDIRECT(ADDRESS(294+3,K$2+1,,,"Instances") &amp; ":" &amp; ADDRESS(294+3,K$2+1))),"min", MIN(INDIRECT(ADDRESS(294+3,K$2+1,,,"Instances") &amp; ":" &amp; ADDRESS(294+3,K$2+1))),"max", MAX(INDIRECT(ADDRESS(294+3,K$2+1,,,"Instances") &amp; ":" &amp; ADDRESS(294+3,K$2+1))),"diff", MAX(INDIRECT(ADDRESS(294+3,K$2+1,,,"Instances") &amp; ":" &amp; ADDRESS(294+3,K$2+1)))-MIN(INDIRECT(ADDRESS(294+3,K$2+1,,,"Instances") &amp; ":" &amp; ADDRESS(294+3,K$2+1))))</f>
        <v>#N/A</v>
      </c>
      <c r="L299" s="0" t="str">
        <f aca="false">IFERROR(SMALL(K5:K364,ROW()-ROW($L$5)+1),"")</f>
        <v/>
      </c>
      <c r="N299" s="0" t="n">
        <f aca="false">IFERROR(SUM(L5:L299),"")</f>
        <v>0</v>
      </c>
      <c r="Q299" s="0" t="e">
        <f aca="false">IF(Charts!$B$3="none",E2106,IF(K2106="",NA(),K2106))</f>
        <v>#N/A</v>
      </c>
      <c r="R299" s="0" t="e">
        <f aca="false">IF(Charts!$B$3="none",F2106,IF(L2106="",NA(),L2106))</f>
        <v>#N/A</v>
      </c>
      <c r="S299" s="0" t="e">
        <f aca="false">IF(Charts!$B$3="none",G2106,IF(M2106="",NA(),M2106))</f>
        <v>#N/A</v>
      </c>
      <c r="T299" s="0" t="e">
        <f aca="false">IF(Charts!$B$3="none",H2106,IF(N2106="",NA(),N2106))</f>
        <v>#N/A</v>
      </c>
    </row>
    <row r="300" customFormat="false" ht="15" hidden="false" customHeight="false" outlineLevel="0" collapsed="false">
      <c r="D300" s="0" t="n">
        <v>296</v>
      </c>
      <c r="E300" s="0" t="str">
        <f aca="true">IF(INDIRECT(ADDRESS($D300+2,E$2+1,,,"Instances"))="","",INDIRECT(ADDRESS($D300+2,E$2+1,,,"Instances")))</f>
        <v>Level_8/3-0000111</v>
      </c>
      <c r="F300" s="0" t="str">
        <f aca="false">IFERROR(SMALL(E5:E364,ROW()-ROW($F$5)+1),"")</f>
        <v/>
      </c>
      <c r="H300" s="0" t="n">
        <f aca="false">IFERROR(SUM(F5:F300),"")</f>
        <v>0</v>
      </c>
      <c r="J300" s="0" t="n">
        <v>296</v>
      </c>
      <c r="K300" s="0" t="e">
        <f aca="true" t="array" ref="K300:K300">_xlfn.SWITCH(Charts!$B$3,"average", AVERAGE(INDIRECT(ADDRESS(295+3,K$2+1,,,"Instances") &amp; ":" &amp; ADDRESS(295+3,K$2+1))),"median", MEDIAN(INDIRECT(ADDRESS(295+3,K$2+1,,,"Instances") &amp; ":" &amp; ADDRESS(295+3,K$2+1))),"min", MIN(INDIRECT(ADDRESS(295+3,K$2+1,,,"Instances") &amp; ":" &amp; ADDRESS(295+3,K$2+1))),"max", MAX(INDIRECT(ADDRESS(295+3,K$2+1,,,"Instances") &amp; ":" &amp; ADDRESS(295+3,K$2+1))),"diff", MAX(INDIRECT(ADDRESS(295+3,K$2+1,,,"Instances") &amp; ":" &amp; ADDRESS(295+3,K$2+1)))-MIN(INDIRECT(ADDRESS(295+3,K$2+1,,,"Instances") &amp; ":" &amp; ADDRESS(295+3,K$2+1))))</f>
        <v>#N/A</v>
      </c>
      <c r="L300" s="0" t="str">
        <f aca="false">IFERROR(SMALL(K5:K364,ROW()-ROW($L$5)+1),"")</f>
        <v/>
      </c>
      <c r="N300" s="0" t="n">
        <f aca="false">IFERROR(SUM(L5:L300),"")</f>
        <v>0</v>
      </c>
      <c r="Q300" s="0" t="e">
        <f aca="false">IF(Charts!$B$3="none",E2107,IF(K2107="",NA(),K2107))</f>
        <v>#N/A</v>
      </c>
      <c r="R300" s="0" t="e">
        <f aca="false">IF(Charts!$B$3="none",F2107,IF(L2107="",NA(),L2107))</f>
        <v>#N/A</v>
      </c>
      <c r="S300" s="0" t="e">
        <f aca="false">IF(Charts!$B$3="none",G2107,IF(M2107="",NA(),M2107))</f>
        <v>#N/A</v>
      </c>
      <c r="T300" s="0" t="e">
        <f aca="false">IF(Charts!$B$3="none",H2107,IF(N2107="",NA(),N2107))</f>
        <v>#N/A</v>
      </c>
    </row>
    <row r="301" customFormat="false" ht="15" hidden="false" customHeight="false" outlineLevel="0" collapsed="false">
      <c r="D301" s="0" t="n">
        <v>297</v>
      </c>
      <c r="E301" s="0" t="str">
        <f aca="true">IF(INDIRECT(ADDRESS($D301+2,E$2+1,,,"Instances"))="","",INDIRECT(ADDRESS($D301+2,E$2+1,,,"Instances")))</f>
        <v>Level_8/3-0001011</v>
      </c>
      <c r="F301" s="0" t="str">
        <f aca="false">IFERROR(SMALL(E5:E364,ROW()-ROW($F$5)+1),"")</f>
        <v/>
      </c>
      <c r="H301" s="0" t="n">
        <f aca="false">IFERROR(SUM(F5:F301),"")</f>
        <v>0</v>
      </c>
      <c r="J301" s="0" t="n">
        <v>297</v>
      </c>
      <c r="K301" s="0" t="e">
        <f aca="true" t="array" ref="K301:K301">_xlfn.SWITCH(Charts!$B$3,"average", AVERAGE(INDIRECT(ADDRESS(296+3,K$2+1,,,"Instances") &amp; ":" &amp; ADDRESS(296+3,K$2+1))),"median", MEDIAN(INDIRECT(ADDRESS(296+3,K$2+1,,,"Instances") &amp; ":" &amp; ADDRESS(296+3,K$2+1))),"min", MIN(INDIRECT(ADDRESS(296+3,K$2+1,,,"Instances") &amp; ":" &amp; ADDRESS(296+3,K$2+1))),"max", MAX(INDIRECT(ADDRESS(296+3,K$2+1,,,"Instances") &amp; ":" &amp; ADDRESS(296+3,K$2+1))),"diff", MAX(INDIRECT(ADDRESS(296+3,K$2+1,,,"Instances") &amp; ":" &amp; ADDRESS(296+3,K$2+1)))-MIN(INDIRECT(ADDRESS(296+3,K$2+1,,,"Instances") &amp; ":" &amp; ADDRESS(296+3,K$2+1))))</f>
        <v>#N/A</v>
      </c>
      <c r="L301" s="0" t="str">
        <f aca="false">IFERROR(SMALL(K5:K364,ROW()-ROW($L$5)+1),"")</f>
        <v/>
      </c>
      <c r="N301" s="0" t="n">
        <f aca="false">IFERROR(SUM(L5:L301),"")</f>
        <v>0</v>
      </c>
      <c r="Q301" s="0" t="e">
        <f aca="false">IF(Charts!$B$3="none",E2108,IF(K2108="",NA(),K2108))</f>
        <v>#N/A</v>
      </c>
      <c r="R301" s="0" t="e">
        <f aca="false">IF(Charts!$B$3="none",F2108,IF(L2108="",NA(),L2108))</f>
        <v>#N/A</v>
      </c>
      <c r="S301" s="0" t="e">
        <f aca="false">IF(Charts!$B$3="none",G2108,IF(M2108="",NA(),M2108))</f>
        <v>#N/A</v>
      </c>
      <c r="T301" s="0" t="e">
        <f aca="false">IF(Charts!$B$3="none",H2108,IF(N2108="",NA(),N2108))</f>
        <v>#N/A</v>
      </c>
    </row>
    <row r="302" customFormat="false" ht="15" hidden="false" customHeight="false" outlineLevel="0" collapsed="false">
      <c r="D302" s="0" t="n">
        <v>298</v>
      </c>
      <c r="E302" s="0" t="str">
        <f aca="true">IF(INDIRECT(ADDRESS($D302+2,E$2+1,,,"Instances"))="","",INDIRECT(ADDRESS($D302+2,E$2+1,,,"Instances")))</f>
        <v>Level_8/3-0011010</v>
      </c>
      <c r="F302" s="0" t="str">
        <f aca="false">IFERROR(SMALL(E5:E364,ROW()-ROW($F$5)+1),"")</f>
        <v/>
      </c>
      <c r="H302" s="0" t="n">
        <f aca="false">IFERROR(SUM(F5:F302),"")</f>
        <v>0</v>
      </c>
      <c r="J302" s="0" t="n">
        <v>298</v>
      </c>
      <c r="K302" s="0" t="e">
        <f aca="true" t="array" ref="K302:K302">_xlfn.SWITCH(Charts!$B$3,"average", AVERAGE(INDIRECT(ADDRESS(297+3,K$2+1,,,"Instances") &amp; ":" &amp; ADDRESS(297+3,K$2+1))),"median", MEDIAN(INDIRECT(ADDRESS(297+3,K$2+1,,,"Instances") &amp; ":" &amp; ADDRESS(297+3,K$2+1))),"min", MIN(INDIRECT(ADDRESS(297+3,K$2+1,,,"Instances") &amp; ":" &amp; ADDRESS(297+3,K$2+1))),"max", MAX(INDIRECT(ADDRESS(297+3,K$2+1,,,"Instances") &amp; ":" &amp; ADDRESS(297+3,K$2+1))),"diff", MAX(INDIRECT(ADDRESS(297+3,K$2+1,,,"Instances") &amp; ":" &amp; ADDRESS(297+3,K$2+1)))-MIN(INDIRECT(ADDRESS(297+3,K$2+1,,,"Instances") &amp; ":" &amp; ADDRESS(297+3,K$2+1))))</f>
        <v>#N/A</v>
      </c>
      <c r="L302" s="0" t="str">
        <f aca="false">IFERROR(SMALL(K5:K364,ROW()-ROW($L$5)+1),"")</f>
        <v/>
      </c>
      <c r="N302" s="0" t="n">
        <f aca="false">IFERROR(SUM(L5:L302),"")</f>
        <v>0</v>
      </c>
      <c r="Q302" s="0" t="e">
        <f aca="false">IF(Charts!$B$3="none",E2109,IF(K2109="",NA(),K2109))</f>
        <v>#N/A</v>
      </c>
      <c r="R302" s="0" t="e">
        <f aca="false">IF(Charts!$B$3="none",F2109,IF(L2109="",NA(),L2109))</f>
        <v>#N/A</v>
      </c>
      <c r="S302" s="0" t="e">
        <f aca="false">IF(Charts!$B$3="none",G2109,IF(M2109="",NA(),M2109))</f>
        <v>#N/A</v>
      </c>
      <c r="T302" s="0" t="e">
        <f aca="false">IF(Charts!$B$3="none",H2109,IF(N2109="",NA(),N2109))</f>
        <v>#N/A</v>
      </c>
    </row>
    <row r="303" customFormat="false" ht="15" hidden="false" customHeight="false" outlineLevel="0" collapsed="false">
      <c r="D303" s="0" t="n">
        <v>299</v>
      </c>
      <c r="E303" s="0" t="str">
        <f aca="true">IF(INDIRECT(ADDRESS($D303+2,E$2+1,,,"Instances"))="","",INDIRECT(ADDRESS($D303+2,E$2+1,,,"Instances")))</f>
        <v>Level_8/3-1000110</v>
      </c>
      <c r="F303" s="0" t="str">
        <f aca="false">IFERROR(SMALL(E5:E364,ROW()-ROW($F$5)+1),"")</f>
        <v/>
      </c>
      <c r="H303" s="0" t="n">
        <f aca="false">IFERROR(SUM(F5:F303),"")</f>
        <v>0</v>
      </c>
      <c r="J303" s="0" t="n">
        <v>299</v>
      </c>
      <c r="K303" s="0" t="e">
        <f aca="true" t="array" ref="K303:K303">_xlfn.SWITCH(Charts!$B$3,"average", AVERAGE(INDIRECT(ADDRESS(298+3,K$2+1,,,"Instances") &amp; ":" &amp; ADDRESS(298+3,K$2+1))),"median", MEDIAN(INDIRECT(ADDRESS(298+3,K$2+1,,,"Instances") &amp; ":" &amp; ADDRESS(298+3,K$2+1))),"min", MIN(INDIRECT(ADDRESS(298+3,K$2+1,,,"Instances") &amp; ":" &amp; ADDRESS(298+3,K$2+1))),"max", MAX(INDIRECT(ADDRESS(298+3,K$2+1,,,"Instances") &amp; ":" &amp; ADDRESS(298+3,K$2+1))),"diff", MAX(INDIRECT(ADDRESS(298+3,K$2+1,,,"Instances") &amp; ":" &amp; ADDRESS(298+3,K$2+1)))-MIN(INDIRECT(ADDRESS(298+3,K$2+1,,,"Instances") &amp; ":" &amp; ADDRESS(298+3,K$2+1))))</f>
        <v>#N/A</v>
      </c>
      <c r="L303" s="0" t="str">
        <f aca="false">IFERROR(SMALL(K5:K364,ROW()-ROW($L$5)+1),"")</f>
        <v/>
      </c>
      <c r="N303" s="0" t="n">
        <f aca="false">IFERROR(SUM(L5:L303),"")</f>
        <v>0</v>
      </c>
      <c r="Q303" s="0" t="e">
        <f aca="false">IF(Charts!$B$3="none",E2110,IF(K2110="",NA(),K2110))</f>
        <v>#N/A</v>
      </c>
      <c r="R303" s="0" t="e">
        <f aca="false">IF(Charts!$B$3="none",F2110,IF(L2110="",NA(),L2110))</f>
        <v>#N/A</v>
      </c>
      <c r="S303" s="0" t="e">
        <f aca="false">IF(Charts!$B$3="none",G2110,IF(M2110="",NA(),M2110))</f>
        <v>#N/A</v>
      </c>
      <c r="T303" s="0" t="e">
        <f aca="false">IF(Charts!$B$3="none",H2110,IF(N2110="",NA(),N2110))</f>
        <v>#N/A</v>
      </c>
    </row>
    <row r="304" customFormat="false" ht="15" hidden="false" customHeight="false" outlineLevel="0" collapsed="false">
      <c r="D304" s="0" t="n">
        <v>300</v>
      </c>
      <c r="E304" s="0" t="str">
        <f aca="true">IF(INDIRECT(ADDRESS($D304+2,E$2+1,,,"Instances"))="","",INDIRECT(ADDRESS($D304+2,E$2+1,,,"Instances")))</f>
        <v>Level_8/3-1001100</v>
      </c>
      <c r="F304" s="0" t="str">
        <f aca="false">IFERROR(SMALL(E5:E364,ROW()-ROW($F$5)+1),"")</f>
        <v/>
      </c>
      <c r="H304" s="0" t="n">
        <f aca="false">IFERROR(SUM(F5:F304),"")</f>
        <v>0</v>
      </c>
      <c r="J304" s="0" t="n">
        <v>300</v>
      </c>
      <c r="K304" s="0" t="e">
        <f aca="true" t="array" ref="K304:K304">_xlfn.SWITCH(Charts!$B$3,"average", AVERAGE(INDIRECT(ADDRESS(299+3,K$2+1,,,"Instances") &amp; ":" &amp; ADDRESS(299+3,K$2+1))),"median", MEDIAN(INDIRECT(ADDRESS(299+3,K$2+1,,,"Instances") &amp; ":" &amp; ADDRESS(299+3,K$2+1))),"min", MIN(INDIRECT(ADDRESS(299+3,K$2+1,,,"Instances") &amp; ":" &amp; ADDRESS(299+3,K$2+1))),"max", MAX(INDIRECT(ADDRESS(299+3,K$2+1,,,"Instances") &amp; ":" &amp; ADDRESS(299+3,K$2+1))),"diff", MAX(INDIRECT(ADDRESS(299+3,K$2+1,,,"Instances") &amp; ":" &amp; ADDRESS(299+3,K$2+1)))-MIN(INDIRECT(ADDRESS(299+3,K$2+1,,,"Instances") &amp; ":" &amp; ADDRESS(299+3,K$2+1))))</f>
        <v>#N/A</v>
      </c>
      <c r="L304" s="0" t="str">
        <f aca="false">IFERROR(SMALL(K5:K364,ROW()-ROW($L$5)+1),"")</f>
        <v/>
      </c>
      <c r="N304" s="0" t="n">
        <f aca="false">IFERROR(SUM(L5:L304),"")</f>
        <v>0</v>
      </c>
      <c r="Q304" s="0" t="e">
        <f aca="false">IF(Charts!$B$3="none",E2111,IF(K2111="",NA(),K2111))</f>
        <v>#N/A</v>
      </c>
      <c r="R304" s="0" t="e">
        <f aca="false">IF(Charts!$B$3="none",F2111,IF(L2111="",NA(),L2111))</f>
        <v>#N/A</v>
      </c>
      <c r="S304" s="0" t="e">
        <f aca="false">IF(Charts!$B$3="none",G2111,IF(M2111="",NA(),M2111))</f>
        <v>#N/A</v>
      </c>
      <c r="T304" s="0" t="e">
        <f aca="false">IF(Charts!$B$3="none",H2111,IF(N2111="",NA(),N2111))</f>
        <v>#N/A</v>
      </c>
    </row>
    <row r="305" customFormat="false" ht="15" hidden="false" customHeight="false" outlineLevel="0" collapsed="false">
      <c r="D305" s="0" t="n">
        <v>301</v>
      </c>
      <c r="E305" s="0" t="str">
        <f aca="true">IF(INDIRECT(ADDRESS($D305+2,E$2+1,,,"Instances"))="","",INDIRECT(ADDRESS($D305+2,E$2+1,,,"Instances")))</f>
        <v>Level_8/3-1100010</v>
      </c>
      <c r="F305" s="0" t="str">
        <f aca="false">IFERROR(SMALL(E5:E364,ROW()-ROW($F$5)+1),"")</f>
        <v/>
      </c>
      <c r="H305" s="0" t="n">
        <f aca="false">IFERROR(SUM(F5:F305),"")</f>
        <v>0</v>
      </c>
      <c r="J305" s="0" t="n">
        <v>301</v>
      </c>
      <c r="K305" s="0" t="e">
        <f aca="true" t="array" ref="K305:K305">_xlfn.SWITCH(Charts!$B$3,"average", AVERAGE(INDIRECT(ADDRESS(300+3,K$2+1,,,"Instances") &amp; ":" &amp; ADDRESS(300+3,K$2+1))),"median", MEDIAN(INDIRECT(ADDRESS(300+3,K$2+1,,,"Instances") &amp; ":" &amp; ADDRESS(300+3,K$2+1))),"min", MIN(INDIRECT(ADDRESS(300+3,K$2+1,,,"Instances") &amp; ":" &amp; ADDRESS(300+3,K$2+1))),"max", MAX(INDIRECT(ADDRESS(300+3,K$2+1,,,"Instances") &amp; ":" &amp; ADDRESS(300+3,K$2+1))),"diff", MAX(INDIRECT(ADDRESS(300+3,K$2+1,,,"Instances") &amp; ":" &amp; ADDRESS(300+3,K$2+1)))-MIN(INDIRECT(ADDRESS(300+3,K$2+1,,,"Instances") &amp; ":" &amp; ADDRESS(300+3,K$2+1))))</f>
        <v>#N/A</v>
      </c>
      <c r="L305" s="0" t="str">
        <f aca="false">IFERROR(SMALL(K5:K364,ROW()-ROW($L$5)+1),"")</f>
        <v/>
      </c>
      <c r="N305" s="0" t="n">
        <f aca="false">IFERROR(SUM(L5:L305),"")</f>
        <v>0</v>
      </c>
      <c r="Q305" s="0" t="e">
        <f aca="false">IF(Charts!$B$3="none",E2112,IF(K2112="",NA(),K2112))</f>
        <v>#N/A</v>
      </c>
      <c r="R305" s="0" t="e">
        <f aca="false">IF(Charts!$B$3="none",F2112,IF(L2112="",NA(),L2112))</f>
        <v>#N/A</v>
      </c>
      <c r="S305" s="0" t="e">
        <f aca="false">IF(Charts!$B$3="none",G2112,IF(M2112="",NA(),M2112))</f>
        <v>#N/A</v>
      </c>
      <c r="T305" s="0" t="e">
        <f aca="false">IF(Charts!$B$3="none",H2112,IF(N2112="",NA(),N2112))</f>
        <v>#N/A</v>
      </c>
    </row>
    <row r="306" customFormat="false" ht="15" hidden="false" customHeight="false" outlineLevel="0" collapsed="false">
      <c r="D306" s="0" t="n">
        <v>302</v>
      </c>
      <c r="E306" s="0" t="str">
        <f aca="true">IF(INDIRECT(ADDRESS($D306+2,E$2+1,,,"Instances"))="","",INDIRECT(ADDRESS($D306+2,E$2+1,,,"Instances")))</f>
        <v>Level_8/3-1101000</v>
      </c>
      <c r="F306" s="0" t="str">
        <f aca="false">IFERROR(SMALL(E5:E364,ROW()-ROW($F$5)+1),"")</f>
        <v/>
      </c>
      <c r="H306" s="0" t="n">
        <f aca="false">IFERROR(SUM(F5:F306),"")</f>
        <v>0</v>
      </c>
      <c r="J306" s="0" t="n">
        <v>302</v>
      </c>
      <c r="K306" s="0" t="e">
        <f aca="true" t="array" ref="K306:K306">_xlfn.SWITCH(Charts!$B$3,"average", AVERAGE(INDIRECT(ADDRESS(301+3,K$2+1,,,"Instances") &amp; ":" &amp; ADDRESS(301+3,K$2+1))),"median", MEDIAN(INDIRECT(ADDRESS(301+3,K$2+1,,,"Instances") &amp; ":" &amp; ADDRESS(301+3,K$2+1))),"min", MIN(INDIRECT(ADDRESS(301+3,K$2+1,,,"Instances") &amp; ":" &amp; ADDRESS(301+3,K$2+1))),"max", MAX(INDIRECT(ADDRESS(301+3,K$2+1,,,"Instances") &amp; ":" &amp; ADDRESS(301+3,K$2+1))),"diff", MAX(INDIRECT(ADDRESS(301+3,K$2+1,,,"Instances") &amp; ":" &amp; ADDRESS(301+3,K$2+1)))-MIN(INDIRECT(ADDRESS(301+3,K$2+1,,,"Instances") &amp; ":" &amp; ADDRESS(301+3,K$2+1))))</f>
        <v>#N/A</v>
      </c>
      <c r="L306" s="0" t="str">
        <f aca="false">IFERROR(SMALL(K5:K364,ROW()-ROW($L$5)+1),"")</f>
        <v/>
      </c>
      <c r="N306" s="0" t="n">
        <f aca="false">IFERROR(SUM(L5:L306),"")</f>
        <v>0</v>
      </c>
      <c r="Q306" s="0" t="e">
        <f aca="false">IF(Charts!$B$3="none",E2113,IF(K2113="",NA(),K2113))</f>
        <v>#N/A</v>
      </c>
      <c r="R306" s="0" t="e">
        <f aca="false">IF(Charts!$B$3="none",F2113,IF(L2113="",NA(),L2113))</f>
        <v>#N/A</v>
      </c>
      <c r="S306" s="0" t="e">
        <f aca="false">IF(Charts!$B$3="none",G2113,IF(M2113="",NA(),M2113))</f>
        <v>#N/A</v>
      </c>
      <c r="T306" s="0" t="e">
        <f aca="false">IF(Charts!$B$3="none",H2113,IF(N2113="",NA(),N2113))</f>
        <v>#N/A</v>
      </c>
    </row>
    <row r="307" customFormat="false" ht="15" hidden="false" customHeight="false" outlineLevel="0" collapsed="false">
      <c r="D307" s="0" t="n">
        <v>303</v>
      </c>
      <c r="E307" s="0" t="str">
        <f aca="true">IF(INDIRECT(ADDRESS($D307+2,E$2+1,,,"Instances"))="","",INDIRECT(ADDRESS($D307+2,E$2+1,,,"Instances")))</f>
        <v>Level_8/4-0111001</v>
      </c>
      <c r="F307" s="0" t="str">
        <f aca="false">IFERROR(SMALL(E5:E364,ROW()-ROW($F$5)+1),"")</f>
        <v/>
      </c>
      <c r="H307" s="0" t="n">
        <f aca="false">IFERROR(SUM(F5:F307),"")</f>
        <v>0</v>
      </c>
      <c r="J307" s="0" t="n">
        <v>303</v>
      </c>
      <c r="K307" s="0" t="e">
        <f aca="true" t="array" ref="K307:K307">_xlfn.SWITCH(Charts!$B$3,"average", AVERAGE(INDIRECT(ADDRESS(302+3,K$2+1,,,"Instances") &amp; ":" &amp; ADDRESS(302+3,K$2+1))),"median", MEDIAN(INDIRECT(ADDRESS(302+3,K$2+1,,,"Instances") &amp; ":" &amp; ADDRESS(302+3,K$2+1))),"min", MIN(INDIRECT(ADDRESS(302+3,K$2+1,,,"Instances") &amp; ":" &amp; ADDRESS(302+3,K$2+1))),"max", MAX(INDIRECT(ADDRESS(302+3,K$2+1,,,"Instances") &amp; ":" &amp; ADDRESS(302+3,K$2+1))),"diff", MAX(INDIRECT(ADDRESS(302+3,K$2+1,,,"Instances") &amp; ":" &amp; ADDRESS(302+3,K$2+1)))-MIN(INDIRECT(ADDRESS(302+3,K$2+1,,,"Instances") &amp; ":" &amp; ADDRESS(302+3,K$2+1))))</f>
        <v>#N/A</v>
      </c>
      <c r="L307" s="0" t="str">
        <f aca="false">IFERROR(SMALL(K5:K364,ROW()-ROW($L$5)+1),"")</f>
        <v/>
      </c>
      <c r="N307" s="0" t="n">
        <f aca="false">IFERROR(SUM(L5:L307),"")</f>
        <v>0</v>
      </c>
      <c r="Q307" s="0" t="e">
        <f aca="false">IF(Charts!$B$3="none",E2114,IF(K2114="",NA(),K2114))</f>
        <v>#N/A</v>
      </c>
      <c r="R307" s="0" t="e">
        <f aca="false">IF(Charts!$B$3="none",F2114,IF(L2114="",NA(),L2114))</f>
        <v>#N/A</v>
      </c>
      <c r="S307" s="0" t="e">
        <f aca="false">IF(Charts!$B$3="none",G2114,IF(M2114="",NA(),M2114))</f>
        <v>#N/A</v>
      </c>
      <c r="T307" s="0" t="e">
        <f aca="false">IF(Charts!$B$3="none",H2114,IF(N2114="",NA(),N2114))</f>
        <v>#N/A</v>
      </c>
    </row>
    <row r="308" customFormat="false" ht="15" hidden="false" customHeight="false" outlineLevel="0" collapsed="false">
      <c r="D308" s="0" t="n">
        <v>304</v>
      </c>
      <c r="E308" s="0" t="str">
        <f aca="true">IF(INDIRECT(ADDRESS($D308+2,E$2+1,,,"Instances"))="","",INDIRECT(ADDRESS($D308+2,E$2+1,,,"Instances")))</f>
        <v>Level_8/4-0111100</v>
      </c>
      <c r="F308" s="0" t="str">
        <f aca="false">IFERROR(SMALL(E5:E364,ROW()-ROW($F$5)+1),"")</f>
        <v/>
      </c>
      <c r="H308" s="0" t="n">
        <f aca="false">IFERROR(SUM(F5:F308),"")</f>
        <v>0</v>
      </c>
      <c r="J308" s="0" t="n">
        <v>304</v>
      </c>
      <c r="K308" s="0" t="e">
        <f aca="true" t="array" ref="K308:K308">_xlfn.SWITCH(Charts!$B$3,"average", AVERAGE(INDIRECT(ADDRESS(303+3,K$2+1,,,"Instances") &amp; ":" &amp; ADDRESS(303+3,K$2+1))),"median", MEDIAN(INDIRECT(ADDRESS(303+3,K$2+1,,,"Instances") &amp; ":" &amp; ADDRESS(303+3,K$2+1))),"min", MIN(INDIRECT(ADDRESS(303+3,K$2+1,,,"Instances") &amp; ":" &amp; ADDRESS(303+3,K$2+1))),"max", MAX(INDIRECT(ADDRESS(303+3,K$2+1,,,"Instances") &amp; ":" &amp; ADDRESS(303+3,K$2+1))),"diff", MAX(INDIRECT(ADDRESS(303+3,K$2+1,,,"Instances") &amp; ":" &amp; ADDRESS(303+3,K$2+1)))-MIN(INDIRECT(ADDRESS(303+3,K$2+1,,,"Instances") &amp; ":" &amp; ADDRESS(303+3,K$2+1))))</f>
        <v>#N/A</v>
      </c>
      <c r="L308" s="0" t="str">
        <f aca="false">IFERROR(SMALL(K5:K364,ROW()-ROW($L$5)+1),"")</f>
        <v/>
      </c>
      <c r="N308" s="0" t="n">
        <f aca="false">IFERROR(SUM(L5:L308),"")</f>
        <v>0</v>
      </c>
      <c r="Q308" s="0" t="e">
        <f aca="false">IF(Charts!$B$3="none",E2115,IF(K2115="",NA(),K2115))</f>
        <v>#N/A</v>
      </c>
      <c r="R308" s="0" t="e">
        <f aca="false">IF(Charts!$B$3="none",F2115,IF(L2115="",NA(),L2115))</f>
        <v>#N/A</v>
      </c>
      <c r="S308" s="0" t="e">
        <f aca="false">IF(Charts!$B$3="none",G2115,IF(M2115="",NA(),M2115))</f>
        <v>#N/A</v>
      </c>
      <c r="T308" s="0" t="e">
        <f aca="false">IF(Charts!$B$3="none",H2115,IF(N2115="",NA(),N2115))</f>
        <v>#N/A</v>
      </c>
    </row>
    <row r="309" customFormat="false" ht="15" hidden="false" customHeight="false" outlineLevel="0" collapsed="false">
      <c r="D309" s="0" t="n">
        <v>305</v>
      </c>
      <c r="E309" s="0" t="str">
        <f aca="true">IF(INDIRECT(ADDRESS($D309+2,E$2+1,,,"Instances"))="","",INDIRECT(ADDRESS($D309+2,E$2+1,,,"Instances")))</f>
        <v>Level_8/4-1001011</v>
      </c>
      <c r="F309" s="0" t="str">
        <f aca="false">IFERROR(SMALL(E5:E364,ROW()-ROW($F$5)+1),"")</f>
        <v/>
      </c>
      <c r="H309" s="0" t="n">
        <f aca="false">IFERROR(SUM(F5:F309),"")</f>
        <v>0</v>
      </c>
      <c r="J309" s="0" t="n">
        <v>305</v>
      </c>
      <c r="K309" s="0" t="e">
        <f aca="true" t="array" ref="K309:K309">_xlfn.SWITCH(Charts!$B$3,"average", AVERAGE(INDIRECT(ADDRESS(304+3,K$2+1,,,"Instances") &amp; ":" &amp; ADDRESS(304+3,K$2+1))),"median", MEDIAN(INDIRECT(ADDRESS(304+3,K$2+1,,,"Instances") &amp; ":" &amp; ADDRESS(304+3,K$2+1))),"min", MIN(INDIRECT(ADDRESS(304+3,K$2+1,,,"Instances") &amp; ":" &amp; ADDRESS(304+3,K$2+1))),"max", MAX(INDIRECT(ADDRESS(304+3,K$2+1,,,"Instances") &amp; ":" &amp; ADDRESS(304+3,K$2+1))),"diff", MAX(INDIRECT(ADDRESS(304+3,K$2+1,,,"Instances") &amp; ":" &amp; ADDRESS(304+3,K$2+1)))-MIN(INDIRECT(ADDRESS(304+3,K$2+1,,,"Instances") &amp; ":" &amp; ADDRESS(304+3,K$2+1))))</f>
        <v>#N/A</v>
      </c>
      <c r="L309" s="0" t="str">
        <f aca="false">IFERROR(SMALL(K5:K364,ROW()-ROW($L$5)+1),"")</f>
        <v/>
      </c>
      <c r="N309" s="0" t="n">
        <f aca="false">IFERROR(SUM(L5:L309),"")</f>
        <v>0</v>
      </c>
      <c r="Q309" s="0" t="e">
        <f aca="false">IF(Charts!$B$3="none",E2116,IF(K2116="",NA(),K2116))</f>
        <v>#N/A</v>
      </c>
      <c r="R309" s="0" t="e">
        <f aca="false">IF(Charts!$B$3="none",F2116,IF(L2116="",NA(),L2116))</f>
        <v>#N/A</v>
      </c>
      <c r="S309" s="0" t="e">
        <f aca="false">IF(Charts!$B$3="none",G2116,IF(M2116="",NA(),M2116))</f>
        <v>#N/A</v>
      </c>
      <c r="T309" s="0" t="e">
        <f aca="false">IF(Charts!$B$3="none",H2116,IF(N2116="",NA(),N2116))</f>
        <v>#N/A</v>
      </c>
    </row>
    <row r="310" customFormat="false" ht="15" hidden="false" customHeight="false" outlineLevel="0" collapsed="false">
      <c r="D310" s="0" t="n">
        <v>306</v>
      </c>
      <c r="E310" s="0" t="str">
        <f aca="true">IF(INDIRECT(ADDRESS($D310+2,E$2+1,,,"Instances"))="","",INDIRECT(ADDRESS($D310+2,E$2+1,,,"Instances")))</f>
        <v>Level_8/4-1011001</v>
      </c>
      <c r="F310" s="0" t="str">
        <f aca="false">IFERROR(SMALL(E5:E364,ROW()-ROW($F$5)+1),"")</f>
        <v/>
      </c>
      <c r="H310" s="0" t="n">
        <f aca="false">IFERROR(SUM(F5:F310),"")</f>
        <v>0</v>
      </c>
      <c r="J310" s="0" t="n">
        <v>306</v>
      </c>
      <c r="K310" s="0" t="e">
        <f aca="true" t="array" ref="K310:K310">_xlfn.SWITCH(Charts!$B$3,"average", AVERAGE(INDIRECT(ADDRESS(305+3,K$2+1,,,"Instances") &amp; ":" &amp; ADDRESS(305+3,K$2+1))),"median", MEDIAN(INDIRECT(ADDRESS(305+3,K$2+1,,,"Instances") &amp; ":" &amp; ADDRESS(305+3,K$2+1))),"min", MIN(INDIRECT(ADDRESS(305+3,K$2+1,,,"Instances") &amp; ":" &amp; ADDRESS(305+3,K$2+1))),"max", MAX(INDIRECT(ADDRESS(305+3,K$2+1,,,"Instances") &amp; ":" &amp; ADDRESS(305+3,K$2+1))),"diff", MAX(INDIRECT(ADDRESS(305+3,K$2+1,,,"Instances") &amp; ":" &amp; ADDRESS(305+3,K$2+1)))-MIN(INDIRECT(ADDRESS(305+3,K$2+1,,,"Instances") &amp; ":" &amp; ADDRESS(305+3,K$2+1))))</f>
        <v>#N/A</v>
      </c>
      <c r="L310" s="0" t="str">
        <f aca="false">IFERROR(SMALL(K5:K364,ROW()-ROW($L$5)+1),"")</f>
        <v/>
      </c>
      <c r="N310" s="0" t="n">
        <f aca="false">IFERROR(SUM(L5:L310),"")</f>
        <v>0</v>
      </c>
      <c r="Q310" s="0" t="e">
        <f aca="false">IF(Charts!$B$3="none",E2117,IF(K2117="",NA(),K2117))</f>
        <v>#N/A</v>
      </c>
      <c r="R310" s="0" t="e">
        <f aca="false">IF(Charts!$B$3="none",F2117,IF(L2117="",NA(),L2117))</f>
        <v>#N/A</v>
      </c>
      <c r="S310" s="0" t="e">
        <f aca="false">IF(Charts!$B$3="none",G2117,IF(M2117="",NA(),M2117))</f>
        <v>#N/A</v>
      </c>
      <c r="T310" s="0" t="e">
        <f aca="false">IF(Charts!$B$3="none",H2117,IF(N2117="",NA(),N2117))</f>
        <v>#N/A</v>
      </c>
    </row>
    <row r="311" customFormat="false" ht="15" hidden="false" customHeight="false" outlineLevel="0" collapsed="false">
      <c r="D311" s="0" t="n">
        <v>307</v>
      </c>
      <c r="E311" s="0" t="str">
        <f aca="true">IF(INDIRECT(ADDRESS($D311+2,E$2+1,,,"Instances"))="","",INDIRECT(ADDRESS($D311+2,E$2+1,,,"Instances")))</f>
        <v>Level_8/4-1011010</v>
      </c>
      <c r="F311" s="0" t="str">
        <f aca="false">IFERROR(SMALL(E5:E364,ROW()-ROW($F$5)+1),"")</f>
        <v/>
      </c>
      <c r="H311" s="0" t="n">
        <f aca="false">IFERROR(SUM(F5:F311),"")</f>
        <v>0</v>
      </c>
      <c r="J311" s="0" t="n">
        <v>307</v>
      </c>
      <c r="K311" s="0" t="e">
        <f aca="true" t="array" ref="K311:K311">_xlfn.SWITCH(Charts!$B$3,"average", AVERAGE(INDIRECT(ADDRESS(306+3,K$2+1,,,"Instances") &amp; ":" &amp; ADDRESS(306+3,K$2+1))),"median", MEDIAN(INDIRECT(ADDRESS(306+3,K$2+1,,,"Instances") &amp; ":" &amp; ADDRESS(306+3,K$2+1))),"min", MIN(INDIRECT(ADDRESS(306+3,K$2+1,,,"Instances") &amp; ":" &amp; ADDRESS(306+3,K$2+1))),"max", MAX(INDIRECT(ADDRESS(306+3,K$2+1,,,"Instances") &amp; ":" &amp; ADDRESS(306+3,K$2+1))),"diff", MAX(INDIRECT(ADDRESS(306+3,K$2+1,,,"Instances") &amp; ":" &amp; ADDRESS(306+3,K$2+1)))-MIN(INDIRECT(ADDRESS(306+3,K$2+1,,,"Instances") &amp; ":" &amp; ADDRESS(306+3,K$2+1))))</f>
        <v>#N/A</v>
      </c>
      <c r="L311" s="0" t="str">
        <f aca="false">IFERROR(SMALL(K5:K364,ROW()-ROW($L$5)+1),"")</f>
        <v/>
      </c>
      <c r="N311" s="0" t="n">
        <f aca="false">IFERROR(SUM(L5:L311),"")</f>
        <v>0</v>
      </c>
      <c r="Q311" s="0" t="e">
        <f aca="false">IF(Charts!$B$3="none",E2118,IF(K2118="",NA(),K2118))</f>
        <v>#N/A</v>
      </c>
      <c r="R311" s="0" t="e">
        <f aca="false">IF(Charts!$B$3="none",F2118,IF(L2118="",NA(),L2118))</f>
        <v>#N/A</v>
      </c>
      <c r="S311" s="0" t="e">
        <f aca="false">IF(Charts!$B$3="none",G2118,IF(M2118="",NA(),M2118))</f>
        <v>#N/A</v>
      </c>
      <c r="T311" s="0" t="e">
        <f aca="false">IF(Charts!$B$3="none",H2118,IF(N2118="",NA(),N2118))</f>
        <v>#N/A</v>
      </c>
    </row>
    <row r="312" customFormat="false" ht="15" hidden="false" customHeight="false" outlineLevel="0" collapsed="false">
      <c r="D312" s="0" t="n">
        <v>308</v>
      </c>
      <c r="E312" s="0" t="str">
        <f aca="true">IF(INDIRECT(ADDRESS($D312+2,E$2+1,,,"Instances"))="","",INDIRECT(ADDRESS($D312+2,E$2+1,,,"Instances")))</f>
        <v>Level_8/4-1100011</v>
      </c>
      <c r="F312" s="0" t="str">
        <f aca="false">IFERROR(SMALL(E5:E364,ROW()-ROW($F$5)+1),"")</f>
        <v/>
      </c>
      <c r="H312" s="0" t="n">
        <f aca="false">IFERROR(SUM(F5:F312),"")</f>
        <v>0</v>
      </c>
      <c r="J312" s="0" t="n">
        <v>308</v>
      </c>
      <c r="K312" s="0" t="e">
        <f aca="true" t="array" ref="K312:K312">_xlfn.SWITCH(Charts!$B$3,"average", AVERAGE(INDIRECT(ADDRESS(307+3,K$2+1,,,"Instances") &amp; ":" &amp; ADDRESS(307+3,K$2+1))),"median", MEDIAN(INDIRECT(ADDRESS(307+3,K$2+1,,,"Instances") &amp; ":" &amp; ADDRESS(307+3,K$2+1))),"min", MIN(INDIRECT(ADDRESS(307+3,K$2+1,,,"Instances") &amp; ":" &amp; ADDRESS(307+3,K$2+1))),"max", MAX(INDIRECT(ADDRESS(307+3,K$2+1,,,"Instances") &amp; ":" &amp; ADDRESS(307+3,K$2+1))),"diff", MAX(INDIRECT(ADDRESS(307+3,K$2+1,,,"Instances") &amp; ":" &amp; ADDRESS(307+3,K$2+1)))-MIN(INDIRECT(ADDRESS(307+3,K$2+1,,,"Instances") &amp; ":" &amp; ADDRESS(307+3,K$2+1))))</f>
        <v>#N/A</v>
      </c>
      <c r="L312" s="0" t="str">
        <f aca="false">IFERROR(SMALL(K5:K364,ROW()-ROW($L$5)+1),"")</f>
        <v/>
      </c>
      <c r="N312" s="0" t="n">
        <f aca="false">IFERROR(SUM(L5:L312),"")</f>
        <v>0</v>
      </c>
      <c r="Q312" s="0" t="e">
        <f aca="false">IF(Charts!$B$3="none",E2119,IF(K2119="",NA(),K2119))</f>
        <v>#N/A</v>
      </c>
      <c r="R312" s="0" t="e">
        <f aca="false">IF(Charts!$B$3="none",F2119,IF(L2119="",NA(),L2119))</f>
        <v>#N/A</v>
      </c>
      <c r="S312" s="0" t="e">
        <f aca="false">IF(Charts!$B$3="none",G2119,IF(M2119="",NA(),M2119))</f>
        <v>#N/A</v>
      </c>
      <c r="T312" s="0" t="e">
        <f aca="false">IF(Charts!$B$3="none",H2119,IF(N2119="",NA(),N2119))</f>
        <v>#N/A</v>
      </c>
    </row>
    <row r="313" customFormat="false" ht="15" hidden="false" customHeight="false" outlineLevel="0" collapsed="false">
      <c r="D313" s="0" t="n">
        <v>309</v>
      </c>
      <c r="E313" s="0" t="str">
        <f aca="true">IF(INDIRECT(ADDRESS($D313+2,E$2+1,,,"Instances"))="","",INDIRECT(ADDRESS($D313+2,E$2+1,,,"Instances")))</f>
        <v>Level_8/4-1101100</v>
      </c>
      <c r="F313" s="0" t="str">
        <f aca="false">IFERROR(SMALL(E5:E364,ROW()-ROW($F$5)+1),"")</f>
        <v/>
      </c>
      <c r="H313" s="0" t="n">
        <f aca="false">IFERROR(SUM(F5:F313),"")</f>
        <v>0</v>
      </c>
      <c r="J313" s="0" t="n">
        <v>309</v>
      </c>
      <c r="K313" s="0" t="e">
        <f aca="true" t="array" ref="K313:K313">_xlfn.SWITCH(Charts!$B$3,"average", AVERAGE(INDIRECT(ADDRESS(308+3,K$2+1,,,"Instances") &amp; ":" &amp; ADDRESS(308+3,K$2+1))),"median", MEDIAN(INDIRECT(ADDRESS(308+3,K$2+1,,,"Instances") &amp; ":" &amp; ADDRESS(308+3,K$2+1))),"min", MIN(INDIRECT(ADDRESS(308+3,K$2+1,,,"Instances") &amp; ":" &amp; ADDRESS(308+3,K$2+1))),"max", MAX(INDIRECT(ADDRESS(308+3,K$2+1,,,"Instances") &amp; ":" &amp; ADDRESS(308+3,K$2+1))),"diff", MAX(INDIRECT(ADDRESS(308+3,K$2+1,,,"Instances") &amp; ":" &amp; ADDRESS(308+3,K$2+1)))-MIN(INDIRECT(ADDRESS(308+3,K$2+1,,,"Instances") &amp; ":" &amp; ADDRESS(308+3,K$2+1))))</f>
        <v>#N/A</v>
      </c>
      <c r="L313" s="0" t="str">
        <f aca="false">IFERROR(SMALL(K5:K364,ROW()-ROW($L$5)+1),"")</f>
        <v/>
      </c>
      <c r="N313" s="0" t="n">
        <f aca="false">IFERROR(SUM(L5:L313),"")</f>
        <v>0</v>
      </c>
      <c r="Q313" s="0" t="e">
        <f aca="false">IF(Charts!$B$3="none",E2120,IF(K2120="",NA(),K2120))</f>
        <v>#N/A</v>
      </c>
      <c r="R313" s="0" t="e">
        <f aca="false">IF(Charts!$B$3="none",F2120,IF(L2120="",NA(),L2120))</f>
        <v>#N/A</v>
      </c>
      <c r="S313" s="0" t="e">
        <f aca="false">IF(Charts!$B$3="none",G2120,IF(M2120="",NA(),M2120))</f>
        <v>#N/A</v>
      </c>
      <c r="T313" s="0" t="e">
        <f aca="false">IF(Charts!$B$3="none",H2120,IF(N2120="",NA(),N2120))</f>
        <v>#N/A</v>
      </c>
    </row>
    <row r="314" customFormat="false" ht="15" hidden="false" customHeight="false" outlineLevel="0" collapsed="false">
      <c r="D314" s="0" t="n">
        <v>310</v>
      </c>
      <c r="E314" s="0" t="str">
        <f aca="true">IF(INDIRECT(ADDRESS($D314+2,E$2+1,,,"Instances"))="","",INDIRECT(ADDRESS($D314+2,E$2+1,,,"Instances")))</f>
        <v>Level_8/5-0110111</v>
      </c>
      <c r="F314" s="0" t="str">
        <f aca="false">IFERROR(SMALL(E5:E364,ROW()-ROW($F$5)+1),"")</f>
        <v/>
      </c>
      <c r="H314" s="0" t="n">
        <f aca="false">IFERROR(SUM(F5:F314),"")</f>
        <v>0</v>
      </c>
      <c r="J314" s="0" t="n">
        <v>310</v>
      </c>
      <c r="K314" s="0" t="e">
        <f aca="true" t="array" ref="K314:K314">_xlfn.SWITCH(Charts!$B$3,"average", AVERAGE(INDIRECT(ADDRESS(309+3,K$2+1,,,"Instances") &amp; ":" &amp; ADDRESS(309+3,K$2+1))),"median", MEDIAN(INDIRECT(ADDRESS(309+3,K$2+1,,,"Instances") &amp; ":" &amp; ADDRESS(309+3,K$2+1))),"min", MIN(INDIRECT(ADDRESS(309+3,K$2+1,,,"Instances") &amp; ":" &amp; ADDRESS(309+3,K$2+1))),"max", MAX(INDIRECT(ADDRESS(309+3,K$2+1,,,"Instances") &amp; ":" &amp; ADDRESS(309+3,K$2+1))),"diff", MAX(INDIRECT(ADDRESS(309+3,K$2+1,,,"Instances") &amp; ":" &amp; ADDRESS(309+3,K$2+1)))-MIN(INDIRECT(ADDRESS(309+3,K$2+1,,,"Instances") &amp; ":" &amp; ADDRESS(309+3,K$2+1))))</f>
        <v>#N/A</v>
      </c>
      <c r="L314" s="0" t="str">
        <f aca="false">IFERROR(SMALL(K5:K364,ROW()-ROW($L$5)+1),"")</f>
        <v/>
      </c>
      <c r="N314" s="0" t="n">
        <f aca="false">IFERROR(SUM(L5:L314),"")</f>
        <v>0</v>
      </c>
      <c r="Q314" s="0" t="e">
        <f aca="false">IF(Charts!$B$3="none",E2121,IF(K2121="",NA(),K2121))</f>
        <v>#N/A</v>
      </c>
      <c r="R314" s="0" t="e">
        <f aca="false">IF(Charts!$B$3="none",F2121,IF(L2121="",NA(),L2121))</f>
        <v>#N/A</v>
      </c>
      <c r="S314" s="0" t="e">
        <f aca="false">IF(Charts!$B$3="none",G2121,IF(M2121="",NA(),M2121))</f>
        <v>#N/A</v>
      </c>
      <c r="T314" s="0" t="e">
        <f aca="false">IF(Charts!$B$3="none",H2121,IF(N2121="",NA(),N2121))</f>
        <v>#N/A</v>
      </c>
    </row>
    <row r="315" customFormat="false" ht="15" hidden="false" customHeight="false" outlineLevel="0" collapsed="false">
      <c r="D315" s="0" t="n">
        <v>311</v>
      </c>
      <c r="E315" s="0" t="str">
        <f aca="true">IF(INDIRECT(ADDRESS($D315+2,E$2+1,,,"Instances"))="","",INDIRECT(ADDRESS($D315+2,E$2+1,,,"Instances")))</f>
        <v>Level_8/5-0111011</v>
      </c>
      <c r="F315" s="0" t="str">
        <f aca="false">IFERROR(SMALL(E5:E364,ROW()-ROW($F$5)+1),"")</f>
        <v/>
      </c>
      <c r="H315" s="0" t="n">
        <f aca="false">IFERROR(SUM(F5:F315),"")</f>
        <v>0</v>
      </c>
      <c r="J315" s="0" t="n">
        <v>311</v>
      </c>
      <c r="K315" s="0" t="e">
        <f aca="true" t="array" ref="K315:K315">_xlfn.SWITCH(Charts!$B$3,"average", AVERAGE(INDIRECT(ADDRESS(310+3,K$2+1,,,"Instances") &amp; ":" &amp; ADDRESS(310+3,K$2+1))),"median", MEDIAN(INDIRECT(ADDRESS(310+3,K$2+1,,,"Instances") &amp; ":" &amp; ADDRESS(310+3,K$2+1))),"min", MIN(INDIRECT(ADDRESS(310+3,K$2+1,,,"Instances") &amp; ":" &amp; ADDRESS(310+3,K$2+1))),"max", MAX(INDIRECT(ADDRESS(310+3,K$2+1,,,"Instances") &amp; ":" &amp; ADDRESS(310+3,K$2+1))),"diff", MAX(INDIRECT(ADDRESS(310+3,K$2+1,,,"Instances") &amp; ":" &amp; ADDRESS(310+3,K$2+1)))-MIN(INDIRECT(ADDRESS(310+3,K$2+1,,,"Instances") &amp; ":" &amp; ADDRESS(310+3,K$2+1))))</f>
        <v>#N/A</v>
      </c>
      <c r="L315" s="0" t="str">
        <f aca="false">IFERROR(SMALL(K5:K364,ROW()-ROW($L$5)+1),"")</f>
        <v/>
      </c>
      <c r="N315" s="0" t="n">
        <f aca="false">IFERROR(SUM(L5:L315),"")</f>
        <v>0</v>
      </c>
      <c r="Q315" s="0" t="e">
        <f aca="false">IF(Charts!$B$3="none",E2122,IF(K2122="",NA(),K2122))</f>
        <v>#N/A</v>
      </c>
      <c r="R315" s="0" t="e">
        <f aca="false">IF(Charts!$B$3="none",F2122,IF(L2122="",NA(),L2122))</f>
        <v>#N/A</v>
      </c>
      <c r="S315" s="0" t="e">
        <f aca="false">IF(Charts!$B$3="none",G2122,IF(M2122="",NA(),M2122))</f>
        <v>#N/A</v>
      </c>
      <c r="T315" s="0" t="e">
        <f aca="false">IF(Charts!$B$3="none",H2122,IF(N2122="",NA(),N2122))</f>
        <v>#N/A</v>
      </c>
    </row>
    <row r="316" customFormat="false" ht="15" hidden="false" customHeight="false" outlineLevel="0" collapsed="false">
      <c r="D316" s="0" t="n">
        <v>312</v>
      </c>
      <c r="E316" s="0" t="str">
        <f aca="true">IF(INDIRECT(ADDRESS($D316+2,E$2+1,,,"Instances"))="","",INDIRECT(ADDRESS($D316+2,E$2+1,,,"Instances")))</f>
        <v>Level_8/5-1010111</v>
      </c>
      <c r="F316" s="0" t="str">
        <f aca="false">IFERROR(SMALL(E5:E364,ROW()-ROW($F$5)+1),"")</f>
        <v/>
      </c>
      <c r="H316" s="0" t="n">
        <f aca="false">IFERROR(SUM(F5:F316),"")</f>
        <v>0</v>
      </c>
      <c r="J316" s="0" t="n">
        <v>312</v>
      </c>
      <c r="K316" s="0" t="e">
        <f aca="true" t="array" ref="K316:K316">_xlfn.SWITCH(Charts!$B$3,"average", AVERAGE(INDIRECT(ADDRESS(311+3,K$2+1,,,"Instances") &amp; ":" &amp; ADDRESS(311+3,K$2+1))),"median", MEDIAN(INDIRECT(ADDRESS(311+3,K$2+1,,,"Instances") &amp; ":" &amp; ADDRESS(311+3,K$2+1))),"min", MIN(INDIRECT(ADDRESS(311+3,K$2+1,,,"Instances") &amp; ":" &amp; ADDRESS(311+3,K$2+1))),"max", MAX(INDIRECT(ADDRESS(311+3,K$2+1,,,"Instances") &amp; ":" &amp; ADDRESS(311+3,K$2+1))),"diff", MAX(INDIRECT(ADDRESS(311+3,K$2+1,,,"Instances") &amp; ":" &amp; ADDRESS(311+3,K$2+1)))-MIN(INDIRECT(ADDRESS(311+3,K$2+1,,,"Instances") &amp; ":" &amp; ADDRESS(311+3,K$2+1))))</f>
        <v>#N/A</v>
      </c>
      <c r="L316" s="0" t="str">
        <f aca="false">IFERROR(SMALL(K5:K364,ROW()-ROW($L$5)+1),"")</f>
        <v/>
      </c>
      <c r="N316" s="0" t="n">
        <f aca="false">IFERROR(SUM(L5:L316),"")</f>
        <v>0</v>
      </c>
      <c r="Q316" s="0" t="e">
        <f aca="false">IF(Charts!$B$3="none",E2123,IF(K2123="",NA(),K2123))</f>
        <v>#N/A</v>
      </c>
      <c r="R316" s="0" t="e">
        <f aca="false">IF(Charts!$B$3="none",F2123,IF(L2123="",NA(),L2123))</f>
        <v>#N/A</v>
      </c>
      <c r="S316" s="0" t="e">
        <f aca="false">IF(Charts!$B$3="none",G2123,IF(M2123="",NA(),M2123))</f>
        <v>#N/A</v>
      </c>
      <c r="T316" s="0" t="e">
        <f aca="false">IF(Charts!$B$3="none",H2123,IF(N2123="",NA(),N2123))</f>
        <v>#N/A</v>
      </c>
    </row>
    <row r="317" customFormat="false" ht="15" hidden="false" customHeight="false" outlineLevel="0" collapsed="false">
      <c r="D317" s="0" t="n">
        <v>313</v>
      </c>
      <c r="E317" s="0" t="str">
        <f aca="true">IF(INDIRECT(ADDRESS($D317+2,E$2+1,,,"Instances"))="","",INDIRECT(ADDRESS($D317+2,E$2+1,,,"Instances")))</f>
        <v>Level_8/5-1100111</v>
      </c>
      <c r="F317" s="0" t="str">
        <f aca="false">IFERROR(SMALL(E5:E364,ROW()-ROW($F$5)+1),"")</f>
        <v/>
      </c>
      <c r="H317" s="0" t="n">
        <f aca="false">IFERROR(SUM(F5:F317),"")</f>
        <v>0</v>
      </c>
      <c r="J317" s="0" t="n">
        <v>313</v>
      </c>
      <c r="K317" s="0" t="e">
        <f aca="true" t="array" ref="K317:K317">_xlfn.SWITCH(Charts!$B$3,"average", AVERAGE(INDIRECT(ADDRESS(312+3,K$2+1,,,"Instances") &amp; ":" &amp; ADDRESS(312+3,K$2+1))),"median", MEDIAN(INDIRECT(ADDRESS(312+3,K$2+1,,,"Instances") &amp; ":" &amp; ADDRESS(312+3,K$2+1))),"min", MIN(INDIRECT(ADDRESS(312+3,K$2+1,,,"Instances") &amp; ":" &amp; ADDRESS(312+3,K$2+1))),"max", MAX(INDIRECT(ADDRESS(312+3,K$2+1,,,"Instances") &amp; ":" &amp; ADDRESS(312+3,K$2+1))),"diff", MAX(INDIRECT(ADDRESS(312+3,K$2+1,,,"Instances") &amp; ":" &amp; ADDRESS(312+3,K$2+1)))-MIN(INDIRECT(ADDRESS(312+3,K$2+1,,,"Instances") &amp; ":" &amp; ADDRESS(312+3,K$2+1))))</f>
        <v>#N/A</v>
      </c>
      <c r="L317" s="0" t="str">
        <f aca="false">IFERROR(SMALL(K5:K364,ROW()-ROW($L$5)+1),"")</f>
        <v/>
      </c>
      <c r="N317" s="0" t="n">
        <f aca="false">IFERROR(SUM(L5:L317),"")</f>
        <v>0</v>
      </c>
      <c r="Q317" s="0" t="e">
        <f aca="false">IF(Charts!$B$3="none",E2124,IF(K2124="",NA(),K2124))</f>
        <v>#N/A</v>
      </c>
      <c r="R317" s="0" t="e">
        <f aca="false">IF(Charts!$B$3="none",F2124,IF(L2124="",NA(),L2124))</f>
        <v>#N/A</v>
      </c>
      <c r="S317" s="0" t="e">
        <f aca="false">IF(Charts!$B$3="none",G2124,IF(M2124="",NA(),M2124))</f>
        <v>#N/A</v>
      </c>
      <c r="T317" s="0" t="e">
        <f aca="false">IF(Charts!$B$3="none",H2124,IF(N2124="",NA(),N2124))</f>
        <v>#N/A</v>
      </c>
    </row>
    <row r="318" customFormat="false" ht="15" hidden="false" customHeight="false" outlineLevel="0" collapsed="false">
      <c r="D318" s="0" t="n">
        <v>314</v>
      </c>
      <c r="E318" s="0" t="str">
        <f aca="true">IF(INDIRECT(ADDRESS($D318+2,E$2+1,,,"Instances"))="","",INDIRECT(ADDRESS($D318+2,E$2+1,,,"Instances")))</f>
        <v>Level_8/5-1110011</v>
      </c>
      <c r="F318" s="0" t="str">
        <f aca="false">IFERROR(SMALL(E5:E364,ROW()-ROW($F$5)+1),"")</f>
        <v/>
      </c>
      <c r="H318" s="0" t="n">
        <f aca="false">IFERROR(SUM(F5:F318),"")</f>
        <v>0</v>
      </c>
      <c r="J318" s="0" t="n">
        <v>314</v>
      </c>
      <c r="K318" s="0" t="e">
        <f aca="true" t="array" ref="K318:K318">_xlfn.SWITCH(Charts!$B$3,"average", AVERAGE(INDIRECT(ADDRESS(313+3,K$2+1,,,"Instances") &amp; ":" &amp; ADDRESS(313+3,K$2+1))),"median", MEDIAN(INDIRECT(ADDRESS(313+3,K$2+1,,,"Instances") &amp; ":" &amp; ADDRESS(313+3,K$2+1))),"min", MIN(INDIRECT(ADDRESS(313+3,K$2+1,,,"Instances") &amp; ":" &amp; ADDRESS(313+3,K$2+1))),"max", MAX(INDIRECT(ADDRESS(313+3,K$2+1,,,"Instances") &amp; ":" &amp; ADDRESS(313+3,K$2+1))),"diff", MAX(INDIRECT(ADDRESS(313+3,K$2+1,,,"Instances") &amp; ":" &amp; ADDRESS(313+3,K$2+1)))-MIN(INDIRECT(ADDRESS(313+3,K$2+1,,,"Instances") &amp; ":" &amp; ADDRESS(313+3,K$2+1))))</f>
        <v>#N/A</v>
      </c>
      <c r="L318" s="0" t="str">
        <f aca="false">IFERROR(SMALL(K5:K364,ROW()-ROW($L$5)+1),"")</f>
        <v/>
      </c>
      <c r="N318" s="0" t="n">
        <f aca="false">IFERROR(SUM(L5:L318),"")</f>
        <v>0</v>
      </c>
      <c r="Q318" s="0" t="e">
        <f aca="false">IF(Charts!$B$3="none",E2125,IF(K2125="",NA(),K2125))</f>
        <v>#N/A</v>
      </c>
      <c r="R318" s="0" t="e">
        <f aca="false">IF(Charts!$B$3="none",F2125,IF(L2125="",NA(),L2125))</f>
        <v>#N/A</v>
      </c>
      <c r="S318" s="0" t="e">
        <f aca="false">IF(Charts!$B$3="none",G2125,IF(M2125="",NA(),M2125))</f>
        <v>#N/A</v>
      </c>
      <c r="T318" s="0" t="e">
        <f aca="false">IF(Charts!$B$3="none",H2125,IF(N2125="",NA(),N2125))</f>
        <v>#N/A</v>
      </c>
    </row>
    <row r="319" customFormat="false" ht="15" hidden="false" customHeight="false" outlineLevel="0" collapsed="false">
      <c r="D319" s="0" t="n">
        <v>315</v>
      </c>
      <c r="E319" s="0" t="str">
        <f aca="true">IF(INDIRECT(ADDRESS($D319+2,E$2+1,,,"Instances"))="","",INDIRECT(ADDRESS($D319+2,E$2+1,,,"Instances")))</f>
        <v>Level_8/5-1110110</v>
      </c>
      <c r="F319" s="0" t="str">
        <f aca="false">IFERROR(SMALL(E5:E364,ROW()-ROW($F$5)+1),"")</f>
        <v/>
      </c>
      <c r="H319" s="0" t="n">
        <f aca="false">IFERROR(SUM(F5:F319),"")</f>
        <v>0</v>
      </c>
      <c r="J319" s="0" t="n">
        <v>315</v>
      </c>
      <c r="K319" s="0" t="e">
        <f aca="true" t="array" ref="K319:K319">_xlfn.SWITCH(Charts!$B$3,"average", AVERAGE(INDIRECT(ADDRESS(314+3,K$2+1,,,"Instances") &amp; ":" &amp; ADDRESS(314+3,K$2+1))),"median", MEDIAN(INDIRECT(ADDRESS(314+3,K$2+1,,,"Instances") &amp; ":" &amp; ADDRESS(314+3,K$2+1))),"min", MIN(INDIRECT(ADDRESS(314+3,K$2+1,,,"Instances") &amp; ":" &amp; ADDRESS(314+3,K$2+1))),"max", MAX(INDIRECT(ADDRESS(314+3,K$2+1,,,"Instances") &amp; ":" &amp; ADDRESS(314+3,K$2+1))),"diff", MAX(INDIRECT(ADDRESS(314+3,K$2+1,,,"Instances") &amp; ":" &amp; ADDRESS(314+3,K$2+1)))-MIN(INDIRECT(ADDRESS(314+3,K$2+1,,,"Instances") &amp; ":" &amp; ADDRESS(314+3,K$2+1))))</f>
        <v>#N/A</v>
      </c>
      <c r="L319" s="0" t="str">
        <f aca="false">IFERROR(SMALL(K5:K364,ROW()-ROW($L$5)+1),"")</f>
        <v/>
      </c>
      <c r="N319" s="0" t="n">
        <f aca="false">IFERROR(SUM(L5:L319),"")</f>
        <v>0</v>
      </c>
      <c r="Q319" s="0" t="e">
        <f aca="false">IF(Charts!$B$3="none",E2126,IF(K2126="",NA(),K2126))</f>
        <v>#N/A</v>
      </c>
      <c r="R319" s="0" t="e">
        <f aca="false">IF(Charts!$B$3="none",F2126,IF(L2126="",NA(),L2126))</f>
        <v>#N/A</v>
      </c>
      <c r="S319" s="0" t="e">
        <f aca="false">IF(Charts!$B$3="none",G2126,IF(M2126="",NA(),M2126))</f>
        <v>#N/A</v>
      </c>
      <c r="T319" s="0" t="e">
        <f aca="false">IF(Charts!$B$3="none",H2126,IF(N2126="",NA(),N2126))</f>
        <v>#N/A</v>
      </c>
    </row>
    <row r="320" customFormat="false" ht="15" hidden="false" customHeight="false" outlineLevel="0" collapsed="false">
      <c r="D320" s="0" t="n">
        <v>316</v>
      </c>
      <c r="E320" s="0" t="str">
        <f aca="true">IF(INDIRECT(ADDRESS($D320+2,E$2+1,,,"Instances"))="","",INDIRECT(ADDRESS($D320+2,E$2+1,,,"Instances")))</f>
        <v>Level_8/5-1111100</v>
      </c>
      <c r="F320" s="0" t="str">
        <f aca="false">IFERROR(SMALL(E5:E364,ROW()-ROW($F$5)+1),"")</f>
        <v/>
      </c>
      <c r="H320" s="0" t="n">
        <f aca="false">IFERROR(SUM(F5:F320),"")</f>
        <v>0</v>
      </c>
      <c r="J320" s="0" t="n">
        <v>316</v>
      </c>
      <c r="K320" s="0" t="e">
        <f aca="true" t="array" ref="K320:K320">_xlfn.SWITCH(Charts!$B$3,"average", AVERAGE(INDIRECT(ADDRESS(315+3,K$2+1,,,"Instances") &amp; ":" &amp; ADDRESS(315+3,K$2+1))),"median", MEDIAN(INDIRECT(ADDRESS(315+3,K$2+1,,,"Instances") &amp; ":" &amp; ADDRESS(315+3,K$2+1))),"min", MIN(INDIRECT(ADDRESS(315+3,K$2+1,,,"Instances") &amp; ":" &amp; ADDRESS(315+3,K$2+1))),"max", MAX(INDIRECT(ADDRESS(315+3,K$2+1,,,"Instances") &amp; ":" &amp; ADDRESS(315+3,K$2+1))),"diff", MAX(INDIRECT(ADDRESS(315+3,K$2+1,,,"Instances") &amp; ":" &amp; ADDRESS(315+3,K$2+1)))-MIN(INDIRECT(ADDRESS(315+3,K$2+1,,,"Instances") &amp; ":" &amp; ADDRESS(315+3,K$2+1))))</f>
        <v>#N/A</v>
      </c>
      <c r="L320" s="0" t="str">
        <f aca="false">IFERROR(SMALL(K5:K364,ROW()-ROW($L$5)+1),"")</f>
        <v/>
      </c>
      <c r="N320" s="0" t="n">
        <f aca="false">IFERROR(SUM(L5:L320),"")</f>
        <v>0</v>
      </c>
      <c r="Q320" s="0" t="e">
        <f aca="false">IF(Charts!$B$3="none",E2127,IF(K2127="",NA(),K2127))</f>
        <v>#N/A</v>
      </c>
      <c r="R320" s="0" t="e">
        <f aca="false">IF(Charts!$B$3="none",F2127,IF(L2127="",NA(),L2127))</f>
        <v>#N/A</v>
      </c>
      <c r="S320" s="0" t="e">
        <f aca="false">IF(Charts!$B$3="none",G2127,IF(M2127="",NA(),M2127))</f>
        <v>#N/A</v>
      </c>
      <c r="T320" s="0" t="e">
        <f aca="false">IF(Charts!$B$3="none",H2127,IF(N2127="",NA(),N2127))</f>
        <v>#N/A</v>
      </c>
    </row>
    <row r="321" customFormat="false" ht="15" hidden="false" customHeight="false" outlineLevel="0" collapsed="false">
      <c r="D321" s="0" t="n">
        <v>317</v>
      </c>
      <c r="E321" s="0" t="str">
        <f aca="true">IF(INDIRECT(ADDRESS($D321+2,E$2+1,,,"Instances"))="","",INDIRECT(ADDRESS($D321+2,E$2+1,,,"Instances")))</f>
        <v>Level_8/6-0111111</v>
      </c>
      <c r="F321" s="0" t="str">
        <f aca="false">IFERROR(SMALL(E5:E364,ROW()-ROW($F$5)+1),"")</f>
        <v/>
      </c>
      <c r="H321" s="0" t="n">
        <f aca="false">IFERROR(SUM(F5:F321),"")</f>
        <v>0</v>
      </c>
      <c r="J321" s="0" t="n">
        <v>317</v>
      </c>
      <c r="K321" s="0" t="e">
        <f aca="true" t="array" ref="K321:K321">_xlfn.SWITCH(Charts!$B$3,"average", AVERAGE(INDIRECT(ADDRESS(316+3,K$2+1,,,"Instances") &amp; ":" &amp; ADDRESS(316+3,K$2+1))),"median", MEDIAN(INDIRECT(ADDRESS(316+3,K$2+1,,,"Instances") &amp; ":" &amp; ADDRESS(316+3,K$2+1))),"min", MIN(INDIRECT(ADDRESS(316+3,K$2+1,,,"Instances") &amp; ":" &amp; ADDRESS(316+3,K$2+1))),"max", MAX(INDIRECT(ADDRESS(316+3,K$2+1,,,"Instances") &amp; ":" &amp; ADDRESS(316+3,K$2+1))),"diff", MAX(INDIRECT(ADDRESS(316+3,K$2+1,,,"Instances") &amp; ":" &amp; ADDRESS(316+3,K$2+1)))-MIN(INDIRECT(ADDRESS(316+3,K$2+1,,,"Instances") &amp; ":" &amp; ADDRESS(316+3,K$2+1))))</f>
        <v>#N/A</v>
      </c>
      <c r="L321" s="0" t="str">
        <f aca="false">IFERROR(SMALL(K5:K364,ROW()-ROW($L$5)+1),"")</f>
        <v/>
      </c>
      <c r="N321" s="0" t="n">
        <f aca="false">IFERROR(SUM(L5:L321),"")</f>
        <v>0</v>
      </c>
      <c r="Q321" s="0" t="e">
        <f aca="false">IF(Charts!$B$3="none",E2128,IF(K2128="",NA(),K2128))</f>
        <v>#N/A</v>
      </c>
      <c r="R321" s="0" t="e">
        <f aca="false">IF(Charts!$B$3="none",F2128,IF(L2128="",NA(),L2128))</f>
        <v>#N/A</v>
      </c>
      <c r="S321" s="0" t="e">
        <f aca="false">IF(Charts!$B$3="none",G2128,IF(M2128="",NA(),M2128))</f>
        <v>#N/A</v>
      </c>
      <c r="T321" s="0" t="e">
        <f aca="false">IF(Charts!$B$3="none",H2128,IF(N2128="",NA(),N2128))</f>
        <v>#N/A</v>
      </c>
    </row>
    <row r="322" customFormat="false" ht="15" hidden="false" customHeight="false" outlineLevel="0" collapsed="false">
      <c r="D322" s="0" t="n">
        <v>318</v>
      </c>
      <c r="E322" s="0" t="str">
        <f aca="true">IF(INDIRECT(ADDRESS($D322+2,E$2+1,,,"Instances"))="","",INDIRECT(ADDRESS($D322+2,E$2+1,,,"Instances")))</f>
        <v>Level_8/6-1011111</v>
      </c>
      <c r="F322" s="0" t="str">
        <f aca="false">IFERROR(SMALL(E5:E364,ROW()-ROW($F$5)+1),"")</f>
        <v/>
      </c>
      <c r="H322" s="0" t="n">
        <f aca="false">IFERROR(SUM(F5:F322),"")</f>
        <v>0</v>
      </c>
      <c r="J322" s="0" t="n">
        <v>318</v>
      </c>
      <c r="K322" s="0" t="e">
        <f aca="true" t="array" ref="K322:K322">_xlfn.SWITCH(Charts!$B$3,"average", AVERAGE(INDIRECT(ADDRESS(317+3,K$2+1,,,"Instances") &amp; ":" &amp; ADDRESS(317+3,K$2+1))),"median", MEDIAN(INDIRECT(ADDRESS(317+3,K$2+1,,,"Instances") &amp; ":" &amp; ADDRESS(317+3,K$2+1))),"min", MIN(INDIRECT(ADDRESS(317+3,K$2+1,,,"Instances") &amp; ":" &amp; ADDRESS(317+3,K$2+1))),"max", MAX(INDIRECT(ADDRESS(317+3,K$2+1,,,"Instances") &amp; ":" &amp; ADDRESS(317+3,K$2+1))),"diff", MAX(INDIRECT(ADDRESS(317+3,K$2+1,,,"Instances") &amp; ":" &amp; ADDRESS(317+3,K$2+1)))-MIN(INDIRECT(ADDRESS(317+3,K$2+1,,,"Instances") &amp; ":" &amp; ADDRESS(317+3,K$2+1))))</f>
        <v>#N/A</v>
      </c>
      <c r="L322" s="0" t="str">
        <f aca="false">IFERROR(SMALL(K5:K364,ROW()-ROW($L$5)+1),"")</f>
        <v/>
      </c>
      <c r="N322" s="0" t="n">
        <f aca="false">IFERROR(SUM(L5:L322),"")</f>
        <v>0</v>
      </c>
      <c r="Q322" s="0" t="e">
        <f aca="false">IF(Charts!$B$3="none",E2129,IF(K2129="",NA(),K2129))</f>
        <v>#N/A</v>
      </c>
      <c r="R322" s="0" t="e">
        <f aca="false">IF(Charts!$B$3="none",F2129,IF(L2129="",NA(),L2129))</f>
        <v>#N/A</v>
      </c>
      <c r="S322" s="0" t="e">
        <f aca="false">IF(Charts!$B$3="none",G2129,IF(M2129="",NA(),M2129))</f>
        <v>#N/A</v>
      </c>
      <c r="T322" s="0" t="e">
        <f aca="false">IF(Charts!$B$3="none",H2129,IF(N2129="",NA(),N2129))</f>
        <v>#N/A</v>
      </c>
    </row>
    <row r="323" customFormat="false" ht="15" hidden="false" customHeight="false" outlineLevel="0" collapsed="false">
      <c r="D323" s="0" t="n">
        <v>319</v>
      </c>
      <c r="E323" s="0" t="str">
        <f aca="true">IF(INDIRECT(ADDRESS($D323+2,E$2+1,,,"Instances"))="","",INDIRECT(ADDRESS($D323+2,E$2+1,,,"Instances")))</f>
        <v>Level_8/6-1101111</v>
      </c>
      <c r="F323" s="0" t="str">
        <f aca="false">IFERROR(SMALL(E5:E364,ROW()-ROW($F$5)+1),"")</f>
        <v/>
      </c>
      <c r="H323" s="0" t="n">
        <f aca="false">IFERROR(SUM(F5:F323),"")</f>
        <v>0</v>
      </c>
      <c r="J323" s="0" t="n">
        <v>319</v>
      </c>
      <c r="K323" s="0" t="e">
        <f aca="true" t="array" ref="K323:K323">_xlfn.SWITCH(Charts!$B$3,"average", AVERAGE(INDIRECT(ADDRESS(318+3,K$2+1,,,"Instances") &amp; ":" &amp; ADDRESS(318+3,K$2+1))),"median", MEDIAN(INDIRECT(ADDRESS(318+3,K$2+1,,,"Instances") &amp; ":" &amp; ADDRESS(318+3,K$2+1))),"min", MIN(INDIRECT(ADDRESS(318+3,K$2+1,,,"Instances") &amp; ":" &amp; ADDRESS(318+3,K$2+1))),"max", MAX(INDIRECT(ADDRESS(318+3,K$2+1,,,"Instances") &amp; ":" &amp; ADDRESS(318+3,K$2+1))),"diff", MAX(INDIRECT(ADDRESS(318+3,K$2+1,,,"Instances") &amp; ":" &amp; ADDRESS(318+3,K$2+1)))-MIN(INDIRECT(ADDRESS(318+3,K$2+1,,,"Instances") &amp; ":" &amp; ADDRESS(318+3,K$2+1))))</f>
        <v>#N/A</v>
      </c>
      <c r="L323" s="0" t="str">
        <f aca="false">IFERROR(SMALL(K5:K364,ROW()-ROW($L$5)+1),"")</f>
        <v/>
      </c>
      <c r="N323" s="0" t="n">
        <f aca="false">IFERROR(SUM(L5:L323),"")</f>
        <v>0</v>
      </c>
      <c r="Q323" s="0" t="e">
        <f aca="false">IF(Charts!$B$3="none",E2130,IF(K2130="",NA(),K2130))</f>
        <v>#N/A</v>
      </c>
      <c r="R323" s="0" t="e">
        <f aca="false">IF(Charts!$B$3="none",F2130,IF(L2130="",NA(),L2130))</f>
        <v>#N/A</v>
      </c>
      <c r="S323" s="0" t="e">
        <f aca="false">IF(Charts!$B$3="none",G2130,IF(M2130="",NA(),M2130))</f>
        <v>#N/A</v>
      </c>
      <c r="T323" s="0" t="e">
        <f aca="false">IF(Charts!$B$3="none",H2130,IF(N2130="",NA(),N2130))</f>
        <v>#N/A</v>
      </c>
    </row>
    <row r="324" customFormat="false" ht="15" hidden="false" customHeight="false" outlineLevel="0" collapsed="false">
      <c r="D324" s="0" t="n">
        <v>320</v>
      </c>
      <c r="E324" s="0" t="str">
        <f aca="true">IF(INDIRECT(ADDRESS($D324+2,E$2+1,,,"Instances"))="","",INDIRECT(ADDRESS($D324+2,E$2+1,,,"Instances")))</f>
        <v>Level_8/6-1110111</v>
      </c>
      <c r="F324" s="0" t="str">
        <f aca="false">IFERROR(SMALL(E5:E364,ROW()-ROW($F$5)+1),"")</f>
        <v/>
      </c>
      <c r="H324" s="0" t="n">
        <f aca="false">IFERROR(SUM(F5:F324),"")</f>
        <v>0</v>
      </c>
      <c r="J324" s="0" t="n">
        <v>320</v>
      </c>
      <c r="K324" s="0" t="e">
        <f aca="true" t="array" ref="K324:K324">_xlfn.SWITCH(Charts!$B$3,"average", AVERAGE(INDIRECT(ADDRESS(319+3,K$2+1,,,"Instances") &amp; ":" &amp; ADDRESS(319+3,K$2+1))),"median", MEDIAN(INDIRECT(ADDRESS(319+3,K$2+1,,,"Instances") &amp; ":" &amp; ADDRESS(319+3,K$2+1))),"min", MIN(INDIRECT(ADDRESS(319+3,K$2+1,,,"Instances") &amp; ":" &amp; ADDRESS(319+3,K$2+1))),"max", MAX(INDIRECT(ADDRESS(319+3,K$2+1,,,"Instances") &amp; ":" &amp; ADDRESS(319+3,K$2+1))),"diff", MAX(INDIRECT(ADDRESS(319+3,K$2+1,,,"Instances") &amp; ":" &amp; ADDRESS(319+3,K$2+1)))-MIN(INDIRECT(ADDRESS(319+3,K$2+1,,,"Instances") &amp; ":" &amp; ADDRESS(319+3,K$2+1))))</f>
        <v>#N/A</v>
      </c>
      <c r="L324" s="0" t="str">
        <f aca="false">IFERROR(SMALL(K5:K364,ROW()-ROW($L$5)+1),"")</f>
        <v/>
      </c>
      <c r="N324" s="0" t="n">
        <f aca="false">IFERROR(SUM(L5:L324),"")</f>
        <v>0</v>
      </c>
      <c r="Q324" s="0" t="e">
        <f aca="false">IF(Charts!$B$3="none",E2131,IF(K2131="",NA(),K2131))</f>
        <v>#N/A</v>
      </c>
      <c r="R324" s="0" t="e">
        <f aca="false">IF(Charts!$B$3="none",F2131,IF(L2131="",NA(),L2131))</f>
        <v>#N/A</v>
      </c>
      <c r="S324" s="0" t="e">
        <f aca="false">IF(Charts!$B$3="none",G2131,IF(M2131="",NA(),M2131))</f>
        <v>#N/A</v>
      </c>
      <c r="T324" s="0" t="e">
        <f aca="false">IF(Charts!$B$3="none",H2131,IF(N2131="",NA(),N2131))</f>
        <v>#N/A</v>
      </c>
    </row>
    <row r="325" customFormat="false" ht="15" hidden="false" customHeight="false" outlineLevel="0" collapsed="false">
      <c r="D325" s="0" t="n">
        <v>321</v>
      </c>
      <c r="E325" s="0" t="str">
        <f aca="true">IF(INDIRECT(ADDRESS($D325+2,E$2+1,,,"Instances"))="","",INDIRECT(ADDRESS($D325+2,E$2+1,,,"Instances")))</f>
        <v>Level_8/6-1111011</v>
      </c>
      <c r="F325" s="0" t="str">
        <f aca="false">IFERROR(SMALL(E5:E364,ROW()-ROW($F$5)+1),"")</f>
        <v/>
      </c>
      <c r="H325" s="0" t="n">
        <f aca="false">IFERROR(SUM(F5:F325),"")</f>
        <v>0</v>
      </c>
      <c r="J325" s="0" t="n">
        <v>321</v>
      </c>
      <c r="K325" s="0" t="e">
        <f aca="true" t="array" ref="K325:K325">_xlfn.SWITCH(Charts!$B$3,"average", AVERAGE(INDIRECT(ADDRESS(320+3,K$2+1,,,"Instances") &amp; ":" &amp; ADDRESS(320+3,K$2+1))),"median", MEDIAN(INDIRECT(ADDRESS(320+3,K$2+1,,,"Instances") &amp; ":" &amp; ADDRESS(320+3,K$2+1))),"min", MIN(INDIRECT(ADDRESS(320+3,K$2+1,,,"Instances") &amp; ":" &amp; ADDRESS(320+3,K$2+1))),"max", MAX(INDIRECT(ADDRESS(320+3,K$2+1,,,"Instances") &amp; ":" &amp; ADDRESS(320+3,K$2+1))),"diff", MAX(INDIRECT(ADDRESS(320+3,K$2+1,,,"Instances") &amp; ":" &amp; ADDRESS(320+3,K$2+1)))-MIN(INDIRECT(ADDRESS(320+3,K$2+1,,,"Instances") &amp; ":" &amp; ADDRESS(320+3,K$2+1))))</f>
        <v>#N/A</v>
      </c>
      <c r="L325" s="0" t="str">
        <f aca="false">IFERROR(SMALL(K5:K364,ROW()-ROW($L$5)+1),"")</f>
        <v/>
      </c>
      <c r="N325" s="0" t="n">
        <f aca="false">IFERROR(SUM(L5:L325),"")</f>
        <v>0</v>
      </c>
      <c r="Q325" s="0" t="e">
        <f aca="false">IF(Charts!$B$3="none",E2132,IF(K2132="",NA(),K2132))</f>
        <v>#N/A</v>
      </c>
      <c r="R325" s="0" t="e">
        <f aca="false">IF(Charts!$B$3="none",F2132,IF(L2132="",NA(),L2132))</f>
        <v>#N/A</v>
      </c>
      <c r="S325" s="0" t="e">
        <f aca="false">IF(Charts!$B$3="none",G2132,IF(M2132="",NA(),M2132))</f>
        <v>#N/A</v>
      </c>
      <c r="T325" s="0" t="e">
        <f aca="false">IF(Charts!$B$3="none",H2132,IF(N2132="",NA(),N2132))</f>
        <v>#N/A</v>
      </c>
    </row>
    <row r="326" customFormat="false" ht="15" hidden="false" customHeight="false" outlineLevel="0" collapsed="false">
      <c r="D326" s="0" t="n">
        <v>322</v>
      </c>
      <c r="E326" s="0" t="str">
        <f aca="true">IF(INDIRECT(ADDRESS($D326+2,E$2+1,,,"Instances"))="","",INDIRECT(ADDRESS($D326+2,E$2+1,,,"Instances")))</f>
        <v>Level_8/6-1111101</v>
      </c>
      <c r="F326" s="0" t="str">
        <f aca="false">IFERROR(SMALL(E5:E364,ROW()-ROW($F$5)+1),"")</f>
        <v/>
      </c>
      <c r="H326" s="0" t="n">
        <f aca="false">IFERROR(SUM(F5:F326),"")</f>
        <v>0</v>
      </c>
      <c r="J326" s="0" t="n">
        <v>322</v>
      </c>
      <c r="K326" s="0" t="e">
        <f aca="true" t="array" ref="K326:K326">_xlfn.SWITCH(Charts!$B$3,"average", AVERAGE(INDIRECT(ADDRESS(321+3,K$2+1,,,"Instances") &amp; ":" &amp; ADDRESS(321+3,K$2+1))),"median", MEDIAN(INDIRECT(ADDRESS(321+3,K$2+1,,,"Instances") &amp; ":" &amp; ADDRESS(321+3,K$2+1))),"min", MIN(INDIRECT(ADDRESS(321+3,K$2+1,,,"Instances") &amp; ":" &amp; ADDRESS(321+3,K$2+1))),"max", MAX(INDIRECT(ADDRESS(321+3,K$2+1,,,"Instances") &amp; ":" &amp; ADDRESS(321+3,K$2+1))),"diff", MAX(INDIRECT(ADDRESS(321+3,K$2+1,,,"Instances") &amp; ":" &amp; ADDRESS(321+3,K$2+1)))-MIN(INDIRECT(ADDRESS(321+3,K$2+1,,,"Instances") &amp; ":" &amp; ADDRESS(321+3,K$2+1))))</f>
        <v>#N/A</v>
      </c>
      <c r="L326" s="0" t="str">
        <f aca="false">IFERROR(SMALL(K5:K364,ROW()-ROW($L$5)+1),"")</f>
        <v/>
      </c>
      <c r="N326" s="0" t="n">
        <f aca="false">IFERROR(SUM(L5:L326),"")</f>
        <v>0</v>
      </c>
      <c r="Q326" s="0" t="e">
        <f aca="false">IF(Charts!$B$3="none",E2133,IF(K2133="",NA(),K2133))</f>
        <v>#N/A</v>
      </c>
      <c r="R326" s="0" t="e">
        <f aca="false">IF(Charts!$B$3="none",F2133,IF(L2133="",NA(),L2133))</f>
        <v>#N/A</v>
      </c>
      <c r="S326" s="0" t="e">
        <f aca="false">IF(Charts!$B$3="none",G2133,IF(M2133="",NA(),M2133))</f>
        <v>#N/A</v>
      </c>
      <c r="T326" s="0" t="e">
        <f aca="false">IF(Charts!$B$3="none",H2133,IF(N2133="",NA(),N2133))</f>
        <v>#N/A</v>
      </c>
    </row>
    <row r="327" customFormat="false" ht="15" hidden="false" customHeight="false" outlineLevel="0" collapsed="false">
      <c r="D327" s="0" t="n">
        <v>323</v>
      </c>
      <c r="E327" s="0" t="str">
        <f aca="true">IF(INDIRECT(ADDRESS($D327+2,E$2+1,,,"Instances"))="","",INDIRECT(ADDRESS($D327+2,E$2+1,,,"Instances")))</f>
        <v>Level_8/6-1111110</v>
      </c>
      <c r="F327" s="0" t="str">
        <f aca="false">IFERROR(SMALL(E5:E364,ROW()-ROW($F$5)+1),"")</f>
        <v/>
      </c>
      <c r="H327" s="0" t="n">
        <f aca="false">IFERROR(SUM(F5:F327),"")</f>
        <v>0</v>
      </c>
      <c r="J327" s="0" t="n">
        <v>323</v>
      </c>
      <c r="K327" s="0" t="e">
        <f aca="true" t="array" ref="K327:K327">_xlfn.SWITCH(Charts!$B$3,"average", AVERAGE(INDIRECT(ADDRESS(322+3,K$2+1,,,"Instances") &amp; ":" &amp; ADDRESS(322+3,K$2+1))),"median", MEDIAN(INDIRECT(ADDRESS(322+3,K$2+1,,,"Instances") &amp; ":" &amp; ADDRESS(322+3,K$2+1))),"min", MIN(INDIRECT(ADDRESS(322+3,K$2+1,,,"Instances") &amp; ":" &amp; ADDRESS(322+3,K$2+1))),"max", MAX(INDIRECT(ADDRESS(322+3,K$2+1,,,"Instances") &amp; ":" &amp; ADDRESS(322+3,K$2+1))),"diff", MAX(INDIRECT(ADDRESS(322+3,K$2+1,,,"Instances") &amp; ":" &amp; ADDRESS(322+3,K$2+1)))-MIN(INDIRECT(ADDRESS(322+3,K$2+1,,,"Instances") &amp; ":" &amp; ADDRESS(322+3,K$2+1))))</f>
        <v>#N/A</v>
      </c>
      <c r="L327" s="0" t="str">
        <f aca="false">IFERROR(SMALL(K5:K364,ROW()-ROW($L$5)+1),"")</f>
        <v/>
      </c>
      <c r="N327" s="0" t="n">
        <f aca="false">IFERROR(SUM(L5:L327),"")</f>
        <v>0</v>
      </c>
      <c r="Q327" s="0" t="e">
        <f aca="false">IF(Charts!$B$3="none",E2134,IF(K2134="",NA(),K2134))</f>
        <v>#N/A</v>
      </c>
      <c r="R327" s="0" t="e">
        <f aca="false">IF(Charts!$B$3="none",F2134,IF(L2134="",NA(),L2134))</f>
        <v>#N/A</v>
      </c>
      <c r="S327" s="0" t="e">
        <f aca="false">IF(Charts!$B$3="none",G2134,IF(M2134="",NA(),M2134))</f>
        <v>#N/A</v>
      </c>
      <c r="T327" s="0" t="e">
        <f aca="false">IF(Charts!$B$3="none",H2134,IF(N2134="",NA(),N2134))</f>
        <v>#N/A</v>
      </c>
    </row>
    <row r="328" customFormat="false" ht="15" hidden="false" customHeight="false" outlineLevel="0" collapsed="false">
      <c r="D328" s="0" t="n">
        <v>324</v>
      </c>
      <c r="E328" s="0" t="str">
        <f aca="true">IF(INDIRECT(ADDRESS($D328+2,E$2+1,,,"Instances"))="","",INDIRECT(ADDRESS($D328+2,E$2+1,,,"Instances")))</f>
        <v>Level_8/7-1111111</v>
      </c>
      <c r="F328" s="0" t="str">
        <f aca="false">IFERROR(SMALL(E5:E364,ROW()-ROW($F$5)+1),"")</f>
        <v/>
      </c>
      <c r="H328" s="0" t="n">
        <f aca="false">IFERROR(SUM(F5:F328),"")</f>
        <v>0</v>
      </c>
      <c r="J328" s="0" t="n">
        <v>324</v>
      </c>
      <c r="K328" s="0" t="e">
        <f aca="true" t="array" ref="K328:K328">_xlfn.SWITCH(Charts!$B$3,"average", AVERAGE(INDIRECT(ADDRESS(323+3,K$2+1,,,"Instances") &amp; ":" &amp; ADDRESS(323+3,K$2+1))),"median", MEDIAN(INDIRECT(ADDRESS(323+3,K$2+1,,,"Instances") &amp; ":" &amp; ADDRESS(323+3,K$2+1))),"min", MIN(INDIRECT(ADDRESS(323+3,K$2+1,,,"Instances") &amp; ":" &amp; ADDRESS(323+3,K$2+1))),"max", MAX(INDIRECT(ADDRESS(323+3,K$2+1,,,"Instances") &amp; ":" &amp; ADDRESS(323+3,K$2+1))),"diff", MAX(INDIRECT(ADDRESS(323+3,K$2+1,,,"Instances") &amp; ":" &amp; ADDRESS(323+3,K$2+1)))-MIN(INDIRECT(ADDRESS(323+3,K$2+1,,,"Instances") &amp; ":" &amp; ADDRESS(323+3,K$2+1))))</f>
        <v>#N/A</v>
      </c>
      <c r="L328" s="0" t="str">
        <f aca="false">IFERROR(SMALL(K5:K364,ROW()-ROW($L$5)+1),"")</f>
        <v/>
      </c>
      <c r="N328" s="0" t="n">
        <f aca="false">IFERROR(SUM(L5:L328),"")</f>
        <v>0</v>
      </c>
      <c r="Q328" s="0" t="e">
        <f aca="false">IF(Charts!$B$3="none",E2135,IF(K2135="",NA(),K2135))</f>
        <v>#N/A</v>
      </c>
      <c r="R328" s="0" t="e">
        <f aca="false">IF(Charts!$B$3="none",F2135,IF(L2135="",NA(),L2135))</f>
        <v>#N/A</v>
      </c>
      <c r="S328" s="0" t="e">
        <f aca="false">IF(Charts!$B$3="none",G2135,IF(M2135="",NA(),M2135))</f>
        <v>#N/A</v>
      </c>
      <c r="T328" s="0" t="e">
        <f aca="false">IF(Charts!$B$3="none",H2135,IF(N2135="",NA(),N2135))</f>
        <v>#N/A</v>
      </c>
    </row>
    <row r="329" customFormat="false" ht="15" hidden="false" customHeight="false" outlineLevel="0" collapsed="false">
      <c r="D329" s="0" t="n">
        <v>325</v>
      </c>
      <c r="E329" s="0" t="str">
        <f aca="true">IF(INDIRECT(ADDRESS($D329+2,E$2+1,,,"Instances"))="","",INDIRECT(ADDRESS($D329+2,E$2+1,,,"Instances")))</f>
        <v>Level_9/2-0000011</v>
      </c>
      <c r="F329" s="0" t="str">
        <f aca="false">IFERROR(SMALL(E5:E364,ROW()-ROW($F$5)+1),"")</f>
        <v/>
      </c>
      <c r="H329" s="0" t="n">
        <f aca="false">IFERROR(SUM(F5:F329),"")</f>
        <v>0</v>
      </c>
      <c r="J329" s="0" t="n">
        <v>325</v>
      </c>
      <c r="K329" s="0" t="e">
        <f aca="true" t="array" ref="K329:K329">_xlfn.SWITCH(Charts!$B$3,"average", AVERAGE(INDIRECT(ADDRESS(324+3,K$2+1,,,"Instances") &amp; ":" &amp; ADDRESS(324+3,K$2+1))),"median", MEDIAN(INDIRECT(ADDRESS(324+3,K$2+1,,,"Instances") &amp; ":" &amp; ADDRESS(324+3,K$2+1))),"min", MIN(INDIRECT(ADDRESS(324+3,K$2+1,,,"Instances") &amp; ":" &amp; ADDRESS(324+3,K$2+1))),"max", MAX(INDIRECT(ADDRESS(324+3,K$2+1,,,"Instances") &amp; ":" &amp; ADDRESS(324+3,K$2+1))),"diff", MAX(INDIRECT(ADDRESS(324+3,K$2+1,,,"Instances") &amp; ":" &amp; ADDRESS(324+3,K$2+1)))-MIN(INDIRECT(ADDRESS(324+3,K$2+1,,,"Instances") &amp; ":" &amp; ADDRESS(324+3,K$2+1))))</f>
        <v>#N/A</v>
      </c>
      <c r="L329" s="0" t="str">
        <f aca="false">IFERROR(SMALL(K5:K364,ROW()-ROW($L$5)+1),"")</f>
        <v/>
      </c>
      <c r="N329" s="0" t="n">
        <f aca="false">IFERROR(SUM(L5:L329),"")</f>
        <v>0</v>
      </c>
      <c r="Q329" s="0" t="e">
        <f aca="false">IF(Charts!$B$3="none",E2136,IF(K2136="",NA(),K2136))</f>
        <v>#N/A</v>
      </c>
      <c r="R329" s="0" t="e">
        <f aca="false">IF(Charts!$B$3="none",F2136,IF(L2136="",NA(),L2136))</f>
        <v>#N/A</v>
      </c>
      <c r="S329" s="0" t="e">
        <f aca="false">IF(Charts!$B$3="none",G2136,IF(M2136="",NA(),M2136))</f>
        <v>#N/A</v>
      </c>
      <c r="T329" s="0" t="e">
        <f aca="false">IF(Charts!$B$3="none",H2136,IF(N2136="",NA(),N2136))</f>
        <v>#N/A</v>
      </c>
    </row>
    <row r="330" customFormat="false" ht="15" hidden="false" customHeight="false" outlineLevel="0" collapsed="false">
      <c r="D330" s="0" t="n">
        <v>326</v>
      </c>
      <c r="E330" s="0" t="str">
        <f aca="true">IF(INDIRECT(ADDRESS($D330+2,E$2+1,,,"Instances"))="","",INDIRECT(ADDRESS($D330+2,E$2+1,,,"Instances")))</f>
        <v>Level_9/2-0010001</v>
      </c>
      <c r="F330" s="0" t="str">
        <f aca="false">IFERROR(SMALL(E5:E364,ROW()-ROW($F$5)+1),"")</f>
        <v/>
      </c>
      <c r="H330" s="0" t="n">
        <f aca="false">IFERROR(SUM(F5:F330),"")</f>
        <v>0</v>
      </c>
      <c r="J330" s="0" t="n">
        <v>326</v>
      </c>
      <c r="K330" s="0" t="e">
        <f aca="true" t="array" ref="K330:K330">_xlfn.SWITCH(Charts!$B$3,"average", AVERAGE(INDIRECT(ADDRESS(325+3,K$2+1,,,"Instances") &amp; ":" &amp; ADDRESS(325+3,K$2+1))),"median", MEDIAN(INDIRECT(ADDRESS(325+3,K$2+1,,,"Instances") &amp; ":" &amp; ADDRESS(325+3,K$2+1))),"min", MIN(INDIRECT(ADDRESS(325+3,K$2+1,,,"Instances") &amp; ":" &amp; ADDRESS(325+3,K$2+1))),"max", MAX(INDIRECT(ADDRESS(325+3,K$2+1,,,"Instances") &amp; ":" &amp; ADDRESS(325+3,K$2+1))),"diff", MAX(INDIRECT(ADDRESS(325+3,K$2+1,,,"Instances") &amp; ":" &amp; ADDRESS(325+3,K$2+1)))-MIN(INDIRECT(ADDRESS(325+3,K$2+1,,,"Instances") &amp; ":" &amp; ADDRESS(325+3,K$2+1))))</f>
        <v>#N/A</v>
      </c>
      <c r="L330" s="0" t="str">
        <f aca="false">IFERROR(SMALL(K5:K364,ROW()-ROW($L$5)+1),"")</f>
        <v/>
      </c>
      <c r="N330" s="0" t="n">
        <f aca="false">IFERROR(SUM(L5:L330),"")</f>
        <v>0</v>
      </c>
      <c r="Q330" s="0" t="e">
        <f aca="false">IF(Charts!$B$3="none",E2137,IF(K2137="",NA(),K2137))</f>
        <v>#N/A</v>
      </c>
      <c r="R330" s="0" t="e">
        <f aca="false">IF(Charts!$B$3="none",F2137,IF(L2137="",NA(),L2137))</f>
        <v>#N/A</v>
      </c>
      <c r="S330" s="0" t="e">
        <f aca="false">IF(Charts!$B$3="none",G2137,IF(M2137="",NA(),M2137))</f>
        <v>#N/A</v>
      </c>
      <c r="T330" s="0" t="e">
        <f aca="false">IF(Charts!$B$3="none",H2137,IF(N2137="",NA(),N2137))</f>
        <v>#N/A</v>
      </c>
    </row>
    <row r="331" customFormat="false" ht="15" hidden="false" customHeight="false" outlineLevel="0" collapsed="false">
      <c r="D331" s="0" t="n">
        <v>327</v>
      </c>
      <c r="E331" s="0" t="str">
        <f aca="true">IF(INDIRECT(ADDRESS($D331+2,E$2+1,,,"Instances"))="","",INDIRECT(ADDRESS($D331+2,E$2+1,,,"Instances")))</f>
        <v>Level_9/2-0100001</v>
      </c>
      <c r="F331" s="0" t="str">
        <f aca="false">IFERROR(SMALL(E5:E364,ROW()-ROW($F$5)+1),"")</f>
        <v/>
      </c>
      <c r="H331" s="0" t="n">
        <f aca="false">IFERROR(SUM(F5:F331),"")</f>
        <v>0</v>
      </c>
      <c r="J331" s="0" t="n">
        <v>327</v>
      </c>
      <c r="K331" s="0" t="e">
        <f aca="true" t="array" ref="K331:K331">_xlfn.SWITCH(Charts!$B$3,"average", AVERAGE(INDIRECT(ADDRESS(326+3,K$2+1,,,"Instances") &amp; ":" &amp; ADDRESS(326+3,K$2+1))),"median", MEDIAN(INDIRECT(ADDRESS(326+3,K$2+1,,,"Instances") &amp; ":" &amp; ADDRESS(326+3,K$2+1))),"min", MIN(INDIRECT(ADDRESS(326+3,K$2+1,,,"Instances") &amp; ":" &amp; ADDRESS(326+3,K$2+1))),"max", MAX(INDIRECT(ADDRESS(326+3,K$2+1,,,"Instances") &amp; ":" &amp; ADDRESS(326+3,K$2+1))),"diff", MAX(INDIRECT(ADDRESS(326+3,K$2+1,,,"Instances") &amp; ":" &amp; ADDRESS(326+3,K$2+1)))-MIN(INDIRECT(ADDRESS(326+3,K$2+1,,,"Instances") &amp; ":" &amp; ADDRESS(326+3,K$2+1))))</f>
        <v>#N/A</v>
      </c>
      <c r="L331" s="0" t="str">
        <f aca="false">IFERROR(SMALL(K5:K364,ROW()-ROW($L$5)+1),"")</f>
        <v/>
      </c>
      <c r="N331" s="0" t="n">
        <f aca="false">IFERROR(SUM(L5:L331),"")</f>
        <v>0</v>
      </c>
      <c r="Q331" s="0" t="e">
        <f aca="false">IF(Charts!$B$3="none",E2138,IF(K2138="",NA(),K2138))</f>
        <v>#N/A</v>
      </c>
      <c r="R331" s="0" t="e">
        <f aca="false">IF(Charts!$B$3="none",F2138,IF(L2138="",NA(),L2138))</f>
        <v>#N/A</v>
      </c>
      <c r="S331" s="0" t="e">
        <f aca="false">IF(Charts!$B$3="none",G2138,IF(M2138="",NA(),M2138))</f>
        <v>#N/A</v>
      </c>
      <c r="T331" s="0" t="e">
        <f aca="false">IF(Charts!$B$3="none",H2138,IF(N2138="",NA(),N2138))</f>
        <v>#N/A</v>
      </c>
    </row>
    <row r="332" customFormat="false" ht="15" hidden="false" customHeight="false" outlineLevel="0" collapsed="false">
      <c r="D332" s="0" t="n">
        <v>328</v>
      </c>
      <c r="E332" s="0" t="str">
        <f aca="true">IF(INDIRECT(ADDRESS($D332+2,E$2+1,,,"Instances"))="","",INDIRECT(ADDRESS($D332+2,E$2+1,,,"Instances")))</f>
        <v>Level_9/2-0110000</v>
      </c>
      <c r="F332" s="0" t="str">
        <f aca="false">IFERROR(SMALL(E5:E364,ROW()-ROW($F$5)+1),"")</f>
        <v/>
      </c>
      <c r="H332" s="0" t="n">
        <f aca="false">IFERROR(SUM(F5:F332),"")</f>
        <v>0</v>
      </c>
      <c r="J332" s="0" t="n">
        <v>328</v>
      </c>
      <c r="K332" s="0" t="e">
        <f aca="true" t="array" ref="K332:K332">_xlfn.SWITCH(Charts!$B$3,"average", AVERAGE(INDIRECT(ADDRESS(327+3,K$2+1,,,"Instances") &amp; ":" &amp; ADDRESS(327+3,K$2+1))),"median", MEDIAN(INDIRECT(ADDRESS(327+3,K$2+1,,,"Instances") &amp; ":" &amp; ADDRESS(327+3,K$2+1))),"min", MIN(INDIRECT(ADDRESS(327+3,K$2+1,,,"Instances") &amp; ":" &amp; ADDRESS(327+3,K$2+1))),"max", MAX(INDIRECT(ADDRESS(327+3,K$2+1,,,"Instances") &amp; ":" &amp; ADDRESS(327+3,K$2+1))),"diff", MAX(INDIRECT(ADDRESS(327+3,K$2+1,,,"Instances") &amp; ":" &amp; ADDRESS(327+3,K$2+1)))-MIN(INDIRECT(ADDRESS(327+3,K$2+1,,,"Instances") &amp; ":" &amp; ADDRESS(327+3,K$2+1))))</f>
        <v>#N/A</v>
      </c>
      <c r="L332" s="0" t="str">
        <f aca="false">IFERROR(SMALL(K5:K364,ROW()-ROW($L$5)+1),"")</f>
        <v/>
      </c>
      <c r="N332" s="0" t="n">
        <f aca="false">IFERROR(SUM(L5:L332),"")</f>
        <v>0</v>
      </c>
      <c r="Q332" s="0" t="e">
        <f aca="false">IF(Charts!$B$3="none",E2139,IF(K2139="",NA(),K2139))</f>
        <v>#N/A</v>
      </c>
      <c r="R332" s="0" t="e">
        <f aca="false">IF(Charts!$B$3="none",F2139,IF(L2139="",NA(),L2139))</f>
        <v>#N/A</v>
      </c>
      <c r="S332" s="0" t="e">
        <f aca="false">IF(Charts!$B$3="none",G2139,IF(M2139="",NA(),M2139))</f>
        <v>#N/A</v>
      </c>
      <c r="T332" s="0" t="e">
        <f aca="false">IF(Charts!$B$3="none",H2139,IF(N2139="",NA(),N2139))</f>
        <v>#N/A</v>
      </c>
    </row>
    <row r="333" customFormat="false" ht="15" hidden="false" customHeight="false" outlineLevel="0" collapsed="false">
      <c r="D333" s="0" t="n">
        <v>329</v>
      </c>
      <c r="E333" s="0" t="str">
        <f aca="true">IF(INDIRECT(ADDRESS($D333+2,E$2+1,,,"Instances"))="","",INDIRECT(ADDRESS($D333+2,E$2+1,,,"Instances")))</f>
        <v>Level_9/2-1000001</v>
      </c>
      <c r="F333" s="0" t="str">
        <f aca="false">IFERROR(SMALL(E5:E364,ROW()-ROW($F$5)+1),"")</f>
        <v/>
      </c>
      <c r="H333" s="0" t="n">
        <f aca="false">IFERROR(SUM(F5:F333),"")</f>
        <v>0</v>
      </c>
      <c r="J333" s="0" t="n">
        <v>329</v>
      </c>
      <c r="K333" s="0" t="e">
        <f aca="true" t="array" ref="K333:K333">_xlfn.SWITCH(Charts!$B$3,"average", AVERAGE(INDIRECT(ADDRESS(328+3,K$2+1,,,"Instances") &amp; ":" &amp; ADDRESS(328+3,K$2+1))),"median", MEDIAN(INDIRECT(ADDRESS(328+3,K$2+1,,,"Instances") &amp; ":" &amp; ADDRESS(328+3,K$2+1))),"min", MIN(INDIRECT(ADDRESS(328+3,K$2+1,,,"Instances") &amp; ":" &amp; ADDRESS(328+3,K$2+1))),"max", MAX(INDIRECT(ADDRESS(328+3,K$2+1,,,"Instances") &amp; ":" &amp; ADDRESS(328+3,K$2+1))),"diff", MAX(INDIRECT(ADDRESS(328+3,K$2+1,,,"Instances") &amp; ":" &amp; ADDRESS(328+3,K$2+1)))-MIN(INDIRECT(ADDRESS(328+3,K$2+1,,,"Instances") &amp; ":" &amp; ADDRESS(328+3,K$2+1))))</f>
        <v>#N/A</v>
      </c>
      <c r="L333" s="0" t="str">
        <f aca="false">IFERROR(SMALL(K5:K364,ROW()-ROW($L$5)+1),"")</f>
        <v/>
      </c>
      <c r="N333" s="0" t="n">
        <f aca="false">IFERROR(SUM(L5:L333),"")</f>
        <v>0</v>
      </c>
      <c r="Q333" s="0" t="e">
        <f aca="false">IF(Charts!$B$3="none",E2140,IF(K2140="",NA(),K2140))</f>
        <v>#N/A</v>
      </c>
      <c r="R333" s="0" t="e">
        <f aca="false">IF(Charts!$B$3="none",F2140,IF(L2140="",NA(),L2140))</f>
        <v>#N/A</v>
      </c>
      <c r="S333" s="0" t="e">
        <f aca="false">IF(Charts!$B$3="none",G2140,IF(M2140="",NA(),M2140))</f>
        <v>#N/A</v>
      </c>
      <c r="T333" s="0" t="e">
        <f aca="false">IF(Charts!$B$3="none",H2140,IF(N2140="",NA(),N2140))</f>
        <v>#N/A</v>
      </c>
    </row>
    <row r="334" customFormat="false" ht="15" hidden="false" customHeight="false" outlineLevel="0" collapsed="false">
      <c r="D334" s="0" t="n">
        <v>330</v>
      </c>
      <c r="E334" s="0" t="str">
        <f aca="true">IF(INDIRECT(ADDRESS($D334+2,E$2+1,,,"Instances"))="","",INDIRECT(ADDRESS($D334+2,E$2+1,,,"Instances")))</f>
        <v>Level_9/2-1000100</v>
      </c>
      <c r="F334" s="0" t="str">
        <f aca="false">IFERROR(SMALL(E5:E364,ROW()-ROW($F$5)+1),"")</f>
        <v/>
      </c>
      <c r="H334" s="0" t="n">
        <f aca="false">IFERROR(SUM(F5:F334),"")</f>
        <v>0</v>
      </c>
      <c r="J334" s="0" t="n">
        <v>330</v>
      </c>
      <c r="K334" s="0" t="e">
        <f aca="true" t="array" ref="K334:K334">_xlfn.SWITCH(Charts!$B$3,"average", AVERAGE(INDIRECT(ADDRESS(329+3,K$2+1,,,"Instances") &amp; ":" &amp; ADDRESS(329+3,K$2+1))),"median", MEDIAN(INDIRECT(ADDRESS(329+3,K$2+1,,,"Instances") &amp; ":" &amp; ADDRESS(329+3,K$2+1))),"min", MIN(INDIRECT(ADDRESS(329+3,K$2+1,,,"Instances") &amp; ":" &amp; ADDRESS(329+3,K$2+1))),"max", MAX(INDIRECT(ADDRESS(329+3,K$2+1,,,"Instances") &amp; ":" &amp; ADDRESS(329+3,K$2+1))),"diff", MAX(INDIRECT(ADDRESS(329+3,K$2+1,,,"Instances") &amp; ":" &amp; ADDRESS(329+3,K$2+1)))-MIN(INDIRECT(ADDRESS(329+3,K$2+1,,,"Instances") &amp; ":" &amp; ADDRESS(329+3,K$2+1))))</f>
        <v>#N/A</v>
      </c>
      <c r="L334" s="0" t="str">
        <f aca="false">IFERROR(SMALL(K5:K364,ROW()-ROW($L$5)+1),"")</f>
        <v/>
      </c>
      <c r="N334" s="0" t="n">
        <f aca="false">IFERROR(SUM(L5:L334),"")</f>
        <v>0</v>
      </c>
      <c r="Q334" s="0" t="e">
        <f aca="false">IF(Charts!$B$3="none",E2141,IF(K2141="",NA(),K2141))</f>
        <v>#N/A</v>
      </c>
      <c r="R334" s="0" t="e">
        <f aca="false">IF(Charts!$B$3="none",F2141,IF(L2141="",NA(),L2141))</f>
        <v>#N/A</v>
      </c>
      <c r="S334" s="0" t="e">
        <f aca="false">IF(Charts!$B$3="none",G2141,IF(M2141="",NA(),M2141))</f>
        <v>#N/A</v>
      </c>
      <c r="T334" s="0" t="e">
        <f aca="false">IF(Charts!$B$3="none",H2141,IF(N2141="",NA(),N2141))</f>
        <v>#N/A</v>
      </c>
    </row>
    <row r="335" customFormat="false" ht="15" hidden="false" customHeight="false" outlineLevel="0" collapsed="false">
      <c r="D335" s="0" t="n">
        <v>331</v>
      </c>
      <c r="E335" s="0" t="str">
        <f aca="true">IF(INDIRECT(ADDRESS($D335+2,E$2+1,,,"Instances"))="","",INDIRECT(ADDRESS($D335+2,E$2+1,,,"Instances")))</f>
        <v>Level_9/2-1100000</v>
      </c>
      <c r="F335" s="0" t="str">
        <f aca="false">IFERROR(SMALL(E5:E364,ROW()-ROW($F$5)+1),"")</f>
        <v/>
      </c>
      <c r="H335" s="0" t="n">
        <f aca="false">IFERROR(SUM(F5:F335),"")</f>
        <v>0</v>
      </c>
      <c r="J335" s="0" t="n">
        <v>331</v>
      </c>
      <c r="K335" s="0" t="e">
        <f aca="true" t="array" ref="K335:K335">_xlfn.SWITCH(Charts!$B$3,"average", AVERAGE(INDIRECT(ADDRESS(330+3,K$2+1,,,"Instances") &amp; ":" &amp; ADDRESS(330+3,K$2+1))),"median", MEDIAN(INDIRECT(ADDRESS(330+3,K$2+1,,,"Instances") &amp; ":" &amp; ADDRESS(330+3,K$2+1))),"min", MIN(INDIRECT(ADDRESS(330+3,K$2+1,,,"Instances") &amp; ":" &amp; ADDRESS(330+3,K$2+1))),"max", MAX(INDIRECT(ADDRESS(330+3,K$2+1,,,"Instances") &amp; ":" &amp; ADDRESS(330+3,K$2+1))),"diff", MAX(INDIRECT(ADDRESS(330+3,K$2+1,,,"Instances") &amp; ":" &amp; ADDRESS(330+3,K$2+1)))-MIN(INDIRECT(ADDRESS(330+3,K$2+1,,,"Instances") &amp; ":" &amp; ADDRESS(330+3,K$2+1))))</f>
        <v>#N/A</v>
      </c>
      <c r="L335" s="0" t="str">
        <f aca="false">IFERROR(SMALL(K5:K364,ROW()-ROW($L$5)+1),"")</f>
        <v/>
      </c>
      <c r="N335" s="0" t="n">
        <f aca="false">IFERROR(SUM(L5:L335),"")</f>
        <v>0</v>
      </c>
      <c r="Q335" s="0" t="e">
        <f aca="false">IF(Charts!$B$3="none",E2142,IF(K2142="",NA(),K2142))</f>
        <v>#N/A</v>
      </c>
      <c r="R335" s="0" t="e">
        <f aca="false">IF(Charts!$B$3="none",F2142,IF(L2142="",NA(),L2142))</f>
        <v>#N/A</v>
      </c>
      <c r="S335" s="0" t="e">
        <f aca="false">IF(Charts!$B$3="none",G2142,IF(M2142="",NA(),M2142))</f>
        <v>#N/A</v>
      </c>
      <c r="T335" s="0" t="e">
        <f aca="false">IF(Charts!$B$3="none",H2142,IF(N2142="",NA(),N2142))</f>
        <v>#N/A</v>
      </c>
    </row>
    <row r="336" customFormat="false" ht="15" hidden="false" customHeight="false" outlineLevel="0" collapsed="false">
      <c r="D336" s="0" t="n">
        <v>332</v>
      </c>
      <c r="E336" s="0" t="str">
        <f aca="true">IF(INDIRECT(ADDRESS($D336+2,E$2+1,,,"Instances"))="","",INDIRECT(ADDRESS($D336+2,E$2+1,,,"Instances")))</f>
        <v>Level_9/3-0010101</v>
      </c>
      <c r="F336" s="0" t="str">
        <f aca="false">IFERROR(SMALL(E5:E364,ROW()-ROW($F$5)+1),"")</f>
        <v/>
      </c>
      <c r="H336" s="0" t="n">
        <f aca="false">IFERROR(SUM(F5:F336),"")</f>
        <v>0</v>
      </c>
      <c r="J336" s="0" t="n">
        <v>332</v>
      </c>
      <c r="K336" s="0" t="e">
        <f aca="true" t="array" ref="K336:K336">_xlfn.SWITCH(Charts!$B$3,"average", AVERAGE(INDIRECT(ADDRESS(331+3,K$2+1,,,"Instances") &amp; ":" &amp; ADDRESS(331+3,K$2+1))),"median", MEDIAN(INDIRECT(ADDRESS(331+3,K$2+1,,,"Instances") &amp; ":" &amp; ADDRESS(331+3,K$2+1))),"min", MIN(INDIRECT(ADDRESS(331+3,K$2+1,,,"Instances") &amp; ":" &amp; ADDRESS(331+3,K$2+1))),"max", MAX(INDIRECT(ADDRESS(331+3,K$2+1,,,"Instances") &amp; ":" &amp; ADDRESS(331+3,K$2+1))),"diff", MAX(INDIRECT(ADDRESS(331+3,K$2+1,,,"Instances") &amp; ":" &amp; ADDRESS(331+3,K$2+1)))-MIN(INDIRECT(ADDRESS(331+3,K$2+1,,,"Instances") &amp; ":" &amp; ADDRESS(331+3,K$2+1))))</f>
        <v>#N/A</v>
      </c>
      <c r="L336" s="0" t="str">
        <f aca="false">IFERROR(SMALL(K5:K364,ROW()-ROW($L$5)+1),"")</f>
        <v/>
      </c>
      <c r="N336" s="0" t="n">
        <f aca="false">IFERROR(SUM(L5:L336),"")</f>
        <v>0</v>
      </c>
      <c r="Q336" s="0" t="e">
        <f aca="false">IF(Charts!$B$3="none",E2143,IF(K2143="",NA(),K2143))</f>
        <v>#N/A</v>
      </c>
      <c r="R336" s="0" t="e">
        <f aca="false">IF(Charts!$B$3="none",F2143,IF(L2143="",NA(),L2143))</f>
        <v>#N/A</v>
      </c>
      <c r="S336" s="0" t="e">
        <f aca="false">IF(Charts!$B$3="none",G2143,IF(M2143="",NA(),M2143))</f>
        <v>#N/A</v>
      </c>
      <c r="T336" s="0" t="e">
        <f aca="false">IF(Charts!$B$3="none",H2143,IF(N2143="",NA(),N2143))</f>
        <v>#N/A</v>
      </c>
    </row>
    <row r="337" customFormat="false" ht="15" hidden="false" customHeight="false" outlineLevel="0" collapsed="false">
      <c r="D337" s="0" t="n">
        <v>333</v>
      </c>
      <c r="E337" s="0" t="str">
        <f aca="true">IF(INDIRECT(ADDRESS($D337+2,E$2+1,,,"Instances"))="","",INDIRECT(ADDRESS($D337+2,E$2+1,,,"Instances")))</f>
        <v>Level_9/3-0011001</v>
      </c>
      <c r="F337" s="0" t="str">
        <f aca="false">IFERROR(SMALL(E5:E364,ROW()-ROW($F$5)+1),"")</f>
        <v/>
      </c>
      <c r="H337" s="0" t="n">
        <f aca="false">IFERROR(SUM(F5:F337),"")</f>
        <v>0</v>
      </c>
      <c r="J337" s="0" t="n">
        <v>333</v>
      </c>
      <c r="K337" s="0" t="e">
        <f aca="true" t="array" ref="K337:K337">_xlfn.SWITCH(Charts!$B$3,"average", AVERAGE(INDIRECT(ADDRESS(332+3,K$2+1,,,"Instances") &amp; ":" &amp; ADDRESS(332+3,K$2+1))),"median", MEDIAN(INDIRECT(ADDRESS(332+3,K$2+1,,,"Instances") &amp; ":" &amp; ADDRESS(332+3,K$2+1))),"min", MIN(INDIRECT(ADDRESS(332+3,K$2+1,,,"Instances") &amp; ":" &amp; ADDRESS(332+3,K$2+1))),"max", MAX(INDIRECT(ADDRESS(332+3,K$2+1,,,"Instances") &amp; ":" &amp; ADDRESS(332+3,K$2+1))),"diff", MAX(INDIRECT(ADDRESS(332+3,K$2+1,,,"Instances") &amp; ":" &amp; ADDRESS(332+3,K$2+1)))-MIN(INDIRECT(ADDRESS(332+3,K$2+1,,,"Instances") &amp; ":" &amp; ADDRESS(332+3,K$2+1))))</f>
        <v>#N/A</v>
      </c>
      <c r="L337" s="0" t="str">
        <f aca="false">IFERROR(SMALL(K5:K364,ROW()-ROW($L$5)+1),"")</f>
        <v/>
      </c>
      <c r="N337" s="0" t="n">
        <f aca="false">IFERROR(SUM(L5:L337),"")</f>
        <v>0</v>
      </c>
      <c r="Q337" s="0" t="e">
        <f aca="false">IF(Charts!$B$3="none",E2144,IF(K2144="",NA(),K2144))</f>
        <v>#N/A</v>
      </c>
      <c r="R337" s="0" t="e">
        <f aca="false">IF(Charts!$B$3="none",F2144,IF(L2144="",NA(),L2144))</f>
        <v>#N/A</v>
      </c>
      <c r="S337" s="0" t="e">
        <f aca="false">IF(Charts!$B$3="none",G2144,IF(M2144="",NA(),M2144))</f>
        <v>#N/A</v>
      </c>
      <c r="T337" s="0" t="e">
        <f aca="false">IF(Charts!$B$3="none",H2144,IF(N2144="",NA(),N2144))</f>
        <v>#N/A</v>
      </c>
    </row>
    <row r="338" customFormat="false" ht="15" hidden="false" customHeight="false" outlineLevel="0" collapsed="false">
      <c r="D338" s="0" t="n">
        <v>334</v>
      </c>
      <c r="E338" s="0" t="str">
        <f aca="true">IF(INDIRECT(ADDRESS($D338+2,E$2+1,,,"Instances"))="","",INDIRECT(ADDRESS($D338+2,E$2+1,,,"Instances")))</f>
        <v>Level_9/3-1000110</v>
      </c>
      <c r="F338" s="0" t="str">
        <f aca="false">IFERROR(SMALL(E5:E364,ROW()-ROW($F$5)+1),"")</f>
        <v/>
      </c>
      <c r="H338" s="0" t="n">
        <f aca="false">IFERROR(SUM(F5:F338),"")</f>
        <v>0</v>
      </c>
      <c r="J338" s="0" t="n">
        <v>334</v>
      </c>
      <c r="K338" s="0" t="e">
        <f aca="true" t="array" ref="K338:K338">_xlfn.SWITCH(Charts!$B$3,"average", AVERAGE(INDIRECT(ADDRESS(333+3,K$2+1,,,"Instances") &amp; ":" &amp; ADDRESS(333+3,K$2+1))),"median", MEDIAN(INDIRECT(ADDRESS(333+3,K$2+1,,,"Instances") &amp; ":" &amp; ADDRESS(333+3,K$2+1))),"min", MIN(INDIRECT(ADDRESS(333+3,K$2+1,,,"Instances") &amp; ":" &amp; ADDRESS(333+3,K$2+1))),"max", MAX(INDIRECT(ADDRESS(333+3,K$2+1,,,"Instances") &amp; ":" &amp; ADDRESS(333+3,K$2+1))),"diff", MAX(INDIRECT(ADDRESS(333+3,K$2+1,,,"Instances") &amp; ":" &amp; ADDRESS(333+3,K$2+1)))-MIN(INDIRECT(ADDRESS(333+3,K$2+1,,,"Instances") &amp; ":" &amp; ADDRESS(333+3,K$2+1))))</f>
        <v>#N/A</v>
      </c>
      <c r="L338" s="0" t="str">
        <f aca="false">IFERROR(SMALL(K5:K364,ROW()-ROW($L$5)+1),"")</f>
        <v/>
      </c>
      <c r="N338" s="0" t="n">
        <f aca="false">IFERROR(SUM(L5:L338),"")</f>
        <v>0</v>
      </c>
      <c r="Q338" s="0" t="e">
        <f aca="false">IF(Charts!$B$3="none",E2145,IF(K2145="",NA(),K2145))</f>
        <v>#N/A</v>
      </c>
      <c r="R338" s="0" t="e">
        <f aca="false">IF(Charts!$B$3="none",F2145,IF(L2145="",NA(),L2145))</f>
        <v>#N/A</v>
      </c>
      <c r="S338" s="0" t="e">
        <f aca="false">IF(Charts!$B$3="none",G2145,IF(M2145="",NA(),M2145))</f>
        <v>#N/A</v>
      </c>
      <c r="T338" s="0" t="e">
        <f aca="false">IF(Charts!$B$3="none",H2145,IF(N2145="",NA(),N2145))</f>
        <v>#N/A</v>
      </c>
    </row>
    <row r="339" customFormat="false" ht="15" hidden="false" customHeight="false" outlineLevel="0" collapsed="false">
      <c r="D339" s="0" t="n">
        <v>335</v>
      </c>
      <c r="E339" s="0" t="str">
        <f aca="true">IF(INDIRECT(ADDRESS($D339+2,E$2+1,,,"Instances"))="","",INDIRECT(ADDRESS($D339+2,E$2+1,,,"Instances")))</f>
        <v>Level_9/3-1001010</v>
      </c>
      <c r="F339" s="0" t="str">
        <f aca="false">IFERROR(SMALL(E5:E364,ROW()-ROW($F$5)+1),"")</f>
        <v/>
      </c>
      <c r="H339" s="0" t="n">
        <f aca="false">IFERROR(SUM(F5:F339),"")</f>
        <v>0</v>
      </c>
      <c r="J339" s="0" t="n">
        <v>335</v>
      </c>
      <c r="K339" s="0" t="e">
        <f aca="true" t="array" ref="K339:K339">_xlfn.SWITCH(Charts!$B$3,"average", AVERAGE(INDIRECT(ADDRESS(334+3,K$2+1,,,"Instances") &amp; ":" &amp; ADDRESS(334+3,K$2+1))),"median", MEDIAN(INDIRECT(ADDRESS(334+3,K$2+1,,,"Instances") &amp; ":" &amp; ADDRESS(334+3,K$2+1))),"min", MIN(INDIRECT(ADDRESS(334+3,K$2+1,,,"Instances") &amp; ":" &amp; ADDRESS(334+3,K$2+1))),"max", MAX(INDIRECT(ADDRESS(334+3,K$2+1,,,"Instances") &amp; ":" &amp; ADDRESS(334+3,K$2+1))),"diff", MAX(INDIRECT(ADDRESS(334+3,K$2+1,,,"Instances") &amp; ":" &amp; ADDRESS(334+3,K$2+1)))-MIN(INDIRECT(ADDRESS(334+3,K$2+1,,,"Instances") &amp; ":" &amp; ADDRESS(334+3,K$2+1))))</f>
        <v>#N/A</v>
      </c>
      <c r="L339" s="0" t="str">
        <f aca="false">IFERROR(SMALL(K5:K364,ROW()-ROW($L$5)+1),"")</f>
        <v/>
      </c>
      <c r="N339" s="0" t="n">
        <f aca="false">IFERROR(SUM(L5:L339),"")</f>
        <v>0</v>
      </c>
      <c r="Q339" s="0" t="e">
        <f aca="false">IF(Charts!$B$3="none",E2146,IF(K2146="",NA(),K2146))</f>
        <v>#N/A</v>
      </c>
      <c r="R339" s="0" t="e">
        <f aca="false">IF(Charts!$B$3="none",F2146,IF(L2146="",NA(),L2146))</f>
        <v>#N/A</v>
      </c>
      <c r="S339" s="0" t="e">
        <f aca="false">IF(Charts!$B$3="none",G2146,IF(M2146="",NA(),M2146))</f>
        <v>#N/A</v>
      </c>
      <c r="T339" s="0" t="e">
        <f aca="false">IF(Charts!$B$3="none",H2146,IF(N2146="",NA(),N2146))</f>
        <v>#N/A</v>
      </c>
    </row>
    <row r="340" customFormat="false" ht="15" hidden="false" customHeight="false" outlineLevel="0" collapsed="false">
      <c r="D340" s="0" t="n">
        <v>336</v>
      </c>
      <c r="E340" s="0" t="str">
        <f aca="true">IF(INDIRECT(ADDRESS($D340+2,E$2+1,,,"Instances"))="","",INDIRECT(ADDRESS($D340+2,E$2+1,,,"Instances")))</f>
        <v>Level_9/3-1001100</v>
      </c>
      <c r="F340" s="0" t="str">
        <f aca="false">IFERROR(SMALL(E5:E364,ROW()-ROW($F$5)+1),"")</f>
        <v/>
      </c>
      <c r="H340" s="0" t="n">
        <f aca="false">IFERROR(SUM(F5:F340),"")</f>
        <v>0</v>
      </c>
      <c r="J340" s="0" t="n">
        <v>336</v>
      </c>
      <c r="K340" s="0" t="e">
        <f aca="true" t="array" ref="K340:K340">_xlfn.SWITCH(Charts!$B$3,"average", AVERAGE(INDIRECT(ADDRESS(335+3,K$2+1,,,"Instances") &amp; ":" &amp; ADDRESS(335+3,K$2+1))),"median", MEDIAN(INDIRECT(ADDRESS(335+3,K$2+1,,,"Instances") &amp; ":" &amp; ADDRESS(335+3,K$2+1))),"min", MIN(INDIRECT(ADDRESS(335+3,K$2+1,,,"Instances") &amp; ":" &amp; ADDRESS(335+3,K$2+1))),"max", MAX(INDIRECT(ADDRESS(335+3,K$2+1,,,"Instances") &amp; ":" &amp; ADDRESS(335+3,K$2+1))),"diff", MAX(INDIRECT(ADDRESS(335+3,K$2+1,,,"Instances") &amp; ":" &amp; ADDRESS(335+3,K$2+1)))-MIN(INDIRECT(ADDRESS(335+3,K$2+1,,,"Instances") &amp; ":" &amp; ADDRESS(335+3,K$2+1))))</f>
        <v>#N/A</v>
      </c>
      <c r="L340" s="0" t="str">
        <f aca="false">IFERROR(SMALL(K5:K364,ROW()-ROW($L$5)+1),"")</f>
        <v/>
      </c>
      <c r="N340" s="0" t="n">
        <f aca="false">IFERROR(SUM(L5:L340),"")</f>
        <v>0</v>
      </c>
      <c r="Q340" s="0" t="e">
        <f aca="false">IF(Charts!$B$3="none",E2147,IF(K2147="",NA(),K2147))</f>
        <v>#N/A</v>
      </c>
      <c r="R340" s="0" t="e">
        <f aca="false">IF(Charts!$B$3="none",F2147,IF(L2147="",NA(),L2147))</f>
        <v>#N/A</v>
      </c>
      <c r="S340" s="0" t="e">
        <f aca="false">IF(Charts!$B$3="none",G2147,IF(M2147="",NA(),M2147))</f>
        <v>#N/A</v>
      </c>
      <c r="T340" s="0" t="e">
        <f aca="false">IF(Charts!$B$3="none",H2147,IF(N2147="",NA(),N2147))</f>
        <v>#N/A</v>
      </c>
    </row>
    <row r="341" customFormat="false" ht="15" hidden="false" customHeight="false" outlineLevel="0" collapsed="false">
      <c r="D341" s="0" t="n">
        <v>337</v>
      </c>
      <c r="E341" s="0" t="str">
        <f aca="true">IF(INDIRECT(ADDRESS($D341+2,E$2+1,,,"Instances"))="","",INDIRECT(ADDRESS($D341+2,E$2+1,,,"Instances")))</f>
        <v>Level_9/3-1100010</v>
      </c>
      <c r="F341" s="0" t="str">
        <f aca="false">IFERROR(SMALL(E5:E364,ROW()-ROW($F$5)+1),"")</f>
        <v/>
      </c>
      <c r="H341" s="0" t="n">
        <f aca="false">IFERROR(SUM(F5:F341),"")</f>
        <v>0</v>
      </c>
      <c r="J341" s="0" t="n">
        <v>337</v>
      </c>
      <c r="K341" s="0" t="e">
        <f aca="true" t="array" ref="K341:K341">_xlfn.SWITCH(Charts!$B$3,"average", AVERAGE(INDIRECT(ADDRESS(336+3,K$2+1,,,"Instances") &amp; ":" &amp; ADDRESS(336+3,K$2+1))),"median", MEDIAN(INDIRECT(ADDRESS(336+3,K$2+1,,,"Instances") &amp; ":" &amp; ADDRESS(336+3,K$2+1))),"min", MIN(INDIRECT(ADDRESS(336+3,K$2+1,,,"Instances") &amp; ":" &amp; ADDRESS(336+3,K$2+1))),"max", MAX(INDIRECT(ADDRESS(336+3,K$2+1,,,"Instances") &amp; ":" &amp; ADDRESS(336+3,K$2+1))),"diff", MAX(INDIRECT(ADDRESS(336+3,K$2+1,,,"Instances") &amp; ":" &amp; ADDRESS(336+3,K$2+1)))-MIN(INDIRECT(ADDRESS(336+3,K$2+1,,,"Instances") &amp; ":" &amp; ADDRESS(336+3,K$2+1))))</f>
        <v>#N/A</v>
      </c>
      <c r="L341" s="0" t="str">
        <f aca="false">IFERROR(SMALL(K5:K364,ROW()-ROW($L$5)+1),"")</f>
        <v/>
      </c>
      <c r="N341" s="0" t="n">
        <f aca="false">IFERROR(SUM(L5:L341),"")</f>
        <v>0</v>
      </c>
      <c r="Q341" s="0" t="e">
        <f aca="false">IF(Charts!$B$3="none",E2148,IF(K2148="",NA(),K2148))</f>
        <v>#N/A</v>
      </c>
      <c r="R341" s="0" t="e">
        <f aca="false">IF(Charts!$B$3="none",F2148,IF(L2148="",NA(),L2148))</f>
        <v>#N/A</v>
      </c>
      <c r="S341" s="0" t="e">
        <f aca="false">IF(Charts!$B$3="none",G2148,IF(M2148="",NA(),M2148))</f>
        <v>#N/A</v>
      </c>
      <c r="T341" s="0" t="e">
        <f aca="false">IF(Charts!$B$3="none",H2148,IF(N2148="",NA(),N2148))</f>
        <v>#N/A</v>
      </c>
    </row>
    <row r="342" customFormat="false" ht="15" hidden="false" customHeight="false" outlineLevel="0" collapsed="false">
      <c r="D342" s="0" t="n">
        <v>338</v>
      </c>
      <c r="E342" s="0" t="str">
        <f aca="true">IF(INDIRECT(ADDRESS($D342+2,E$2+1,,,"Instances"))="","",INDIRECT(ADDRESS($D342+2,E$2+1,,,"Instances")))</f>
        <v>Level_9/3-1110000</v>
      </c>
      <c r="F342" s="0" t="str">
        <f aca="false">IFERROR(SMALL(E5:E364,ROW()-ROW($F$5)+1),"")</f>
        <v/>
      </c>
      <c r="H342" s="0" t="n">
        <f aca="false">IFERROR(SUM(F5:F342),"")</f>
        <v>0</v>
      </c>
      <c r="J342" s="0" t="n">
        <v>338</v>
      </c>
      <c r="K342" s="0" t="e">
        <f aca="true" t="array" ref="K342:K342">_xlfn.SWITCH(Charts!$B$3,"average", AVERAGE(INDIRECT(ADDRESS(337+3,K$2+1,,,"Instances") &amp; ":" &amp; ADDRESS(337+3,K$2+1))),"median", MEDIAN(INDIRECT(ADDRESS(337+3,K$2+1,,,"Instances") &amp; ":" &amp; ADDRESS(337+3,K$2+1))),"min", MIN(INDIRECT(ADDRESS(337+3,K$2+1,,,"Instances") &amp; ":" &amp; ADDRESS(337+3,K$2+1))),"max", MAX(INDIRECT(ADDRESS(337+3,K$2+1,,,"Instances") &amp; ":" &amp; ADDRESS(337+3,K$2+1))),"diff", MAX(INDIRECT(ADDRESS(337+3,K$2+1,,,"Instances") &amp; ":" &amp; ADDRESS(337+3,K$2+1)))-MIN(INDIRECT(ADDRESS(337+3,K$2+1,,,"Instances") &amp; ":" &amp; ADDRESS(337+3,K$2+1))))</f>
        <v>#N/A</v>
      </c>
      <c r="L342" s="0" t="str">
        <f aca="false">IFERROR(SMALL(K5:K364,ROW()-ROW($L$5)+1),"")</f>
        <v/>
      </c>
      <c r="N342" s="0" t="n">
        <f aca="false">IFERROR(SUM(L5:L342),"")</f>
        <v>0</v>
      </c>
      <c r="Q342" s="0" t="e">
        <f aca="false">IF(Charts!$B$3="none",E2149,IF(K2149="",NA(),K2149))</f>
        <v>#N/A</v>
      </c>
      <c r="R342" s="0" t="e">
        <f aca="false">IF(Charts!$B$3="none",F2149,IF(L2149="",NA(),L2149))</f>
        <v>#N/A</v>
      </c>
      <c r="S342" s="0" t="e">
        <f aca="false">IF(Charts!$B$3="none",G2149,IF(M2149="",NA(),M2149))</f>
        <v>#N/A</v>
      </c>
      <c r="T342" s="0" t="e">
        <f aca="false">IF(Charts!$B$3="none",H2149,IF(N2149="",NA(),N2149))</f>
        <v>#N/A</v>
      </c>
    </row>
    <row r="343" customFormat="false" ht="15" hidden="false" customHeight="false" outlineLevel="0" collapsed="false">
      <c r="D343" s="0" t="n">
        <v>339</v>
      </c>
      <c r="E343" s="0" t="str">
        <f aca="true">IF(INDIRECT(ADDRESS($D343+2,E$2+1,,,"Instances"))="","",INDIRECT(ADDRESS($D343+2,E$2+1,,,"Instances")))</f>
        <v>Level_9/4-0110101</v>
      </c>
      <c r="F343" s="0" t="str">
        <f aca="false">IFERROR(SMALL(E5:E364,ROW()-ROW($F$5)+1),"")</f>
        <v/>
      </c>
      <c r="H343" s="0" t="n">
        <f aca="false">IFERROR(SUM(F5:F343),"")</f>
        <v>0</v>
      </c>
      <c r="J343" s="0" t="n">
        <v>339</v>
      </c>
      <c r="K343" s="0" t="e">
        <f aca="true" t="array" ref="K343:K343">_xlfn.SWITCH(Charts!$B$3,"average", AVERAGE(INDIRECT(ADDRESS(338+3,K$2+1,,,"Instances") &amp; ":" &amp; ADDRESS(338+3,K$2+1))),"median", MEDIAN(INDIRECT(ADDRESS(338+3,K$2+1,,,"Instances") &amp; ":" &amp; ADDRESS(338+3,K$2+1))),"min", MIN(INDIRECT(ADDRESS(338+3,K$2+1,,,"Instances") &amp; ":" &amp; ADDRESS(338+3,K$2+1))),"max", MAX(INDIRECT(ADDRESS(338+3,K$2+1,,,"Instances") &amp; ":" &amp; ADDRESS(338+3,K$2+1))),"diff", MAX(INDIRECT(ADDRESS(338+3,K$2+1,,,"Instances") &amp; ":" &amp; ADDRESS(338+3,K$2+1)))-MIN(INDIRECT(ADDRESS(338+3,K$2+1,,,"Instances") &amp; ":" &amp; ADDRESS(338+3,K$2+1))))</f>
        <v>#N/A</v>
      </c>
      <c r="L343" s="0" t="str">
        <f aca="false">IFERROR(SMALL(K5:K364,ROW()-ROW($L$5)+1),"")</f>
        <v/>
      </c>
      <c r="N343" s="0" t="n">
        <f aca="false">IFERROR(SUM(L5:L343),"")</f>
        <v>0</v>
      </c>
      <c r="Q343" s="0" t="e">
        <f aca="false">IF(Charts!$B$3="none",E2150,IF(K2150="",NA(),K2150))</f>
        <v>#N/A</v>
      </c>
      <c r="R343" s="0" t="e">
        <f aca="false">IF(Charts!$B$3="none",F2150,IF(L2150="",NA(),L2150))</f>
        <v>#N/A</v>
      </c>
      <c r="S343" s="0" t="e">
        <f aca="false">IF(Charts!$B$3="none",G2150,IF(M2150="",NA(),M2150))</f>
        <v>#N/A</v>
      </c>
      <c r="T343" s="0" t="e">
        <f aca="false">IF(Charts!$B$3="none",H2150,IF(N2150="",NA(),N2150))</f>
        <v>#N/A</v>
      </c>
    </row>
    <row r="344" customFormat="false" ht="15" hidden="false" customHeight="false" outlineLevel="0" collapsed="false">
      <c r="D344" s="0" t="n">
        <v>340</v>
      </c>
      <c r="E344" s="0" t="str">
        <f aca="true">IF(INDIRECT(ADDRESS($D344+2,E$2+1,,,"Instances"))="","",INDIRECT(ADDRESS($D344+2,E$2+1,,,"Instances")))</f>
        <v>Level_9/4-0110110</v>
      </c>
      <c r="F344" s="0" t="str">
        <f aca="false">IFERROR(SMALL(E5:E364,ROW()-ROW($F$5)+1),"")</f>
        <v/>
      </c>
      <c r="H344" s="0" t="n">
        <f aca="false">IFERROR(SUM(F5:F344),"")</f>
        <v>0</v>
      </c>
      <c r="J344" s="0" t="n">
        <v>340</v>
      </c>
      <c r="K344" s="0" t="e">
        <f aca="true" t="array" ref="K344:K344">_xlfn.SWITCH(Charts!$B$3,"average", AVERAGE(INDIRECT(ADDRESS(339+3,K$2+1,,,"Instances") &amp; ":" &amp; ADDRESS(339+3,K$2+1))),"median", MEDIAN(INDIRECT(ADDRESS(339+3,K$2+1,,,"Instances") &amp; ":" &amp; ADDRESS(339+3,K$2+1))),"min", MIN(INDIRECT(ADDRESS(339+3,K$2+1,,,"Instances") &amp; ":" &amp; ADDRESS(339+3,K$2+1))),"max", MAX(INDIRECT(ADDRESS(339+3,K$2+1,,,"Instances") &amp; ":" &amp; ADDRESS(339+3,K$2+1))),"diff", MAX(INDIRECT(ADDRESS(339+3,K$2+1,,,"Instances") &amp; ":" &amp; ADDRESS(339+3,K$2+1)))-MIN(INDIRECT(ADDRESS(339+3,K$2+1,,,"Instances") &amp; ":" &amp; ADDRESS(339+3,K$2+1))))</f>
        <v>#N/A</v>
      </c>
      <c r="L344" s="0" t="str">
        <f aca="false">IFERROR(SMALL(K5:K364,ROW()-ROW($L$5)+1),"")</f>
        <v/>
      </c>
      <c r="N344" s="0" t="n">
        <f aca="false">IFERROR(SUM(L5:L344),"")</f>
        <v>0</v>
      </c>
      <c r="Q344" s="0" t="e">
        <f aca="false">IF(Charts!$B$3="none",E2151,IF(K2151="",NA(),K2151))</f>
        <v>#N/A</v>
      </c>
      <c r="R344" s="0" t="e">
        <f aca="false">IF(Charts!$B$3="none",F2151,IF(L2151="",NA(),L2151))</f>
        <v>#N/A</v>
      </c>
      <c r="S344" s="0" t="e">
        <f aca="false">IF(Charts!$B$3="none",G2151,IF(M2151="",NA(),M2151))</f>
        <v>#N/A</v>
      </c>
      <c r="T344" s="0" t="e">
        <f aca="false">IF(Charts!$B$3="none",H2151,IF(N2151="",NA(),N2151))</f>
        <v>#N/A</v>
      </c>
    </row>
    <row r="345" customFormat="false" ht="15" hidden="false" customHeight="false" outlineLevel="0" collapsed="false">
      <c r="D345" s="0" t="n">
        <v>341</v>
      </c>
      <c r="E345" s="0" t="str">
        <f aca="true">IF(INDIRECT(ADDRESS($D345+2,E$2+1,,,"Instances"))="","",INDIRECT(ADDRESS($D345+2,E$2+1,,,"Instances")))</f>
        <v>Level_9/4-0111001</v>
      </c>
      <c r="F345" s="0" t="str">
        <f aca="false">IFERROR(SMALL(E5:E364,ROW()-ROW($F$5)+1),"")</f>
        <v/>
      </c>
      <c r="H345" s="0" t="n">
        <f aca="false">IFERROR(SUM(F5:F345),"")</f>
        <v>0</v>
      </c>
      <c r="J345" s="0" t="n">
        <v>341</v>
      </c>
      <c r="K345" s="0" t="e">
        <f aca="true" t="array" ref="K345:K345">_xlfn.SWITCH(Charts!$B$3,"average", AVERAGE(INDIRECT(ADDRESS(340+3,K$2+1,,,"Instances") &amp; ":" &amp; ADDRESS(340+3,K$2+1))),"median", MEDIAN(INDIRECT(ADDRESS(340+3,K$2+1,,,"Instances") &amp; ":" &amp; ADDRESS(340+3,K$2+1))),"min", MIN(INDIRECT(ADDRESS(340+3,K$2+1,,,"Instances") &amp; ":" &amp; ADDRESS(340+3,K$2+1))),"max", MAX(INDIRECT(ADDRESS(340+3,K$2+1,,,"Instances") &amp; ":" &amp; ADDRESS(340+3,K$2+1))),"diff", MAX(INDIRECT(ADDRESS(340+3,K$2+1,,,"Instances") &amp; ":" &amp; ADDRESS(340+3,K$2+1)))-MIN(INDIRECT(ADDRESS(340+3,K$2+1,,,"Instances") &amp; ":" &amp; ADDRESS(340+3,K$2+1))))</f>
        <v>#N/A</v>
      </c>
      <c r="L345" s="0" t="str">
        <f aca="false">IFERROR(SMALL(K5:K364,ROW()-ROW($L$5)+1),"")</f>
        <v/>
      </c>
      <c r="N345" s="0" t="n">
        <f aca="false">IFERROR(SUM(L5:L345),"")</f>
        <v>0</v>
      </c>
      <c r="Q345" s="0" t="e">
        <f aca="false">IF(Charts!$B$3="none",E2152,IF(K2152="",NA(),K2152))</f>
        <v>#N/A</v>
      </c>
      <c r="R345" s="0" t="e">
        <f aca="false">IF(Charts!$B$3="none",F2152,IF(L2152="",NA(),L2152))</f>
        <v>#N/A</v>
      </c>
      <c r="S345" s="0" t="e">
        <f aca="false">IF(Charts!$B$3="none",G2152,IF(M2152="",NA(),M2152))</f>
        <v>#N/A</v>
      </c>
      <c r="T345" s="0" t="e">
        <f aca="false">IF(Charts!$B$3="none",H2152,IF(N2152="",NA(),N2152))</f>
        <v>#N/A</v>
      </c>
    </row>
    <row r="346" customFormat="false" ht="15" hidden="false" customHeight="false" outlineLevel="0" collapsed="false">
      <c r="D346" s="0" t="n">
        <v>342</v>
      </c>
      <c r="E346" s="0" t="str">
        <f aca="true">IF(INDIRECT(ADDRESS($D346+2,E$2+1,,,"Instances"))="","",INDIRECT(ADDRESS($D346+2,E$2+1,,,"Instances")))</f>
        <v>Level_9/4-1010101</v>
      </c>
      <c r="F346" s="0" t="str">
        <f aca="false">IFERROR(SMALL(E5:E364,ROW()-ROW($F$5)+1),"")</f>
        <v/>
      </c>
      <c r="H346" s="0" t="n">
        <f aca="false">IFERROR(SUM(F5:F346),"")</f>
        <v>0</v>
      </c>
      <c r="J346" s="0" t="n">
        <v>342</v>
      </c>
      <c r="K346" s="0" t="e">
        <f aca="true" t="array" ref="K346:K346">_xlfn.SWITCH(Charts!$B$3,"average", AVERAGE(INDIRECT(ADDRESS(341+3,K$2+1,,,"Instances") &amp; ":" &amp; ADDRESS(341+3,K$2+1))),"median", MEDIAN(INDIRECT(ADDRESS(341+3,K$2+1,,,"Instances") &amp; ":" &amp; ADDRESS(341+3,K$2+1))),"min", MIN(INDIRECT(ADDRESS(341+3,K$2+1,,,"Instances") &amp; ":" &amp; ADDRESS(341+3,K$2+1))),"max", MAX(INDIRECT(ADDRESS(341+3,K$2+1,,,"Instances") &amp; ":" &amp; ADDRESS(341+3,K$2+1))),"diff", MAX(INDIRECT(ADDRESS(341+3,K$2+1,,,"Instances") &amp; ":" &amp; ADDRESS(341+3,K$2+1)))-MIN(INDIRECT(ADDRESS(341+3,K$2+1,,,"Instances") &amp; ":" &amp; ADDRESS(341+3,K$2+1))))</f>
        <v>#N/A</v>
      </c>
      <c r="L346" s="0" t="str">
        <f aca="false">IFERROR(SMALL(K5:K364,ROW()-ROW($L$5)+1),"")</f>
        <v/>
      </c>
      <c r="N346" s="0" t="n">
        <f aca="false">IFERROR(SUM(L5:L346),"")</f>
        <v>0</v>
      </c>
      <c r="Q346" s="0" t="e">
        <f aca="false">IF(Charts!$B$3="none",E2153,IF(K2153="",NA(),K2153))</f>
        <v>#N/A</v>
      </c>
      <c r="R346" s="0" t="e">
        <f aca="false">IF(Charts!$B$3="none",F2153,IF(L2153="",NA(),L2153))</f>
        <v>#N/A</v>
      </c>
      <c r="S346" s="0" t="e">
        <f aca="false">IF(Charts!$B$3="none",G2153,IF(M2153="",NA(),M2153))</f>
        <v>#N/A</v>
      </c>
      <c r="T346" s="0" t="e">
        <f aca="false">IF(Charts!$B$3="none",H2153,IF(N2153="",NA(),N2153))</f>
        <v>#N/A</v>
      </c>
    </row>
    <row r="347" customFormat="false" ht="15" hidden="false" customHeight="false" outlineLevel="0" collapsed="false">
      <c r="D347" s="0" t="n">
        <v>343</v>
      </c>
      <c r="E347" s="0" t="str">
        <f aca="true">IF(INDIRECT(ADDRESS($D347+2,E$2+1,,,"Instances"))="","",INDIRECT(ADDRESS($D347+2,E$2+1,,,"Instances")))</f>
        <v>Level_9/4-1100011</v>
      </c>
      <c r="F347" s="0" t="str">
        <f aca="false">IFERROR(SMALL(E5:E364,ROW()-ROW($F$5)+1),"")</f>
        <v/>
      </c>
      <c r="H347" s="0" t="n">
        <f aca="false">IFERROR(SUM(F5:F347),"")</f>
        <v>0</v>
      </c>
      <c r="J347" s="0" t="n">
        <v>343</v>
      </c>
      <c r="K347" s="0" t="e">
        <f aca="true" t="array" ref="K347:K347">_xlfn.SWITCH(Charts!$B$3,"average", AVERAGE(INDIRECT(ADDRESS(342+3,K$2+1,,,"Instances") &amp; ":" &amp; ADDRESS(342+3,K$2+1))),"median", MEDIAN(INDIRECT(ADDRESS(342+3,K$2+1,,,"Instances") &amp; ":" &amp; ADDRESS(342+3,K$2+1))),"min", MIN(INDIRECT(ADDRESS(342+3,K$2+1,,,"Instances") &amp; ":" &amp; ADDRESS(342+3,K$2+1))),"max", MAX(INDIRECT(ADDRESS(342+3,K$2+1,,,"Instances") &amp; ":" &amp; ADDRESS(342+3,K$2+1))),"diff", MAX(INDIRECT(ADDRESS(342+3,K$2+1,,,"Instances") &amp; ":" &amp; ADDRESS(342+3,K$2+1)))-MIN(INDIRECT(ADDRESS(342+3,K$2+1,,,"Instances") &amp; ":" &amp; ADDRESS(342+3,K$2+1))))</f>
        <v>#N/A</v>
      </c>
      <c r="L347" s="0" t="str">
        <f aca="false">IFERROR(SMALL(K5:K364,ROW()-ROW($L$5)+1),"")</f>
        <v/>
      </c>
      <c r="N347" s="0" t="n">
        <f aca="false">IFERROR(SUM(L5:L347),"")</f>
        <v>0</v>
      </c>
      <c r="Q347" s="0" t="e">
        <f aca="false">IF(Charts!$B$3="none",E2154,IF(K2154="",NA(),K2154))</f>
        <v>#N/A</v>
      </c>
      <c r="R347" s="0" t="e">
        <f aca="false">IF(Charts!$B$3="none",F2154,IF(L2154="",NA(),L2154))</f>
        <v>#N/A</v>
      </c>
      <c r="S347" s="0" t="e">
        <f aca="false">IF(Charts!$B$3="none",G2154,IF(M2154="",NA(),M2154))</f>
        <v>#N/A</v>
      </c>
      <c r="T347" s="0" t="e">
        <f aca="false">IF(Charts!$B$3="none",H2154,IF(N2154="",NA(),N2154))</f>
        <v>#N/A</v>
      </c>
    </row>
    <row r="348" customFormat="false" ht="15" hidden="false" customHeight="false" outlineLevel="0" collapsed="false">
      <c r="D348" s="0" t="n">
        <v>344</v>
      </c>
      <c r="E348" s="0" t="str">
        <f aca="true">IF(INDIRECT(ADDRESS($D348+2,E$2+1,,,"Instances"))="","",INDIRECT(ADDRESS($D348+2,E$2+1,,,"Instances")))</f>
        <v>Level_9/4-1100110</v>
      </c>
      <c r="F348" s="0" t="str">
        <f aca="false">IFERROR(SMALL(E5:E364,ROW()-ROW($F$5)+1),"")</f>
        <v/>
      </c>
      <c r="H348" s="0" t="n">
        <f aca="false">IFERROR(SUM(F5:F348),"")</f>
        <v>0</v>
      </c>
      <c r="J348" s="0" t="n">
        <v>344</v>
      </c>
      <c r="K348" s="0" t="e">
        <f aca="true" t="array" ref="K348:K348">_xlfn.SWITCH(Charts!$B$3,"average", AVERAGE(INDIRECT(ADDRESS(343+3,K$2+1,,,"Instances") &amp; ":" &amp; ADDRESS(343+3,K$2+1))),"median", MEDIAN(INDIRECT(ADDRESS(343+3,K$2+1,,,"Instances") &amp; ":" &amp; ADDRESS(343+3,K$2+1))),"min", MIN(INDIRECT(ADDRESS(343+3,K$2+1,,,"Instances") &amp; ":" &amp; ADDRESS(343+3,K$2+1))),"max", MAX(INDIRECT(ADDRESS(343+3,K$2+1,,,"Instances") &amp; ":" &amp; ADDRESS(343+3,K$2+1))),"diff", MAX(INDIRECT(ADDRESS(343+3,K$2+1,,,"Instances") &amp; ":" &amp; ADDRESS(343+3,K$2+1)))-MIN(INDIRECT(ADDRESS(343+3,K$2+1,,,"Instances") &amp; ":" &amp; ADDRESS(343+3,K$2+1))))</f>
        <v>#N/A</v>
      </c>
      <c r="L348" s="0" t="str">
        <f aca="false">IFERROR(SMALL(K5:K364,ROW()-ROW($L$5)+1),"")</f>
        <v/>
      </c>
      <c r="N348" s="0" t="n">
        <f aca="false">IFERROR(SUM(L5:L348),"")</f>
        <v>0</v>
      </c>
      <c r="Q348" s="0" t="e">
        <f aca="false">IF(Charts!$B$3="none",E2155,IF(K2155="",NA(),K2155))</f>
        <v>#N/A</v>
      </c>
      <c r="R348" s="0" t="e">
        <f aca="false">IF(Charts!$B$3="none",F2155,IF(L2155="",NA(),L2155))</f>
        <v>#N/A</v>
      </c>
      <c r="S348" s="0" t="e">
        <f aca="false">IF(Charts!$B$3="none",G2155,IF(M2155="",NA(),M2155))</f>
        <v>#N/A</v>
      </c>
      <c r="T348" s="0" t="e">
        <f aca="false">IF(Charts!$B$3="none",H2155,IF(N2155="",NA(),N2155))</f>
        <v>#N/A</v>
      </c>
    </row>
    <row r="349" customFormat="false" ht="15" hidden="false" customHeight="false" outlineLevel="0" collapsed="false">
      <c r="D349" s="0" t="n">
        <v>345</v>
      </c>
      <c r="E349" s="0" t="str">
        <f aca="true">IF(INDIRECT(ADDRESS($D349+2,E$2+1,,,"Instances"))="","",INDIRECT(ADDRESS($D349+2,E$2+1,,,"Instances")))</f>
        <v>Level_9/4-1101100</v>
      </c>
      <c r="F349" s="0" t="str">
        <f aca="false">IFERROR(SMALL(E5:E364,ROW()-ROW($F$5)+1),"")</f>
        <v/>
      </c>
      <c r="H349" s="0" t="n">
        <f aca="false">IFERROR(SUM(F5:F349),"")</f>
        <v>0</v>
      </c>
      <c r="J349" s="0" t="n">
        <v>345</v>
      </c>
      <c r="K349" s="0" t="e">
        <f aca="true" t="array" ref="K349:K349">_xlfn.SWITCH(Charts!$B$3,"average", AVERAGE(INDIRECT(ADDRESS(344+3,K$2+1,,,"Instances") &amp; ":" &amp; ADDRESS(344+3,K$2+1))),"median", MEDIAN(INDIRECT(ADDRESS(344+3,K$2+1,,,"Instances") &amp; ":" &amp; ADDRESS(344+3,K$2+1))),"min", MIN(INDIRECT(ADDRESS(344+3,K$2+1,,,"Instances") &amp; ":" &amp; ADDRESS(344+3,K$2+1))),"max", MAX(INDIRECT(ADDRESS(344+3,K$2+1,,,"Instances") &amp; ":" &amp; ADDRESS(344+3,K$2+1))),"diff", MAX(INDIRECT(ADDRESS(344+3,K$2+1,,,"Instances") &amp; ":" &amp; ADDRESS(344+3,K$2+1)))-MIN(INDIRECT(ADDRESS(344+3,K$2+1,,,"Instances") &amp; ":" &amp; ADDRESS(344+3,K$2+1))))</f>
        <v>#N/A</v>
      </c>
      <c r="L349" s="0" t="str">
        <f aca="false">IFERROR(SMALL(K5:K364,ROW()-ROW($L$5)+1),"")</f>
        <v/>
      </c>
      <c r="N349" s="0" t="n">
        <f aca="false">IFERROR(SUM(L5:L349),"")</f>
        <v>0</v>
      </c>
      <c r="Q349" s="0" t="e">
        <f aca="false">IF(Charts!$B$3="none",E2156,IF(K2156="",NA(),K2156))</f>
        <v>#N/A</v>
      </c>
      <c r="R349" s="0" t="e">
        <f aca="false">IF(Charts!$B$3="none",F2156,IF(L2156="",NA(),L2156))</f>
        <v>#N/A</v>
      </c>
      <c r="S349" s="0" t="e">
        <f aca="false">IF(Charts!$B$3="none",G2156,IF(M2156="",NA(),M2156))</f>
        <v>#N/A</v>
      </c>
      <c r="T349" s="0" t="e">
        <f aca="false">IF(Charts!$B$3="none",H2156,IF(N2156="",NA(),N2156))</f>
        <v>#N/A</v>
      </c>
    </row>
    <row r="350" customFormat="false" ht="15" hidden="false" customHeight="false" outlineLevel="0" collapsed="false">
      <c r="D350" s="0" t="n">
        <v>346</v>
      </c>
      <c r="E350" s="0" t="str">
        <f aca="true">IF(INDIRECT(ADDRESS($D350+2,E$2+1,,,"Instances"))="","",INDIRECT(ADDRESS($D350+2,E$2+1,,,"Instances")))</f>
        <v>Level_9/5-0110111</v>
      </c>
      <c r="F350" s="0" t="str">
        <f aca="false">IFERROR(SMALL(E5:E364,ROW()-ROW($F$5)+1),"")</f>
        <v/>
      </c>
      <c r="H350" s="0" t="n">
        <f aca="false">IFERROR(SUM(F5:F350),"")</f>
        <v>0</v>
      </c>
      <c r="J350" s="0" t="n">
        <v>346</v>
      </c>
      <c r="K350" s="0" t="e">
        <f aca="true" t="array" ref="K350:K350">_xlfn.SWITCH(Charts!$B$3,"average", AVERAGE(INDIRECT(ADDRESS(345+3,K$2+1,,,"Instances") &amp; ":" &amp; ADDRESS(345+3,K$2+1))),"median", MEDIAN(INDIRECT(ADDRESS(345+3,K$2+1,,,"Instances") &amp; ":" &amp; ADDRESS(345+3,K$2+1))),"min", MIN(INDIRECT(ADDRESS(345+3,K$2+1,,,"Instances") &amp; ":" &amp; ADDRESS(345+3,K$2+1))),"max", MAX(INDIRECT(ADDRESS(345+3,K$2+1,,,"Instances") &amp; ":" &amp; ADDRESS(345+3,K$2+1))),"diff", MAX(INDIRECT(ADDRESS(345+3,K$2+1,,,"Instances") &amp; ":" &amp; ADDRESS(345+3,K$2+1)))-MIN(INDIRECT(ADDRESS(345+3,K$2+1,,,"Instances") &amp; ":" &amp; ADDRESS(345+3,K$2+1))))</f>
        <v>#N/A</v>
      </c>
      <c r="L350" s="0" t="str">
        <f aca="false">IFERROR(SMALL(K5:K364,ROW()-ROW($L$5)+1),"")</f>
        <v/>
      </c>
      <c r="N350" s="0" t="n">
        <f aca="false">IFERROR(SUM(L5:L350),"")</f>
        <v>0</v>
      </c>
      <c r="Q350" s="0" t="e">
        <f aca="false">IF(Charts!$B$3="none",E2157,IF(K2157="",NA(),K2157))</f>
        <v>#N/A</v>
      </c>
      <c r="R350" s="0" t="e">
        <f aca="false">IF(Charts!$B$3="none",F2157,IF(L2157="",NA(),L2157))</f>
        <v>#N/A</v>
      </c>
      <c r="S350" s="0" t="e">
        <f aca="false">IF(Charts!$B$3="none",G2157,IF(M2157="",NA(),M2157))</f>
        <v>#N/A</v>
      </c>
      <c r="T350" s="0" t="e">
        <f aca="false">IF(Charts!$B$3="none",H2157,IF(N2157="",NA(),N2157))</f>
        <v>#N/A</v>
      </c>
    </row>
    <row r="351" customFormat="false" ht="15" hidden="false" customHeight="false" outlineLevel="0" collapsed="false">
      <c r="D351" s="0" t="n">
        <v>347</v>
      </c>
      <c r="E351" s="0" t="str">
        <f aca="true">IF(INDIRECT(ADDRESS($D351+2,E$2+1,,,"Instances"))="","",INDIRECT(ADDRESS($D351+2,E$2+1,,,"Instances")))</f>
        <v>Level_9/5-0111110</v>
      </c>
      <c r="F351" s="0" t="str">
        <f aca="false">IFERROR(SMALL(E5:E364,ROW()-ROW($F$5)+1),"")</f>
        <v/>
      </c>
      <c r="H351" s="0" t="n">
        <f aca="false">IFERROR(SUM(F5:F351),"")</f>
        <v>0</v>
      </c>
      <c r="J351" s="0" t="n">
        <v>347</v>
      </c>
      <c r="K351" s="0" t="e">
        <f aca="true" t="array" ref="K351:K351">_xlfn.SWITCH(Charts!$B$3,"average", AVERAGE(INDIRECT(ADDRESS(346+3,K$2+1,,,"Instances") &amp; ":" &amp; ADDRESS(346+3,K$2+1))),"median", MEDIAN(INDIRECT(ADDRESS(346+3,K$2+1,,,"Instances") &amp; ":" &amp; ADDRESS(346+3,K$2+1))),"min", MIN(INDIRECT(ADDRESS(346+3,K$2+1,,,"Instances") &amp; ":" &amp; ADDRESS(346+3,K$2+1))),"max", MAX(INDIRECT(ADDRESS(346+3,K$2+1,,,"Instances") &amp; ":" &amp; ADDRESS(346+3,K$2+1))),"diff", MAX(INDIRECT(ADDRESS(346+3,K$2+1,,,"Instances") &amp; ":" &amp; ADDRESS(346+3,K$2+1)))-MIN(INDIRECT(ADDRESS(346+3,K$2+1,,,"Instances") &amp; ":" &amp; ADDRESS(346+3,K$2+1))))</f>
        <v>#N/A</v>
      </c>
      <c r="L351" s="0" t="str">
        <f aca="false">IFERROR(SMALL(K5:K364,ROW()-ROW($L$5)+1),"")</f>
        <v/>
      </c>
      <c r="N351" s="0" t="n">
        <f aca="false">IFERROR(SUM(L5:L351),"")</f>
        <v>0</v>
      </c>
      <c r="Q351" s="0" t="e">
        <f aca="false">IF(Charts!$B$3="none",E2158,IF(K2158="",NA(),K2158))</f>
        <v>#N/A</v>
      </c>
      <c r="R351" s="0" t="e">
        <f aca="false">IF(Charts!$B$3="none",F2158,IF(L2158="",NA(),L2158))</f>
        <v>#N/A</v>
      </c>
      <c r="S351" s="0" t="e">
        <f aca="false">IF(Charts!$B$3="none",G2158,IF(M2158="",NA(),M2158))</f>
        <v>#N/A</v>
      </c>
      <c r="T351" s="0" t="e">
        <f aca="false">IF(Charts!$B$3="none",H2158,IF(N2158="",NA(),N2158))</f>
        <v>#N/A</v>
      </c>
    </row>
    <row r="352" customFormat="false" ht="15" hidden="false" customHeight="false" outlineLevel="0" collapsed="false">
      <c r="D352" s="0" t="n">
        <v>348</v>
      </c>
      <c r="E352" s="0" t="str">
        <f aca="true">IF(INDIRECT(ADDRESS($D352+2,E$2+1,,,"Instances"))="","",INDIRECT(ADDRESS($D352+2,E$2+1,,,"Instances")))</f>
        <v>Level_9/5-1101011</v>
      </c>
      <c r="F352" s="0" t="str">
        <f aca="false">IFERROR(SMALL(E5:E364,ROW()-ROW($F$5)+1),"")</f>
        <v/>
      </c>
      <c r="H352" s="0" t="n">
        <f aca="false">IFERROR(SUM(F5:F352),"")</f>
        <v>0</v>
      </c>
      <c r="J352" s="0" t="n">
        <v>348</v>
      </c>
      <c r="K352" s="0" t="e">
        <f aca="true" t="array" ref="K352:K352">_xlfn.SWITCH(Charts!$B$3,"average", AVERAGE(INDIRECT(ADDRESS(347+3,K$2+1,,,"Instances") &amp; ":" &amp; ADDRESS(347+3,K$2+1))),"median", MEDIAN(INDIRECT(ADDRESS(347+3,K$2+1,,,"Instances") &amp; ":" &amp; ADDRESS(347+3,K$2+1))),"min", MIN(INDIRECT(ADDRESS(347+3,K$2+1,,,"Instances") &amp; ":" &amp; ADDRESS(347+3,K$2+1))),"max", MAX(INDIRECT(ADDRESS(347+3,K$2+1,,,"Instances") &amp; ":" &amp; ADDRESS(347+3,K$2+1))),"diff", MAX(INDIRECT(ADDRESS(347+3,K$2+1,,,"Instances") &amp; ":" &amp; ADDRESS(347+3,K$2+1)))-MIN(INDIRECT(ADDRESS(347+3,K$2+1,,,"Instances") &amp; ":" &amp; ADDRESS(347+3,K$2+1))))</f>
        <v>#N/A</v>
      </c>
      <c r="L352" s="0" t="str">
        <f aca="false">IFERROR(SMALL(K5:K364,ROW()-ROW($L$5)+1),"")</f>
        <v/>
      </c>
      <c r="N352" s="0" t="n">
        <f aca="false">IFERROR(SUM(L5:L352),"")</f>
        <v>0</v>
      </c>
      <c r="Q352" s="0" t="e">
        <f aca="false">IF(Charts!$B$3="none",E2159,IF(K2159="",NA(),K2159))</f>
        <v>#N/A</v>
      </c>
      <c r="R352" s="0" t="e">
        <f aca="false">IF(Charts!$B$3="none",F2159,IF(L2159="",NA(),L2159))</f>
        <v>#N/A</v>
      </c>
      <c r="S352" s="0" t="e">
        <f aca="false">IF(Charts!$B$3="none",G2159,IF(M2159="",NA(),M2159))</f>
        <v>#N/A</v>
      </c>
      <c r="T352" s="0" t="e">
        <f aca="false">IF(Charts!$B$3="none",H2159,IF(N2159="",NA(),N2159))</f>
        <v>#N/A</v>
      </c>
    </row>
    <row r="353" customFormat="false" ht="15" hidden="false" customHeight="false" outlineLevel="0" collapsed="false">
      <c r="D353" s="0" t="n">
        <v>349</v>
      </c>
      <c r="E353" s="0" t="str">
        <f aca="true">IF(INDIRECT(ADDRESS($D353+2,E$2+1,,,"Instances"))="","",INDIRECT(ADDRESS($D353+2,E$2+1,,,"Instances")))</f>
        <v>Level_9/5-1101110</v>
      </c>
      <c r="F353" s="0" t="str">
        <f aca="false">IFERROR(SMALL(E5:E364,ROW()-ROW($F$5)+1),"")</f>
        <v/>
      </c>
      <c r="H353" s="0" t="n">
        <f aca="false">IFERROR(SUM(F5:F353),"")</f>
        <v>0</v>
      </c>
      <c r="J353" s="0" t="n">
        <v>349</v>
      </c>
      <c r="K353" s="0" t="e">
        <f aca="true" t="array" ref="K353:K353">_xlfn.SWITCH(Charts!$B$3,"average", AVERAGE(INDIRECT(ADDRESS(348+3,K$2+1,,,"Instances") &amp; ":" &amp; ADDRESS(348+3,K$2+1))),"median", MEDIAN(INDIRECT(ADDRESS(348+3,K$2+1,,,"Instances") &amp; ":" &amp; ADDRESS(348+3,K$2+1))),"min", MIN(INDIRECT(ADDRESS(348+3,K$2+1,,,"Instances") &amp; ":" &amp; ADDRESS(348+3,K$2+1))),"max", MAX(INDIRECT(ADDRESS(348+3,K$2+1,,,"Instances") &amp; ":" &amp; ADDRESS(348+3,K$2+1))),"diff", MAX(INDIRECT(ADDRESS(348+3,K$2+1,,,"Instances") &amp; ":" &amp; ADDRESS(348+3,K$2+1)))-MIN(INDIRECT(ADDRESS(348+3,K$2+1,,,"Instances") &amp; ":" &amp; ADDRESS(348+3,K$2+1))))</f>
        <v>#N/A</v>
      </c>
      <c r="L353" s="0" t="str">
        <f aca="false">IFERROR(SMALL(K5:K364,ROW()-ROW($L$5)+1),"")</f>
        <v/>
      </c>
      <c r="N353" s="0" t="n">
        <f aca="false">IFERROR(SUM(L5:L353),"")</f>
        <v>0</v>
      </c>
      <c r="Q353" s="0" t="e">
        <f aca="false">IF(Charts!$B$3="none",E2160,IF(K2160="",NA(),K2160))</f>
        <v>#N/A</v>
      </c>
      <c r="R353" s="0" t="e">
        <f aca="false">IF(Charts!$B$3="none",F2160,IF(L2160="",NA(),L2160))</f>
        <v>#N/A</v>
      </c>
      <c r="S353" s="0" t="e">
        <f aca="false">IF(Charts!$B$3="none",G2160,IF(M2160="",NA(),M2160))</f>
        <v>#N/A</v>
      </c>
      <c r="T353" s="0" t="e">
        <f aca="false">IF(Charts!$B$3="none",H2160,IF(N2160="",NA(),N2160))</f>
        <v>#N/A</v>
      </c>
    </row>
    <row r="354" customFormat="false" ht="15" hidden="false" customHeight="false" outlineLevel="0" collapsed="false">
      <c r="D354" s="0" t="n">
        <v>350</v>
      </c>
      <c r="E354" s="0" t="str">
        <f aca="true">IF(INDIRECT(ADDRESS($D354+2,E$2+1,,,"Instances"))="","",INDIRECT(ADDRESS($D354+2,E$2+1,,,"Instances")))</f>
        <v>Level_9/5-1110101</v>
      </c>
      <c r="F354" s="0" t="str">
        <f aca="false">IFERROR(SMALL(E5:E364,ROW()-ROW($F$5)+1),"")</f>
        <v/>
      </c>
      <c r="H354" s="0" t="n">
        <f aca="false">IFERROR(SUM(F5:F354),"")</f>
        <v>0</v>
      </c>
      <c r="J354" s="0" t="n">
        <v>350</v>
      </c>
      <c r="K354" s="0" t="e">
        <f aca="true" t="array" ref="K354:K354">_xlfn.SWITCH(Charts!$B$3,"average", AVERAGE(INDIRECT(ADDRESS(349+3,K$2+1,,,"Instances") &amp; ":" &amp; ADDRESS(349+3,K$2+1))),"median", MEDIAN(INDIRECT(ADDRESS(349+3,K$2+1,,,"Instances") &amp; ":" &amp; ADDRESS(349+3,K$2+1))),"min", MIN(INDIRECT(ADDRESS(349+3,K$2+1,,,"Instances") &amp; ":" &amp; ADDRESS(349+3,K$2+1))),"max", MAX(INDIRECT(ADDRESS(349+3,K$2+1,,,"Instances") &amp; ":" &amp; ADDRESS(349+3,K$2+1))),"diff", MAX(INDIRECT(ADDRESS(349+3,K$2+1,,,"Instances") &amp; ":" &amp; ADDRESS(349+3,K$2+1)))-MIN(INDIRECT(ADDRESS(349+3,K$2+1,,,"Instances") &amp; ":" &amp; ADDRESS(349+3,K$2+1))))</f>
        <v>#N/A</v>
      </c>
      <c r="L354" s="0" t="str">
        <f aca="false">IFERROR(SMALL(K5:K364,ROW()-ROW($L$5)+1),"")</f>
        <v/>
      </c>
      <c r="N354" s="0" t="n">
        <f aca="false">IFERROR(SUM(L5:L354),"")</f>
        <v>0</v>
      </c>
      <c r="Q354" s="0" t="e">
        <f aca="false">IF(Charts!$B$3="none",E2161,IF(K2161="",NA(),K2161))</f>
        <v>#N/A</v>
      </c>
      <c r="R354" s="0" t="e">
        <f aca="false">IF(Charts!$B$3="none",F2161,IF(L2161="",NA(),L2161))</f>
        <v>#N/A</v>
      </c>
      <c r="S354" s="0" t="e">
        <f aca="false">IF(Charts!$B$3="none",G2161,IF(M2161="",NA(),M2161))</f>
        <v>#N/A</v>
      </c>
      <c r="T354" s="0" t="e">
        <f aca="false">IF(Charts!$B$3="none",H2161,IF(N2161="",NA(),N2161))</f>
        <v>#N/A</v>
      </c>
    </row>
    <row r="355" customFormat="false" ht="15" hidden="false" customHeight="false" outlineLevel="0" collapsed="false">
      <c r="D355" s="0" t="n">
        <v>351</v>
      </c>
      <c r="E355" s="0" t="str">
        <f aca="true">IF(INDIRECT(ADDRESS($D355+2,E$2+1,,,"Instances"))="","",INDIRECT(ADDRESS($D355+2,E$2+1,,,"Instances")))</f>
        <v>Level_9/5-1111010</v>
      </c>
      <c r="F355" s="0" t="str">
        <f aca="false">IFERROR(SMALL(E5:E364,ROW()-ROW($F$5)+1),"")</f>
        <v/>
      </c>
      <c r="H355" s="0" t="n">
        <f aca="false">IFERROR(SUM(F5:F355),"")</f>
        <v>0</v>
      </c>
      <c r="J355" s="0" t="n">
        <v>351</v>
      </c>
      <c r="K355" s="0" t="e">
        <f aca="true" t="array" ref="K355:K355">_xlfn.SWITCH(Charts!$B$3,"average", AVERAGE(INDIRECT(ADDRESS(350+3,K$2+1,,,"Instances") &amp; ":" &amp; ADDRESS(350+3,K$2+1))),"median", MEDIAN(INDIRECT(ADDRESS(350+3,K$2+1,,,"Instances") &amp; ":" &amp; ADDRESS(350+3,K$2+1))),"min", MIN(INDIRECT(ADDRESS(350+3,K$2+1,,,"Instances") &amp; ":" &amp; ADDRESS(350+3,K$2+1))),"max", MAX(INDIRECT(ADDRESS(350+3,K$2+1,,,"Instances") &amp; ":" &amp; ADDRESS(350+3,K$2+1))),"diff", MAX(INDIRECT(ADDRESS(350+3,K$2+1,,,"Instances") &amp; ":" &amp; ADDRESS(350+3,K$2+1)))-MIN(INDIRECT(ADDRESS(350+3,K$2+1,,,"Instances") &amp; ":" &amp; ADDRESS(350+3,K$2+1))))</f>
        <v>#N/A</v>
      </c>
      <c r="L355" s="0" t="str">
        <f aca="false">IFERROR(SMALL(K5:K364,ROW()-ROW($L$5)+1),"")</f>
        <v/>
      </c>
      <c r="N355" s="0" t="n">
        <f aca="false">IFERROR(SUM(L5:L355),"")</f>
        <v>0</v>
      </c>
      <c r="Q355" s="0" t="e">
        <f aca="false">IF(Charts!$B$3="none",E2162,IF(K2162="",NA(),K2162))</f>
        <v>#N/A</v>
      </c>
      <c r="R355" s="0" t="e">
        <f aca="false">IF(Charts!$B$3="none",F2162,IF(L2162="",NA(),L2162))</f>
        <v>#N/A</v>
      </c>
      <c r="S355" s="0" t="e">
        <f aca="false">IF(Charts!$B$3="none",G2162,IF(M2162="",NA(),M2162))</f>
        <v>#N/A</v>
      </c>
      <c r="T355" s="0" t="e">
        <f aca="false">IF(Charts!$B$3="none",H2162,IF(N2162="",NA(),N2162))</f>
        <v>#N/A</v>
      </c>
    </row>
    <row r="356" customFormat="false" ht="15" hidden="false" customHeight="false" outlineLevel="0" collapsed="false">
      <c r="D356" s="0" t="n">
        <v>352</v>
      </c>
      <c r="E356" s="0" t="str">
        <f aca="true">IF(INDIRECT(ADDRESS($D356+2,E$2+1,,,"Instances"))="","",INDIRECT(ADDRESS($D356+2,E$2+1,,,"Instances")))</f>
        <v>Level_9/5-1111100</v>
      </c>
      <c r="F356" s="0" t="str">
        <f aca="false">IFERROR(SMALL(E5:E364,ROW()-ROW($F$5)+1),"")</f>
        <v/>
      </c>
      <c r="H356" s="0" t="n">
        <f aca="false">IFERROR(SUM(F5:F356),"")</f>
        <v>0</v>
      </c>
      <c r="J356" s="0" t="n">
        <v>352</v>
      </c>
      <c r="K356" s="0" t="e">
        <f aca="true" t="array" ref="K356:K356">_xlfn.SWITCH(Charts!$B$3,"average", AVERAGE(INDIRECT(ADDRESS(351+3,K$2+1,,,"Instances") &amp; ":" &amp; ADDRESS(351+3,K$2+1))),"median", MEDIAN(INDIRECT(ADDRESS(351+3,K$2+1,,,"Instances") &amp; ":" &amp; ADDRESS(351+3,K$2+1))),"min", MIN(INDIRECT(ADDRESS(351+3,K$2+1,,,"Instances") &amp; ":" &amp; ADDRESS(351+3,K$2+1))),"max", MAX(INDIRECT(ADDRESS(351+3,K$2+1,,,"Instances") &amp; ":" &amp; ADDRESS(351+3,K$2+1))),"diff", MAX(INDIRECT(ADDRESS(351+3,K$2+1,,,"Instances") &amp; ":" &amp; ADDRESS(351+3,K$2+1)))-MIN(INDIRECT(ADDRESS(351+3,K$2+1,,,"Instances") &amp; ":" &amp; ADDRESS(351+3,K$2+1))))</f>
        <v>#N/A</v>
      </c>
      <c r="L356" s="0" t="str">
        <f aca="false">IFERROR(SMALL(K5:K364,ROW()-ROW($L$5)+1),"")</f>
        <v/>
      </c>
      <c r="N356" s="0" t="n">
        <f aca="false">IFERROR(SUM(L5:L356),"")</f>
        <v>0</v>
      </c>
      <c r="Q356" s="0" t="e">
        <f aca="false">IF(Charts!$B$3="none",E2163,IF(K2163="",NA(),K2163))</f>
        <v>#N/A</v>
      </c>
      <c r="R356" s="0" t="e">
        <f aca="false">IF(Charts!$B$3="none",F2163,IF(L2163="",NA(),L2163))</f>
        <v>#N/A</v>
      </c>
      <c r="S356" s="0" t="e">
        <f aca="false">IF(Charts!$B$3="none",G2163,IF(M2163="",NA(),M2163))</f>
        <v>#N/A</v>
      </c>
      <c r="T356" s="0" t="e">
        <f aca="false">IF(Charts!$B$3="none",H2163,IF(N2163="",NA(),N2163))</f>
        <v>#N/A</v>
      </c>
    </row>
    <row r="357" customFormat="false" ht="15" hidden="false" customHeight="false" outlineLevel="0" collapsed="false">
      <c r="D357" s="0" t="n">
        <v>353</v>
      </c>
      <c r="E357" s="0" t="str">
        <f aca="true">IF(INDIRECT(ADDRESS($D357+2,E$2+1,,,"Instances"))="","",INDIRECT(ADDRESS($D357+2,E$2+1,,,"Instances")))</f>
        <v>Level_9/6-0111111</v>
      </c>
      <c r="F357" s="0" t="str">
        <f aca="false">IFERROR(SMALL(E5:E364,ROW()-ROW($F$5)+1),"")</f>
        <v/>
      </c>
      <c r="H357" s="0" t="n">
        <f aca="false">IFERROR(SUM(F5:F357),"")</f>
        <v>0</v>
      </c>
      <c r="J357" s="0" t="n">
        <v>353</v>
      </c>
      <c r="K357" s="0" t="e">
        <f aca="true" t="array" ref="K357:K357">_xlfn.SWITCH(Charts!$B$3,"average", AVERAGE(INDIRECT(ADDRESS(352+3,K$2+1,,,"Instances") &amp; ":" &amp; ADDRESS(352+3,K$2+1))),"median", MEDIAN(INDIRECT(ADDRESS(352+3,K$2+1,,,"Instances") &amp; ":" &amp; ADDRESS(352+3,K$2+1))),"min", MIN(INDIRECT(ADDRESS(352+3,K$2+1,,,"Instances") &amp; ":" &amp; ADDRESS(352+3,K$2+1))),"max", MAX(INDIRECT(ADDRESS(352+3,K$2+1,,,"Instances") &amp; ":" &amp; ADDRESS(352+3,K$2+1))),"diff", MAX(INDIRECT(ADDRESS(352+3,K$2+1,,,"Instances") &amp; ":" &amp; ADDRESS(352+3,K$2+1)))-MIN(INDIRECT(ADDRESS(352+3,K$2+1,,,"Instances") &amp; ":" &amp; ADDRESS(352+3,K$2+1))))</f>
        <v>#N/A</v>
      </c>
      <c r="L357" s="0" t="str">
        <f aca="false">IFERROR(SMALL(K5:K364,ROW()-ROW($L$5)+1),"")</f>
        <v/>
      </c>
      <c r="N357" s="0" t="n">
        <f aca="false">IFERROR(SUM(L5:L357),"")</f>
        <v>0</v>
      </c>
      <c r="Q357" s="0" t="e">
        <f aca="false">IF(Charts!$B$3="none",E2164,IF(K2164="",NA(),K2164))</f>
        <v>#N/A</v>
      </c>
      <c r="R357" s="0" t="e">
        <f aca="false">IF(Charts!$B$3="none",F2164,IF(L2164="",NA(),L2164))</f>
        <v>#N/A</v>
      </c>
      <c r="S357" s="0" t="e">
        <f aca="false">IF(Charts!$B$3="none",G2164,IF(M2164="",NA(),M2164))</f>
        <v>#N/A</v>
      </c>
      <c r="T357" s="0" t="e">
        <f aca="false">IF(Charts!$B$3="none",H2164,IF(N2164="",NA(),N2164))</f>
        <v>#N/A</v>
      </c>
    </row>
    <row r="358" customFormat="false" ht="15" hidden="false" customHeight="false" outlineLevel="0" collapsed="false">
      <c r="D358" s="0" t="n">
        <v>354</v>
      </c>
      <c r="E358" s="0" t="str">
        <f aca="true">IF(INDIRECT(ADDRESS($D358+2,E$2+1,,,"Instances"))="","",INDIRECT(ADDRESS($D358+2,E$2+1,,,"Instances")))</f>
        <v>Level_9/6-1011111</v>
      </c>
      <c r="F358" s="0" t="str">
        <f aca="false">IFERROR(SMALL(E5:E364,ROW()-ROW($F$5)+1),"")</f>
        <v/>
      </c>
      <c r="H358" s="0" t="n">
        <f aca="false">IFERROR(SUM(F5:F358),"")</f>
        <v>0</v>
      </c>
      <c r="J358" s="0" t="n">
        <v>354</v>
      </c>
      <c r="K358" s="0" t="e">
        <f aca="true" t="array" ref="K358:K358">_xlfn.SWITCH(Charts!$B$3,"average", AVERAGE(INDIRECT(ADDRESS(353+3,K$2+1,,,"Instances") &amp; ":" &amp; ADDRESS(353+3,K$2+1))),"median", MEDIAN(INDIRECT(ADDRESS(353+3,K$2+1,,,"Instances") &amp; ":" &amp; ADDRESS(353+3,K$2+1))),"min", MIN(INDIRECT(ADDRESS(353+3,K$2+1,,,"Instances") &amp; ":" &amp; ADDRESS(353+3,K$2+1))),"max", MAX(INDIRECT(ADDRESS(353+3,K$2+1,,,"Instances") &amp; ":" &amp; ADDRESS(353+3,K$2+1))),"diff", MAX(INDIRECT(ADDRESS(353+3,K$2+1,,,"Instances") &amp; ":" &amp; ADDRESS(353+3,K$2+1)))-MIN(INDIRECT(ADDRESS(353+3,K$2+1,,,"Instances") &amp; ":" &amp; ADDRESS(353+3,K$2+1))))</f>
        <v>#N/A</v>
      </c>
      <c r="L358" s="0" t="str">
        <f aca="false">IFERROR(SMALL(K5:K364,ROW()-ROW($L$5)+1),"")</f>
        <v/>
      </c>
      <c r="N358" s="0" t="n">
        <f aca="false">IFERROR(SUM(L5:L358),"")</f>
        <v>0</v>
      </c>
      <c r="Q358" s="0" t="e">
        <f aca="false">IF(Charts!$B$3="none",E2165,IF(K2165="",NA(),K2165))</f>
        <v>#N/A</v>
      </c>
      <c r="R358" s="0" t="e">
        <f aca="false">IF(Charts!$B$3="none",F2165,IF(L2165="",NA(),L2165))</f>
        <v>#N/A</v>
      </c>
      <c r="S358" s="0" t="e">
        <f aca="false">IF(Charts!$B$3="none",G2165,IF(M2165="",NA(),M2165))</f>
        <v>#N/A</v>
      </c>
      <c r="T358" s="0" t="e">
        <f aca="false">IF(Charts!$B$3="none",H2165,IF(N2165="",NA(),N2165))</f>
        <v>#N/A</v>
      </c>
    </row>
    <row r="359" customFormat="false" ht="15" hidden="false" customHeight="false" outlineLevel="0" collapsed="false">
      <c r="D359" s="0" t="n">
        <v>355</v>
      </c>
      <c r="E359" s="0" t="str">
        <f aca="true">IF(INDIRECT(ADDRESS($D359+2,E$2+1,,,"Instances"))="","",INDIRECT(ADDRESS($D359+2,E$2+1,,,"Instances")))</f>
        <v>Level_9/6-1101111</v>
      </c>
      <c r="F359" s="0" t="str">
        <f aca="false">IFERROR(SMALL(E5:E364,ROW()-ROW($F$5)+1),"")</f>
        <v/>
      </c>
      <c r="H359" s="0" t="n">
        <f aca="false">IFERROR(SUM(F5:F359),"")</f>
        <v>0</v>
      </c>
      <c r="J359" s="0" t="n">
        <v>355</v>
      </c>
      <c r="K359" s="0" t="e">
        <f aca="true" t="array" ref="K359:K359">_xlfn.SWITCH(Charts!$B$3,"average", AVERAGE(INDIRECT(ADDRESS(354+3,K$2+1,,,"Instances") &amp; ":" &amp; ADDRESS(354+3,K$2+1))),"median", MEDIAN(INDIRECT(ADDRESS(354+3,K$2+1,,,"Instances") &amp; ":" &amp; ADDRESS(354+3,K$2+1))),"min", MIN(INDIRECT(ADDRESS(354+3,K$2+1,,,"Instances") &amp; ":" &amp; ADDRESS(354+3,K$2+1))),"max", MAX(INDIRECT(ADDRESS(354+3,K$2+1,,,"Instances") &amp; ":" &amp; ADDRESS(354+3,K$2+1))),"diff", MAX(INDIRECT(ADDRESS(354+3,K$2+1,,,"Instances") &amp; ":" &amp; ADDRESS(354+3,K$2+1)))-MIN(INDIRECT(ADDRESS(354+3,K$2+1,,,"Instances") &amp; ":" &amp; ADDRESS(354+3,K$2+1))))</f>
        <v>#N/A</v>
      </c>
      <c r="L359" s="0" t="str">
        <f aca="false">IFERROR(SMALL(K5:K364,ROW()-ROW($L$5)+1),"")</f>
        <v/>
      </c>
      <c r="N359" s="0" t="n">
        <f aca="false">IFERROR(SUM(L5:L359),"")</f>
        <v>0</v>
      </c>
      <c r="Q359" s="0" t="e">
        <f aca="false">IF(Charts!$B$3="none",E2166,IF(K2166="",NA(),K2166))</f>
        <v>#N/A</v>
      </c>
      <c r="R359" s="0" t="e">
        <f aca="false">IF(Charts!$B$3="none",F2166,IF(L2166="",NA(),L2166))</f>
        <v>#N/A</v>
      </c>
      <c r="S359" s="0" t="e">
        <f aca="false">IF(Charts!$B$3="none",G2166,IF(M2166="",NA(),M2166))</f>
        <v>#N/A</v>
      </c>
      <c r="T359" s="0" t="e">
        <f aca="false">IF(Charts!$B$3="none",H2166,IF(N2166="",NA(),N2166))</f>
        <v>#N/A</v>
      </c>
    </row>
    <row r="360" customFormat="false" ht="15" hidden="false" customHeight="false" outlineLevel="0" collapsed="false">
      <c r="D360" s="0" t="n">
        <v>356</v>
      </c>
      <c r="E360" s="0" t="str">
        <f aca="true">IF(INDIRECT(ADDRESS($D360+2,E$2+1,,,"Instances"))="","",INDIRECT(ADDRESS($D360+2,E$2+1,,,"Instances")))</f>
        <v>Level_9/6-1110111</v>
      </c>
      <c r="F360" s="0" t="str">
        <f aca="false">IFERROR(SMALL(E5:E364,ROW()-ROW($F$5)+1),"")</f>
        <v/>
      </c>
      <c r="H360" s="0" t="n">
        <f aca="false">IFERROR(SUM(F5:F360),"")</f>
        <v>0</v>
      </c>
      <c r="J360" s="0" t="n">
        <v>356</v>
      </c>
      <c r="K360" s="0" t="e">
        <f aca="true" t="array" ref="K360:K360">_xlfn.SWITCH(Charts!$B$3,"average", AVERAGE(INDIRECT(ADDRESS(355+3,K$2+1,,,"Instances") &amp; ":" &amp; ADDRESS(355+3,K$2+1))),"median", MEDIAN(INDIRECT(ADDRESS(355+3,K$2+1,,,"Instances") &amp; ":" &amp; ADDRESS(355+3,K$2+1))),"min", MIN(INDIRECT(ADDRESS(355+3,K$2+1,,,"Instances") &amp; ":" &amp; ADDRESS(355+3,K$2+1))),"max", MAX(INDIRECT(ADDRESS(355+3,K$2+1,,,"Instances") &amp; ":" &amp; ADDRESS(355+3,K$2+1))),"diff", MAX(INDIRECT(ADDRESS(355+3,K$2+1,,,"Instances") &amp; ":" &amp; ADDRESS(355+3,K$2+1)))-MIN(INDIRECT(ADDRESS(355+3,K$2+1,,,"Instances") &amp; ":" &amp; ADDRESS(355+3,K$2+1))))</f>
        <v>#N/A</v>
      </c>
      <c r="L360" s="0" t="str">
        <f aca="false">IFERROR(SMALL(K5:K364,ROW()-ROW($L$5)+1),"")</f>
        <v/>
      </c>
      <c r="N360" s="0" t="n">
        <f aca="false">IFERROR(SUM(L5:L360),"")</f>
        <v>0</v>
      </c>
      <c r="Q360" s="0" t="e">
        <f aca="false">IF(Charts!$B$3="none",E2167,IF(K2167="",NA(),K2167))</f>
        <v>#N/A</v>
      </c>
      <c r="R360" s="0" t="e">
        <f aca="false">IF(Charts!$B$3="none",F2167,IF(L2167="",NA(),L2167))</f>
        <v>#N/A</v>
      </c>
      <c r="S360" s="0" t="e">
        <f aca="false">IF(Charts!$B$3="none",G2167,IF(M2167="",NA(),M2167))</f>
        <v>#N/A</v>
      </c>
      <c r="T360" s="0" t="e">
        <f aca="false">IF(Charts!$B$3="none",H2167,IF(N2167="",NA(),N2167))</f>
        <v>#N/A</v>
      </c>
    </row>
    <row r="361" customFormat="false" ht="15" hidden="false" customHeight="false" outlineLevel="0" collapsed="false">
      <c r="D361" s="0" t="n">
        <v>357</v>
      </c>
      <c r="E361" s="0" t="str">
        <f aca="true">IF(INDIRECT(ADDRESS($D361+2,E$2+1,,,"Instances"))="","",INDIRECT(ADDRESS($D361+2,E$2+1,,,"Instances")))</f>
        <v>Level_9/6-1111011</v>
      </c>
      <c r="F361" s="0" t="str">
        <f aca="false">IFERROR(SMALL(E5:E364,ROW()-ROW($F$5)+1),"")</f>
        <v/>
      </c>
      <c r="H361" s="0" t="n">
        <f aca="false">IFERROR(SUM(F5:F361),"")</f>
        <v>0</v>
      </c>
      <c r="J361" s="0" t="n">
        <v>357</v>
      </c>
      <c r="K361" s="0" t="e">
        <f aca="true" t="array" ref="K361:K361">_xlfn.SWITCH(Charts!$B$3,"average", AVERAGE(INDIRECT(ADDRESS(356+3,K$2+1,,,"Instances") &amp; ":" &amp; ADDRESS(356+3,K$2+1))),"median", MEDIAN(INDIRECT(ADDRESS(356+3,K$2+1,,,"Instances") &amp; ":" &amp; ADDRESS(356+3,K$2+1))),"min", MIN(INDIRECT(ADDRESS(356+3,K$2+1,,,"Instances") &amp; ":" &amp; ADDRESS(356+3,K$2+1))),"max", MAX(INDIRECT(ADDRESS(356+3,K$2+1,,,"Instances") &amp; ":" &amp; ADDRESS(356+3,K$2+1))),"diff", MAX(INDIRECT(ADDRESS(356+3,K$2+1,,,"Instances") &amp; ":" &amp; ADDRESS(356+3,K$2+1)))-MIN(INDIRECT(ADDRESS(356+3,K$2+1,,,"Instances") &amp; ":" &amp; ADDRESS(356+3,K$2+1))))</f>
        <v>#N/A</v>
      </c>
      <c r="L361" s="0" t="str">
        <f aca="false">IFERROR(SMALL(K5:K364,ROW()-ROW($L$5)+1),"")</f>
        <v/>
      </c>
      <c r="N361" s="0" t="n">
        <f aca="false">IFERROR(SUM(L5:L361),"")</f>
        <v>0</v>
      </c>
      <c r="Q361" s="0" t="e">
        <f aca="false">IF(Charts!$B$3="none",E2168,IF(K2168="",NA(),K2168))</f>
        <v>#N/A</v>
      </c>
      <c r="R361" s="0" t="e">
        <f aca="false">IF(Charts!$B$3="none",F2168,IF(L2168="",NA(),L2168))</f>
        <v>#N/A</v>
      </c>
      <c r="S361" s="0" t="e">
        <f aca="false">IF(Charts!$B$3="none",G2168,IF(M2168="",NA(),M2168))</f>
        <v>#N/A</v>
      </c>
      <c r="T361" s="0" t="e">
        <f aca="false">IF(Charts!$B$3="none",H2168,IF(N2168="",NA(),N2168))</f>
        <v>#N/A</v>
      </c>
    </row>
    <row r="362" customFormat="false" ht="15" hidden="false" customHeight="false" outlineLevel="0" collapsed="false">
      <c r="D362" s="0" t="n">
        <v>358</v>
      </c>
      <c r="E362" s="0" t="str">
        <f aca="true">IF(INDIRECT(ADDRESS($D362+2,E$2+1,,,"Instances"))="","",INDIRECT(ADDRESS($D362+2,E$2+1,,,"Instances")))</f>
        <v>Level_9/6-1111101</v>
      </c>
      <c r="F362" s="0" t="str">
        <f aca="false">IFERROR(SMALL(E5:E364,ROW()-ROW($F$5)+1),"")</f>
        <v/>
      </c>
      <c r="H362" s="0" t="n">
        <f aca="false">IFERROR(SUM(F5:F362),"")</f>
        <v>0</v>
      </c>
      <c r="J362" s="0" t="n">
        <v>358</v>
      </c>
      <c r="K362" s="0" t="e">
        <f aca="true" t="array" ref="K362:K362">_xlfn.SWITCH(Charts!$B$3,"average", AVERAGE(INDIRECT(ADDRESS(357+3,K$2+1,,,"Instances") &amp; ":" &amp; ADDRESS(357+3,K$2+1))),"median", MEDIAN(INDIRECT(ADDRESS(357+3,K$2+1,,,"Instances") &amp; ":" &amp; ADDRESS(357+3,K$2+1))),"min", MIN(INDIRECT(ADDRESS(357+3,K$2+1,,,"Instances") &amp; ":" &amp; ADDRESS(357+3,K$2+1))),"max", MAX(INDIRECT(ADDRESS(357+3,K$2+1,,,"Instances") &amp; ":" &amp; ADDRESS(357+3,K$2+1))),"diff", MAX(INDIRECT(ADDRESS(357+3,K$2+1,,,"Instances") &amp; ":" &amp; ADDRESS(357+3,K$2+1)))-MIN(INDIRECT(ADDRESS(357+3,K$2+1,,,"Instances") &amp; ":" &amp; ADDRESS(357+3,K$2+1))))</f>
        <v>#N/A</v>
      </c>
      <c r="L362" s="0" t="str">
        <f aca="false">IFERROR(SMALL(K5:K364,ROW()-ROW($L$5)+1),"")</f>
        <v/>
      </c>
      <c r="N362" s="0" t="n">
        <f aca="false">IFERROR(SUM(L5:L362),"")</f>
        <v>0</v>
      </c>
      <c r="Q362" s="0" t="e">
        <f aca="false">IF(Charts!$B$3="none",E2169,IF(K2169="",NA(),K2169))</f>
        <v>#N/A</v>
      </c>
      <c r="R362" s="0" t="e">
        <f aca="false">IF(Charts!$B$3="none",F2169,IF(L2169="",NA(),L2169))</f>
        <v>#N/A</v>
      </c>
      <c r="S362" s="0" t="e">
        <f aca="false">IF(Charts!$B$3="none",G2169,IF(M2169="",NA(),M2169))</f>
        <v>#N/A</v>
      </c>
      <c r="T362" s="0" t="e">
        <f aca="false">IF(Charts!$B$3="none",H2169,IF(N2169="",NA(),N2169))</f>
        <v>#N/A</v>
      </c>
    </row>
    <row r="363" customFormat="false" ht="15" hidden="false" customHeight="false" outlineLevel="0" collapsed="false">
      <c r="D363" s="0" t="n">
        <v>359</v>
      </c>
      <c r="E363" s="0" t="str">
        <f aca="true">IF(INDIRECT(ADDRESS($D363+2,E$2+1,,,"Instances"))="","",INDIRECT(ADDRESS($D363+2,E$2+1,,,"Instances")))</f>
        <v>Level_9/6-1111110</v>
      </c>
      <c r="F363" s="0" t="str">
        <f aca="false">IFERROR(SMALL(E5:E364,ROW()-ROW($F$5)+1),"")</f>
        <v/>
      </c>
      <c r="H363" s="0" t="n">
        <f aca="false">IFERROR(SUM(F5:F363),"")</f>
        <v>0</v>
      </c>
      <c r="J363" s="0" t="n">
        <v>359</v>
      </c>
      <c r="K363" s="0" t="e">
        <f aca="true" t="array" ref="K363:K363">_xlfn.SWITCH(Charts!$B$3,"average", AVERAGE(INDIRECT(ADDRESS(358+3,K$2+1,,,"Instances") &amp; ":" &amp; ADDRESS(358+3,K$2+1))),"median", MEDIAN(INDIRECT(ADDRESS(358+3,K$2+1,,,"Instances") &amp; ":" &amp; ADDRESS(358+3,K$2+1))),"min", MIN(INDIRECT(ADDRESS(358+3,K$2+1,,,"Instances") &amp; ":" &amp; ADDRESS(358+3,K$2+1))),"max", MAX(INDIRECT(ADDRESS(358+3,K$2+1,,,"Instances") &amp; ":" &amp; ADDRESS(358+3,K$2+1))),"diff", MAX(INDIRECT(ADDRESS(358+3,K$2+1,,,"Instances") &amp; ":" &amp; ADDRESS(358+3,K$2+1)))-MIN(INDIRECT(ADDRESS(358+3,K$2+1,,,"Instances") &amp; ":" &amp; ADDRESS(358+3,K$2+1))))</f>
        <v>#N/A</v>
      </c>
      <c r="L363" s="0" t="str">
        <f aca="false">IFERROR(SMALL(K5:K364,ROW()-ROW($L$5)+1),"")</f>
        <v/>
      </c>
      <c r="N363" s="0" t="n">
        <f aca="false">IFERROR(SUM(L5:L363),"")</f>
        <v>0</v>
      </c>
      <c r="Q363" s="0" t="e">
        <f aca="false">IF(Charts!$B$3="none",E2170,IF(K2170="",NA(),K2170))</f>
        <v>#N/A</v>
      </c>
      <c r="R363" s="0" t="e">
        <f aca="false">IF(Charts!$B$3="none",F2170,IF(L2170="",NA(),L2170))</f>
        <v>#N/A</v>
      </c>
      <c r="S363" s="0" t="e">
        <f aca="false">IF(Charts!$B$3="none",G2170,IF(M2170="",NA(),M2170))</f>
        <v>#N/A</v>
      </c>
      <c r="T363" s="0" t="e">
        <f aca="false">IF(Charts!$B$3="none",H2170,IF(N2170="",NA(),N2170))</f>
        <v>#N/A</v>
      </c>
    </row>
    <row r="364" customFormat="false" ht="15" hidden="false" customHeight="false" outlineLevel="0" collapsed="false">
      <c r="D364" s="0" t="n">
        <v>360</v>
      </c>
      <c r="E364" s="0" t="str">
        <f aca="true">IF(INDIRECT(ADDRESS($D364+2,E$2+1,,,"Instances"))="","",INDIRECT(ADDRESS($D364+2,E$2+1,,,"Instances")))</f>
        <v>Level_9/7-1111111</v>
      </c>
      <c r="F364" s="0" t="str">
        <f aca="false">IFERROR(SMALL(E5:E364,ROW()-ROW($F$5)+1),"")</f>
        <v/>
      </c>
      <c r="H364" s="0" t="n">
        <f aca="false">IFERROR(SUM(F5:F364),"")</f>
        <v>0</v>
      </c>
      <c r="J364" s="0" t="n">
        <v>360</v>
      </c>
      <c r="K364" s="0" t="e">
        <f aca="true" t="array" ref="K364:K364">_xlfn.SWITCH(Charts!$B$3,"average", AVERAGE(INDIRECT(ADDRESS(359+3,K$2+1,,,"Instances") &amp; ":" &amp; ADDRESS(359+3,K$2+1))),"median", MEDIAN(INDIRECT(ADDRESS(359+3,K$2+1,,,"Instances") &amp; ":" &amp; ADDRESS(359+3,K$2+1))),"min", MIN(INDIRECT(ADDRESS(359+3,K$2+1,,,"Instances") &amp; ":" &amp; ADDRESS(359+3,K$2+1))),"max", MAX(INDIRECT(ADDRESS(359+3,K$2+1,,,"Instances") &amp; ":" &amp; ADDRESS(359+3,K$2+1))),"diff", MAX(INDIRECT(ADDRESS(359+3,K$2+1,,,"Instances") &amp; ":" &amp; ADDRESS(359+3,K$2+1)))-MIN(INDIRECT(ADDRESS(359+3,K$2+1,,,"Instances") &amp; ":" &amp; ADDRESS(359+3,K$2+1))))</f>
        <v>#N/A</v>
      </c>
      <c r="L364" s="0" t="str">
        <f aca="false">IFERROR(SMALL(K5:K364,ROW()-ROW($L$5)+1),"")</f>
        <v/>
      </c>
      <c r="N364" s="0" t="n">
        <f aca="false">IFERROR(SUM(L5:L364),"")</f>
        <v>0</v>
      </c>
      <c r="Q364" s="0" t="e">
        <f aca="false">IF(Charts!$B$3="none",E2171,IF(K2171="",NA(),K2171))</f>
        <v>#N/A</v>
      </c>
      <c r="R364" s="0" t="e">
        <f aca="false">IF(Charts!$B$3="none",F2171,IF(L2171="",NA(),L2171))</f>
        <v>#N/A</v>
      </c>
      <c r="S364" s="0" t="e">
        <f aca="false">IF(Charts!$B$3="none",G2171,IF(M2171="",NA(),M2171))</f>
        <v>#N/A</v>
      </c>
      <c r="T364" s="0" t="e">
        <f aca="false">IF(Charts!$B$3="none",H2171,IF(N2171="",NA(),N2171))</f>
        <v>#N/A</v>
      </c>
    </row>
    <row r="365" customFormat="false" ht="15" hidden="false" customHeight="false" outlineLevel="0" collapsed="false">
      <c r="Q365" s="0" t="e">
        <f aca="false">IF(Charts!$B$3="none",E2172,IF(K2172="",NA(),K2172))</f>
        <v>#N/A</v>
      </c>
      <c r="R365" s="0" t="e">
        <f aca="false">IF(Charts!$B$3="none",F2172,IF(L2172="",NA(),L2172))</f>
        <v>#N/A</v>
      </c>
      <c r="S365" s="0" t="e">
        <f aca="false">IF(Charts!$B$3="none",G2172,IF(M2172="",NA(),M2172))</f>
        <v>#N/A</v>
      </c>
      <c r="T365" s="0" t="e">
        <f aca="false">IF(Charts!$B$3="none",H2172,IF(N2172="",NA(),N2172))</f>
        <v>#N/A</v>
      </c>
    </row>
    <row r="366" customFormat="false" ht="15" hidden="false" customHeight="false" outlineLevel="0" collapsed="false">
      <c r="D366" s="0" t="s">
        <v>408</v>
      </c>
      <c r="E366" s="0" t="s">
        <v>403</v>
      </c>
      <c r="F366" s="0" t="s">
        <v>405</v>
      </c>
      <c r="G366" s="0" t="s">
        <v>403</v>
      </c>
      <c r="H366" s="0" t="s">
        <v>406</v>
      </c>
      <c r="J366" s="0" t="s">
        <v>408</v>
      </c>
      <c r="K366" s="0" t="s">
        <v>403</v>
      </c>
      <c r="L366" s="0" t="s">
        <v>405</v>
      </c>
      <c r="M366" s="0" t="s">
        <v>403</v>
      </c>
      <c r="N366" s="0" t="s">
        <v>406</v>
      </c>
      <c r="Q366" s="0" t="e">
        <f aca="false">IF(Charts!$B$3="none",E2173,IF(K2173="",NA(),K2173))</f>
        <v>#N/A</v>
      </c>
      <c r="R366" s="0" t="e">
        <f aca="false">IF(Charts!$B$3="none",F2173,IF(L2173="",NA(),L2173))</f>
        <v>#N/A</v>
      </c>
      <c r="S366" s="0" t="e">
        <f aca="false">IF(Charts!$B$3="none",G2173,IF(M2173="",NA(),M2173))</f>
        <v>#N/A</v>
      </c>
      <c r="T366" s="0" t="e">
        <f aca="false">IF(Charts!$B$3="none",H2173,IF(N2173="",NA(),N2173))</f>
        <v>#N/A</v>
      </c>
    </row>
    <row r="367" customFormat="false" ht="15" hidden="false" customHeight="false" outlineLevel="0" collapsed="false">
      <c r="E367" s="0" t="n">
        <v>1</v>
      </c>
      <c r="F367" s="0" t="str">
        <f aca="false">F5</f>
        <v/>
      </c>
      <c r="G367" s="0" t="n">
        <v>1</v>
      </c>
      <c r="H367" s="0" t="n">
        <f aca="false">H5</f>
        <v>0</v>
      </c>
      <c r="K367" s="0" t="n">
        <v>1</v>
      </c>
      <c r="L367" s="0" t="str">
        <f aca="false">L5</f>
        <v/>
      </c>
      <c r="M367" s="0" t="n">
        <v>1</v>
      </c>
      <c r="N367" s="0" t="n">
        <f aca="false">N5</f>
        <v>0</v>
      </c>
      <c r="Q367" s="0" t="e">
        <f aca="false">IF(Charts!$B$3="none",E2174,IF(K2174="",NA(),K2174))</f>
        <v>#N/A</v>
      </c>
      <c r="R367" s="0" t="e">
        <f aca="false">IF(Charts!$B$3="none",F2174,IF(L2174="",NA(),L2174))</f>
        <v>#N/A</v>
      </c>
      <c r="S367" s="0" t="e">
        <f aca="false">IF(Charts!$B$3="none",G2174,IF(M2174="",NA(),M2174))</f>
        <v>#N/A</v>
      </c>
      <c r="T367" s="0" t="e">
        <f aca="false">IF(Charts!$B$3="none",H2174,IF(N2174="",NA(),N2174))</f>
        <v>#N/A</v>
      </c>
    </row>
    <row r="368" customFormat="false" ht="15" hidden="false" customHeight="false" outlineLevel="0" collapsed="false">
      <c r="E368" s="0" t="n">
        <v>2</v>
      </c>
      <c r="F368" s="0" t="str">
        <f aca="false">F6</f>
        <v/>
      </c>
      <c r="G368" s="0" t="n">
        <v>2</v>
      </c>
      <c r="H368" s="0" t="n">
        <f aca="false">H6</f>
        <v>0</v>
      </c>
      <c r="K368" s="0" t="n">
        <v>2</v>
      </c>
      <c r="L368" s="0" t="str">
        <f aca="false">L6</f>
        <v/>
      </c>
      <c r="M368" s="0" t="n">
        <v>2</v>
      </c>
      <c r="N368" s="0" t="n">
        <f aca="false">N6</f>
        <v>0</v>
      </c>
      <c r="Q368" s="0" t="e">
        <f aca="false">IF(Charts!$B$3="none",E2175,IF(K2175="",NA(),K2175))</f>
        <v>#N/A</v>
      </c>
      <c r="R368" s="0" t="e">
        <f aca="false">IF(Charts!$B$3="none",F2175,IF(L2175="",NA(),L2175))</f>
        <v>#N/A</v>
      </c>
      <c r="S368" s="0" t="e">
        <f aca="false">IF(Charts!$B$3="none",G2175,IF(M2175="",NA(),M2175))</f>
        <v>#N/A</v>
      </c>
      <c r="T368" s="0" t="e">
        <f aca="false">IF(Charts!$B$3="none",H2175,IF(N2175="",NA(),N2175))</f>
        <v>#N/A</v>
      </c>
    </row>
    <row r="369" customFormat="false" ht="15" hidden="false" customHeight="false" outlineLevel="0" collapsed="false">
      <c r="E369" s="0" t="n">
        <v>3</v>
      </c>
      <c r="F369" s="0" t="str">
        <f aca="false">F7</f>
        <v/>
      </c>
      <c r="G369" s="0" t="n">
        <v>3</v>
      </c>
      <c r="H369" s="0" t="n">
        <f aca="false">H7</f>
        <v>0</v>
      </c>
      <c r="K369" s="0" t="n">
        <v>3</v>
      </c>
      <c r="L369" s="0" t="str">
        <f aca="false">L7</f>
        <v/>
      </c>
      <c r="M369" s="0" t="n">
        <v>3</v>
      </c>
      <c r="N369" s="0" t="n">
        <f aca="false">N7</f>
        <v>0</v>
      </c>
      <c r="Q369" s="0" t="e">
        <f aca="false">IF(Charts!$B$3="none",E2176,IF(K2176="",NA(),K2176))</f>
        <v>#N/A</v>
      </c>
      <c r="R369" s="0" t="e">
        <f aca="false">IF(Charts!$B$3="none",F2176,IF(L2176="",NA(),L2176))</f>
        <v>#N/A</v>
      </c>
      <c r="S369" s="0" t="e">
        <f aca="false">IF(Charts!$B$3="none",G2176,IF(M2176="",NA(),M2176))</f>
        <v>#N/A</v>
      </c>
      <c r="T369" s="0" t="e">
        <f aca="false">IF(Charts!$B$3="none",H2176,IF(N2176="",NA(),N2176))</f>
        <v>#N/A</v>
      </c>
    </row>
    <row r="370" customFormat="false" ht="15" hidden="false" customHeight="false" outlineLevel="0" collapsed="false">
      <c r="E370" s="0" t="n">
        <v>4</v>
      </c>
      <c r="F370" s="0" t="str">
        <f aca="false">F8</f>
        <v/>
      </c>
      <c r="G370" s="0" t="n">
        <v>4</v>
      </c>
      <c r="H370" s="0" t="n">
        <f aca="false">H8</f>
        <v>0</v>
      </c>
      <c r="K370" s="0" t="n">
        <v>4</v>
      </c>
      <c r="L370" s="0" t="str">
        <f aca="false">L8</f>
        <v/>
      </c>
      <c r="M370" s="0" t="n">
        <v>4</v>
      </c>
      <c r="N370" s="0" t="n">
        <f aca="false">N8</f>
        <v>0</v>
      </c>
      <c r="Q370" s="0" t="e">
        <f aca="false">IF(Charts!$B$3="none",E2177,IF(K2177="",NA(),K2177))</f>
        <v>#N/A</v>
      </c>
      <c r="R370" s="0" t="e">
        <f aca="false">IF(Charts!$B$3="none",F2177,IF(L2177="",NA(),L2177))</f>
        <v>#N/A</v>
      </c>
      <c r="S370" s="0" t="e">
        <f aca="false">IF(Charts!$B$3="none",G2177,IF(M2177="",NA(),M2177))</f>
        <v>#N/A</v>
      </c>
      <c r="T370" s="0" t="e">
        <f aca="false">IF(Charts!$B$3="none",H2177,IF(N2177="",NA(),N2177))</f>
        <v>#N/A</v>
      </c>
    </row>
    <row r="371" customFormat="false" ht="15" hidden="false" customHeight="false" outlineLevel="0" collapsed="false">
      <c r="E371" s="0" t="n">
        <v>5</v>
      </c>
      <c r="F371" s="0" t="str">
        <f aca="false">F9</f>
        <v/>
      </c>
      <c r="G371" s="0" t="n">
        <v>5</v>
      </c>
      <c r="H371" s="0" t="n">
        <f aca="false">H9</f>
        <v>0</v>
      </c>
      <c r="K371" s="0" t="n">
        <v>5</v>
      </c>
      <c r="L371" s="0" t="str">
        <f aca="false">L9</f>
        <v/>
      </c>
      <c r="M371" s="0" t="n">
        <v>5</v>
      </c>
      <c r="N371" s="0" t="n">
        <f aca="false">N9</f>
        <v>0</v>
      </c>
      <c r="Q371" s="0" t="e">
        <f aca="false">IF(Charts!$B$3="none",E2178,IF(K2178="",NA(),K2178))</f>
        <v>#N/A</v>
      </c>
      <c r="R371" s="0" t="e">
        <f aca="false">IF(Charts!$B$3="none",F2178,IF(L2178="",NA(),L2178))</f>
        <v>#N/A</v>
      </c>
      <c r="S371" s="0" t="e">
        <f aca="false">IF(Charts!$B$3="none",G2178,IF(M2178="",NA(),M2178))</f>
        <v>#N/A</v>
      </c>
      <c r="T371" s="0" t="e">
        <f aca="false">IF(Charts!$B$3="none",H2178,IF(N2178="",NA(),N2178))</f>
        <v>#N/A</v>
      </c>
    </row>
    <row r="372" customFormat="false" ht="15" hidden="false" customHeight="false" outlineLevel="0" collapsed="false">
      <c r="E372" s="0" t="n">
        <v>6</v>
      </c>
      <c r="F372" s="0" t="str">
        <f aca="false">F10</f>
        <v/>
      </c>
      <c r="G372" s="0" t="n">
        <v>6</v>
      </c>
      <c r="H372" s="0" t="n">
        <f aca="false">H10</f>
        <v>0</v>
      </c>
      <c r="K372" s="0" t="n">
        <v>6</v>
      </c>
      <c r="L372" s="0" t="str">
        <f aca="false">L10</f>
        <v/>
      </c>
      <c r="M372" s="0" t="n">
        <v>6</v>
      </c>
      <c r="N372" s="0" t="n">
        <f aca="false">N10</f>
        <v>0</v>
      </c>
      <c r="Q372" s="0" t="e">
        <f aca="false">IF(Charts!$B$3="none",E2179,IF(K2179="",NA(),K2179))</f>
        <v>#N/A</v>
      </c>
      <c r="R372" s="0" t="e">
        <f aca="false">IF(Charts!$B$3="none",F2179,IF(L2179="",NA(),L2179))</f>
        <v>#N/A</v>
      </c>
      <c r="S372" s="0" t="e">
        <f aca="false">IF(Charts!$B$3="none",G2179,IF(M2179="",NA(),M2179))</f>
        <v>#N/A</v>
      </c>
      <c r="T372" s="0" t="e">
        <f aca="false">IF(Charts!$B$3="none",H2179,IF(N2179="",NA(),N2179))</f>
        <v>#N/A</v>
      </c>
    </row>
    <row r="373" customFormat="false" ht="15" hidden="false" customHeight="false" outlineLevel="0" collapsed="false">
      <c r="E373" s="0" t="n">
        <v>7</v>
      </c>
      <c r="F373" s="0" t="str">
        <f aca="false">F11</f>
        <v/>
      </c>
      <c r="G373" s="0" t="n">
        <v>7</v>
      </c>
      <c r="H373" s="0" t="n">
        <f aca="false">H11</f>
        <v>0</v>
      </c>
      <c r="K373" s="0" t="n">
        <v>7</v>
      </c>
      <c r="L373" s="0" t="str">
        <f aca="false">L11</f>
        <v/>
      </c>
      <c r="M373" s="0" t="n">
        <v>7</v>
      </c>
      <c r="N373" s="0" t="n">
        <f aca="false">N11</f>
        <v>0</v>
      </c>
      <c r="Q373" s="0" t="e">
        <f aca="false">IF(Charts!$B$3="none",E2180,IF(K2180="",NA(),K2180))</f>
        <v>#N/A</v>
      </c>
      <c r="R373" s="0" t="e">
        <f aca="false">IF(Charts!$B$3="none",F2180,IF(L2180="",NA(),L2180))</f>
        <v>#N/A</v>
      </c>
      <c r="S373" s="0" t="e">
        <f aca="false">IF(Charts!$B$3="none",G2180,IF(M2180="",NA(),M2180))</f>
        <v>#N/A</v>
      </c>
      <c r="T373" s="0" t="e">
        <f aca="false">IF(Charts!$B$3="none",H2180,IF(N2180="",NA(),N2180))</f>
        <v>#N/A</v>
      </c>
    </row>
    <row r="374" customFormat="false" ht="15" hidden="false" customHeight="false" outlineLevel="0" collapsed="false">
      <c r="E374" s="0" t="n">
        <v>8</v>
      </c>
      <c r="F374" s="0" t="str">
        <f aca="false">F12</f>
        <v/>
      </c>
      <c r="G374" s="0" t="n">
        <v>8</v>
      </c>
      <c r="H374" s="0" t="n">
        <f aca="false">H12</f>
        <v>0</v>
      </c>
      <c r="K374" s="0" t="n">
        <v>8</v>
      </c>
      <c r="L374" s="0" t="str">
        <f aca="false">L12</f>
        <v/>
      </c>
      <c r="M374" s="0" t="n">
        <v>8</v>
      </c>
      <c r="N374" s="0" t="n">
        <f aca="false">N12</f>
        <v>0</v>
      </c>
      <c r="Q374" s="0" t="e">
        <f aca="false">IF(Charts!$B$3="none",E2181,IF(K2181="",NA(),K2181))</f>
        <v>#N/A</v>
      </c>
      <c r="R374" s="0" t="e">
        <f aca="false">IF(Charts!$B$3="none",F2181,IF(L2181="",NA(),L2181))</f>
        <v>#N/A</v>
      </c>
      <c r="S374" s="0" t="e">
        <f aca="false">IF(Charts!$B$3="none",G2181,IF(M2181="",NA(),M2181))</f>
        <v>#N/A</v>
      </c>
      <c r="T374" s="0" t="e">
        <f aca="false">IF(Charts!$B$3="none",H2181,IF(N2181="",NA(),N2181))</f>
        <v>#N/A</v>
      </c>
    </row>
    <row r="375" customFormat="false" ht="15" hidden="false" customHeight="false" outlineLevel="0" collapsed="false">
      <c r="E375" s="0" t="n">
        <v>9</v>
      </c>
      <c r="F375" s="0" t="str">
        <f aca="false">F13</f>
        <v/>
      </c>
      <c r="G375" s="0" t="n">
        <v>9</v>
      </c>
      <c r="H375" s="0" t="n">
        <f aca="false">H13</f>
        <v>0</v>
      </c>
      <c r="K375" s="0" t="n">
        <v>9</v>
      </c>
      <c r="L375" s="0" t="str">
        <f aca="false">L13</f>
        <v/>
      </c>
      <c r="M375" s="0" t="n">
        <v>9</v>
      </c>
      <c r="N375" s="0" t="n">
        <f aca="false">N13</f>
        <v>0</v>
      </c>
      <c r="Q375" s="0" t="e">
        <f aca="false">IF(Charts!$B$3="none",E2182,IF(K2182="",NA(),K2182))</f>
        <v>#N/A</v>
      </c>
      <c r="R375" s="0" t="e">
        <f aca="false">IF(Charts!$B$3="none",F2182,IF(L2182="",NA(),L2182))</f>
        <v>#N/A</v>
      </c>
      <c r="S375" s="0" t="e">
        <f aca="false">IF(Charts!$B$3="none",G2182,IF(M2182="",NA(),M2182))</f>
        <v>#N/A</v>
      </c>
      <c r="T375" s="0" t="e">
        <f aca="false">IF(Charts!$B$3="none",H2182,IF(N2182="",NA(),N2182))</f>
        <v>#N/A</v>
      </c>
    </row>
    <row r="376" customFormat="false" ht="15" hidden="false" customHeight="false" outlineLevel="0" collapsed="false">
      <c r="E376" s="0" t="n">
        <v>10</v>
      </c>
      <c r="F376" s="0" t="str">
        <f aca="false">F14</f>
        <v/>
      </c>
      <c r="G376" s="0" t="n">
        <v>10</v>
      </c>
      <c r="H376" s="0" t="n">
        <f aca="false">H14</f>
        <v>0</v>
      </c>
      <c r="K376" s="0" t="n">
        <v>10</v>
      </c>
      <c r="L376" s="0" t="str">
        <f aca="false">L14</f>
        <v/>
      </c>
      <c r="M376" s="0" t="n">
        <v>10</v>
      </c>
      <c r="N376" s="0" t="n">
        <f aca="false">N14</f>
        <v>0</v>
      </c>
      <c r="Q376" s="0" t="e">
        <f aca="false">IF(Charts!$B$3="none",E2183,IF(K2183="",NA(),K2183))</f>
        <v>#N/A</v>
      </c>
      <c r="R376" s="0" t="e">
        <f aca="false">IF(Charts!$B$3="none",F2183,IF(L2183="",NA(),L2183))</f>
        <v>#N/A</v>
      </c>
      <c r="S376" s="0" t="e">
        <f aca="false">IF(Charts!$B$3="none",G2183,IF(M2183="",NA(),M2183))</f>
        <v>#N/A</v>
      </c>
      <c r="T376" s="0" t="e">
        <f aca="false">IF(Charts!$B$3="none",H2183,IF(N2183="",NA(),N2183))</f>
        <v>#N/A</v>
      </c>
    </row>
    <row r="377" customFormat="false" ht="15" hidden="false" customHeight="false" outlineLevel="0" collapsed="false">
      <c r="E377" s="0" t="n">
        <v>11</v>
      </c>
      <c r="F377" s="0" t="str">
        <f aca="false">F15</f>
        <v/>
      </c>
      <c r="G377" s="0" t="n">
        <v>11</v>
      </c>
      <c r="H377" s="0" t="n">
        <f aca="false">H15</f>
        <v>0</v>
      </c>
      <c r="K377" s="0" t="n">
        <v>11</v>
      </c>
      <c r="L377" s="0" t="str">
        <f aca="false">L15</f>
        <v/>
      </c>
      <c r="M377" s="0" t="n">
        <v>11</v>
      </c>
      <c r="N377" s="0" t="n">
        <f aca="false">N15</f>
        <v>0</v>
      </c>
      <c r="Q377" s="0" t="e">
        <f aca="false">IF(Charts!$B$3="none",E2184,IF(K2184="",NA(),K2184))</f>
        <v>#N/A</v>
      </c>
      <c r="R377" s="0" t="e">
        <f aca="false">IF(Charts!$B$3="none",F2184,IF(L2184="",NA(),L2184))</f>
        <v>#N/A</v>
      </c>
      <c r="S377" s="0" t="e">
        <f aca="false">IF(Charts!$B$3="none",G2184,IF(M2184="",NA(),M2184))</f>
        <v>#N/A</v>
      </c>
      <c r="T377" s="0" t="e">
        <f aca="false">IF(Charts!$B$3="none",H2184,IF(N2184="",NA(),N2184))</f>
        <v>#N/A</v>
      </c>
    </row>
    <row r="378" customFormat="false" ht="15" hidden="false" customHeight="false" outlineLevel="0" collapsed="false">
      <c r="E378" s="0" t="n">
        <v>12</v>
      </c>
      <c r="F378" s="0" t="str">
        <f aca="false">F16</f>
        <v/>
      </c>
      <c r="G378" s="0" t="n">
        <v>12</v>
      </c>
      <c r="H378" s="0" t="n">
        <f aca="false">H16</f>
        <v>0</v>
      </c>
      <c r="K378" s="0" t="n">
        <v>12</v>
      </c>
      <c r="L378" s="0" t="str">
        <f aca="false">L16</f>
        <v/>
      </c>
      <c r="M378" s="0" t="n">
        <v>12</v>
      </c>
      <c r="N378" s="0" t="n">
        <f aca="false">N16</f>
        <v>0</v>
      </c>
      <c r="Q378" s="0" t="e">
        <f aca="false">IF(Charts!$B$3="none",E2185,IF(K2185="",NA(),K2185))</f>
        <v>#N/A</v>
      </c>
      <c r="R378" s="0" t="e">
        <f aca="false">IF(Charts!$B$3="none",F2185,IF(L2185="",NA(),L2185))</f>
        <v>#N/A</v>
      </c>
      <c r="S378" s="0" t="e">
        <f aca="false">IF(Charts!$B$3="none",G2185,IF(M2185="",NA(),M2185))</f>
        <v>#N/A</v>
      </c>
      <c r="T378" s="0" t="e">
        <f aca="false">IF(Charts!$B$3="none",H2185,IF(N2185="",NA(),N2185))</f>
        <v>#N/A</v>
      </c>
    </row>
    <row r="379" customFormat="false" ht="15" hidden="false" customHeight="false" outlineLevel="0" collapsed="false">
      <c r="E379" s="0" t="n">
        <v>13</v>
      </c>
      <c r="F379" s="0" t="str">
        <f aca="false">F17</f>
        <v/>
      </c>
      <c r="G379" s="0" t="n">
        <v>13</v>
      </c>
      <c r="H379" s="0" t="n">
        <f aca="false">H17</f>
        <v>0</v>
      </c>
      <c r="K379" s="0" t="n">
        <v>13</v>
      </c>
      <c r="L379" s="0" t="str">
        <f aca="false">L17</f>
        <v/>
      </c>
      <c r="M379" s="0" t="n">
        <v>13</v>
      </c>
      <c r="N379" s="0" t="n">
        <f aca="false">N17</f>
        <v>0</v>
      </c>
      <c r="Q379" s="0" t="e">
        <f aca="false">IF(Charts!$B$3="none",E2186,IF(K2186="",NA(),K2186))</f>
        <v>#N/A</v>
      </c>
      <c r="R379" s="0" t="e">
        <f aca="false">IF(Charts!$B$3="none",F2186,IF(L2186="",NA(),L2186))</f>
        <v>#N/A</v>
      </c>
      <c r="S379" s="0" t="e">
        <f aca="false">IF(Charts!$B$3="none",G2186,IF(M2186="",NA(),M2186))</f>
        <v>#N/A</v>
      </c>
      <c r="T379" s="0" t="e">
        <f aca="false">IF(Charts!$B$3="none",H2186,IF(N2186="",NA(),N2186))</f>
        <v>#N/A</v>
      </c>
    </row>
    <row r="380" customFormat="false" ht="15" hidden="false" customHeight="false" outlineLevel="0" collapsed="false">
      <c r="E380" s="0" t="n">
        <v>14</v>
      </c>
      <c r="F380" s="0" t="str">
        <f aca="false">F18</f>
        <v/>
      </c>
      <c r="G380" s="0" t="n">
        <v>14</v>
      </c>
      <c r="H380" s="0" t="n">
        <f aca="false">H18</f>
        <v>0</v>
      </c>
      <c r="K380" s="0" t="n">
        <v>14</v>
      </c>
      <c r="L380" s="0" t="str">
        <f aca="false">L18</f>
        <v/>
      </c>
      <c r="M380" s="0" t="n">
        <v>14</v>
      </c>
      <c r="N380" s="0" t="n">
        <f aca="false">N18</f>
        <v>0</v>
      </c>
      <c r="Q380" s="0" t="e">
        <f aca="false">IF(Charts!$B$3="none",E2187,IF(K2187="",NA(),K2187))</f>
        <v>#N/A</v>
      </c>
      <c r="R380" s="0" t="e">
        <f aca="false">IF(Charts!$B$3="none",F2187,IF(L2187="",NA(),L2187))</f>
        <v>#N/A</v>
      </c>
      <c r="S380" s="0" t="e">
        <f aca="false">IF(Charts!$B$3="none",G2187,IF(M2187="",NA(),M2187))</f>
        <v>#N/A</v>
      </c>
      <c r="T380" s="0" t="e">
        <f aca="false">IF(Charts!$B$3="none",H2187,IF(N2187="",NA(),N2187))</f>
        <v>#N/A</v>
      </c>
    </row>
    <row r="381" customFormat="false" ht="15" hidden="false" customHeight="false" outlineLevel="0" collapsed="false">
      <c r="E381" s="0" t="n">
        <v>15</v>
      </c>
      <c r="F381" s="0" t="str">
        <f aca="false">F19</f>
        <v/>
      </c>
      <c r="G381" s="0" t="n">
        <v>15</v>
      </c>
      <c r="H381" s="0" t="n">
        <f aca="false">H19</f>
        <v>0</v>
      </c>
      <c r="K381" s="0" t="n">
        <v>15</v>
      </c>
      <c r="L381" s="0" t="str">
        <f aca="false">L19</f>
        <v/>
      </c>
      <c r="M381" s="0" t="n">
        <v>15</v>
      </c>
      <c r="N381" s="0" t="n">
        <f aca="false">N19</f>
        <v>0</v>
      </c>
      <c r="Q381" s="0" t="e">
        <f aca="false">IF(Charts!$B$3="none",E2188,IF(K2188="",NA(),K2188))</f>
        <v>#N/A</v>
      </c>
      <c r="R381" s="0" t="e">
        <f aca="false">IF(Charts!$B$3="none",F2188,IF(L2188="",NA(),L2188))</f>
        <v>#N/A</v>
      </c>
      <c r="S381" s="0" t="e">
        <f aca="false">IF(Charts!$B$3="none",G2188,IF(M2188="",NA(),M2188))</f>
        <v>#N/A</v>
      </c>
      <c r="T381" s="0" t="e">
        <f aca="false">IF(Charts!$B$3="none",H2188,IF(N2188="",NA(),N2188))</f>
        <v>#N/A</v>
      </c>
    </row>
    <row r="382" customFormat="false" ht="15" hidden="false" customHeight="false" outlineLevel="0" collapsed="false">
      <c r="E382" s="0" t="n">
        <v>16</v>
      </c>
      <c r="F382" s="0" t="str">
        <f aca="false">F20</f>
        <v/>
      </c>
      <c r="G382" s="0" t="n">
        <v>16</v>
      </c>
      <c r="H382" s="0" t="n">
        <f aca="false">H20</f>
        <v>0</v>
      </c>
      <c r="K382" s="0" t="n">
        <v>16</v>
      </c>
      <c r="L382" s="0" t="str">
        <f aca="false">L20</f>
        <v/>
      </c>
      <c r="M382" s="0" t="n">
        <v>16</v>
      </c>
      <c r="N382" s="0" t="n">
        <f aca="false">N20</f>
        <v>0</v>
      </c>
      <c r="Q382" s="0" t="e">
        <f aca="false">IF(Charts!$B$3="none",E2189,IF(K2189="",NA(),K2189))</f>
        <v>#N/A</v>
      </c>
      <c r="R382" s="0" t="e">
        <f aca="false">IF(Charts!$B$3="none",F2189,IF(L2189="",NA(),L2189))</f>
        <v>#N/A</v>
      </c>
      <c r="S382" s="0" t="e">
        <f aca="false">IF(Charts!$B$3="none",G2189,IF(M2189="",NA(),M2189))</f>
        <v>#N/A</v>
      </c>
      <c r="T382" s="0" t="e">
        <f aca="false">IF(Charts!$B$3="none",H2189,IF(N2189="",NA(),N2189))</f>
        <v>#N/A</v>
      </c>
    </row>
    <row r="383" customFormat="false" ht="15" hidden="false" customHeight="false" outlineLevel="0" collapsed="false">
      <c r="E383" s="0" t="n">
        <v>17</v>
      </c>
      <c r="F383" s="0" t="str">
        <f aca="false">F21</f>
        <v/>
      </c>
      <c r="G383" s="0" t="n">
        <v>17</v>
      </c>
      <c r="H383" s="0" t="n">
        <f aca="false">H21</f>
        <v>0</v>
      </c>
      <c r="K383" s="0" t="n">
        <v>17</v>
      </c>
      <c r="L383" s="0" t="str">
        <f aca="false">L21</f>
        <v/>
      </c>
      <c r="M383" s="0" t="n">
        <v>17</v>
      </c>
      <c r="N383" s="0" t="n">
        <f aca="false">N21</f>
        <v>0</v>
      </c>
      <c r="Q383" s="0" t="e">
        <f aca="false">IF(Charts!$B$3="none",E2190,IF(K2190="",NA(),K2190))</f>
        <v>#N/A</v>
      </c>
      <c r="R383" s="0" t="e">
        <f aca="false">IF(Charts!$B$3="none",F2190,IF(L2190="",NA(),L2190))</f>
        <v>#N/A</v>
      </c>
      <c r="S383" s="0" t="e">
        <f aca="false">IF(Charts!$B$3="none",G2190,IF(M2190="",NA(),M2190))</f>
        <v>#N/A</v>
      </c>
      <c r="T383" s="0" t="e">
        <f aca="false">IF(Charts!$B$3="none",H2190,IF(N2190="",NA(),N2190))</f>
        <v>#N/A</v>
      </c>
    </row>
    <row r="384" customFormat="false" ht="15" hidden="false" customHeight="false" outlineLevel="0" collapsed="false">
      <c r="E384" s="0" t="n">
        <v>18</v>
      </c>
      <c r="F384" s="0" t="str">
        <f aca="false">F22</f>
        <v/>
      </c>
      <c r="G384" s="0" t="n">
        <v>18</v>
      </c>
      <c r="H384" s="0" t="n">
        <f aca="false">H22</f>
        <v>0</v>
      </c>
      <c r="K384" s="0" t="n">
        <v>18</v>
      </c>
      <c r="L384" s="0" t="str">
        <f aca="false">L22</f>
        <v/>
      </c>
      <c r="M384" s="0" t="n">
        <v>18</v>
      </c>
      <c r="N384" s="0" t="n">
        <f aca="false">N22</f>
        <v>0</v>
      </c>
      <c r="Q384" s="0" t="e">
        <f aca="false">IF(Charts!$B$3="none",E2191,IF(K2191="",NA(),K2191))</f>
        <v>#N/A</v>
      </c>
      <c r="R384" s="0" t="e">
        <f aca="false">IF(Charts!$B$3="none",F2191,IF(L2191="",NA(),L2191))</f>
        <v>#N/A</v>
      </c>
      <c r="S384" s="0" t="e">
        <f aca="false">IF(Charts!$B$3="none",G2191,IF(M2191="",NA(),M2191))</f>
        <v>#N/A</v>
      </c>
      <c r="T384" s="0" t="e">
        <f aca="false">IF(Charts!$B$3="none",H2191,IF(N2191="",NA(),N2191))</f>
        <v>#N/A</v>
      </c>
    </row>
    <row r="385" customFormat="false" ht="15" hidden="false" customHeight="false" outlineLevel="0" collapsed="false">
      <c r="E385" s="0" t="n">
        <v>19</v>
      </c>
      <c r="F385" s="0" t="str">
        <f aca="false">F23</f>
        <v/>
      </c>
      <c r="G385" s="0" t="n">
        <v>19</v>
      </c>
      <c r="H385" s="0" t="n">
        <f aca="false">H23</f>
        <v>0</v>
      </c>
      <c r="K385" s="0" t="n">
        <v>19</v>
      </c>
      <c r="L385" s="0" t="str">
        <f aca="false">L23</f>
        <v/>
      </c>
      <c r="M385" s="0" t="n">
        <v>19</v>
      </c>
      <c r="N385" s="0" t="n">
        <f aca="false">N23</f>
        <v>0</v>
      </c>
      <c r="Q385" s="0" t="e">
        <f aca="false">IF(Charts!$B$3="none",E2192,IF(K2192="",NA(),K2192))</f>
        <v>#N/A</v>
      </c>
      <c r="R385" s="0" t="e">
        <f aca="false">IF(Charts!$B$3="none",F2192,IF(L2192="",NA(),L2192))</f>
        <v>#N/A</v>
      </c>
      <c r="S385" s="0" t="e">
        <f aca="false">IF(Charts!$B$3="none",G2192,IF(M2192="",NA(),M2192))</f>
        <v>#N/A</v>
      </c>
      <c r="T385" s="0" t="e">
        <f aca="false">IF(Charts!$B$3="none",H2192,IF(N2192="",NA(),N2192))</f>
        <v>#N/A</v>
      </c>
    </row>
    <row r="386" customFormat="false" ht="15" hidden="false" customHeight="false" outlineLevel="0" collapsed="false">
      <c r="E386" s="0" t="n">
        <v>20</v>
      </c>
      <c r="F386" s="0" t="str">
        <f aca="false">F24</f>
        <v/>
      </c>
      <c r="G386" s="0" t="n">
        <v>20</v>
      </c>
      <c r="H386" s="0" t="n">
        <f aca="false">H24</f>
        <v>0</v>
      </c>
      <c r="K386" s="0" t="n">
        <v>20</v>
      </c>
      <c r="L386" s="0" t="str">
        <f aca="false">L24</f>
        <v/>
      </c>
      <c r="M386" s="0" t="n">
        <v>20</v>
      </c>
      <c r="N386" s="0" t="n">
        <f aca="false">N24</f>
        <v>0</v>
      </c>
      <c r="Q386" s="0" t="e">
        <f aca="false">IF(Charts!$B$3="none",E2193,IF(K2193="",NA(),K2193))</f>
        <v>#N/A</v>
      </c>
      <c r="R386" s="0" t="e">
        <f aca="false">IF(Charts!$B$3="none",F2193,IF(L2193="",NA(),L2193))</f>
        <v>#N/A</v>
      </c>
      <c r="S386" s="0" t="e">
        <f aca="false">IF(Charts!$B$3="none",G2193,IF(M2193="",NA(),M2193))</f>
        <v>#N/A</v>
      </c>
      <c r="T386" s="0" t="e">
        <f aca="false">IF(Charts!$B$3="none",H2193,IF(N2193="",NA(),N2193))</f>
        <v>#N/A</v>
      </c>
    </row>
    <row r="387" customFormat="false" ht="15" hidden="false" customHeight="false" outlineLevel="0" collapsed="false">
      <c r="E387" s="0" t="n">
        <v>21</v>
      </c>
      <c r="F387" s="0" t="str">
        <f aca="false">F25</f>
        <v/>
      </c>
      <c r="G387" s="0" t="n">
        <v>21</v>
      </c>
      <c r="H387" s="0" t="n">
        <f aca="false">H25</f>
        <v>0</v>
      </c>
      <c r="K387" s="0" t="n">
        <v>21</v>
      </c>
      <c r="L387" s="0" t="str">
        <f aca="false">L25</f>
        <v/>
      </c>
      <c r="M387" s="0" t="n">
        <v>21</v>
      </c>
      <c r="N387" s="0" t="n">
        <f aca="false">N25</f>
        <v>0</v>
      </c>
      <c r="Q387" s="0" t="e">
        <f aca="false">IF(Charts!$B$3="none",E2194,IF(K2194="",NA(),K2194))</f>
        <v>#N/A</v>
      </c>
      <c r="R387" s="0" t="e">
        <f aca="false">IF(Charts!$B$3="none",F2194,IF(L2194="",NA(),L2194))</f>
        <v>#N/A</v>
      </c>
      <c r="S387" s="0" t="e">
        <f aca="false">IF(Charts!$B$3="none",G2194,IF(M2194="",NA(),M2194))</f>
        <v>#N/A</v>
      </c>
      <c r="T387" s="0" t="e">
        <f aca="false">IF(Charts!$B$3="none",H2194,IF(N2194="",NA(),N2194))</f>
        <v>#N/A</v>
      </c>
    </row>
    <row r="388" customFormat="false" ht="15" hidden="false" customHeight="false" outlineLevel="0" collapsed="false">
      <c r="E388" s="0" t="n">
        <v>22</v>
      </c>
      <c r="F388" s="0" t="str">
        <f aca="false">F26</f>
        <v/>
      </c>
      <c r="G388" s="0" t="n">
        <v>22</v>
      </c>
      <c r="H388" s="0" t="n">
        <f aca="false">H26</f>
        <v>0</v>
      </c>
      <c r="K388" s="0" t="n">
        <v>22</v>
      </c>
      <c r="L388" s="0" t="str">
        <f aca="false">L26</f>
        <v/>
      </c>
      <c r="M388" s="0" t="n">
        <v>22</v>
      </c>
      <c r="N388" s="0" t="n">
        <f aca="false">N26</f>
        <v>0</v>
      </c>
      <c r="Q388" s="0" t="e">
        <f aca="false">IF(Charts!$B$3="none",E2195,IF(K2195="",NA(),K2195))</f>
        <v>#N/A</v>
      </c>
      <c r="R388" s="0" t="e">
        <f aca="false">IF(Charts!$B$3="none",F2195,IF(L2195="",NA(),L2195))</f>
        <v>#N/A</v>
      </c>
      <c r="S388" s="0" t="e">
        <f aca="false">IF(Charts!$B$3="none",G2195,IF(M2195="",NA(),M2195))</f>
        <v>#N/A</v>
      </c>
      <c r="T388" s="0" t="e">
        <f aca="false">IF(Charts!$B$3="none",H2195,IF(N2195="",NA(),N2195))</f>
        <v>#N/A</v>
      </c>
    </row>
    <row r="389" customFormat="false" ht="15" hidden="false" customHeight="false" outlineLevel="0" collapsed="false">
      <c r="E389" s="0" t="n">
        <v>23</v>
      </c>
      <c r="F389" s="0" t="str">
        <f aca="false">F27</f>
        <v/>
      </c>
      <c r="G389" s="0" t="n">
        <v>23</v>
      </c>
      <c r="H389" s="0" t="n">
        <f aca="false">H27</f>
        <v>0</v>
      </c>
      <c r="K389" s="0" t="n">
        <v>23</v>
      </c>
      <c r="L389" s="0" t="str">
        <f aca="false">L27</f>
        <v/>
      </c>
      <c r="M389" s="0" t="n">
        <v>23</v>
      </c>
      <c r="N389" s="0" t="n">
        <f aca="false">N27</f>
        <v>0</v>
      </c>
      <c r="Q389" s="0" t="e">
        <f aca="false">IF(Charts!$B$3="none",E2196,IF(K2196="",NA(),K2196))</f>
        <v>#N/A</v>
      </c>
      <c r="R389" s="0" t="e">
        <f aca="false">IF(Charts!$B$3="none",F2196,IF(L2196="",NA(),L2196))</f>
        <v>#N/A</v>
      </c>
      <c r="S389" s="0" t="e">
        <f aca="false">IF(Charts!$B$3="none",G2196,IF(M2196="",NA(),M2196))</f>
        <v>#N/A</v>
      </c>
      <c r="T389" s="0" t="e">
        <f aca="false">IF(Charts!$B$3="none",H2196,IF(N2196="",NA(),N2196))</f>
        <v>#N/A</v>
      </c>
    </row>
    <row r="390" customFormat="false" ht="15" hidden="false" customHeight="false" outlineLevel="0" collapsed="false">
      <c r="E390" s="0" t="n">
        <v>24</v>
      </c>
      <c r="F390" s="0" t="str">
        <f aca="false">F28</f>
        <v/>
      </c>
      <c r="G390" s="0" t="n">
        <v>24</v>
      </c>
      <c r="H390" s="0" t="n">
        <f aca="false">H28</f>
        <v>0</v>
      </c>
      <c r="K390" s="0" t="n">
        <v>24</v>
      </c>
      <c r="L390" s="0" t="str">
        <f aca="false">L28</f>
        <v/>
      </c>
      <c r="M390" s="0" t="n">
        <v>24</v>
      </c>
      <c r="N390" s="0" t="n">
        <f aca="false">N28</f>
        <v>0</v>
      </c>
      <c r="Q390" s="0" t="e">
        <f aca="false">IF(Charts!$B$3="none",E2197,IF(K2197="",NA(),K2197))</f>
        <v>#N/A</v>
      </c>
      <c r="R390" s="0" t="e">
        <f aca="false">IF(Charts!$B$3="none",F2197,IF(L2197="",NA(),L2197))</f>
        <v>#N/A</v>
      </c>
      <c r="S390" s="0" t="e">
        <f aca="false">IF(Charts!$B$3="none",G2197,IF(M2197="",NA(),M2197))</f>
        <v>#N/A</v>
      </c>
      <c r="T390" s="0" t="e">
        <f aca="false">IF(Charts!$B$3="none",H2197,IF(N2197="",NA(),N2197))</f>
        <v>#N/A</v>
      </c>
    </row>
    <row r="391" customFormat="false" ht="15" hidden="false" customHeight="false" outlineLevel="0" collapsed="false">
      <c r="E391" s="0" t="n">
        <v>25</v>
      </c>
      <c r="F391" s="0" t="str">
        <f aca="false">F29</f>
        <v/>
      </c>
      <c r="G391" s="0" t="n">
        <v>25</v>
      </c>
      <c r="H391" s="0" t="n">
        <f aca="false">H29</f>
        <v>0</v>
      </c>
      <c r="K391" s="0" t="n">
        <v>25</v>
      </c>
      <c r="L391" s="0" t="str">
        <f aca="false">L29</f>
        <v/>
      </c>
      <c r="M391" s="0" t="n">
        <v>25</v>
      </c>
      <c r="N391" s="0" t="n">
        <f aca="false">N29</f>
        <v>0</v>
      </c>
      <c r="Q391" s="0" t="e">
        <f aca="false">IF(Charts!$B$3="none",E2198,IF(K2198="",NA(),K2198))</f>
        <v>#N/A</v>
      </c>
      <c r="R391" s="0" t="e">
        <f aca="false">IF(Charts!$B$3="none",F2198,IF(L2198="",NA(),L2198))</f>
        <v>#N/A</v>
      </c>
      <c r="S391" s="0" t="e">
        <f aca="false">IF(Charts!$B$3="none",G2198,IF(M2198="",NA(),M2198))</f>
        <v>#N/A</v>
      </c>
      <c r="T391" s="0" t="e">
        <f aca="false">IF(Charts!$B$3="none",H2198,IF(N2198="",NA(),N2198))</f>
        <v>#N/A</v>
      </c>
    </row>
    <row r="392" customFormat="false" ht="15" hidden="false" customHeight="false" outlineLevel="0" collapsed="false">
      <c r="E392" s="0" t="n">
        <v>26</v>
      </c>
      <c r="F392" s="0" t="str">
        <f aca="false">F30</f>
        <v/>
      </c>
      <c r="G392" s="0" t="n">
        <v>26</v>
      </c>
      <c r="H392" s="0" t="n">
        <f aca="false">H30</f>
        <v>0</v>
      </c>
      <c r="K392" s="0" t="n">
        <v>26</v>
      </c>
      <c r="L392" s="0" t="str">
        <f aca="false">L30</f>
        <v/>
      </c>
      <c r="M392" s="0" t="n">
        <v>26</v>
      </c>
      <c r="N392" s="0" t="n">
        <f aca="false">N30</f>
        <v>0</v>
      </c>
      <c r="Q392" s="0" t="e">
        <f aca="false">IF(Charts!$B$3="none",E2199,IF(K2199="",NA(),K2199))</f>
        <v>#N/A</v>
      </c>
      <c r="R392" s="0" t="e">
        <f aca="false">IF(Charts!$B$3="none",F2199,IF(L2199="",NA(),L2199))</f>
        <v>#N/A</v>
      </c>
      <c r="S392" s="0" t="e">
        <f aca="false">IF(Charts!$B$3="none",G2199,IF(M2199="",NA(),M2199))</f>
        <v>#N/A</v>
      </c>
      <c r="T392" s="0" t="e">
        <f aca="false">IF(Charts!$B$3="none",H2199,IF(N2199="",NA(),N2199))</f>
        <v>#N/A</v>
      </c>
    </row>
    <row r="393" customFormat="false" ht="15" hidden="false" customHeight="false" outlineLevel="0" collapsed="false">
      <c r="E393" s="0" t="n">
        <v>27</v>
      </c>
      <c r="F393" s="0" t="str">
        <f aca="false">F31</f>
        <v/>
      </c>
      <c r="G393" s="0" t="n">
        <v>27</v>
      </c>
      <c r="H393" s="0" t="n">
        <f aca="false">H31</f>
        <v>0</v>
      </c>
      <c r="K393" s="0" t="n">
        <v>27</v>
      </c>
      <c r="L393" s="0" t="str">
        <f aca="false">L31</f>
        <v/>
      </c>
      <c r="M393" s="0" t="n">
        <v>27</v>
      </c>
      <c r="N393" s="0" t="n">
        <f aca="false">N31</f>
        <v>0</v>
      </c>
      <c r="Q393" s="0" t="e">
        <f aca="false">IF(Charts!$B$3="none",E2200,IF(K2200="",NA(),K2200))</f>
        <v>#N/A</v>
      </c>
      <c r="R393" s="0" t="e">
        <f aca="false">IF(Charts!$B$3="none",F2200,IF(L2200="",NA(),L2200))</f>
        <v>#N/A</v>
      </c>
      <c r="S393" s="0" t="e">
        <f aca="false">IF(Charts!$B$3="none",G2200,IF(M2200="",NA(),M2200))</f>
        <v>#N/A</v>
      </c>
      <c r="T393" s="0" t="e">
        <f aca="false">IF(Charts!$B$3="none",H2200,IF(N2200="",NA(),N2200))</f>
        <v>#N/A</v>
      </c>
    </row>
    <row r="394" customFormat="false" ht="15" hidden="false" customHeight="false" outlineLevel="0" collapsed="false">
      <c r="E394" s="0" t="n">
        <v>28</v>
      </c>
      <c r="F394" s="0" t="str">
        <f aca="false">F32</f>
        <v/>
      </c>
      <c r="G394" s="0" t="n">
        <v>28</v>
      </c>
      <c r="H394" s="0" t="n">
        <f aca="false">H32</f>
        <v>0</v>
      </c>
      <c r="K394" s="0" t="n">
        <v>28</v>
      </c>
      <c r="L394" s="0" t="str">
        <f aca="false">L32</f>
        <v/>
      </c>
      <c r="M394" s="0" t="n">
        <v>28</v>
      </c>
      <c r="N394" s="0" t="n">
        <f aca="false">N32</f>
        <v>0</v>
      </c>
      <c r="Q394" s="0" t="e">
        <f aca="false">IF(Charts!$B$3="none",E2201,IF(K2201="",NA(),K2201))</f>
        <v>#N/A</v>
      </c>
      <c r="R394" s="0" t="e">
        <f aca="false">IF(Charts!$B$3="none",F2201,IF(L2201="",NA(),L2201))</f>
        <v>#N/A</v>
      </c>
      <c r="S394" s="0" t="e">
        <f aca="false">IF(Charts!$B$3="none",G2201,IF(M2201="",NA(),M2201))</f>
        <v>#N/A</v>
      </c>
      <c r="T394" s="0" t="e">
        <f aca="false">IF(Charts!$B$3="none",H2201,IF(N2201="",NA(),N2201))</f>
        <v>#N/A</v>
      </c>
    </row>
    <row r="395" customFormat="false" ht="15" hidden="false" customHeight="false" outlineLevel="0" collapsed="false">
      <c r="E395" s="0" t="n">
        <v>29</v>
      </c>
      <c r="F395" s="0" t="str">
        <f aca="false">F33</f>
        <v/>
      </c>
      <c r="G395" s="0" t="n">
        <v>29</v>
      </c>
      <c r="H395" s="0" t="n">
        <f aca="false">H33</f>
        <v>0</v>
      </c>
      <c r="K395" s="0" t="n">
        <v>29</v>
      </c>
      <c r="L395" s="0" t="str">
        <f aca="false">L33</f>
        <v/>
      </c>
      <c r="M395" s="0" t="n">
        <v>29</v>
      </c>
      <c r="N395" s="0" t="n">
        <f aca="false">N33</f>
        <v>0</v>
      </c>
      <c r="Q395" s="0" t="e">
        <f aca="false">IF(Charts!$B$3="none",E2202,IF(K2202="",NA(),K2202))</f>
        <v>#N/A</v>
      </c>
      <c r="R395" s="0" t="e">
        <f aca="false">IF(Charts!$B$3="none",F2202,IF(L2202="",NA(),L2202))</f>
        <v>#N/A</v>
      </c>
      <c r="S395" s="0" t="e">
        <f aca="false">IF(Charts!$B$3="none",G2202,IF(M2202="",NA(),M2202))</f>
        <v>#N/A</v>
      </c>
      <c r="T395" s="0" t="e">
        <f aca="false">IF(Charts!$B$3="none",H2202,IF(N2202="",NA(),N2202))</f>
        <v>#N/A</v>
      </c>
    </row>
    <row r="396" customFormat="false" ht="15" hidden="false" customHeight="false" outlineLevel="0" collapsed="false">
      <c r="E396" s="0" t="n">
        <v>30</v>
      </c>
      <c r="F396" s="0" t="str">
        <f aca="false">F34</f>
        <v/>
      </c>
      <c r="G396" s="0" t="n">
        <v>30</v>
      </c>
      <c r="H396" s="0" t="n">
        <f aca="false">H34</f>
        <v>0</v>
      </c>
      <c r="K396" s="0" t="n">
        <v>30</v>
      </c>
      <c r="L396" s="0" t="str">
        <f aca="false">L34</f>
        <v/>
      </c>
      <c r="M396" s="0" t="n">
        <v>30</v>
      </c>
      <c r="N396" s="0" t="n">
        <f aca="false">N34</f>
        <v>0</v>
      </c>
      <c r="Q396" s="0" t="e">
        <f aca="false">IF(Charts!$B$3="none",E2203,IF(K2203="",NA(),K2203))</f>
        <v>#N/A</v>
      </c>
      <c r="R396" s="0" t="e">
        <f aca="false">IF(Charts!$B$3="none",F2203,IF(L2203="",NA(),L2203))</f>
        <v>#N/A</v>
      </c>
      <c r="S396" s="0" t="e">
        <f aca="false">IF(Charts!$B$3="none",G2203,IF(M2203="",NA(),M2203))</f>
        <v>#N/A</v>
      </c>
      <c r="T396" s="0" t="e">
        <f aca="false">IF(Charts!$B$3="none",H2203,IF(N2203="",NA(),N2203))</f>
        <v>#N/A</v>
      </c>
    </row>
    <row r="397" customFormat="false" ht="15" hidden="false" customHeight="false" outlineLevel="0" collapsed="false">
      <c r="E397" s="0" t="n">
        <v>31</v>
      </c>
      <c r="F397" s="0" t="str">
        <f aca="false">F35</f>
        <v/>
      </c>
      <c r="G397" s="0" t="n">
        <v>31</v>
      </c>
      <c r="H397" s="0" t="n">
        <f aca="false">H35</f>
        <v>0</v>
      </c>
      <c r="K397" s="0" t="n">
        <v>31</v>
      </c>
      <c r="L397" s="0" t="str">
        <f aca="false">L35</f>
        <v/>
      </c>
      <c r="M397" s="0" t="n">
        <v>31</v>
      </c>
      <c r="N397" s="0" t="n">
        <f aca="false">N35</f>
        <v>0</v>
      </c>
      <c r="Q397" s="0" t="e">
        <f aca="false">IF(Charts!$B$3="none",E2204,IF(K2204="",NA(),K2204))</f>
        <v>#N/A</v>
      </c>
      <c r="R397" s="0" t="e">
        <f aca="false">IF(Charts!$B$3="none",F2204,IF(L2204="",NA(),L2204))</f>
        <v>#N/A</v>
      </c>
      <c r="S397" s="0" t="e">
        <f aca="false">IF(Charts!$B$3="none",G2204,IF(M2204="",NA(),M2204))</f>
        <v>#N/A</v>
      </c>
      <c r="T397" s="0" t="e">
        <f aca="false">IF(Charts!$B$3="none",H2204,IF(N2204="",NA(),N2204))</f>
        <v>#N/A</v>
      </c>
    </row>
    <row r="398" customFormat="false" ht="15" hidden="false" customHeight="false" outlineLevel="0" collapsed="false">
      <c r="E398" s="0" t="n">
        <v>32</v>
      </c>
      <c r="F398" s="0" t="str">
        <f aca="false">F36</f>
        <v/>
      </c>
      <c r="G398" s="0" t="n">
        <v>32</v>
      </c>
      <c r="H398" s="0" t="n">
        <f aca="false">H36</f>
        <v>0</v>
      </c>
      <c r="K398" s="0" t="n">
        <v>32</v>
      </c>
      <c r="L398" s="0" t="str">
        <f aca="false">L36</f>
        <v/>
      </c>
      <c r="M398" s="0" t="n">
        <v>32</v>
      </c>
      <c r="N398" s="0" t="n">
        <f aca="false">N36</f>
        <v>0</v>
      </c>
      <c r="Q398" s="0" t="e">
        <f aca="false">IF(Charts!$B$3="none",E2205,IF(K2205="",NA(),K2205))</f>
        <v>#N/A</v>
      </c>
      <c r="R398" s="0" t="e">
        <f aca="false">IF(Charts!$B$3="none",F2205,IF(L2205="",NA(),L2205))</f>
        <v>#N/A</v>
      </c>
      <c r="S398" s="0" t="e">
        <f aca="false">IF(Charts!$B$3="none",G2205,IF(M2205="",NA(),M2205))</f>
        <v>#N/A</v>
      </c>
      <c r="T398" s="0" t="e">
        <f aca="false">IF(Charts!$B$3="none",H2205,IF(N2205="",NA(),N2205))</f>
        <v>#N/A</v>
      </c>
    </row>
    <row r="399" customFormat="false" ht="15" hidden="false" customHeight="false" outlineLevel="0" collapsed="false">
      <c r="E399" s="0" t="n">
        <v>33</v>
      </c>
      <c r="F399" s="0" t="str">
        <f aca="false">F37</f>
        <v/>
      </c>
      <c r="G399" s="0" t="n">
        <v>33</v>
      </c>
      <c r="H399" s="0" t="n">
        <f aca="false">H37</f>
        <v>0</v>
      </c>
      <c r="K399" s="0" t="n">
        <v>33</v>
      </c>
      <c r="L399" s="0" t="str">
        <f aca="false">L37</f>
        <v/>
      </c>
      <c r="M399" s="0" t="n">
        <v>33</v>
      </c>
      <c r="N399" s="0" t="n">
        <f aca="false">N37</f>
        <v>0</v>
      </c>
      <c r="Q399" s="0" t="e">
        <f aca="false">IF(Charts!$B$3="none",E2206,IF(K2206="",NA(),K2206))</f>
        <v>#N/A</v>
      </c>
      <c r="R399" s="0" t="e">
        <f aca="false">IF(Charts!$B$3="none",F2206,IF(L2206="",NA(),L2206))</f>
        <v>#N/A</v>
      </c>
      <c r="S399" s="0" t="e">
        <f aca="false">IF(Charts!$B$3="none",G2206,IF(M2206="",NA(),M2206))</f>
        <v>#N/A</v>
      </c>
      <c r="T399" s="0" t="e">
        <f aca="false">IF(Charts!$B$3="none",H2206,IF(N2206="",NA(),N2206))</f>
        <v>#N/A</v>
      </c>
    </row>
    <row r="400" customFormat="false" ht="15" hidden="false" customHeight="false" outlineLevel="0" collapsed="false">
      <c r="E400" s="0" t="n">
        <v>34</v>
      </c>
      <c r="F400" s="0" t="str">
        <f aca="false">F38</f>
        <v/>
      </c>
      <c r="G400" s="0" t="n">
        <v>34</v>
      </c>
      <c r="H400" s="0" t="n">
        <f aca="false">H38</f>
        <v>0</v>
      </c>
      <c r="K400" s="0" t="n">
        <v>34</v>
      </c>
      <c r="L400" s="0" t="str">
        <f aca="false">L38</f>
        <v/>
      </c>
      <c r="M400" s="0" t="n">
        <v>34</v>
      </c>
      <c r="N400" s="0" t="n">
        <f aca="false">N38</f>
        <v>0</v>
      </c>
      <c r="Q400" s="0" t="e">
        <f aca="false">IF(Charts!$B$3="none",E2207,IF(K2207="",NA(),K2207))</f>
        <v>#N/A</v>
      </c>
      <c r="R400" s="0" t="e">
        <f aca="false">IF(Charts!$B$3="none",F2207,IF(L2207="",NA(),L2207))</f>
        <v>#N/A</v>
      </c>
      <c r="S400" s="0" t="e">
        <f aca="false">IF(Charts!$B$3="none",G2207,IF(M2207="",NA(),M2207))</f>
        <v>#N/A</v>
      </c>
      <c r="T400" s="0" t="e">
        <f aca="false">IF(Charts!$B$3="none",H2207,IF(N2207="",NA(),N2207))</f>
        <v>#N/A</v>
      </c>
    </row>
    <row r="401" customFormat="false" ht="15" hidden="false" customHeight="false" outlineLevel="0" collapsed="false">
      <c r="E401" s="0" t="n">
        <v>35</v>
      </c>
      <c r="F401" s="0" t="str">
        <f aca="false">F39</f>
        <v/>
      </c>
      <c r="G401" s="0" t="n">
        <v>35</v>
      </c>
      <c r="H401" s="0" t="n">
        <f aca="false">H39</f>
        <v>0</v>
      </c>
      <c r="K401" s="0" t="n">
        <v>35</v>
      </c>
      <c r="L401" s="0" t="str">
        <f aca="false">L39</f>
        <v/>
      </c>
      <c r="M401" s="0" t="n">
        <v>35</v>
      </c>
      <c r="N401" s="0" t="n">
        <f aca="false">N39</f>
        <v>0</v>
      </c>
      <c r="Q401" s="0" t="e">
        <f aca="false">IF(Charts!$B$3="none",E2208,IF(K2208="",NA(),K2208))</f>
        <v>#N/A</v>
      </c>
      <c r="R401" s="0" t="e">
        <f aca="false">IF(Charts!$B$3="none",F2208,IF(L2208="",NA(),L2208))</f>
        <v>#N/A</v>
      </c>
      <c r="S401" s="0" t="e">
        <f aca="false">IF(Charts!$B$3="none",G2208,IF(M2208="",NA(),M2208))</f>
        <v>#N/A</v>
      </c>
      <c r="T401" s="0" t="e">
        <f aca="false">IF(Charts!$B$3="none",H2208,IF(N2208="",NA(),N2208))</f>
        <v>#N/A</v>
      </c>
    </row>
    <row r="402" customFormat="false" ht="15" hidden="false" customHeight="false" outlineLevel="0" collapsed="false">
      <c r="E402" s="0" t="n">
        <v>36</v>
      </c>
      <c r="F402" s="0" t="str">
        <f aca="false">F40</f>
        <v/>
      </c>
      <c r="G402" s="0" t="n">
        <v>36</v>
      </c>
      <c r="H402" s="0" t="n">
        <f aca="false">H40</f>
        <v>0</v>
      </c>
      <c r="K402" s="0" t="n">
        <v>36</v>
      </c>
      <c r="L402" s="0" t="str">
        <f aca="false">L40</f>
        <v/>
      </c>
      <c r="M402" s="0" t="n">
        <v>36</v>
      </c>
      <c r="N402" s="0" t="n">
        <f aca="false">N40</f>
        <v>0</v>
      </c>
      <c r="Q402" s="0" t="e">
        <f aca="false">IF(Charts!$B$3="none",E2209,IF(K2209="",NA(),K2209))</f>
        <v>#N/A</v>
      </c>
      <c r="R402" s="0" t="e">
        <f aca="false">IF(Charts!$B$3="none",F2209,IF(L2209="",NA(),L2209))</f>
        <v>#N/A</v>
      </c>
      <c r="S402" s="0" t="e">
        <f aca="false">IF(Charts!$B$3="none",G2209,IF(M2209="",NA(),M2209))</f>
        <v>#N/A</v>
      </c>
      <c r="T402" s="0" t="e">
        <f aca="false">IF(Charts!$B$3="none",H2209,IF(N2209="",NA(),N2209))</f>
        <v>#N/A</v>
      </c>
    </row>
    <row r="403" customFormat="false" ht="15" hidden="false" customHeight="false" outlineLevel="0" collapsed="false">
      <c r="E403" s="0" t="n">
        <v>37</v>
      </c>
      <c r="F403" s="0" t="str">
        <f aca="false">F41</f>
        <v/>
      </c>
      <c r="G403" s="0" t="n">
        <v>37</v>
      </c>
      <c r="H403" s="0" t="n">
        <f aca="false">H41</f>
        <v>0</v>
      </c>
      <c r="K403" s="0" t="n">
        <v>37</v>
      </c>
      <c r="L403" s="0" t="str">
        <f aca="false">L41</f>
        <v/>
      </c>
      <c r="M403" s="0" t="n">
        <v>37</v>
      </c>
      <c r="N403" s="0" t="n">
        <f aca="false">N41</f>
        <v>0</v>
      </c>
      <c r="Q403" s="0" t="e">
        <f aca="false">IF(Charts!$B$3="none",E2210,IF(K2210="",NA(),K2210))</f>
        <v>#N/A</v>
      </c>
      <c r="R403" s="0" t="e">
        <f aca="false">IF(Charts!$B$3="none",F2210,IF(L2210="",NA(),L2210))</f>
        <v>#N/A</v>
      </c>
      <c r="S403" s="0" t="e">
        <f aca="false">IF(Charts!$B$3="none",G2210,IF(M2210="",NA(),M2210))</f>
        <v>#N/A</v>
      </c>
      <c r="T403" s="0" t="e">
        <f aca="false">IF(Charts!$B$3="none",H2210,IF(N2210="",NA(),N2210))</f>
        <v>#N/A</v>
      </c>
    </row>
    <row r="404" customFormat="false" ht="15" hidden="false" customHeight="false" outlineLevel="0" collapsed="false">
      <c r="E404" s="0" t="n">
        <v>38</v>
      </c>
      <c r="F404" s="0" t="str">
        <f aca="false">F42</f>
        <v/>
      </c>
      <c r="G404" s="0" t="n">
        <v>38</v>
      </c>
      <c r="H404" s="0" t="n">
        <f aca="false">H42</f>
        <v>0</v>
      </c>
      <c r="K404" s="0" t="n">
        <v>38</v>
      </c>
      <c r="L404" s="0" t="str">
        <f aca="false">L42</f>
        <v/>
      </c>
      <c r="M404" s="0" t="n">
        <v>38</v>
      </c>
      <c r="N404" s="0" t="n">
        <f aca="false">N42</f>
        <v>0</v>
      </c>
      <c r="Q404" s="0" t="e">
        <f aca="false">IF(Charts!$B$3="none",E2211,IF(K2211="",NA(),K2211))</f>
        <v>#N/A</v>
      </c>
      <c r="R404" s="0" t="e">
        <f aca="false">IF(Charts!$B$3="none",F2211,IF(L2211="",NA(),L2211))</f>
        <v>#N/A</v>
      </c>
      <c r="S404" s="0" t="e">
        <f aca="false">IF(Charts!$B$3="none",G2211,IF(M2211="",NA(),M2211))</f>
        <v>#N/A</v>
      </c>
      <c r="T404" s="0" t="e">
        <f aca="false">IF(Charts!$B$3="none",H2211,IF(N2211="",NA(),N2211))</f>
        <v>#N/A</v>
      </c>
    </row>
    <row r="405" customFormat="false" ht="15" hidden="false" customHeight="false" outlineLevel="0" collapsed="false">
      <c r="E405" s="0" t="n">
        <v>39</v>
      </c>
      <c r="F405" s="0" t="str">
        <f aca="false">F43</f>
        <v/>
      </c>
      <c r="G405" s="0" t="n">
        <v>39</v>
      </c>
      <c r="H405" s="0" t="n">
        <f aca="false">H43</f>
        <v>0</v>
      </c>
      <c r="K405" s="0" t="n">
        <v>39</v>
      </c>
      <c r="L405" s="0" t="str">
        <f aca="false">L43</f>
        <v/>
      </c>
      <c r="M405" s="0" t="n">
        <v>39</v>
      </c>
      <c r="N405" s="0" t="n">
        <f aca="false">N43</f>
        <v>0</v>
      </c>
      <c r="Q405" s="0" t="e">
        <f aca="false">IF(Charts!$B$3="none",E2212,IF(K2212="",NA(),K2212))</f>
        <v>#N/A</v>
      </c>
      <c r="R405" s="0" t="e">
        <f aca="false">IF(Charts!$B$3="none",F2212,IF(L2212="",NA(),L2212))</f>
        <v>#N/A</v>
      </c>
      <c r="S405" s="0" t="e">
        <f aca="false">IF(Charts!$B$3="none",G2212,IF(M2212="",NA(),M2212))</f>
        <v>#N/A</v>
      </c>
      <c r="T405" s="0" t="e">
        <f aca="false">IF(Charts!$B$3="none",H2212,IF(N2212="",NA(),N2212))</f>
        <v>#N/A</v>
      </c>
    </row>
    <row r="406" customFormat="false" ht="15" hidden="false" customHeight="false" outlineLevel="0" collapsed="false">
      <c r="E406" s="0" t="n">
        <v>40</v>
      </c>
      <c r="F406" s="0" t="str">
        <f aca="false">F44</f>
        <v/>
      </c>
      <c r="G406" s="0" t="n">
        <v>40</v>
      </c>
      <c r="H406" s="0" t="n">
        <f aca="false">H44</f>
        <v>0</v>
      </c>
      <c r="K406" s="0" t="n">
        <v>40</v>
      </c>
      <c r="L406" s="0" t="str">
        <f aca="false">L44</f>
        <v/>
      </c>
      <c r="M406" s="0" t="n">
        <v>40</v>
      </c>
      <c r="N406" s="0" t="n">
        <f aca="false">N44</f>
        <v>0</v>
      </c>
      <c r="Q406" s="0" t="e">
        <f aca="false">IF(Charts!$B$3="none",E2213,IF(K2213="",NA(),K2213))</f>
        <v>#N/A</v>
      </c>
      <c r="R406" s="0" t="e">
        <f aca="false">IF(Charts!$B$3="none",F2213,IF(L2213="",NA(),L2213))</f>
        <v>#N/A</v>
      </c>
      <c r="S406" s="0" t="e">
        <f aca="false">IF(Charts!$B$3="none",G2213,IF(M2213="",NA(),M2213))</f>
        <v>#N/A</v>
      </c>
      <c r="T406" s="0" t="e">
        <f aca="false">IF(Charts!$B$3="none",H2213,IF(N2213="",NA(),N2213))</f>
        <v>#N/A</v>
      </c>
    </row>
    <row r="407" customFormat="false" ht="15" hidden="false" customHeight="false" outlineLevel="0" collapsed="false">
      <c r="E407" s="0" t="n">
        <v>41</v>
      </c>
      <c r="F407" s="0" t="str">
        <f aca="false">F45</f>
        <v/>
      </c>
      <c r="G407" s="0" t="n">
        <v>41</v>
      </c>
      <c r="H407" s="0" t="n">
        <f aca="false">H45</f>
        <v>0</v>
      </c>
      <c r="K407" s="0" t="n">
        <v>41</v>
      </c>
      <c r="L407" s="0" t="str">
        <f aca="false">L45</f>
        <v/>
      </c>
      <c r="M407" s="0" t="n">
        <v>41</v>
      </c>
      <c r="N407" s="0" t="n">
        <f aca="false">N45</f>
        <v>0</v>
      </c>
      <c r="Q407" s="0" t="e">
        <f aca="false">IF(Charts!$B$3="none",E2214,IF(K2214="",NA(),K2214))</f>
        <v>#N/A</v>
      </c>
      <c r="R407" s="0" t="e">
        <f aca="false">IF(Charts!$B$3="none",F2214,IF(L2214="",NA(),L2214))</f>
        <v>#N/A</v>
      </c>
      <c r="S407" s="0" t="e">
        <f aca="false">IF(Charts!$B$3="none",G2214,IF(M2214="",NA(),M2214))</f>
        <v>#N/A</v>
      </c>
      <c r="T407" s="0" t="e">
        <f aca="false">IF(Charts!$B$3="none",H2214,IF(N2214="",NA(),N2214))</f>
        <v>#N/A</v>
      </c>
    </row>
    <row r="408" customFormat="false" ht="15" hidden="false" customHeight="false" outlineLevel="0" collapsed="false">
      <c r="E408" s="0" t="n">
        <v>42</v>
      </c>
      <c r="F408" s="0" t="str">
        <f aca="false">F46</f>
        <v/>
      </c>
      <c r="G408" s="0" t="n">
        <v>42</v>
      </c>
      <c r="H408" s="0" t="n">
        <f aca="false">H46</f>
        <v>0</v>
      </c>
      <c r="K408" s="0" t="n">
        <v>42</v>
      </c>
      <c r="L408" s="0" t="str">
        <f aca="false">L46</f>
        <v/>
      </c>
      <c r="M408" s="0" t="n">
        <v>42</v>
      </c>
      <c r="N408" s="0" t="n">
        <f aca="false">N46</f>
        <v>0</v>
      </c>
      <c r="Q408" s="0" t="e">
        <f aca="false">IF(Charts!$B$3="none",E2215,IF(K2215="",NA(),K2215))</f>
        <v>#N/A</v>
      </c>
      <c r="R408" s="0" t="e">
        <f aca="false">IF(Charts!$B$3="none",F2215,IF(L2215="",NA(),L2215))</f>
        <v>#N/A</v>
      </c>
      <c r="S408" s="0" t="e">
        <f aca="false">IF(Charts!$B$3="none",G2215,IF(M2215="",NA(),M2215))</f>
        <v>#N/A</v>
      </c>
      <c r="T408" s="0" t="e">
        <f aca="false">IF(Charts!$B$3="none",H2215,IF(N2215="",NA(),N2215))</f>
        <v>#N/A</v>
      </c>
    </row>
    <row r="409" customFormat="false" ht="15" hidden="false" customHeight="false" outlineLevel="0" collapsed="false">
      <c r="E409" s="0" t="n">
        <v>43</v>
      </c>
      <c r="F409" s="0" t="str">
        <f aca="false">F47</f>
        <v/>
      </c>
      <c r="G409" s="0" t="n">
        <v>43</v>
      </c>
      <c r="H409" s="0" t="n">
        <f aca="false">H47</f>
        <v>0</v>
      </c>
      <c r="K409" s="0" t="n">
        <v>43</v>
      </c>
      <c r="L409" s="0" t="str">
        <f aca="false">L47</f>
        <v/>
      </c>
      <c r="M409" s="0" t="n">
        <v>43</v>
      </c>
      <c r="N409" s="0" t="n">
        <f aca="false">N47</f>
        <v>0</v>
      </c>
      <c r="Q409" s="0" t="e">
        <f aca="false">IF(Charts!$B$3="none",E2216,IF(K2216="",NA(),K2216))</f>
        <v>#N/A</v>
      </c>
      <c r="R409" s="0" t="e">
        <f aca="false">IF(Charts!$B$3="none",F2216,IF(L2216="",NA(),L2216))</f>
        <v>#N/A</v>
      </c>
      <c r="S409" s="0" t="e">
        <f aca="false">IF(Charts!$B$3="none",G2216,IF(M2216="",NA(),M2216))</f>
        <v>#N/A</v>
      </c>
      <c r="T409" s="0" t="e">
        <f aca="false">IF(Charts!$B$3="none",H2216,IF(N2216="",NA(),N2216))</f>
        <v>#N/A</v>
      </c>
    </row>
    <row r="410" customFormat="false" ht="15" hidden="false" customHeight="false" outlineLevel="0" collapsed="false">
      <c r="E410" s="0" t="n">
        <v>44</v>
      </c>
      <c r="F410" s="0" t="str">
        <f aca="false">F48</f>
        <v/>
      </c>
      <c r="G410" s="0" t="n">
        <v>44</v>
      </c>
      <c r="H410" s="0" t="n">
        <f aca="false">H48</f>
        <v>0</v>
      </c>
      <c r="K410" s="0" t="n">
        <v>44</v>
      </c>
      <c r="L410" s="0" t="str">
        <f aca="false">L48</f>
        <v/>
      </c>
      <c r="M410" s="0" t="n">
        <v>44</v>
      </c>
      <c r="N410" s="0" t="n">
        <f aca="false">N48</f>
        <v>0</v>
      </c>
      <c r="Q410" s="0" t="e">
        <f aca="false">IF(Charts!$B$3="none",E2217,IF(K2217="",NA(),K2217))</f>
        <v>#N/A</v>
      </c>
      <c r="R410" s="0" t="e">
        <f aca="false">IF(Charts!$B$3="none",F2217,IF(L2217="",NA(),L2217))</f>
        <v>#N/A</v>
      </c>
      <c r="S410" s="0" t="e">
        <f aca="false">IF(Charts!$B$3="none",G2217,IF(M2217="",NA(),M2217))</f>
        <v>#N/A</v>
      </c>
      <c r="T410" s="0" t="e">
        <f aca="false">IF(Charts!$B$3="none",H2217,IF(N2217="",NA(),N2217))</f>
        <v>#N/A</v>
      </c>
    </row>
    <row r="411" customFormat="false" ht="15" hidden="false" customHeight="false" outlineLevel="0" collapsed="false">
      <c r="E411" s="0" t="n">
        <v>45</v>
      </c>
      <c r="F411" s="0" t="str">
        <f aca="false">F49</f>
        <v/>
      </c>
      <c r="G411" s="0" t="n">
        <v>45</v>
      </c>
      <c r="H411" s="0" t="n">
        <f aca="false">H49</f>
        <v>0</v>
      </c>
      <c r="K411" s="0" t="n">
        <v>45</v>
      </c>
      <c r="L411" s="0" t="str">
        <f aca="false">L49</f>
        <v/>
      </c>
      <c r="M411" s="0" t="n">
        <v>45</v>
      </c>
      <c r="N411" s="0" t="n">
        <f aca="false">N49</f>
        <v>0</v>
      </c>
      <c r="Q411" s="0" t="e">
        <f aca="false">IF(Charts!$B$3="none",E2218,IF(K2218="",NA(),K2218))</f>
        <v>#N/A</v>
      </c>
      <c r="R411" s="0" t="e">
        <f aca="false">IF(Charts!$B$3="none",F2218,IF(L2218="",NA(),L2218))</f>
        <v>#N/A</v>
      </c>
      <c r="S411" s="0" t="e">
        <f aca="false">IF(Charts!$B$3="none",G2218,IF(M2218="",NA(),M2218))</f>
        <v>#N/A</v>
      </c>
      <c r="T411" s="0" t="e">
        <f aca="false">IF(Charts!$B$3="none",H2218,IF(N2218="",NA(),N2218))</f>
        <v>#N/A</v>
      </c>
    </row>
    <row r="412" customFormat="false" ht="15" hidden="false" customHeight="false" outlineLevel="0" collapsed="false">
      <c r="E412" s="0" t="n">
        <v>46</v>
      </c>
      <c r="F412" s="0" t="str">
        <f aca="false">F50</f>
        <v/>
      </c>
      <c r="G412" s="0" t="n">
        <v>46</v>
      </c>
      <c r="H412" s="0" t="n">
        <f aca="false">H50</f>
        <v>0</v>
      </c>
      <c r="K412" s="0" t="n">
        <v>46</v>
      </c>
      <c r="L412" s="0" t="str">
        <f aca="false">L50</f>
        <v/>
      </c>
      <c r="M412" s="0" t="n">
        <v>46</v>
      </c>
      <c r="N412" s="0" t="n">
        <f aca="false">N50</f>
        <v>0</v>
      </c>
      <c r="Q412" s="0" t="e">
        <f aca="false">IF(Charts!$B$3="none",E2219,IF(K2219="",NA(),K2219))</f>
        <v>#N/A</v>
      </c>
      <c r="R412" s="0" t="e">
        <f aca="false">IF(Charts!$B$3="none",F2219,IF(L2219="",NA(),L2219))</f>
        <v>#N/A</v>
      </c>
      <c r="S412" s="0" t="e">
        <f aca="false">IF(Charts!$B$3="none",G2219,IF(M2219="",NA(),M2219))</f>
        <v>#N/A</v>
      </c>
      <c r="T412" s="0" t="e">
        <f aca="false">IF(Charts!$B$3="none",H2219,IF(N2219="",NA(),N2219))</f>
        <v>#N/A</v>
      </c>
    </row>
    <row r="413" customFormat="false" ht="15" hidden="false" customHeight="false" outlineLevel="0" collapsed="false">
      <c r="E413" s="0" t="n">
        <v>47</v>
      </c>
      <c r="F413" s="0" t="str">
        <f aca="false">F51</f>
        <v/>
      </c>
      <c r="G413" s="0" t="n">
        <v>47</v>
      </c>
      <c r="H413" s="0" t="n">
        <f aca="false">H51</f>
        <v>0</v>
      </c>
      <c r="K413" s="0" t="n">
        <v>47</v>
      </c>
      <c r="L413" s="0" t="str">
        <f aca="false">L51</f>
        <v/>
      </c>
      <c r="M413" s="0" t="n">
        <v>47</v>
      </c>
      <c r="N413" s="0" t="n">
        <f aca="false">N51</f>
        <v>0</v>
      </c>
      <c r="Q413" s="0" t="e">
        <f aca="false">IF(Charts!$B$3="none",E2220,IF(K2220="",NA(),K2220))</f>
        <v>#N/A</v>
      </c>
      <c r="R413" s="0" t="e">
        <f aca="false">IF(Charts!$B$3="none",F2220,IF(L2220="",NA(),L2220))</f>
        <v>#N/A</v>
      </c>
      <c r="S413" s="0" t="e">
        <f aca="false">IF(Charts!$B$3="none",G2220,IF(M2220="",NA(),M2220))</f>
        <v>#N/A</v>
      </c>
      <c r="T413" s="0" t="e">
        <f aca="false">IF(Charts!$B$3="none",H2220,IF(N2220="",NA(),N2220))</f>
        <v>#N/A</v>
      </c>
    </row>
    <row r="414" customFormat="false" ht="15" hidden="false" customHeight="false" outlineLevel="0" collapsed="false">
      <c r="E414" s="0" t="n">
        <v>48</v>
      </c>
      <c r="F414" s="0" t="str">
        <f aca="false">F52</f>
        <v/>
      </c>
      <c r="G414" s="0" t="n">
        <v>48</v>
      </c>
      <c r="H414" s="0" t="n">
        <f aca="false">H52</f>
        <v>0</v>
      </c>
      <c r="K414" s="0" t="n">
        <v>48</v>
      </c>
      <c r="L414" s="0" t="str">
        <f aca="false">L52</f>
        <v/>
      </c>
      <c r="M414" s="0" t="n">
        <v>48</v>
      </c>
      <c r="N414" s="0" t="n">
        <f aca="false">N52</f>
        <v>0</v>
      </c>
      <c r="Q414" s="0" t="e">
        <f aca="false">IF(Charts!$B$3="none",E2221,IF(K2221="",NA(),K2221))</f>
        <v>#N/A</v>
      </c>
      <c r="R414" s="0" t="e">
        <f aca="false">IF(Charts!$B$3="none",F2221,IF(L2221="",NA(),L2221))</f>
        <v>#N/A</v>
      </c>
      <c r="S414" s="0" t="e">
        <f aca="false">IF(Charts!$B$3="none",G2221,IF(M2221="",NA(),M2221))</f>
        <v>#N/A</v>
      </c>
      <c r="T414" s="0" t="e">
        <f aca="false">IF(Charts!$B$3="none",H2221,IF(N2221="",NA(),N2221))</f>
        <v>#N/A</v>
      </c>
    </row>
    <row r="415" customFormat="false" ht="15" hidden="false" customHeight="false" outlineLevel="0" collapsed="false">
      <c r="E415" s="0" t="n">
        <v>49</v>
      </c>
      <c r="F415" s="0" t="str">
        <f aca="false">F53</f>
        <v/>
      </c>
      <c r="G415" s="0" t="n">
        <v>49</v>
      </c>
      <c r="H415" s="0" t="n">
        <f aca="false">H53</f>
        <v>0</v>
      </c>
      <c r="K415" s="0" t="n">
        <v>49</v>
      </c>
      <c r="L415" s="0" t="str">
        <f aca="false">L53</f>
        <v/>
      </c>
      <c r="M415" s="0" t="n">
        <v>49</v>
      </c>
      <c r="N415" s="0" t="n">
        <f aca="false">N53</f>
        <v>0</v>
      </c>
      <c r="Q415" s="0" t="e">
        <f aca="false">IF(Charts!$B$3="none",E2222,IF(K2222="",NA(),K2222))</f>
        <v>#N/A</v>
      </c>
      <c r="R415" s="0" t="e">
        <f aca="false">IF(Charts!$B$3="none",F2222,IF(L2222="",NA(),L2222))</f>
        <v>#N/A</v>
      </c>
      <c r="S415" s="0" t="e">
        <f aca="false">IF(Charts!$B$3="none",G2222,IF(M2222="",NA(),M2222))</f>
        <v>#N/A</v>
      </c>
      <c r="T415" s="0" t="e">
        <f aca="false">IF(Charts!$B$3="none",H2222,IF(N2222="",NA(),N2222))</f>
        <v>#N/A</v>
      </c>
    </row>
    <row r="416" customFormat="false" ht="15" hidden="false" customHeight="false" outlineLevel="0" collapsed="false">
      <c r="E416" s="0" t="n">
        <v>50</v>
      </c>
      <c r="F416" s="0" t="str">
        <f aca="false">F54</f>
        <v/>
      </c>
      <c r="G416" s="0" t="n">
        <v>50</v>
      </c>
      <c r="H416" s="0" t="n">
        <f aca="false">H54</f>
        <v>0</v>
      </c>
      <c r="K416" s="0" t="n">
        <v>50</v>
      </c>
      <c r="L416" s="0" t="str">
        <f aca="false">L54</f>
        <v/>
      </c>
      <c r="M416" s="0" t="n">
        <v>50</v>
      </c>
      <c r="N416" s="0" t="n">
        <f aca="false">N54</f>
        <v>0</v>
      </c>
      <c r="Q416" s="0" t="e">
        <f aca="false">IF(Charts!$B$3="none",E2223,IF(K2223="",NA(),K2223))</f>
        <v>#N/A</v>
      </c>
      <c r="R416" s="0" t="e">
        <f aca="false">IF(Charts!$B$3="none",F2223,IF(L2223="",NA(),L2223))</f>
        <v>#N/A</v>
      </c>
      <c r="S416" s="0" t="e">
        <f aca="false">IF(Charts!$B$3="none",G2223,IF(M2223="",NA(),M2223))</f>
        <v>#N/A</v>
      </c>
      <c r="T416" s="0" t="e">
        <f aca="false">IF(Charts!$B$3="none",H2223,IF(N2223="",NA(),N2223))</f>
        <v>#N/A</v>
      </c>
    </row>
    <row r="417" customFormat="false" ht="15" hidden="false" customHeight="false" outlineLevel="0" collapsed="false">
      <c r="E417" s="0" t="n">
        <v>51</v>
      </c>
      <c r="F417" s="0" t="str">
        <f aca="false">F55</f>
        <v/>
      </c>
      <c r="G417" s="0" t="n">
        <v>51</v>
      </c>
      <c r="H417" s="0" t="n">
        <f aca="false">H55</f>
        <v>0</v>
      </c>
      <c r="K417" s="0" t="n">
        <v>51</v>
      </c>
      <c r="L417" s="0" t="str">
        <f aca="false">L55</f>
        <v/>
      </c>
      <c r="M417" s="0" t="n">
        <v>51</v>
      </c>
      <c r="N417" s="0" t="n">
        <f aca="false">N55</f>
        <v>0</v>
      </c>
      <c r="Q417" s="0" t="e">
        <f aca="false">IF(Charts!$B$3="none",E2224,IF(K2224="",NA(),K2224))</f>
        <v>#N/A</v>
      </c>
      <c r="R417" s="0" t="e">
        <f aca="false">IF(Charts!$B$3="none",F2224,IF(L2224="",NA(),L2224))</f>
        <v>#N/A</v>
      </c>
      <c r="S417" s="0" t="e">
        <f aca="false">IF(Charts!$B$3="none",G2224,IF(M2224="",NA(),M2224))</f>
        <v>#N/A</v>
      </c>
      <c r="T417" s="0" t="e">
        <f aca="false">IF(Charts!$B$3="none",H2224,IF(N2224="",NA(),N2224))</f>
        <v>#N/A</v>
      </c>
    </row>
    <row r="418" customFormat="false" ht="15" hidden="false" customHeight="false" outlineLevel="0" collapsed="false">
      <c r="E418" s="0" t="n">
        <v>52</v>
      </c>
      <c r="F418" s="0" t="str">
        <f aca="false">F56</f>
        <v/>
      </c>
      <c r="G418" s="0" t="n">
        <v>52</v>
      </c>
      <c r="H418" s="0" t="n">
        <f aca="false">H56</f>
        <v>0</v>
      </c>
      <c r="K418" s="0" t="n">
        <v>52</v>
      </c>
      <c r="L418" s="0" t="str">
        <f aca="false">L56</f>
        <v/>
      </c>
      <c r="M418" s="0" t="n">
        <v>52</v>
      </c>
      <c r="N418" s="0" t="n">
        <f aca="false">N56</f>
        <v>0</v>
      </c>
      <c r="Q418" s="0" t="e">
        <f aca="false">IF(Charts!$B$3="none",E2225,IF(K2225="",NA(),K2225))</f>
        <v>#N/A</v>
      </c>
      <c r="R418" s="0" t="e">
        <f aca="false">IF(Charts!$B$3="none",F2225,IF(L2225="",NA(),L2225))</f>
        <v>#N/A</v>
      </c>
      <c r="S418" s="0" t="e">
        <f aca="false">IF(Charts!$B$3="none",G2225,IF(M2225="",NA(),M2225))</f>
        <v>#N/A</v>
      </c>
      <c r="T418" s="0" t="e">
        <f aca="false">IF(Charts!$B$3="none",H2225,IF(N2225="",NA(),N2225))</f>
        <v>#N/A</v>
      </c>
    </row>
    <row r="419" customFormat="false" ht="15" hidden="false" customHeight="false" outlineLevel="0" collapsed="false">
      <c r="E419" s="0" t="n">
        <v>53</v>
      </c>
      <c r="F419" s="0" t="str">
        <f aca="false">F57</f>
        <v/>
      </c>
      <c r="G419" s="0" t="n">
        <v>53</v>
      </c>
      <c r="H419" s="0" t="n">
        <f aca="false">H57</f>
        <v>0</v>
      </c>
      <c r="K419" s="0" t="n">
        <v>53</v>
      </c>
      <c r="L419" s="0" t="str">
        <f aca="false">L57</f>
        <v/>
      </c>
      <c r="M419" s="0" t="n">
        <v>53</v>
      </c>
      <c r="N419" s="0" t="n">
        <f aca="false">N57</f>
        <v>0</v>
      </c>
      <c r="Q419" s="0" t="e">
        <f aca="false">IF(Charts!$B$3="none",E2226,IF(K2226="",NA(),K2226))</f>
        <v>#N/A</v>
      </c>
      <c r="R419" s="0" t="e">
        <f aca="false">IF(Charts!$B$3="none",F2226,IF(L2226="",NA(),L2226))</f>
        <v>#N/A</v>
      </c>
      <c r="S419" s="0" t="e">
        <f aca="false">IF(Charts!$B$3="none",G2226,IF(M2226="",NA(),M2226))</f>
        <v>#N/A</v>
      </c>
      <c r="T419" s="0" t="e">
        <f aca="false">IF(Charts!$B$3="none",H2226,IF(N2226="",NA(),N2226))</f>
        <v>#N/A</v>
      </c>
    </row>
    <row r="420" customFormat="false" ht="15" hidden="false" customHeight="false" outlineLevel="0" collapsed="false">
      <c r="E420" s="0" t="n">
        <v>54</v>
      </c>
      <c r="F420" s="0" t="str">
        <f aca="false">F58</f>
        <v/>
      </c>
      <c r="G420" s="0" t="n">
        <v>54</v>
      </c>
      <c r="H420" s="0" t="n">
        <f aca="false">H58</f>
        <v>0</v>
      </c>
      <c r="K420" s="0" t="n">
        <v>54</v>
      </c>
      <c r="L420" s="0" t="str">
        <f aca="false">L58</f>
        <v/>
      </c>
      <c r="M420" s="0" t="n">
        <v>54</v>
      </c>
      <c r="N420" s="0" t="n">
        <f aca="false">N58</f>
        <v>0</v>
      </c>
      <c r="Q420" s="0" t="e">
        <f aca="false">IF(Charts!$B$3="none",E2227,IF(K2227="",NA(),K2227))</f>
        <v>#N/A</v>
      </c>
      <c r="R420" s="0" t="e">
        <f aca="false">IF(Charts!$B$3="none",F2227,IF(L2227="",NA(),L2227))</f>
        <v>#N/A</v>
      </c>
      <c r="S420" s="0" t="e">
        <f aca="false">IF(Charts!$B$3="none",G2227,IF(M2227="",NA(),M2227))</f>
        <v>#N/A</v>
      </c>
      <c r="T420" s="0" t="e">
        <f aca="false">IF(Charts!$B$3="none",H2227,IF(N2227="",NA(),N2227))</f>
        <v>#N/A</v>
      </c>
    </row>
    <row r="421" customFormat="false" ht="15" hidden="false" customHeight="false" outlineLevel="0" collapsed="false">
      <c r="E421" s="0" t="n">
        <v>55</v>
      </c>
      <c r="F421" s="0" t="str">
        <f aca="false">F59</f>
        <v/>
      </c>
      <c r="G421" s="0" t="n">
        <v>55</v>
      </c>
      <c r="H421" s="0" t="n">
        <f aca="false">H59</f>
        <v>0</v>
      </c>
      <c r="K421" s="0" t="n">
        <v>55</v>
      </c>
      <c r="L421" s="0" t="str">
        <f aca="false">L59</f>
        <v/>
      </c>
      <c r="M421" s="0" t="n">
        <v>55</v>
      </c>
      <c r="N421" s="0" t="n">
        <f aca="false">N59</f>
        <v>0</v>
      </c>
      <c r="Q421" s="0" t="e">
        <f aca="false">IF(Charts!$B$3="none",E2228,IF(K2228="",NA(),K2228))</f>
        <v>#N/A</v>
      </c>
      <c r="R421" s="0" t="e">
        <f aca="false">IF(Charts!$B$3="none",F2228,IF(L2228="",NA(),L2228))</f>
        <v>#N/A</v>
      </c>
      <c r="S421" s="0" t="e">
        <f aca="false">IF(Charts!$B$3="none",G2228,IF(M2228="",NA(),M2228))</f>
        <v>#N/A</v>
      </c>
      <c r="T421" s="0" t="e">
        <f aca="false">IF(Charts!$B$3="none",H2228,IF(N2228="",NA(),N2228))</f>
        <v>#N/A</v>
      </c>
    </row>
    <row r="422" customFormat="false" ht="15" hidden="false" customHeight="false" outlineLevel="0" collapsed="false">
      <c r="E422" s="0" t="n">
        <v>56</v>
      </c>
      <c r="F422" s="0" t="str">
        <f aca="false">F60</f>
        <v/>
      </c>
      <c r="G422" s="0" t="n">
        <v>56</v>
      </c>
      <c r="H422" s="0" t="n">
        <f aca="false">H60</f>
        <v>0</v>
      </c>
      <c r="K422" s="0" t="n">
        <v>56</v>
      </c>
      <c r="L422" s="0" t="str">
        <f aca="false">L60</f>
        <v/>
      </c>
      <c r="M422" s="0" t="n">
        <v>56</v>
      </c>
      <c r="N422" s="0" t="n">
        <f aca="false">N60</f>
        <v>0</v>
      </c>
      <c r="Q422" s="0" t="e">
        <f aca="false">IF(Charts!$B$3="none",E2229,IF(K2229="",NA(),K2229))</f>
        <v>#N/A</v>
      </c>
      <c r="R422" s="0" t="e">
        <f aca="false">IF(Charts!$B$3="none",F2229,IF(L2229="",NA(),L2229))</f>
        <v>#N/A</v>
      </c>
      <c r="S422" s="0" t="e">
        <f aca="false">IF(Charts!$B$3="none",G2229,IF(M2229="",NA(),M2229))</f>
        <v>#N/A</v>
      </c>
      <c r="T422" s="0" t="e">
        <f aca="false">IF(Charts!$B$3="none",H2229,IF(N2229="",NA(),N2229))</f>
        <v>#N/A</v>
      </c>
    </row>
    <row r="423" customFormat="false" ht="15" hidden="false" customHeight="false" outlineLevel="0" collapsed="false">
      <c r="E423" s="0" t="n">
        <v>57</v>
      </c>
      <c r="F423" s="0" t="str">
        <f aca="false">F61</f>
        <v/>
      </c>
      <c r="G423" s="0" t="n">
        <v>57</v>
      </c>
      <c r="H423" s="0" t="n">
        <f aca="false">H61</f>
        <v>0</v>
      </c>
      <c r="K423" s="0" t="n">
        <v>57</v>
      </c>
      <c r="L423" s="0" t="str">
        <f aca="false">L61</f>
        <v/>
      </c>
      <c r="M423" s="0" t="n">
        <v>57</v>
      </c>
      <c r="N423" s="0" t="n">
        <f aca="false">N61</f>
        <v>0</v>
      </c>
      <c r="Q423" s="0" t="e">
        <f aca="false">IF(Charts!$B$3="none",E2230,IF(K2230="",NA(),K2230))</f>
        <v>#N/A</v>
      </c>
      <c r="R423" s="0" t="e">
        <f aca="false">IF(Charts!$B$3="none",F2230,IF(L2230="",NA(),L2230))</f>
        <v>#N/A</v>
      </c>
      <c r="S423" s="0" t="e">
        <f aca="false">IF(Charts!$B$3="none",G2230,IF(M2230="",NA(),M2230))</f>
        <v>#N/A</v>
      </c>
      <c r="T423" s="0" t="e">
        <f aca="false">IF(Charts!$B$3="none",H2230,IF(N2230="",NA(),N2230))</f>
        <v>#N/A</v>
      </c>
    </row>
    <row r="424" customFormat="false" ht="15" hidden="false" customHeight="false" outlineLevel="0" collapsed="false">
      <c r="E424" s="0" t="n">
        <v>58</v>
      </c>
      <c r="F424" s="0" t="str">
        <f aca="false">F62</f>
        <v/>
      </c>
      <c r="G424" s="0" t="n">
        <v>58</v>
      </c>
      <c r="H424" s="0" t="n">
        <f aca="false">H62</f>
        <v>0</v>
      </c>
      <c r="K424" s="0" t="n">
        <v>58</v>
      </c>
      <c r="L424" s="0" t="str">
        <f aca="false">L62</f>
        <v/>
      </c>
      <c r="M424" s="0" t="n">
        <v>58</v>
      </c>
      <c r="N424" s="0" t="n">
        <f aca="false">N62</f>
        <v>0</v>
      </c>
      <c r="Q424" s="0" t="e">
        <f aca="false">IF(Charts!$B$3="none",E2231,IF(K2231="",NA(),K2231))</f>
        <v>#N/A</v>
      </c>
      <c r="R424" s="0" t="e">
        <f aca="false">IF(Charts!$B$3="none",F2231,IF(L2231="",NA(),L2231))</f>
        <v>#N/A</v>
      </c>
      <c r="S424" s="0" t="e">
        <f aca="false">IF(Charts!$B$3="none",G2231,IF(M2231="",NA(),M2231))</f>
        <v>#N/A</v>
      </c>
      <c r="T424" s="0" t="e">
        <f aca="false">IF(Charts!$B$3="none",H2231,IF(N2231="",NA(),N2231))</f>
        <v>#N/A</v>
      </c>
    </row>
    <row r="425" customFormat="false" ht="15" hidden="false" customHeight="false" outlineLevel="0" collapsed="false">
      <c r="E425" s="0" t="n">
        <v>59</v>
      </c>
      <c r="F425" s="0" t="str">
        <f aca="false">F63</f>
        <v/>
      </c>
      <c r="G425" s="0" t="n">
        <v>59</v>
      </c>
      <c r="H425" s="0" t="n">
        <f aca="false">H63</f>
        <v>0</v>
      </c>
      <c r="K425" s="0" t="n">
        <v>59</v>
      </c>
      <c r="L425" s="0" t="str">
        <f aca="false">L63</f>
        <v/>
      </c>
      <c r="M425" s="0" t="n">
        <v>59</v>
      </c>
      <c r="N425" s="0" t="n">
        <f aca="false">N63</f>
        <v>0</v>
      </c>
      <c r="Q425" s="0" t="e">
        <f aca="false">IF(Charts!$B$3="none",E2232,IF(K2232="",NA(),K2232))</f>
        <v>#N/A</v>
      </c>
      <c r="R425" s="0" t="e">
        <f aca="false">IF(Charts!$B$3="none",F2232,IF(L2232="",NA(),L2232))</f>
        <v>#N/A</v>
      </c>
      <c r="S425" s="0" t="e">
        <f aca="false">IF(Charts!$B$3="none",G2232,IF(M2232="",NA(),M2232))</f>
        <v>#N/A</v>
      </c>
      <c r="T425" s="0" t="e">
        <f aca="false">IF(Charts!$B$3="none",H2232,IF(N2232="",NA(),N2232))</f>
        <v>#N/A</v>
      </c>
    </row>
    <row r="426" customFormat="false" ht="15" hidden="false" customHeight="false" outlineLevel="0" collapsed="false">
      <c r="E426" s="0" t="n">
        <v>60</v>
      </c>
      <c r="F426" s="0" t="str">
        <f aca="false">F64</f>
        <v/>
      </c>
      <c r="G426" s="0" t="n">
        <v>60</v>
      </c>
      <c r="H426" s="0" t="n">
        <f aca="false">H64</f>
        <v>0</v>
      </c>
      <c r="K426" s="0" t="n">
        <v>60</v>
      </c>
      <c r="L426" s="0" t="str">
        <f aca="false">L64</f>
        <v/>
      </c>
      <c r="M426" s="0" t="n">
        <v>60</v>
      </c>
      <c r="N426" s="0" t="n">
        <f aca="false">N64</f>
        <v>0</v>
      </c>
      <c r="Q426" s="0" t="e">
        <f aca="false">IF(Charts!$B$3="none",E2233,IF(K2233="",NA(),K2233))</f>
        <v>#N/A</v>
      </c>
      <c r="R426" s="0" t="e">
        <f aca="false">IF(Charts!$B$3="none",F2233,IF(L2233="",NA(),L2233))</f>
        <v>#N/A</v>
      </c>
      <c r="S426" s="0" t="e">
        <f aca="false">IF(Charts!$B$3="none",G2233,IF(M2233="",NA(),M2233))</f>
        <v>#N/A</v>
      </c>
      <c r="T426" s="0" t="e">
        <f aca="false">IF(Charts!$B$3="none",H2233,IF(N2233="",NA(),N2233))</f>
        <v>#N/A</v>
      </c>
    </row>
    <row r="427" customFormat="false" ht="15" hidden="false" customHeight="false" outlineLevel="0" collapsed="false">
      <c r="E427" s="0" t="n">
        <v>61</v>
      </c>
      <c r="F427" s="0" t="str">
        <f aca="false">F65</f>
        <v/>
      </c>
      <c r="G427" s="0" t="n">
        <v>61</v>
      </c>
      <c r="H427" s="0" t="n">
        <f aca="false">H65</f>
        <v>0</v>
      </c>
      <c r="K427" s="0" t="n">
        <v>61</v>
      </c>
      <c r="L427" s="0" t="str">
        <f aca="false">L65</f>
        <v/>
      </c>
      <c r="M427" s="0" t="n">
        <v>61</v>
      </c>
      <c r="N427" s="0" t="n">
        <f aca="false">N65</f>
        <v>0</v>
      </c>
      <c r="Q427" s="0" t="e">
        <f aca="false">IF(Charts!$B$3="none",E2234,IF(K2234="",NA(),K2234))</f>
        <v>#N/A</v>
      </c>
      <c r="R427" s="0" t="e">
        <f aca="false">IF(Charts!$B$3="none",F2234,IF(L2234="",NA(),L2234))</f>
        <v>#N/A</v>
      </c>
      <c r="S427" s="0" t="e">
        <f aca="false">IF(Charts!$B$3="none",G2234,IF(M2234="",NA(),M2234))</f>
        <v>#N/A</v>
      </c>
      <c r="T427" s="0" t="e">
        <f aca="false">IF(Charts!$B$3="none",H2234,IF(N2234="",NA(),N2234))</f>
        <v>#N/A</v>
      </c>
    </row>
    <row r="428" customFormat="false" ht="15" hidden="false" customHeight="false" outlineLevel="0" collapsed="false">
      <c r="E428" s="0" t="n">
        <v>62</v>
      </c>
      <c r="F428" s="0" t="str">
        <f aca="false">F66</f>
        <v/>
      </c>
      <c r="G428" s="0" t="n">
        <v>62</v>
      </c>
      <c r="H428" s="0" t="n">
        <f aca="false">H66</f>
        <v>0</v>
      </c>
      <c r="K428" s="0" t="n">
        <v>62</v>
      </c>
      <c r="L428" s="0" t="str">
        <f aca="false">L66</f>
        <v/>
      </c>
      <c r="M428" s="0" t="n">
        <v>62</v>
      </c>
      <c r="N428" s="0" t="n">
        <f aca="false">N66</f>
        <v>0</v>
      </c>
      <c r="Q428" s="0" t="e">
        <f aca="false">IF(Charts!$B$3="none",E2235,IF(K2235="",NA(),K2235))</f>
        <v>#N/A</v>
      </c>
      <c r="R428" s="0" t="e">
        <f aca="false">IF(Charts!$B$3="none",F2235,IF(L2235="",NA(),L2235))</f>
        <v>#N/A</v>
      </c>
      <c r="S428" s="0" t="e">
        <f aca="false">IF(Charts!$B$3="none",G2235,IF(M2235="",NA(),M2235))</f>
        <v>#N/A</v>
      </c>
      <c r="T428" s="0" t="e">
        <f aca="false">IF(Charts!$B$3="none",H2235,IF(N2235="",NA(),N2235))</f>
        <v>#N/A</v>
      </c>
    </row>
    <row r="429" customFormat="false" ht="15" hidden="false" customHeight="false" outlineLevel="0" collapsed="false">
      <c r="E429" s="0" t="n">
        <v>63</v>
      </c>
      <c r="F429" s="0" t="str">
        <f aca="false">F67</f>
        <v/>
      </c>
      <c r="G429" s="0" t="n">
        <v>63</v>
      </c>
      <c r="H429" s="0" t="n">
        <f aca="false">H67</f>
        <v>0</v>
      </c>
      <c r="K429" s="0" t="n">
        <v>63</v>
      </c>
      <c r="L429" s="0" t="str">
        <f aca="false">L67</f>
        <v/>
      </c>
      <c r="M429" s="0" t="n">
        <v>63</v>
      </c>
      <c r="N429" s="0" t="n">
        <f aca="false">N67</f>
        <v>0</v>
      </c>
      <c r="Q429" s="0" t="e">
        <f aca="false">IF(Charts!$B$3="none",E2236,IF(K2236="",NA(),K2236))</f>
        <v>#N/A</v>
      </c>
      <c r="R429" s="0" t="e">
        <f aca="false">IF(Charts!$B$3="none",F2236,IF(L2236="",NA(),L2236))</f>
        <v>#N/A</v>
      </c>
      <c r="S429" s="0" t="e">
        <f aca="false">IF(Charts!$B$3="none",G2236,IF(M2236="",NA(),M2236))</f>
        <v>#N/A</v>
      </c>
      <c r="T429" s="0" t="e">
        <f aca="false">IF(Charts!$B$3="none",H2236,IF(N2236="",NA(),N2236))</f>
        <v>#N/A</v>
      </c>
    </row>
    <row r="430" customFormat="false" ht="15" hidden="false" customHeight="false" outlineLevel="0" collapsed="false">
      <c r="E430" s="0" t="n">
        <v>64</v>
      </c>
      <c r="F430" s="0" t="str">
        <f aca="false">F68</f>
        <v/>
      </c>
      <c r="G430" s="0" t="n">
        <v>64</v>
      </c>
      <c r="H430" s="0" t="n">
        <f aca="false">H68</f>
        <v>0</v>
      </c>
      <c r="K430" s="0" t="n">
        <v>64</v>
      </c>
      <c r="L430" s="0" t="str">
        <f aca="false">L68</f>
        <v/>
      </c>
      <c r="M430" s="0" t="n">
        <v>64</v>
      </c>
      <c r="N430" s="0" t="n">
        <f aca="false">N68</f>
        <v>0</v>
      </c>
      <c r="Q430" s="0" t="e">
        <f aca="false">IF(Charts!$B$3="none",E2237,IF(K2237="",NA(),K2237))</f>
        <v>#N/A</v>
      </c>
      <c r="R430" s="0" t="e">
        <f aca="false">IF(Charts!$B$3="none",F2237,IF(L2237="",NA(),L2237))</f>
        <v>#N/A</v>
      </c>
      <c r="S430" s="0" t="e">
        <f aca="false">IF(Charts!$B$3="none",G2237,IF(M2237="",NA(),M2237))</f>
        <v>#N/A</v>
      </c>
      <c r="T430" s="0" t="e">
        <f aca="false">IF(Charts!$B$3="none",H2237,IF(N2237="",NA(),N2237))</f>
        <v>#N/A</v>
      </c>
    </row>
    <row r="431" customFormat="false" ht="15" hidden="false" customHeight="false" outlineLevel="0" collapsed="false">
      <c r="E431" s="0" t="n">
        <v>65</v>
      </c>
      <c r="F431" s="0" t="str">
        <f aca="false">F69</f>
        <v/>
      </c>
      <c r="G431" s="0" t="n">
        <v>65</v>
      </c>
      <c r="H431" s="0" t="n">
        <f aca="false">H69</f>
        <v>0</v>
      </c>
      <c r="K431" s="0" t="n">
        <v>65</v>
      </c>
      <c r="L431" s="0" t="str">
        <f aca="false">L69</f>
        <v/>
      </c>
      <c r="M431" s="0" t="n">
        <v>65</v>
      </c>
      <c r="N431" s="0" t="n">
        <f aca="false">N69</f>
        <v>0</v>
      </c>
      <c r="Q431" s="0" t="e">
        <f aca="false">IF(Charts!$B$3="none",E2238,IF(K2238="",NA(),K2238))</f>
        <v>#N/A</v>
      </c>
      <c r="R431" s="0" t="e">
        <f aca="false">IF(Charts!$B$3="none",F2238,IF(L2238="",NA(),L2238))</f>
        <v>#N/A</v>
      </c>
      <c r="S431" s="0" t="e">
        <f aca="false">IF(Charts!$B$3="none",G2238,IF(M2238="",NA(),M2238))</f>
        <v>#N/A</v>
      </c>
      <c r="T431" s="0" t="e">
        <f aca="false">IF(Charts!$B$3="none",H2238,IF(N2238="",NA(),N2238))</f>
        <v>#N/A</v>
      </c>
    </row>
    <row r="432" customFormat="false" ht="15" hidden="false" customHeight="false" outlineLevel="0" collapsed="false">
      <c r="E432" s="0" t="n">
        <v>66</v>
      </c>
      <c r="F432" s="0" t="str">
        <f aca="false">F70</f>
        <v/>
      </c>
      <c r="G432" s="0" t="n">
        <v>66</v>
      </c>
      <c r="H432" s="0" t="n">
        <f aca="false">H70</f>
        <v>0</v>
      </c>
      <c r="K432" s="0" t="n">
        <v>66</v>
      </c>
      <c r="L432" s="0" t="str">
        <f aca="false">L70</f>
        <v/>
      </c>
      <c r="M432" s="0" t="n">
        <v>66</v>
      </c>
      <c r="N432" s="0" t="n">
        <f aca="false">N70</f>
        <v>0</v>
      </c>
      <c r="Q432" s="0" t="e">
        <f aca="false">IF(Charts!$B$3="none",E2239,IF(K2239="",NA(),K2239))</f>
        <v>#N/A</v>
      </c>
      <c r="R432" s="0" t="e">
        <f aca="false">IF(Charts!$B$3="none",F2239,IF(L2239="",NA(),L2239))</f>
        <v>#N/A</v>
      </c>
      <c r="S432" s="0" t="e">
        <f aca="false">IF(Charts!$B$3="none",G2239,IF(M2239="",NA(),M2239))</f>
        <v>#N/A</v>
      </c>
      <c r="T432" s="0" t="e">
        <f aca="false">IF(Charts!$B$3="none",H2239,IF(N2239="",NA(),N2239))</f>
        <v>#N/A</v>
      </c>
    </row>
    <row r="433" customFormat="false" ht="15" hidden="false" customHeight="false" outlineLevel="0" collapsed="false">
      <c r="E433" s="0" t="n">
        <v>67</v>
      </c>
      <c r="F433" s="0" t="str">
        <f aca="false">F71</f>
        <v/>
      </c>
      <c r="G433" s="0" t="n">
        <v>67</v>
      </c>
      <c r="H433" s="0" t="n">
        <f aca="false">H71</f>
        <v>0</v>
      </c>
      <c r="K433" s="0" t="n">
        <v>67</v>
      </c>
      <c r="L433" s="0" t="str">
        <f aca="false">L71</f>
        <v/>
      </c>
      <c r="M433" s="0" t="n">
        <v>67</v>
      </c>
      <c r="N433" s="0" t="n">
        <f aca="false">N71</f>
        <v>0</v>
      </c>
      <c r="Q433" s="0" t="e">
        <f aca="false">IF(Charts!$B$3="none",E2240,IF(K2240="",NA(),K2240))</f>
        <v>#N/A</v>
      </c>
      <c r="R433" s="0" t="e">
        <f aca="false">IF(Charts!$B$3="none",F2240,IF(L2240="",NA(),L2240))</f>
        <v>#N/A</v>
      </c>
      <c r="S433" s="0" t="e">
        <f aca="false">IF(Charts!$B$3="none",G2240,IF(M2240="",NA(),M2240))</f>
        <v>#N/A</v>
      </c>
      <c r="T433" s="0" t="e">
        <f aca="false">IF(Charts!$B$3="none",H2240,IF(N2240="",NA(),N2240))</f>
        <v>#N/A</v>
      </c>
    </row>
    <row r="434" customFormat="false" ht="15" hidden="false" customHeight="false" outlineLevel="0" collapsed="false">
      <c r="E434" s="0" t="n">
        <v>68</v>
      </c>
      <c r="F434" s="0" t="str">
        <f aca="false">F72</f>
        <v/>
      </c>
      <c r="G434" s="0" t="n">
        <v>68</v>
      </c>
      <c r="H434" s="0" t="n">
        <f aca="false">H72</f>
        <v>0</v>
      </c>
      <c r="K434" s="0" t="n">
        <v>68</v>
      </c>
      <c r="L434" s="0" t="str">
        <f aca="false">L72</f>
        <v/>
      </c>
      <c r="M434" s="0" t="n">
        <v>68</v>
      </c>
      <c r="N434" s="0" t="n">
        <f aca="false">N72</f>
        <v>0</v>
      </c>
      <c r="Q434" s="0" t="e">
        <f aca="false">IF(Charts!$B$3="none",E2241,IF(K2241="",NA(),K2241))</f>
        <v>#N/A</v>
      </c>
      <c r="R434" s="0" t="e">
        <f aca="false">IF(Charts!$B$3="none",F2241,IF(L2241="",NA(),L2241))</f>
        <v>#N/A</v>
      </c>
      <c r="S434" s="0" t="e">
        <f aca="false">IF(Charts!$B$3="none",G2241,IF(M2241="",NA(),M2241))</f>
        <v>#N/A</v>
      </c>
      <c r="T434" s="0" t="e">
        <f aca="false">IF(Charts!$B$3="none",H2241,IF(N2241="",NA(),N2241))</f>
        <v>#N/A</v>
      </c>
    </row>
    <row r="435" customFormat="false" ht="15" hidden="false" customHeight="false" outlineLevel="0" collapsed="false">
      <c r="E435" s="0" t="n">
        <v>69</v>
      </c>
      <c r="F435" s="0" t="str">
        <f aca="false">F73</f>
        <v/>
      </c>
      <c r="G435" s="0" t="n">
        <v>69</v>
      </c>
      <c r="H435" s="0" t="n">
        <f aca="false">H73</f>
        <v>0</v>
      </c>
      <c r="K435" s="0" t="n">
        <v>69</v>
      </c>
      <c r="L435" s="0" t="str">
        <f aca="false">L73</f>
        <v/>
      </c>
      <c r="M435" s="0" t="n">
        <v>69</v>
      </c>
      <c r="N435" s="0" t="n">
        <f aca="false">N73</f>
        <v>0</v>
      </c>
      <c r="Q435" s="0" t="e">
        <f aca="false">IF(Charts!$B$3="none",E2242,IF(K2242="",NA(),K2242))</f>
        <v>#N/A</v>
      </c>
      <c r="R435" s="0" t="e">
        <f aca="false">IF(Charts!$B$3="none",F2242,IF(L2242="",NA(),L2242))</f>
        <v>#N/A</v>
      </c>
      <c r="S435" s="0" t="e">
        <f aca="false">IF(Charts!$B$3="none",G2242,IF(M2242="",NA(),M2242))</f>
        <v>#N/A</v>
      </c>
      <c r="T435" s="0" t="e">
        <f aca="false">IF(Charts!$B$3="none",H2242,IF(N2242="",NA(),N2242))</f>
        <v>#N/A</v>
      </c>
    </row>
    <row r="436" customFormat="false" ht="15" hidden="false" customHeight="false" outlineLevel="0" collapsed="false">
      <c r="E436" s="0" t="n">
        <v>70</v>
      </c>
      <c r="F436" s="0" t="str">
        <f aca="false">F74</f>
        <v/>
      </c>
      <c r="G436" s="0" t="n">
        <v>70</v>
      </c>
      <c r="H436" s="0" t="n">
        <f aca="false">H74</f>
        <v>0</v>
      </c>
      <c r="K436" s="0" t="n">
        <v>70</v>
      </c>
      <c r="L436" s="0" t="str">
        <f aca="false">L74</f>
        <v/>
      </c>
      <c r="M436" s="0" t="n">
        <v>70</v>
      </c>
      <c r="N436" s="0" t="n">
        <f aca="false">N74</f>
        <v>0</v>
      </c>
      <c r="Q436" s="0" t="e">
        <f aca="false">IF(Charts!$B$3="none",E2243,IF(K2243="",NA(),K2243))</f>
        <v>#N/A</v>
      </c>
      <c r="R436" s="0" t="e">
        <f aca="false">IF(Charts!$B$3="none",F2243,IF(L2243="",NA(),L2243))</f>
        <v>#N/A</v>
      </c>
      <c r="S436" s="0" t="e">
        <f aca="false">IF(Charts!$B$3="none",G2243,IF(M2243="",NA(),M2243))</f>
        <v>#N/A</v>
      </c>
      <c r="T436" s="0" t="e">
        <f aca="false">IF(Charts!$B$3="none",H2243,IF(N2243="",NA(),N2243))</f>
        <v>#N/A</v>
      </c>
    </row>
    <row r="437" customFormat="false" ht="15" hidden="false" customHeight="false" outlineLevel="0" collapsed="false">
      <c r="E437" s="0" t="n">
        <v>71</v>
      </c>
      <c r="F437" s="0" t="str">
        <f aca="false">F75</f>
        <v/>
      </c>
      <c r="G437" s="0" t="n">
        <v>71</v>
      </c>
      <c r="H437" s="0" t="n">
        <f aca="false">H75</f>
        <v>0</v>
      </c>
      <c r="K437" s="0" t="n">
        <v>71</v>
      </c>
      <c r="L437" s="0" t="str">
        <f aca="false">L75</f>
        <v/>
      </c>
      <c r="M437" s="0" t="n">
        <v>71</v>
      </c>
      <c r="N437" s="0" t="n">
        <f aca="false">N75</f>
        <v>0</v>
      </c>
      <c r="Q437" s="0" t="e">
        <f aca="false">IF(Charts!$B$3="none",E2244,IF(K2244="",NA(),K2244))</f>
        <v>#N/A</v>
      </c>
      <c r="R437" s="0" t="e">
        <f aca="false">IF(Charts!$B$3="none",F2244,IF(L2244="",NA(),L2244))</f>
        <v>#N/A</v>
      </c>
      <c r="S437" s="0" t="e">
        <f aca="false">IF(Charts!$B$3="none",G2244,IF(M2244="",NA(),M2244))</f>
        <v>#N/A</v>
      </c>
      <c r="T437" s="0" t="e">
        <f aca="false">IF(Charts!$B$3="none",H2244,IF(N2244="",NA(),N2244))</f>
        <v>#N/A</v>
      </c>
    </row>
    <row r="438" customFormat="false" ht="15" hidden="false" customHeight="false" outlineLevel="0" collapsed="false">
      <c r="E438" s="0" t="n">
        <v>72</v>
      </c>
      <c r="F438" s="0" t="str">
        <f aca="false">F76</f>
        <v/>
      </c>
      <c r="G438" s="0" t="n">
        <v>72</v>
      </c>
      <c r="H438" s="0" t="n">
        <f aca="false">H76</f>
        <v>0</v>
      </c>
      <c r="K438" s="0" t="n">
        <v>72</v>
      </c>
      <c r="L438" s="0" t="str">
        <f aca="false">L76</f>
        <v/>
      </c>
      <c r="M438" s="0" t="n">
        <v>72</v>
      </c>
      <c r="N438" s="0" t="n">
        <f aca="false">N76</f>
        <v>0</v>
      </c>
      <c r="Q438" s="0" t="e">
        <f aca="false">IF(Charts!$B$3="none",E2245,IF(K2245="",NA(),K2245))</f>
        <v>#N/A</v>
      </c>
      <c r="R438" s="0" t="e">
        <f aca="false">IF(Charts!$B$3="none",F2245,IF(L2245="",NA(),L2245))</f>
        <v>#N/A</v>
      </c>
      <c r="S438" s="0" t="e">
        <f aca="false">IF(Charts!$B$3="none",G2245,IF(M2245="",NA(),M2245))</f>
        <v>#N/A</v>
      </c>
      <c r="T438" s="0" t="e">
        <f aca="false">IF(Charts!$B$3="none",H2245,IF(N2245="",NA(),N2245))</f>
        <v>#N/A</v>
      </c>
    </row>
    <row r="439" customFormat="false" ht="15" hidden="false" customHeight="false" outlineLevel="0" collapsed="false">
      <c r="E439" s="0" t="n">
        <v>73</v>
      </c>
      <c r="F439" s="0" t="str">
        <f aca="false">F77</f>
        <v/>
      </c>
      <c r="G439" s="0" t="n">
        <v>73</v>
      </c>
      <c r="H439" s="0" t="n">
        <f aca="false">H77</f>
        <v>0</v>
      </c>
      <c r="K439" s="0" t="n">
        <v>73</v>
      </c>
      <c r="L439" s="0" t="str">
        <f aca="false">L77</f>
        <v/>
      </c>
      <c r="M439" s="0" t="n">
        <v>73</v>
      </c>
      <c r="N439" s="0" t="n">
        <f aca="false">N77</f>
        <v>0</v>
      </c>
      <c r="Q439" s="0" t="e">
        <f aca="false">IF(Charts!$B$3="none",E2246,IF(K2246="",NA(),K2246))</f>
        <v>#N/A</v>
      </c>
      <c r="R439" s="0" t="e">
        <f aca="false">IF(Charts!$B$3="none",F2246,IF(L2246="",NA(),L2246))</f>
        <v>#N/A</v>
      </c>
      <c r="S439" s="0" t="e">
        <f aca="false">IF(Charts!$B$3="none",G2246,IF(M2246="",NA(),M2246))</f>
        <v>#N/A</v>
      </c>
      <c r="T439" s="0" t="e">
        <f aca="false">IF(Charts!$B$3="none",H2246,IF(N2246="",NA(),N2246))</f>
        <v>#N/A</v>
      </c>
    </row>
    <row r="440" customFormat="false" ht="15" hidden="false" customHeight="false" outlineLevel="0" collapsed="false">
      <c r="E440" s="0" t="n">
        <v>74</v>
      </c>
      <c r="F440" s="0" t="str">
        <f aca="false">F78</f>
        <v/>
      </c>
      <c r="G440" s="0" t="n">
        <v>74</v>
      </c>
      <c r="H440" s="0" t="n">
        <f aca="false">H78</f>
        <v>0</v>
      </c>
      <c r="K440" s="0" t="n">
        <v>74</v>
      </c>
      <c r="L440" s="0" t="str">
        <f aca="false">L78</f>
        <v/>
      </c>
      <c r="M440" s="0" t="n">
        <v>74</v>
      </c>
      <c r="N440" s="0" t="n">
        <f aca="false">N78</f>
        <v>0</v>
      </c>
      <c r="Q440" s="0" t="e">
        <f aca="false">IF(Charts!$B$3="none",E2247,IF(K2247="",NA(),K2247))</f>
        <v>#N/A</v>
      </c>
      <c r="R440" s="0" t="e">
        <f aca="false">IF(Charts!$B$3="none",F2247,IF(L2247="",NA(),L2247))</f>
        <v>#N/A</v>
      </c>
      <c r="S440" s="0" t="e">
        <f aca="false">IF(Charts!$B$3="none",G2247,IF(M2247="",NA(),M2247))</f>
        <v>#N/A</v>
      </c>
      <c r="T440" s="0" t="e">
        <f aca="false">IF(Charts!$B$3="none",H2247,IF(N2247="",NA(),N2247))</f>
        <v>#N/A</v>
      </c>
    </row>
    <row r="441" customFormat="false" ht="15" hidden="false" customHeight="false" outlineLevel="0" collapsed="false">
      <c r="E441" s="0" t="n">
        <v>75</v>
      </c>
      <c r="F441" s="0" t="str">
        <f aca="false">F79</f>
        <v/>
      </c>
      <c r="G441" s="0" t="n">
        <v>75</v>
      </c>
      <c r="H441" s="0" t="n">
        <f aca="false">H79</f>
        <v>0</v>
      </c>
      <c r="K441" s="0" t="n">
        <v>75</v>
      </c>
      <c r="L441" s="0" t="str">
        <f aca="false">L79</f>
        <v/>
      </c>
      <c r="M441" s="0" t="n">
        <v>75</v>
      </c>
      <c r="N441" s="0" t="n">
        <f aca="false">N79</f>
        <v>0</v>
      </c>
      <c r="Q441" s="0" t="e">
        <f aca="false">IF(Charts!$B$3="none",E2248,IF(K2248="",NA(),K2248))</f>
        <v>#N/A</v>
      </c>
      <c r="R441" s="0" t="e">
        <f aca="false">IF(Charts!$B$3="none",F2248,IF(L2248="",NA(),L2248))</f>
        <v>#N/A</v>
      </c>
      <c r="S441" s="0" t="e">
        <f aca="false">IF(Charts!$B$3="none",G2248,IF(M2248="",NA(),M2248))</f>
        <v>#N/A</v>
      </c>
      <c r="T441" s="0" t="e">
        <f aca="false">IF(Charts!$B$3="none",H2248,IF(N2248="",NA(),N2248))</f>
        <v>#N/A</v>
      </c>
    </row>
    <row r="442" customFormat="false" ht="15" hidden="false" customHeight="false" outlineLevel="0" collapsed="false">
      <c r="E442" s="0" t="n">
        <v>76</v>
      </c>
      <c r="F442" s="0" t="str">
        <f aca="false">F80</f>
        <v/>
      </c>
      <c r="G442" s="0" t="n">
        <v>76</v>
      </c>
      <c r="H442" s="0" t="n">
        <f aca="false">H80</f>
        <v>0</v>
      </c>
      <c r="K442" s="0" t="n">
        <v>76</v>
      </c>
      <c r="L442" s="0" t="str">
        <f aca="false">L80</f>
        <v/>
      </c>
      <c r="M442" s="0" t="n">
        <v>76</v>
      </c>
      <c r="N442" s="0" t="n">
        <f aca="false">N80</f>
        <v>0</v>
      </c>
      <c r="Q442" s="0" t="e">
        <f aca="false">IF(Charts!$B$3="none",E2249,IF(K2249="",NA(),K2249))</f>
        <v>#N/A</v>
      </c>
      <c r="R442" s="0" t="e">
        <f aca="false">IF(Charts!$B$3="none",F2249,IF(L2249="",NA(),L2249))</f>
        <v>#N/A</v>
      </c>
      <c r="S442" s="0" t="e">
        <f aca="false">IF(Charts!$B$3="none",G2249,IF(M2249="",NA(),M2249))</f>
        <v>#N/A</v>
      </c>
      <c r="T442" s="0" t="e">
        <f aca="false">IF(Charts!$B$3="none",H2249,IF(N2249="",NA(),N2249))</f>
        <v>#N/A</v>
      </c>
    </row>
    <row r="443" customFormat="false" ht="15" hidden="false" customHeight="false" outlineLevel="0" collapsed="false">
      <c r="E443" s="0" t="n">
        <v>77</v>
      </c>
      <c r="F443" s="0" t="str">
        <f aca="false">F81</f>
        <v/>
      </c>
      <c r="G443" s="0" t="n">
        <v>77</v>
      </c>
      <c r="H443" s="0" t="n">
        <f aca="false">H81</f>
        <v>0</v>
      </c>
      <c r="K443" s="0" t="n">
        <v>77</v>
      </c>
      <c r="L443" s="0" t="str">
        <f aca="false">L81</f>
        <v/>
      </c>
      <c r="M443" s="0" t="n">
        <v>77</v>
      </c>
      <c r="N443" s="0" t="n">
        <f aca="false">N81</f>
        <v>0</v>
      </c>
      <c r="Q443" s="0" t="e">
        <f aca="false">IF(Charts!$B$3="none",E2250,IF(K2250="",NA(),K2250))</f>
        <v>#N/A</v>
      </c>
      <c r="R443" s="0" t="e">
        <f aca="false">IF(Charts!$B$3="none",F2250,IF(L2250="",NA(),L2250))</f>
        <v>#N/A</v>
      </c>
      <c r="S443" s="0" t="e">
        <f aca="false">IF(Charts!$B$3="none",G2250,IF(M2250="",NA(),M2250))</f>
        <v>#N/A</v>
      </c>
      <c r="T443" s="0" t="e">
        <f aca="false">IF(Charts!$B$3="none",H2250,IF(N2250="",NA(),N2250))</f>
        <v>#N/A</v>
      </c>
    </row>
    <row r="444" customFormat="false" ht="15" hidden="false" customHeight="false" outlineLevel="0" collapsed="false">
      <c r="E444" s="0" t="n">
        <v>78</v>
      </c>
      <c r="F444" s="0" t="str">
        <f aca="false">F82</f>
        <v/>
      </c>
      <c r="G444" s="0" t="n">
        <v>78</v>
      </c>
      <c r="H444" s="0" t="n">
        <f aca="false">H82</f>
        <v>0</v>
      </c>
      <c r="K444" s="0" t="n">
        <v>78</v>
      </c>
      <c r="L444" s="0" t="str">
        <f aca="false">L82</f>
        <v/>
      </c>
      <c r="M444" s="0" t="n">
        <v>78</v>
      </c>
      <c r="N444" s="0" t="n">
        <f aca="false">N82</f>
        <v>0</v>
      </c>
      <c r="Q444" s="0" t="e">
        <f aca="false">IF(Charts!$B$3="none",E2251,IF(K2251="",NA(),K2251))</f>
        <v>#N/A</v>
      </c>
      <c r="R444" s="0" t="e">
        <f aca="false">IF(Charts!$B$3="none",F2251,IF(L2251="",NA(),L2251))</f>
        <v>#N/A</v>
      </c>
      <c r="S444" s="0" t="e">
        <f aca="false">IF(Charts!$B$3="none",G2251,IF(M2251="",NA(),M2251))</f>
        <v>#N/A</v>
      </c>
      <c r="T444" s="0" t="e">
        <f aca="false">IF(Charts!$B$3="none",H2251,IF(N2251="",NA(),N2251))</f>
        <v>#N/A</v>
      </c>
    </row>
    <row r="445" customFormat="false" ht="15" hidden="false" customHeight="false" outlineLevel="0" collapsed="false">
      <c r="E445" s="0" t="n">
        <v>79</v>
      </c>
      <c r="F445" s="0" t="str">
        <f aca="false">F83</f>
        <v/>
      </c>
      <c r="G445" s="0" t="n">
        <v>79</v>
      </c>
      <c r="H445" s="0" t="n">
        <f aca="false">H83</f>
        <v>0</v>
      </c>
      <c r="K445" s="0" t="n">
        <v>79</v>
      </c>
      <c r="L445" s="0" t="str">
        <f aca="false">L83</f>
        <v/>
      </c>
      <c r="M445" s="0" t="n">
        <v>79</v>
      </c>
      <c r="N445" s="0" t="n">
        <f aca="false">N83</f>
        <v>0</v>
      </c>
      <c r="Q445" s="0" t="e">
        <f aca="false">IF(Charts!$B$3="none",E2252,IF(K2252="",NA(),K2252))</f>
        <v>#N/A</v>
      </c>
      <c r="R445" s="0" t="e">
        <f aca="false">IF(Charts!$B$3="none",F2252,IF(L2252="",NA(),L2252))</f>
        <v>#N/A</v>
      </c>
      <c r="S445" s="0" t="e">
        <f aca="false">IF(Charts!$B$3="none",G2252,IF(M2252="",NA(),M2252))</f>
        <v>#N/A</v>
      </c>
      <c r="T445" s="0" t="e">
        <f aca="false">IF(Charts!$B$3="none",H2252,IF(N2252="",NA(),N2252))</f>
        <v>#N/A</v>
      </c>
    </row>
    <row r="446" customFormat="false" ht="15" hidden="false" customHeight="false" outlineLevel="0" collapsed="false">
      <c r="E446" s="0" t="n">
        <v>80</v>
      </c>
      <c r="F446" s="0" t="str">
        <f aca="false">F84</f>
        <v/>
      </c>
      <c r="G446" s="0" t="n">
        <v>80</v>
      </c>
      <c r="H446" s="0" t="n">
        <f aca="false">H84</f>
        <v>0</v>
      </c>
      <c r="K446" s="0" t="n">
        <v>80</v>
      </c>
      <c r="L446" s="0" t="str">
        <f aca="false">L84</f>
        <v/>
      </c>
      <c r="M446" s="0" t="n">
        <v>80</v>
      </c>
      <c r="N446" s="0" t="n">
        <f aca="false">N84</f>
        <v>0</v>
      </c>
      <c r="Q446" s="0" t="e">
        <f aca="false">IF(Charts!$B$3="none",E2253,IF(K2253="",NA(),K2253))</f>
        <v>#N/A</v>
      </c>
      <c r="R446" s="0" t="e">
        <f aca="false">IF(Charts!$B$3="none",F2253,IF(L2253="",NA(),L2253))</f>
        <v>#N/A</v>
      </c>
      <c r="S446" s="0" t="e">
        <f aca="false">IF(Charts!$B$3="none",G2253,IF(M2253="",NA(),M2253))</f>
        <v>#N/A</v>
      </c>
      <c r="T446" s="0" t="e">
        <f aca="false">IF(Charts!$B$3="none",H2253,IF(N2253="",NA(),N2253))</f>
        <v>#N/A</v>
      </c>
    </row>
    <row r="447" customFormat="false" ht="15" hidden="false" customHeight="false" outlineLevel="0" collapsed="false">
      <c r="E447" s="0" t="n">
        <v>81</v>
      </c>
      <c r="F447" s="0" t="str">
        <f aca="false">F85</f>
        <v/>
      </c>
      <c r="G447" s="0" t="n">
        <v>81</v>
      </c>
      <c r="H447" s="0" t="n">
        <f aca="false">H85</f>
        <v>0</v>
      </c>
      <c r="K447" s="0" t="n">
        <v>81</v>
      </c>
      <c r="L447" s="0" t="str">
        <f aca="false">L85</f>
        <v/>
      </c>
      <c r="M447" s="0" t="n">
        <v>81</v>
      </c>
      <c r="N447" s="0" t="n">
        <f aca="false">N85</f>
        <v>0</v>
      </c>
      <c r="Q447" s="0" t="e">
        <f aca="false">IF(Charts!$B$3="none",E2254,IF(K2254="",NA(),K2254))</f>
        <v>#N/A</v>
      </c>
      <c r="R447" s="0" t="e">
        <f aca="false">IF(Charts!$B$3="none",F2254,IF(L2254="",NA(),L2254))</f>
        <v>#N/A</v>
      </c>
      <c r="S447" s="0" t="e">
        <f aca="false">IF(Charts!$B$3="none",G2254,IF(M2254="",NA(),M2254))</f>
        <v>#N/A</v>
      </c>
      <c r="T447" s="0" t="e">
        <f aca="false">IF(Charts!$B$3="none",H2254,IF(N2254="",NA(),N2254))</f>
        <v>#N/A</v>
      </c>
    </row>
    <row r="448" customFormat="false" ht="15" hidden="false" customHeight="false" outlineLevel="0" collapsed="false">
      <c r="E448" s="0" t="n">
        <v>82</v>
      </c>
      <c r="F448" s="0" t="str">
        <f aca="false">F86</f>
        <v/>
      </c>
      <c r="G448" s="0" t="n">
        <v>82</v>
      </c>
      <c r="H448" s="0" t="n">
        <f aca="false">H86</f>
        <v>0</v>
      </c>
      <c r="K448" s="0" t="n">
        <v>82</v>
      </c>
      <c r="L448" s="0" t="str">
        <f aca="false">L86</f>
        <v/>
      </c>
      <c r="M448" s="0" t="n">
        <v>82</v>
      </c>
      <c r="N448" s="0" t="n">
        <f aca="false">N86</f>
        <v>0</v>
      </c>
      <c r="Q448" s="0" t="e">
        <f aca="false">IF(Charts!$B$3="none",E2255,IF(K2255="",NA(),K2255))</f>
        <v>#N/A</v>
      </c>
      <c r="R448" s="0" t="e">
        <f aca="false">IF(Charts!$B$3="none",F2255,IF(L2255="",NA(),L2255))</f>
        <v>#N/A</v>
      </c>
      <c r="S448" s="0" t="e">
        <f aca="false">IF(Charts!$B$3="none",G2255,IF(M2255="",NA(),M2255))</f>
        <v>#N/A</v>
      </c>
      <c r="T448" s="0" t="e">
        <f aca="false">IF(Charts!$B$3="none",H2255,IF(N2255="",NA(),N2255))</f>
        <v>#N/A</v>
      </c>
    </row>
    <row r="449" customFormat="false" ht="15" hidden="false" customHeight="false" outlineLevel="0" collapsed="false">
      <c r="E449" s="0" t="n">
        <v>83</v>
      </c>
      <c r="F449" s="0" t="str">
        <f aca="false">F87</f>
        <v/>
      </c>
      <c r="G449" s="0" t="n">
        <v>83</v>
      </c>
      <c r="H449" s="0" t="n">
        <f aca="false">H87</f>
        <v>0</v>
      </c>
      <c r="K449" s="0" t="n">
        <v>83</v>
      </c>
      <c r="L449" s="0" t="str">
        <f aca="false">L87</f>
        <v/>
      </c>
      <c r="M449" s="0" t="n">
        <v>83</v>
      </c>
      <c r="N449" s="0" t="n">
        <f aca="false">N87</f>
        <v>0</v>
      </c>
      <c r="Q449" s="0" t="e">
        <f aca="false">IF(Charts!$B$3="none",E2256,IF(K2256="",NA(),K2256))</f>
        <v>#N/A</v>
      </c>
      <c r="R449" s="0" t="e">
        <f aca="false">IF(Charts!$B$3="none",F2256,IF(L2256="",NA(),L2256))</f>
        <v>#N/A</v>
      </c>
      <c r="S449" s="0" t="e">
        <f aca="false">IF(Charts!$B$3="none",G2256,IF(M2256="",NA(),M2256))</f>
        <v>#N/A</v>
      </c>
      <c r="T449" s="0" t="e">
        <f aca="false">IF(Charts!$B$3="none",H2256,IF(N2256="",NA(),N2256))</f>
        <v>#N/A</v>
      </c>
    </row>
    <row r="450" customFormat="false" ht="15" hidden="false" customHeight="false" outlineLevel="0" collapsed="false">
      <c r="E450" s="0" t="n">
        <v>84</v>
      </c>
      <c r="F450" s="0" t="str">
        <f aca="false">F88</f>
        <v/>
      </c>
      <c r="G450" s="0" t="n">
        <v>84</v>
      </c>
      <c r="H450" s="0" t="n">
        <f aca="false">H88</f>
        <v>0</v>
      </c>
      <c r="K450" s="0" t="n">
        <v>84</v>
      </c>
      <c r="L450" s="0" t="str">
        <f aca="false">L88</f>
        <v/>
      </c>
      <c r="M450" s="0" t="n">
        <v>84</v>
      </c>
      <c r="N450" s="0" t="n">
        <f aca="false">N88</f>
        <v>0</v>
      </c>
      <c r="Q450" s="0" t="e">
        <f aca="false">IF(Charts!$B$3="none",E2257,IF(K2257="",NA(),K2257))</f>
        <v>#N/A</v>
      </c>
      <c r="R450" s="0" t="e">
        <f aca="false">IF(Charts!$B$3="none",F2257,IF(L2257="",NA(),L2257))</f>
        <v>#N/A</v>
      </c>
      <c r="S450" s="0" t="e">
        <f aca="false">IF(Charts!$B$3="none",G2257,IF(M2257="",NA(),M2257))</f>
        <v>#N/A</v>
      </c>
      <c r="T450" s="0" t="e">
        <f aca="false">IF(Charts!$B$3="none",H2257,IF(N2257="",NA(),N2257))</f>
        <v>#N/A</v>
      </c>
    </row>
    <row r="451" customFormat="false" ht="15" hidden="false" customHeight="false" outlineLevel="0" collapsed="false">
      <c r="E451" s="0" t="n">
        <v>85</v>
      </c>
      <c r="F451" s="0" t="str">
        <f aca="false">F89</f>
        <v/>
      </c>
      <c r="G451" s="0" t="n">
        <v>85</v>
      </c>
      <c r="H451" s="0" t="n">
        <f aca="false">H89</f>
        <v>0</v>
      </c>
      <c r="K451" s="0" t="n">
        <v>85</v>
      </c>
      <c r="L451" s="0" t="str">
        <f aca="false">L89</f>
        <v/>
      </c>
      <c r="M451" s="0" t="n">
        <v>85</v>
      </c>
      <c r="N451" s="0" t="n">
        <f aca="false">N89</f>
        <v>0</v>
      </c>
      <c r="Q451" s="0" t="e">
        <f aca="false">IF(Charts!$B$3="none",E2258,IF(K2258="",NA(),K2258))</f>
        <v>#N/A</v>
      </c>
      <c r="R451" s="0" t="e">
        <f aca="false">IF(Charts!$B$3="none",F2258,IF(L2258="",NA(),L2258))</f>
        <v>#N/A</v>
      </c>
      <c r="S451" s="0" t="e">
        <f aca="false">IF(Charts!$B$3="none",G2258,IF(M2258="",NA(),M2258))</f>
        <v>#N/A</v>
      </c>
      <c r="T451" s="0" t="e">
        <f aca="false">IF(Charts!$B$3="none",H2258,IF(N2258="",NA(),N2258))</f>
        <v>#N/A</v>
      </c>
    </row>
    <row r="452" customFormat="false" ht="15" hidden="false" customHeight="false" outlineLevel="0" collapsed="false">
      <c r="E452" s="0" t="n">
        <v>86</v>
      </c>
      <c r="F452" s="0" t="str">
        <f aca="false">F90</f>
        <v/>
      </c>
      <c r="G452" s="0" t="n">
        <v>86</v>
      </c>
      <c r="H452" s="0" t="n">
        <f aca="false">H90</f>
        <v>0</v>
      </c>
      <c r="K452" s="0" t="n">
        <v>86</v>
      </c>
      <c r="L452" s="0" t="str">
        <f aca="false">L90</f>
        <v/>
      </c>
      <c r="M452" s="0" t="n">
        <v>86</v>
      </c>
      <c r="N452" s="0" t="n">
        <f aca="false">N90</f>
        <v>0</v>
      </c>
      <c r="Q452" s="0" t="e">
        <f aca="false">IF(Charts!$B$3="none",E2259,IF(K2259="",NA(),K2259))</f>
        <v>#N/A</v>
      </c>
      <c r="R452" s="0" t="e">
        <f aca="false">IF(Charts!$B$3="none",F2259,IF(L2259="",NA(),L2259))</f>
        <v>#N/A</v>
      </c>
      <c r="S452" s="0" t="e">
        <f aca="false">IF(Charts!$B$3="none",G2259,IF(M2259="",NA(),M2259))</f>
        <v>#N/A</v>
      </c>
      <c r="T452" s="0" t="e">
        <f aca="false">IF(Charts!$B$3="none",H2259,IF(N2259="",NA(),N2259))</f>
        <v>#N/A</v>
      </c>
    </row>
    <row r="453" customFormat="false" ht="15" hidden="false" customHeight="false" outlineLevel="0" collapsed="false">
      <c r="E453" s="0" t="n">
        <v>87</v>
      </c>
      <c r="F453" s="0" t="str">
        <f aca="false">F91</f>
        <v/>
      </c>
      <c r="G453" s="0" t="n">
        <v>87</v>
      </c>
      <c r="H453" s="0" t="n">
        <f aca="false">H91</f>
        <v>0</v>
      </c>
      <c r="K453" s="0" t="n">
        <v>87</v>
      </c>
      <c r="L453" s="0" t="str">
        <f aca="false">L91</f>
        <v/>
      </c>
      <c r="M453" s="0" t="n">
        <v>87</v>
      </c>
      <c r="N453" s="0" t="n">
        <f aca="false">N91</f>
        <v>0</v>
      </c>
      <c r="Q453" s="0" t="e">
        <f aca="false">IF(Charts!$B$3="none",E2260,IF(K2260="",NA(),K2260))</f>
        <v>#N/A</v>
      </c>
      <c r="R453" s="0" t="e">
        <f aca="false">IF(Charts!$B$3="none",F2260,IF(L2260="",NA(),L2260))</f>
        <v>#N/A</v>
      </c>
      <c r="S453" s="0" t="e">
        <f aca="false">IF(Charts!$B$3="none",G2260,IF(M2260="",NA(),M2260))</f>
        <v>#N/A</v>
      </c>
      <c r="T453" s="0" t="e">
        <f aca="false">IF(Charts!$B$3="none",H2260,IF(N2260="",NA(),N2260))</f>
        <v>#N/A</v>
      </c>
    </row>
    <row r="454" customFormat="false" ht="15" hidden="false" customHeight="false" outlineLevel="0" collapsed="false">
      <c r="E454" s="0" t="n">
        <v>88</v>
      </c>
      <c r="F454" s="0" t="str">
        <f aca="false">F92</f>
        <v/>
      </c>
      <c r="G454" s="0" t="n">
        <v>88</v>
      </c>
      <c r="H454" s="0" t="n">
        <f aca="false">H92</f>
        <v>0</v>
      </c>
      <c r="K454" s="0" t="n">
        <v>88</v>
      </c>
      <c r="L454" s="0" t="str">
        <f aca="false">L92</f>
        <v/>
      </c>
      <c r="M454" s="0" t="n">
        <v>88</v>
      </c>
      <c r="N454" s="0" t="n">
        <f aca="false">N92</f>
        <v>0</v>
      </c>
      <c r="Q454" s="0" t="e">
        <f aca="false">IF(Charts!$B$3="none",E2261,IF(K2261="",NA(),K2261))</f>
        <v>#N/A</v>
      </c>
      <c r="R454" s="0" t="e">
        <f aca="false">IF(Charts!$B$3="none",F2261,IF(L2261="",NA(),L2261))</f>
        <v>#N/A</v>
      </c>
      <c r="S454" s="0" t="e">
        <f aca="false">IF(Charts!$B$3="none",G2261,IF(M2261="",NA(),M2261))</f>
        <v>#N/A</v>
      </c>
      <c r="T454" s="0" t="e">
        <f aca="false">IF(Charts!$B$3="none",H2261,IF(N2261="",NA(),N2261))</f>
        <v>#N/A</v>
      </c>
    </row>
    <row r="455" customFormat="false" ht="15" hidden="false" customHeight="false" outlineLevel="0" collapsed="false">
      <c r="E455" s="0" t="n">
        <v>89</v>
      </c>
      <c r="F455" s="0" t="str">
        <f aca="false">F93</f>
        <v/>
      </c>
      <c r="G455" s="0" t="n">
        <v>89</v>
      </c>
      <c r="H455" s="0" t="n">
        <f aca="false">H93</f>
        <v>0</v>
      </c>
      <c r="K455" s="0" t="n">
        <v>89</v>
      </c>
      <c r="L455" s="0" t="str">
        <f aca="false">L93</f>
        <v/>
      </c>
      <c r="M455" s="0" t="n">
        <v>89</v>
      </c>
      <c r="N455" s="0" t="n">
        <f aca="false">N93</f>
        <v>0</v>
      </c>
      <c r="Q455" s="0" t="e">
        <f aca="false">IF(Charts!$B$3="none",E2262,IF(K2262="",NA(),K2262))</f>
        <v>#N/A</v>
      </c>
      <c r="R455" s="0" t="e">
        <f aca="false">IF(Charts!$B$3="none",F2262,IF(L2262="",NA(),L2262))</f>
        <v>#N/A</v>
      </c>
      <c r="S455" s="0" t="e">
        <f aca="false">IF(Charts!$B$3="none",G2262,IF(M2262="",NA(),M2262))</f>
        <v>#N/A</v>
      </c>
      <c r="T455" s="0" t="e">
        <f aca="false">IF(Charts!$B$3="none",H2262,IF(N2262="",NA(),N2262))</f>
        <v>#N/A</v>
      </c>
    </row>
    <row r="456" customFormat="false" ht="15" hidden="false" customHeight="false" outlineLevel="0" collapsed="false">
      <c r="E456" s="0" t="n">
        <v>90</v>
      </c>
      <c r="F456" s="0" t="str">
        <f aca="false">F94</f>
        <v/>
      </c>
      <c r="G456" s="0" t="n">
        <v>90</v>
      </c>
      <c r="H456" s="0" t="n">
        <f aca="false">H94</f>
        <v>0</v>
      </c>
      <c r="K456" s="0" t="n">
        <v>90</v>
      </c>
      <c r="L456" s="0" t="str">
        <f aca="false">L94</f>
        <v/>
      </c>
      <c r="M456" s="0" t="n">
        <v>90</v>
      </c>
      <c r="N456" s="0" t="n">
        <f aca="false">N94</f>
        <v>0</v>
      </c>
      <c r="Q456" s="0" t="e">
        <f aca="false">IF(Charts!$B$3="none",E2263,IF(K2263="",NA(),K2263))</f>
        <v>#N/A</v>
      </c>
      <c r="R456" s="0" t="e">
        <f aca="false">IF(Charts!$B$3="none",F2263,IF(L2263="",NA(),L2263))</f>
        <v>#N/A</v>
      </c>
      <c r="S456" s="0" t="e">
        <f aca="false">IF(Charts!$B$3="none",G2263,IF(M2263="",NA(),M2263))</f>
        <v>#N/A</v>
      </c>
      <c r="T456" s="0" t="e">
        <f aca="false">IF(Charts!$B$3="none",H2263,IF(N2263="",NA(),N2263))</f>
        <v>#N/A</v>
      </c>
    </row>
    <row r="457" customFormat="false" ht="15" hidden="false" customHeight="false" outlineLevel="0" collapsed="false">
      <c r="E457" s="0" t="n">
        <v>91</v>
      </c>
      <c r="F457" s="0" t="str">
        <f aca="false">F95</f>
        <v/>
      </c>
      <c r="G457" s="0" t="n">
        <v>91</v>
      </c>
      <c r="H457" s="0" t="n">
        <f aca="false">H95</f>
        <v>0</v>
      </c>
      <c r="K457" s="0" t="n">
        <v>91</v>
      </c>
      <c r="L457" s="0" t="str">
        <f aca="false">L95</f>
        <v/>
      </c>
      <c r="M457" s="0" t="n">
        <v>91</v>
      </c>
      <c r="N457" s="0" t="n">
        <f aca="false">N95</f>
        <v>0</v>
      </c>
      <c r="Q457" s="0" t="e">
        <f aca="false">IF(Charts!$B$3="none",E2264,IF(K2264="",NA(),K2264))</f>
        <v>#N/A</v>
      </c>
      <c r="R457" s="0" t="e">
        <f aca="false">IF(Charts!$B$3="none",F2264,IF(L2264="",NA(),L2264))</f>
        <v>#N/A</v>
      </c>
      <c r="S457" s="0" t="e">
        <f aca="false">IF(Charts!$B$3="none",G2264,IF(M2264="",NA(),M2264))</f>
        <v>#N/A</v>
      </c>
      <c r="T457" s="0" t="e">
        <f aca="false">IF(Charts!$B$3="none",H2264,IF(N2264="",NA(),N2264))</f>
        <v>#N/A</v>
      </c>
    </row>
    <row r="458" customFormat="false" ht="15" hidden="false" customHeight="false" outlineLevel="0" collapsed="false">
      <c r="E458" s="0" t="n">
        <v>92</v>
      </c>
      <c r="F458" s="0" t="str">
        <f aca="false">F96</f>
        <v/>
      </c>
      <c r="G458" s="0" t="n">
        <v>92</v>
      </c>
      <c r="H458" s="0" t="n">
        <f aca="false">H96</f>
        <v>0</v>
      </c>
      <c r="K458" s="0" t="n">
        <v>92</v>
      </c>
      <c r="L458" s="0" t="str">
        <f aca="false">L96</f>
        <v/>
      </c>
      <c r="M458" s="0" t="n">
        <v>92</v>
      </c>
      <c r="N458" s="0" t="n">
        <f aca="false">N96</f>
        <v>0</v>
      </c>
      <c r="Q458" s="0" t="e">
        <f aca="false">IF(Charts!$B$3="none",E2265,IF(K2265="",NA(),K2265))</f>
        <v>#N/A</v>
      </c>
      <c r="R458" s="0" t="e">
        <f aca="false">IF(Charts!$B$3="none",F2265,IF(L2265="",NA(),L2265))</f>
        <v>#N/A</v>
      </c>
      <c r="S458" s="0" t="e">
        <f aca="false">IF(Charts!$B$3="none",G2265,IF(M2265="",NA(),M2265))</f>
        <v>#N/A</v>
      </c>
      <c r="T458" s="0" t="e">
        <f aca="false">IF(Charts!$B$3="none",H2265,IF(N2265="",NA(),N2265))</f>
        <v>#N/A</v>
      </c>
    </row>
    <row r="459" customFormat="false" ht="15" hidden="false" customHeight="false" outlineLevel="0" collapsed="false">
      <c r="E459" s="0" t="n">
        <v>93</v>
      </c>
      <c r="F459" s="0" t="str">
        <f aca="false">F97</f>
        <v/>
      </c>
      <c r="G459" s="0" t="n">
        <v>93</v>
      </c>
      <c r="H459" s="0" t="n">
        <f aca="false">H97</f>
        <v>0</v>
      </c>
      <c r="K459" s="0" t="n">
        <v>93</v>
      </c>
      <c r="L459" s="0" t="str">
        <f aca="false">L97</f>
        <v/>
      </c>
      <c r="M459" s="0" t="n">
        <v>93</v>
      </c>
      <c r="N459" s="0" t="n">
        <f aca="false">N97</f>
        <v>0</v>
      </c>
      <c r="Q459" s="0" t="e">
        <f aca="false">IF(Charts!$B$3="none",E2266,IF(K2266="",NA(),K2266))</f>
        <v>#N/A</v>
      </c>
      <c r="R459" s="0" t="e">
        <f aca="false">IF(Charts!$B$3="none",F2266,IF(L2266="",NA(),L2266))</f>
        <v>#N/A</v>
      </c>
      <c r="S459" s="0" t="e">
        <f aca="false">IF(Charts!$B$3="none",G2266,IF(M2266="",NA(),M2266))</f>
        <v>#N/A</v>
      </c>
      <c r="T459" s="0" t="e">
        <f aca="false">IF(Charts!$B$3="none",H2266,IF(N2266="",NA(),N2266))</f>
        <v>#N/A</v>
      </c>
    </row>
    <row r="460" customFormat="false" ht="15" hidden="false" customHeight="false" outlineLevel="0" collapsed="false">
      <c r="E460" s="0" t="n">
        <v>94</v>
      </c>
      <c r="F460" s="0" t="str">
        <f aca="false">F98</f>
        <v/>
      </c>
      <c r="G460" s="0" t="n">
        <v>94</v>
      </c>
      <c r="H460" s="0" t="n">
        <f aca="false">H98</f>
        <v>0</v>
      </c>
      <c r="K460" s="0" t="n">
        <v>94</v>
      </c>
      <c r="L460" s="0" t="str">
        <f aca="false">L98</f>
        <v/>
      </c>
      <c r="M460" s="0" t="n">
        <v>94</v>
      </c>
      <c r="N460" s="0" t="n">
        <f aca="false">N98</f>
        <v>0</v>
      </c>
      <c r="Q460" s="0" t="e">
        <f aca="false">IF(Charts!$B$3="none",E2267,IF(K2267="",NA(),K2267))</f>
        <v>#N/A</v>
      </c>
      <c r="R460" s="0" t="e">
        <f aca="false">IF(Charts!$B$3="none",F2267,IF(L2267="",NA(),L2267))</f>
        <v>#N/A</v>
      </c>
      <c r="S460" s="0" t="e">
        <f aca="false">IF(Charts!$B$3="none",G2267,IF(M2267="",NA(),M2267))</f>
        <v>#N/A</v>
      </c>
      <c r="T460" s="0" t="e">
        <f aca="false">IF(Charts!$B$3="none",H2267,IF(N2267="",NA(),N2267))</f>
        <v>#N/A</v>
      </c>
    </row>
    <row r="461" customFormat="false" ht="15" hidden="false" customHeight="false" outlineLevel="0" collapsed="false">
      <c r="E461" s="0" t="n">
        <v>95</v>
      </c>
      <c r="F461" s="0" t="str">
        <f aca="false">F99</f>
        <v/>
      </c>
      <c r="G461" s="0" t="n">
        <v>95</v>
      </c>
      <c r="H461" s="0" t="n">
        <f aca="false">H99</f>
        <v>0</v>
      </c>
      <c r="K461" s="0" t="n">
        <v>95</v>
      </c>
      <c r="L461" s="0" t="str">
        <f aca="false">L99</f>
        <v/>
      </c>
      <c r="M461" s="0" t="n">
        <v>95</v>
      </c>
      <c r="N461" s="0" t="n">
        <f aca="false">N99</f>
        <v>0</v>
      </c>
      <c r="Q461" s="0" t="e">
        <f aca="false">IF(Charts!$B$3="none",E2268,IF(K2268="",NA(),K2268))</f>
        <v>#N/A</v>
      </c>
      <c r="R461" s="0" t="e">
        <f aca="false">IF(Charts!$B$3="none",F2268,IF(L2268="",NA(),L2268))</f>
        <v>#N/A</v>
      </c>
      <c r="S461" s="0" t="e">
        <f aca="false">IF(Charts!$B$3="none",G2268,IF(M2268="",NA(),M2268))</f>
        <v>#N/A</v>
      </c>
      <c r="T461" s="0" t="e">
        <f aca="false">IF(Charts!$B$3="none",H2268,IF(N2268="",NA(),N2268))</f>
        <v>#N/A</v>
      </c>
    </row>
    <row r="462" customFormat="false" ht="15" hidden="false" customHeight="false" outlineLevel="0" collapsed="false">
      <c r="E462" s="0" t="n">
        <v>96</v>
      </c>
      <c r="F462" s="0" t="str">
        <f aca="false">F100</f>
        <v/>
      </c>
      <c r="G462" s="0" t="n">
        <v>96</v>
      </c>
      <c r="H462" s="0" t="n">
        <f aca="false">H100</f>
        <v>0</v>
      </c>
      <c r="K462" s="0" t="n">
        <v>96</v>
      </c>
      <c r="L462" s="0" t="str">
        <f aca="false">L100</f>
        <v/>
      </c>
      <c r="M462" s="0" t="n">
        <v>96</v>
      </c>
      <c r="N462" s="0" t="n">
        <f aca="false">N100</f>
        <v>0</v>
      </c>
      <c r="Q462" s="0" t="e">
        <f aca="false">IF(Charts!$B$3="none",E2269,IF(K2269="",NA(),K2269))</f>
        <v>#N/A</v>
      </c>
      <c r="R462" s="0" t="e">
        <f aca="false">IF(Charts!$B$3="none",F2269,IF(L2269="",NA(),L2269))</f>
        <v>#N/A</v>
      </c>
      <c r="S462" s="0" t="e">
        <f aca="false">IF(Charts!$B$3="none",G2269,IF(M2269="",NA(),M2269))</f>
        <v>#N/A</v>
      </c>
      <c r="T462" s="0" t="e">
        <f aca="false">IF(Charts!$B$3="none",H2269,IF(N2269="",NA(),N2269))</f>
        <v>#N/A</v>
      </c>
    </row>
    <row r="463" customFormat="false" ht="15" hidden="false" customHeight="false" outlineLevel="0" collapsed="false">
      <c r="E463" s="0" t="n">
        <v>97</v>
      </c>
      <c r="F463" s="0" t="str">
        <f aca="false">F101</f>
        <v/>
      </c>
      <c r="G463" s="0" t="n">
        <v>97</v>
      </c>
      <c r="H463" s="0" t="n">
        <f aca="false">H101</f>
        <v>0</v>
      </c>
      <c r="K463" s="0" t="n">
        <v>97</v>
      </c>
      <c r="L463" s="0" t="str">
        <f aca="false">L101</f>
        <v/>
      </c>
      <c r="M463" s="0" t="n">
        <v>97</v>
      </c>
      <c r="N463" s="0" t="n">
        <f aca="false">N101</f>
        <v>0</v>
      </c>
      <c r="Q463" s="0" t="e">
        <f aca="false">IF(Charts!$B$3="none",E2270,IF(K2270="",NA(),K2270))</f>
        <v>#N/A</v>
      </c>
      <c r="R463" s="0" t="e">
        <f aca="false">IF(Charts!$B$3="none",F2270,IF(L2270="",NA(),L2270))</f>
        <v>#N/A</v>
      </c>
      <c r="S463" s="0" t="e">
        <f aca="false">IF(Charts!$B$3="none",G2270,IF(M2270="",NA(),M2270))</f>
        <v>#N/A</v>
      </c>
      <c r="T463" s="0" t="e">
        <f aca="false">IF(Charts!$B$3="none",H2270,IF(N2270="",NA(),N2270))</f>
        <v>#N/A</v>
      </c>
    </row>
    <row r="464" customFormat="false" ht="15" hidden="false" customHeight="false" outlineLevel="0" collapsed="false">
      <c r="E464" s="0" t="n">
        <v>98</v>
      </c>
      <c r="F464" s="0" t="str">
        <f aca="false">F102</f>
        <v/>
      </c>
      <c r="G464" s="0" t="n">
        <v>98</v>
      </c>
      <c r="H464" s="0" t="n">
        <f aca="false">H102</f>
        <v>0</v>
      </c>
      <c r="K464" s="0" t="n">
        <v>98</v>
      </c>
      <c r="L464" s="0" t="str">
        <f aca="false">L102</f>
        <v/>
      </c>
      <c r="M464" s="0" t="n">
        <v>98</v>
      </c>
      <c r="N464" s="0" t="n">
        <f aca="false">N102</f>
        <v>0</v>
      </c>
      <c r="Q464" s="0" t="e">
        <f aca="false">IF(Charts!$B$3="none",E2271,IF(K2271="",NA(),K2271))</f>
        <v>#N/A</v>
      </c>
      <c r="R464" s="0" t="e">
        <f aca="false">IF(Charts!$B$3="none",F2271,IF(L2271="",NA(),L2271))</f>
        <v>#N/A</v>
      </c>
      <c r="S464" s="0" t="e">
        <f aca="false">IF(Charts!$B$3="none",G2271,IF(M2271="",NA(),M2271))</f>
        <v>#N/A</v>
      </c>
      <c r="T464" s="0" t="e">
        <f aca="false">IF(Charts!$B$3="none",H2271,IF(N2271="",NA(),N2271))</f>
        <v>#N/A</v>
      </c>
    </row>
    <row r="465" customFormat="false" ht="15" hidden="false" customHeight="false" outlineLevel="0" collapsed="false">
      <c r="E465" s="0" t="n">
        <v>99</v>
      </c>
      <c r="F465" s="0" t="str">
        <f aca="false">F103</f>
        <v/>
      </c>
      <c r="G465" s="0" t="n">
        <v>99</v>
      </c>
      <c r="H465" s="0" t="n">
        <f aca="false">H103</f>
        <v>0</v>
      </c>
      <c r="K465" s="0" t="n">
        <v>99</v>
      </c>
      <c r="L465" s="0" t="str">
        <f aca="false">L103</f>
        <v/>
      </c>
      <c r="M465" s="0" t="n">
        <v>99</v>
      </c>
      <c r="N465" s="0" t="n">
        <f aca="false">N103</f>
        <v>0</v>
      </c>
      <c r="Q465" s="0" t="e">
        <f aca="false">IF(Charts!$B$3="none",E2272,IF(K2272="",NA(),K2272))</f>
        <v>#N/A</v>
      </c>
      <c r="R465" s="0" t="e">
        <f aca="false">IF(Charts!$B$3="none",F2272,IF(L2272="",NA(),L2272))</f>
        <v>#N/A</v>
      </c>
      <c r="S465" s="0" t="e">
        <f aca="false">IF(Charts!$B$3="none",G2272,IF(M2272="",NA(),M2272))</f>
        <v>#N/A</v>
      </c>
      <c r="T465" s="0" t="e">
        <f aca="false">IF(Charts!$B$3="none",H2272,IF(N2272="",NA(),N2272))</f>
        <v>#N/A</v>
      </c>
    </row>
    <row r="466" customFormat="false" ht="15" hidden="false" customHeight="false" outlineLevel="0" collapsed="false">
      <c r="E466" s="0" t="n">
        <v>100</v>
      </c>
      <c r="F466" s="0" t="str">
        <f aca="false">F104</f>
        <v/>
      </c>
      <c r="G466" s="0" t="n">
        <v>100</v>
      </c>
      <c r="H466" s="0" t="n">
        <f aca="false">H104</f>
        <v>0</v>
      </c>
      <c r="K466" s="0" t="n">
        <v>100</v>
      </c>
      <c r="L466" s="0" t="str">
        <f aca="false">L104</f>
        <v/>
      </c>
      <c r="M466" s="0" t="n">
        <v>100</v>
      </c>
      <c r="N466" s="0" t="n">
        <f aca="false">N104</f>
        <v>0</v>
      </c>
      <c r="Q466" s="0" t="e">
        <f aca="false">IF(Charts!$B$3="none",E2273,IF(K2273="",NA(),K2273))</f>
        <v>#N/A</v>
      </c>
      <c r="R466" s="0" t="e">
        <f aca="false">IF(Charts!$B$3="none",F2273,IF(L2273="",NA(),L2273))</f>
        <v>#N/A</v>
      </c>
      <c r="S466" s="0" t="e">
        <f aca="false">IF(Charts!$B$3="none",G2273,IF(M2273="",NA(),M2273))</f>
        <v>#N/A</v>
      </c>
      <c r="T466" s="0" t="e">
        <f aca="false">IF(Charts!$B$3="none",H2273,IF(N2273="",NA(),N2273))</f>
        <v>#N/A</v>
      </c>
    </row>
    <row r="467" customFormat="false" ht="15" hidden="false" customHeight="false" outlineLevel="0" collapsed="false">
      <c r="E467" s="0" t="n">
        <v>101</v>
      </c>
      <c r="F467" s="0" t="str">
        <f aca="false">F105</f>
        <v/>
      </c>
      <c r="G467" s="0" t="n">
        <v>101</v>
      </c>
      <c r="H467" s="0" t="n">
        <f aca="false">H105</f>
        <v>0</v>
      </c>
      <c r="K467" s="0" t="n">
        <v>101</v>
      </c>
      <c r="L467" s="0" t="str">
        <f aca="false">L105</f>
        <v/>
      </c>
      <c r="M467" s="0" t="n">
        <v>101</v>
      </c>
      <c r="N467" s="0" t="n">
        <f aca="false">N105</f>
        <v>0</v>
      </c>
      <c r="Q467" s="0" t="e">
        <f aca="false">IF(Charts!$B$3="none",E2274,IF(K2274="",NA(),K2274))</f>
        <v>#N/A</v>
      </c>
      <c r="R467" s="0" t="e">
        <f aca="false">IF(Charts!$B$3="none",F2274,IF(L2274="",NA(),L2274))</f>
        <v>#N/A</v>
      </c>
      <c r="S467" s="0" t="e">
        <f aca="false">IF(Charts!$B$3="none",G2274,IF(M2274="",NA(),M2274))</f>
        <v>#N/A</v>
      </c>
      <c r="T467" s="0" t="e">
        <f aca="false">IF(Charts!$B$3="none",H2274,IF(N2274="",NA(),N2274))</f>
        <v>#N/A</v>
      </c>
    </row>
    <row r="468" customFormat="false" ht="15" hidden="false" customHeight="false" outlineLevel="0" collapsed="false">
      <c r="E468" s="0" t="n">
        <v>102</v>
      </c>
      <c r="F468" s="0" t="str">
        <f aca="false">F106</f>
        <v/>
      </c>
      <c r="G468" s="0" t="n">
        <v>102</v>
      </c>
      <c r="H468" s="0" t="n">
        <f aca="false">H106</f>
        <v>0</v>
      </c>
      <c r="K468" s="0" t="n">
        <v>102</v>
      </c>
      <c r="L468" s="0" t="str">
        <f aca="false">L106</f>
        <v/>
      </c>
      <c r="M468" s="0" t="n">
        <v>102</v>
      </c>
      <c r="N468" s="0" t="n">
        <f aca="false">N106</f>
        <v>0</v>
      </c>
      <c r="Q468" s="0" t="e">
        <f aca="false">IF(Charts!$B$3="none",E2275,IF(K2275="",NA(),K2275))</f>
        <v>#N/A</v>
      </c>
      <c r="R468" s="0" t="e">
        <f aca="false">IF(Charts!$B$3="none",F2275,IF(L2275="",NA(),L2275))</f>
        <v>#N/A</v>
      </c>
      <c r="S468" s="0" t="e">
        <f aca="false">IF(Charts!$B$3="none",G2275,IF(M2275="",NA(),M2275))</f>
        <v>#N/A</v>
      </c>
      <c r="T468" s="0" t="e">
        <f aca="false">IF(Charts!$B$3="none",H2275,IF(N2275="",NA(),N2275))</f>
        <v>#N/A</v>
      </c>
    </row>
    <row r="469" customFormat="false" ht="15" hidden="false" customHeight="false" outlineLevel="0" collapsed="false">
      <c r="E469" s="0" t="n">
        <v>103</v>
      </c>
      <c r="F469" s="0" t="str">
        <f aca="false">F107</f>
        <v/>
      </c>
      <c r="G469" s="0" t="n">
        <v>103</v>
      </c>
      <c r="H469" s="0" t="n">
        <f aca="false">H107</f>
        <v>0</v>
      </c>
      <c r="K469" s="0" t="n">
        <v>103</v>
      </c>
      <c r="L469" s="0" t="str">
        <f aca="false">L107</f>
        <v/>
      </c>
      <c r="M469" s="0" t="n">
        <v>103</v>
      </c>
      <c r="N469" s="0" t="n">
        <f aca="false">N107</f>
        <v>0</v>
      </c>
      <c r="Q469" s="0" t="e">
        <f aca="false">IF(Charts!$B$3="none",E2276,IF(K2276="",NA(),K2276))</f>
        <v>#N/A</v>
      </c>
      <c r="R469" s="0" t="e">
        <f aca="false">IF(Charts!$B$3="none",F2276,IF(L2276="",NA(),L2276))</f>
        <v>#N/A</v>
      </c>
      <c r="S469" s="0" t="e">
        <f aca="false">IF(Charts!$B$3="none",G2276,IF(M2276="",NA(),M2276))</f>
        <v>#N/A</v>
      </c>
      <c r="T469" s="0" t="e">
        <f aca="false">IF(Charts!$B$3="none",H2276,IF(N2276="",NA(),N2276))</f>
        <v>#N/A</v>
      </c>
    </row>
    <row r="470" customFormat="false" ht="15" hidden="false" customHeight="false" outlineLevel="0" collapsed="false">
      <c r="E470" s="0" t="n">
        <v>104</v>
      </c>
      <c r="F470" s="0" t="str">
        <f aca="false">F108</f>
        <v/>
      </c>
      <c r="G470" s="0" t="n">
        <v>104</v>
      </c>
      <c r="H470" s="0" t="n">
        <f aca="false">H108</f>
        <v>0</v>
      </c>
      <c r="K470" s="0" t="n">
        <v>104</v>
      </c>
      <c r="L470" s="0" t="str">
        <f aca="false">L108</f>
        <v/>
      </c>
      <c r="M470" s="0" t="n">
        <v>104</v>
      </c>
      <c r="N470" s="0" t="n">
        <f aca="false">N108</f>
        <v>0</v>
      </c>
      <c r="Q470" s="0" t="e">
        <f aca="false">IF(Charts!$B$3="none",E2277,IF(K2277="",NA(),K2277))</f>
        <v>#N/A</v>
      </c>
      <c r="R470" s="0" t="e">
        <f aca="false">IF(Charts!$B$3="none",F2277,IF(L2277="",NA(),L2277))</f>
        <v>#N/A</v>
      </c>
      <c r="S470" s="0" t="e">
        <f aca="false">IF(Charts!$B$3="none",G2277,IF(M2277="",NA(),M2277))</f>
        <v>#N/A</v>
      </c>
      <c r="T470" s="0" t="e">
        <f aca="false">IF(Charts!$B$3="none",H2277,IF(N2277="",NA(),N2277))</f>
        <v>#N/A</v>
      </c>
    </row>
    <row r="471" customFormat="false" ht="15" hidden="false" customHeight="false" outlineLevel="0" collapsed="false">
      <c r="E471" s="0" t="n">
        <v>105</v>
      </c>
      <c r="F471" s="0" t="str">
        <f aca="false">F109</f>
        <v/>
      </c>
      <c r="G471" s="0" t="n">
        <v>105</v>
      </c>
      <c r="H471" s="0" t="n">
        <f aca="false">H109</f>
        <v>0</v>
      </c>
      <c r="K471" s="0" t="n">
        <v>105</v>
      </c>
      <c r="L471" s="0" t="str">
        <f aca="false">L109</f>
        <v/>
      </c>
      <c r="M471" s="0" t="n">
        <v>105</v>
      </c>
      <c r="N471" s="0" t="n">
        <f aca="false">N109</f>
        <v>0</v>
      </c>
      <c r="Q471" s="0" t="e">
        <f aca="false">IF(Charts!$B$3="none",E2278,IF(K2278="",NA(),K2278))</f>
        <v>#N/A</v>
      </c>
      <c r="R471" s="0" t="e">
        <f aca="false">IF(Charts!$B$3="none",F2278,IF(L2278="",NA(),L2278))</f>
        <v>#N/A</v>
      </c>
      <c r="S471" s="0" t="e">
        <f aca="false">IF(Charts!$B$3="none",G2278,IF(M2278="",NA(),M2278))</f>
        <v>#N/A</v>
      </c>
      <c r="T471" s="0" t="e">
        <f aca="false">IF(Charts!$B$3="none",H2278,IF(N2278="",NA(),N2278))</f>
        <v>#N/A</v>
      </c>
    </row>
    <row r="472" customFormat="false" ht="15" hidden="false" customHeight="false" outlineLevel="0" collapsed="false">
      <c r="E472" s="0" t="n">
        <v>106</v>
      </c>
      <c r="F472" s="0" t="str">
        <f aca="false">F110</f>
        <v/>
      </c>
      <c r="G472" s="0" t="n">
        <v>106</v>
      </c>
      <c r="H472" s="0" t="n">
        <f aca="false">H110</f>
        <v>0</v>
      </c>
      <c r="K472" s="0" t="n">
        <v>106</v>
      </c>
      <c r="L472" s="0" t="str">
        <f aca="false">L110</f>
        <v/>
      </c>
      <c r="M472" s="0" t="n">
        <v>106</v>
      </c>
      <c r="N472" s="0" t="n">
        <f aca="false">N110</f>
        <v>0</v>
      </c>
      <c r="Q472" s="0" t="e">
        <f aca="false">IF(Charts!$B$3="none",E2279,IF(K2279="",NA(),K2279))</f>
        <v>#N/A</v>
      </c>
      <c r="R472" s="0" t="e">
        <f aca="false">IF(Charts!$B$3="none",F2279,IF(L2279="",NA(),L2279))</f>
        <v>#N/A</v>
      </c>
      <c r="S472" s="0" t="e">
        <f aca="false">IF(Charts!$B$3="none",G2279,IF(M2279="",NA(),M2279))</f>
        <v>#N/A</v>
      </c>
      <c r="T472" s="0" t="e">
        <f aca="false">IF(Charts!$B$3="none",H2279,IF(N2279="",NA(),N2279))</f>
        <v>#N/A</v>
      </c>
    </row>
    <row r="473" customFormat="false" ht="15" hidden="false" customHeight="false" outlineLevel="0" collapsed="false">
      <c r="E473" s="0" t="n">
        <v>107</v>
      </c>
      <c r="F473" s="0" t="str">
        <f aca="false">F111</f>
        <v/>
      </c>
      <c r="G473" s="0" t="n">
        <v>107</v>
      </c>
      <c r="H473" s="0" t="n">
        <f aca="false">H111</f>
        <v>0</v>
      </c>
      <c r="K473" s="0" t="n">
        <v>107</v>
      </c>
      <c r="L473" s="0" t="str">
        <f aca="false">L111</f>
        <v/>
      </c>
      <c r="M473" s="0" t="n">
        <v>107</v>
      </c>
      <c r="N473" s="0" t="n">
        <f aca="false">N111</f>
        <v>0</v>
      </c>
      <c r="Q473" s="0" t="e">
        <f aca="false">IF(Charts!$B$3="none",E2280,IF(K2280="",NA(),K2280))</f>
        <v>#N/A</v>
      </c>
      <c r="R473" s="0" t="e">
        <f aca="false">IF(Charts!$B$3="none",F2280,IF(L2280="",NA(),L2280))</f>
        <v>#N/A</v>
      </c>
      <c r="S473" s="0" t="e">
        <f aca="false">IF(Charts!$B$3="none",G2280,IF(M2280="",NA(),M2280))</f>
        <v>#N/A</v>
      </c>
      <c r="T473" s="0" t="e">
        <f aca="false">IF(Charts!$B$3="none",H2280,IF(N2280="",NA(),N2280))</f>
        <v>#N/A</v>
      </c>
    </row>
    <row r="474" customFormat="false" ht="15" hidden="false" customHeight="false" outlineLevel="0" collapsed="false">
      <c r="E474" s="0" t="n">
        <v>108</v>
      </c>
      <c r="F474" s="0" t="str">
        <f aca="false">F112</f>
        <v/>
      </c>
      <c r="G474" s="0" t="n">
        <v>108</v>
      </c>
      <c r="H474" s="0" t="n">
        <f aca="false">H112</f>
        <v>0</v>
      </c>
      <c r="K474" s="0" t="n">
        <v>108</v>
      </c>
      <c r="L474" s="0" t="str">
        <f aca="false">L112</f>
        <v/>
      </c>
      <c r="M474" s="0" t="n">
        <v>108</v>
      </c>
      <c r="N474" s="0" t="n">
        <f aca="false">N112</f>
        <v>0</v>
      </c>
      <c r="Q474" s="0" t="e">
        <f aca="false">IF(Charts!$B$3="none",E2281,IF(K2281="",NA(),K2281))</f>
        <v>#N/A</v>
      </c>
      <c r="R474" s="0" t="e">
        <f aca="false">IF(Charts!$B$3="none",F2281,IF(L2281="",NA(),L2281))</f>
        <v>#N/A</v>
      </c>
      <c r="S474" s="0" t="e">
        <f aca="false">IF(Charts!$B$3="none",G2281,IF(M2281="",NA(),M2281))</f>
        <v>#N/A</v>
      </c>
      <c r="T474" s="0" t="e">
        <f aca="false">IF(Charts!$B$3="none",H2281,IF(N2281="",NA(),N2281))</f>
        <v>#N/A</v>
      </c>
    </row>
    <row r="475" customFormat="false" ht="15" hidden="false" customHeight="false" outlineLevel="0" collapsed="false">
      <c r="E475" s="0" t="n">
        <v>109</v>
      </c>
      <c r="F475" s="0" t="str">
        <f aca="false">F113</f>
        <v/>
      </c>
      <c r="G475" s="0" t="n">
        <v>109</v>
      </c>
      <c r="H475" s="0" t="n">
        <f aca="false">H113</f>
        <v>0</v>
      </c>
      <c r="K475" s="0" t="n">
        <v>109</v>
      </c>
      <c r="L475" s="0" t="str">
        <f aca="false">L113</f>
        <v/>
      </c>
      <c r="M475" s="0" t="n">
        <v>109</v>
      </c>
      <c r="N475" s="0" t="n">
        <f aca="false">N113</f>
        <v>0</v>
      </c>
      <c r="Q475" s="0" t="e">
        <f aca="false">IF(Charts!$B$3="none",E2282,IF(K2282="",NA(),K2282))</f>
        <v>#N/A</v>
      </c>
      <c r="R475" s="0" t="e">
        <f aca="false">IF(Charts!$B$3="none",F2282,IF(L2282="",NA(),L2282))</f>
        <v>#N/A</v>
      </c>
      <c r="S475" s="0" t="e">
        <f aca="false">IF(Charts!$B$3="none",G2282,IF(M2282="",NA(),M2282))</f>
        <v>#N/A</v>
      </c>
      <c r="T475" s="0" t="e">
        <f aca="false">IF(Charts!$B$3="none",H2282,IF(N2282="",NA(),N2282))</f>
        <v>#N/A</v>
      </c>
    </row>
    <row r="476" customFormat="false" ht="15" hidden="false" customHeight="false" outlineLevel="0" collapsed="false">
      <c r="E476" s="0" t="n">
        <v>110</v>
      </c>
      <c r="F476" s="0" t="str">
        <f aca="false">F114</f>
        <v/>
      </c>
      <c r="G476" s="0" t="n">
        <v>110</v>
      </c>
      <c r="H476" s="0" t="n">
        <f aca="false">H114</f>
        <v>0</v>
      </c>
      <c r="K476" s="0" t="n">
        <v>110</v>
      </c>
      <c r="L476" s="0" t="str">
        <f aca="false">L114</f>
        <v/>
      </c>
      <c r="M476" s="0" t="n">
        <v>110</v>
      </c>
      <c r="N476" s="0" t="n">
        <f aca="false">N114</f>
        <v>0</v>
      </c>
      <c r="Q476" s="0" t="e">
        <f aca="false">IF(Charts!$B$3="none",E2283,IF(K2283="",NA(),K2283))</f>
        <v>#N/A</v>
      </c>
      <c r="R476" s="0" t="e">
        <f aca="false">IF(Charts!$B$3="none",F2283,IF(L2283="",NA(),L2283))</f>
        <v>#N/A</v>
      </c>
      <c r="S476" s="0" t="e">
        <f aca="false">IF(Charts!$B$3="none",G2283,IF(M2283="",NA(),M2283))</f>
        <v>#N/A</v>
      </c>
      <c r="T476" s="0" t="e">
        <f aca="false">IF(Charts!$B$3="none",H2283,IF(N2283="",NA(),N2283))</f>
        <v>#N/A</v>
      </c>
    </row>
    <row r="477" customFormat="false" ht="15" hidden="false" customHeight="false" outlineLevel="0" collapsed="false">
      <c r="E477" s="0" t="n">
        <v>111</v>
      </c>
      <c r="F477" s="0" t="str">
        <f aca="false">F115</f>
        <v/>
      </c>
      <c r="G477" s="0" t="n">
        <v>111</v>
      </c>
      <c r="H477" s="0" t="n">
        <f aca="false">H115</f>
        <v>0</v>
      </c>
      <c r="K477" s="0" t="n">
        <v>111</v>
      </c>
      <c r="L477" s="0" t="str">
        <f aca="false">L115</f>
        <v/>
      </c>
      <c r="M477" s="0" t="n">
        <v>111</v>
      </c>
      <c r="N477" s="0" t="n">
        <f aca="false">N115</f>
        <v>0</v>
      </c>
      <c r="Q477" s="0" t="e">
        <f aca="false">IF(Charts!$B$3="none",E2284,IF(K2284="",NA(),K2284))</f>
        <v>#N/A</v>
      </c>
      <c r="R477" s="0" t="e">
        <f aca="false">IF(Charts!$B$3="none",F2284,IF(L2284="",NA(),L2284))</f>
        <v>#N/A</v>
      </c>
      <c r="S477" s="0" t="e">
        <f aca="false">IF(Charts!$B$3="none",G2284,IF(M2284="",NA(),M2284))</f>
        <v>#N/A</v>
      </c>
      <c r="T477" s="0" t="e">
        <f aca="false">IF(Charts!$B$3="none",H2284,IF(N2284="",NA(),N2284))</f>
        <v>#N/A</v>
      </c>
    </row>
    <row r="478" customFormat="false" ht="15" hidden="false" customHeight="false" outlineLevel="0" collapsed="false">
      <c r="E478" s="0" t="n">
        <v>112</v>
      </c>
      <c r="F478" s="0" t="str">
        <f aca="false">F116</f>
        <v/>
      </c>
      <c r="G478" s="0" t="n">
        <v>112</v>
      </c>
      <c r="H478" s="0" t="n">
        <f aca="false">H116</f>
        <v>0</v>
      </c>
      <c r="K478" s="0" t="n">
        <v>112</v>
      </c>
      <c r="L478" s="0" t="str">
        <f aca="false">L116</f>
        <v/>
      </c>
      <c r="M478" s="0" t="n">
        <v>112</v>
      </c>
      <c r="N478" s="0" t="n">
        <f aca="false">N116</f>
        <v>0</v>
      </c>
      <c r="Q478" s="0" t="e">
        <f aca="false">IF(Charts!$B$3="none",E2285,IF(K2285="",NA(),K2285))</f>
        <v>#N/A</v>
      </c>
      <c r="R478" s="0" t="e">
        <f aca="false">IF(Charts!$B$3="none",F2285,IF(L2285="",NA(),L2285))</f>
        <v>#N/A</v>
      </c>
      <c r="S478" s="0" t="e">
        <f aca="false">IF(Charts!$B$3="none",G2285,IF(M2285="",NA(),M2285))</f>
        <v>#N/A</v>
      </c>
      <c r="T478" s="0" t="e">
        <f aca="false">IF(Charts!$B$3="none",H2285,IF(N2285="",NA(),N2285))</f>
        <v>#N/A</v>
      </c>
    </row>
    <row r="479" customFormat="false" ht="15" hidden="false" customHeight="false" outlineLevel="0" collapsed="false">
      <c r="E479" s="0" t="n">
        <v>113</v>
      </c>
      <c r="F479" s="0" t="str">
        <f aca="false">F117</f>
        <v/>
      </c>
      <c r="G479" s="0" t="n">
        <v>113</v>
      </c>
      <c r="H479" s="0" t="n">
        <f aca="false">H117</f>
        <v>0</v>
      </c>
      <c r="K479" s="0" t="n">
        <v>113</v>
      </c>
      <c r="L479" s="0" t="str">
        <f aca="false">L117</f>
        <v/>
      </c>
      <c r="M479" s="0" t="n">
        <v>113</v>
      </c>
      <c r="N479" s="0" t="n">
        <f aca="false">N117</f>
        <v>0</v>
      </c>
      <c r="Q479" s="0" t="e">
        <f aca="false">IF(Charts!$B$3="none",E2286,IF(K2286="",NA(),K2286))</f>
        <v>#N/A</v>
      </c>
      <c r="R479" s="0" t="e">
        <f aca="false">IF(Charts!$B$3="none",F2286,IF(L2286="",NA(),L2286))</f>
        <v>#N/A</v>
      </c>
      <c r="S479" s="0" t="e">
        <f aca="false">IF(Charts!$B$3="none",G2286,IF(M2286="",NA(),M2286))</f>
        <v>#N/A</v>
      </c>
      <c r="T479" s="0" t="e">
        <f aca="false">IF(Charts!$B$3="none",H2286,IF(N2286="",NA(),N2286))</f>
        <v>#N/A</v>
      </c>
    </row>
    <row r="480" customFormat="false" ht="15" hidden="false" customHeight="false" outlineLevel="0" collapsed="false">
      <c r="E480" s="0" t="n">
        <v>114</v>
      </c>
      <c r="F480" s="0" t="str">
        <f aca="false">F118</f>
        <v/>
      </c>
      <c r="G480" s="0" t="n">
        <v>114</v>
      </c>
      <c r="H480" s="0" t="n">
        <f aca="false">H118</f>
        <v>0</v>
      </c>
      <c r="K480" s="0" t="n">
        <v>114</v>
      </c>
      <c r="L480" s="0" t="str">
        <f aca="false">L118</f>
        <v/>
      </c>
      <c r="M480" s="0" t="n">
        <v>114</v>
      </c>
      <c r="N480" s="0" t="n">
        <f aca="false">N118</f>
        <v>0</v>
      </c>
      <c r="Q480" s="0" t="e">
        <f aca="false">IF(Charts!$B$3="none",E2287,IF(K2287="",NA(),K2287))</f>
        <v>#N/A</v>
      </c>
      <c r="R480" s="0" t="e">
        <f aca="false">IF(Charts!$B$3="none",F2287,IF(L2287="",NA(),L2287))</f>
        <v>#N/A</v>
      </c>
      <c r="S480" s="0" t="e">
        <f aca="false">IF(Charts!$B$3="none",G2287,IF(M2287="",NA(),M2287))</f>
        <v>#N/A</v>
      </c>
      <c r="T480" s="0" t="e">
        <f aca="false">IF(Charts!$B$3="none",H2287,IF(N2287="",NA(),N2287))</f>
        <v>#N/A</v>
      </c>
    </row>
    <row r="481" customFormat="false" ht="15" hidden="false" customHeight="false" outlineLevel="0" collapsed="false">
      <c r="E481" s="0" t="n">
        <v>115</v>
      </c>
      <c r="F481" s="0" t="str">
        <f aca="false">F119</f>
        <v/>
      </c>
      <c r="G481" s="0" t="n">
        <v>115</v>
      </c>
      <c r="H481" s="0" t="n">
        <f aca="false">H119</f>
        <v>0</v>
      </c>
      <c r="K481" s="0" t="n">
        <v>115</v>
      </c>
      <c r="L481" s="0" t="str">
        <f aca="false">L119</f>
        <v/>
      </c>
      <c r="M481" s="0" t="n">
        <v>115</v>
      </c>
      <c r="N481" s="0" t="n">
        <f aca="false">N119</f>
        <v>0</v>
      </c>
      <c r="Q481" s="0" t="e">
        <f aca="false">IF(Charts!$B$3="none",E2288,IF(K2288="",NA(),K2288))</f>
        <v>#N/A</v>
      </c>
      <c r="R481" s="0" t="e">
        <f aca="false">IF(Charts!$B$3="none",F2288,IF(L2288="",NA(),L2288))</f>
        <v>#N/A</v>
      </c>
      <c r="S481" s="0" t="e">
        <f aca="false">IF(Charts!$B$3="none",G2288,IF(M2288="",NA(),M2288))</f>
        <v>#N/A</v>
      </c>
      <c r="T481" s="0" t="e">
        <f aca="false">IF(Charts!$B$3="none",H2288,IF(N2288="",NA(),N2288))</f>
        <v>#N/A</v>
      </c>
    </row>
    <row r="482" customFormat="false" ht="15" hidden="false" customHeight="false" outlineLevel="0" collapsed="false">
      <c r="E482" s="0" t="n">
        <v>116</v>
      </c>
      <c r="F482" s="0" t="str">
        <f aca="false">F120</f>
        <v/>
      </c>
      <c r="G482" s="0" t="n">
        <v>116</v>
      </c>
      <c r="H482" s="0" t="n">
        <f aca="false">H120</f>
        <v>0</v>
      </c>
      <c r="K482" s="0" t="n">
        <v>116</v>
      </c>
      <c r="L482" s="0" t="str">
        <f aca="false">L120</f>
        <v/>
      </c>
      <c r="M482" s="0" t="n">
        <v>116</v>
      </c>
      <c r="N482" s="0" t="n">
        <f aca="false">N120</f>
        <v>0</v>
      </c>
      <c r="Q482" s="0" t="e">
        <f aca="false">IF(Charts!$B$3="none",E2289,IF(K2289="",NA(),K2289))</f>
        <v>#N/A</v>
      </c>
      <c r="R482" s="0" t="e">
        <f aca="false">IF(Charts!$B$3="none",F2289,IF(L2289="",NA(),L2289))</f>
        <v>#N/A</v>
      </c>
      <c r="S482" s="0" t="e">
        <f aca="false">IF(Charts!$B$3="none",G2289,IF(M2289="",NA(),M2289))</f>
        <v>#N/A</v>
      </c>
      <c r="T482" s="0" t="e">
        <f aca="false">IF(Charts!$B$3="none",H2289,IF(N2289="",NA(),N2289))</f>
        <v>#N/A</v>
      </c>
    </row>
    <row r="483" customFormat="false" ht="15" hidden="false" customHeight="false" outlineLevel="0" collapsed="false">
      <c r="E483" s="0" t="n">
        <v>117</v>
      </c>
      <c r="F483" s="0" t="str">
        <f aca="false">F121</f>
        <v/>
      </c>
      <c r="G483" s="0" t="n">
        <v>117</v>
      </c>
      <c r="H483" s="0" t="n">
        <f aca="false">H121</f>
        <v>0</v>
      </c>
      <c r="K483" s="0" t="n">
        <v>117</v>
      </c>
      <c r="L483" s="0" t="str">
        <f aca="false">L121</f>
        <v/>
      </c>
      <c r="M483" s="0" t="n">
        <v>117</v>
      </c>
      <c r="N483" s="0" t="n">
        <f aca="false">N121</f>
        <v>0</v>
      </c>
      <c r="Q483" s="0" t="e">
        <f aca="false">IF(Charts!$B$3="none",E2290,IF(K2290="",NA(),K2290))</f>
        <v>#N/A</v>
      </c>
      <c r="R483" s="0" t="e">
        <f aca="false">IF(Charts!$B$3="none",F2290,IF(L2290="",NA(),L2290))</f>
        <v>#N/A</v>
      </c>
      <c r="S483" s="0" t="e">
        <f aca="false">IF(Charts!$B$3="none",G2290,IF(M2290="",NA(),M2290))</f>
        <v>#N/A</v>
      </c>
      <c r="T483" s="0" t="e">
        <f aca="false">IF(Charts!$B$3="none",H2290,IF(N2290="",NA(),N2290))</f>
        <v>#N/A</v>
      </c>
    </row>
    <row r="484" customFormat="false" ht="15" hidden="false" customHeight="false" outlineLevel="0" collapsed="false">
      <c r="E484" s="0" t="n">
        <v>118</v>
      </c>
      <c r="F484" s="0" t="str">
        <f aca="false">F122</f>
        <v/>
      </c>
      <c r="G484" s="0" t="n">
        <v>118</v>
      </c>
      <c r="H484" s="0" t="n">
        <f aca="false">H122</f>
        <v>0</v>
      </c>
      <c r="K484" s="0" t="n">
        <v>118</v>
      </c>
      <c r="L484" s="0" t="str">
        <f aca="false">L122</f>
        <v/>
      </c>
      <c r="M484" s="0" t="n">
        <v>118</v>
      </c>
      <c r="N484" s="0" t="n">
        <f aca="false">N122</f>
        <v>0</v>
      </c>
      <c r="Q484" s="0" t="e">
        <f aca="false">IF(Charts!$B$3="none",E2291,IF(K2291="",NA(),K2291))</f>
        <v>#N/A</v>
      </c>
      <c r="R484" s="0" t="e">
        <f aca="false">IF(Charts!$B$3="none",F2291,IF(L2291="",NA(),L2291))</f>
        <v>#N/A</v>
      </c>
      <c r="S484" s="0" t="e">
        <f aca="false">IF(Charts!$B$3="none",G2291,IF(M2291="",NA(),M2291))</f>
        <v>#N/A</v>
      </c>
      <c r="T484" s="0" t="e">
        <f aca="false">IF(Charts!$B$3="none",H2291,IF(N2291="",NA(),N2291))</f>
        <v>#N/A</v>
      </c>
    </row>
    <row r="485" customFormat="false" ht="15" hidden="false" customHeight="false" outlineLevel="0" collapsed="false">
      <c r="E485" s="0" t="n">
        <v>119</v>
      </c>
      <c r="F485" s="0" t="str">
        <f aca="false">F123</f>
        <v/>
      </c>
      <c r="G485" s="0" t="n">
        <v>119</v>
      </c>
      <c r="H485" s="0" t="n">
        <f aca="false">H123</f>
        <v>0</v>
      </c>
      <c r="K485" s="0" t="n">
        <v>119</v>
      </c>
      <c r="L485" s="0" t="str">
        <f aca="false">L123</f>
        <v/>
      </c>
      <c r="M485" s="0" t="n">
        <v>119</v>
      </c>
      <c r="N485" s="0" t="n">
        <f aca="false">N123</f>
        <v>0</v>
      </c>
      <c r="Q485" s="0" t="e">
        <f aca="false">IF(Charts!$B$3="none",E2292,IF(K2292="",NA(),K2292))</f>
        <v>#N/A</v>
      </c>
      <c r="R485" s="0" t="e">
        <f aca="false">IF(Charts!$B$3="none",F2292,IF(L2292="",NA(),L2292))</f>
        <v>#N/A</v>
      </c>
      <c r="S485" s="0" t="e">
        <f aca="false">IF(Charts!$B$3="none",G2292,IF(M2292="",NA(),M2292))</f>
        <v>#N/A</v>
      </c>
      <c r="T485" s="0" t="e">
        <f aca="false">IF(Charts!$B$3="none",H2292,IF(N2292="",NA(),N2292))</f>
        <v>#N/A</v>
      </c>
    </row>
    <row r="486" customFormat="false" ht="15" hidden="false" customHeight="false" outlineLevel="0" collapsed="false">
      <c r="E486" s="0" t="n">
        <v>120</v>
      </c>
      <c r="F486" s="0" t="str">
        <f aca="false">F124</f>
        <v/>
      </c>
      <c r="G486" s="0" t="n">
        <v>120</v>
      </c>
      <c r="H486" s="0" t="n">
        <f aca="false">H124</f>
        <v>0</v>
      </c>
      <c r="K486" s="0" t="n">
        <v>120</v>
      </c>
      <c r="L486" s="0" t="str">
        <f aca="false">L124</f>
        <v/>
      </c>
      <c r="M486" s="0" t="n">
        <v>120</v>
      </c>
      <c r="N486" s="0" t="n">
        <f aca="false">N124</f>
        <v>0</v>
      </c>
      <c r="Q486" s="0" t="e">
        <f aca="false">IF(Charts!$B$3="none",E2293,IF(K2293="",NA(),K2293))</f>
        <v>#N/A</v>
      </c>
      <c r="R486" s="0" t="e">
        <f aca="false">IF(Charts!$B$3="none",F2293,IF(L2293="",NA(),L2293))</f>
        <v>#N/A</v>
      </c>
      <c r="S486" s="0" t="e">
        <f aca="false">IF(Charts!$B$3="none",G2293,IF(M2293="",NA(),M2293))</f>
        <v>#N/A</v>
      </c>
      <c r="T486" s="0" t="e">
        <f aca="false">IF(Charts!$B$3="none",H2293,IF(N2293="",NA(),N2293))</f>
        <v>#N/A</v>
      </c>
    </row>
    <row r="487" customFormat="false" ht="15" hidden="false" customHeight="false" outlineLevel="0" collapsed="false">
      <c r="E487" s="0" t="n">
        <v>121</v>
      </c>
      <c r="F487" s="0" t="str">
        <f aca="false">F125</f>
        <v/>
      </c>
      <c r="G487" s="0" t="n">
        <v>121</v>
      </c>
      <c r="H487" s="0" t="n">
        <f aca="false">H125</f>
        <v>0</v>
      </c>
      <c r="K487" s="0" t="n">
        <v>121</v>
      </c>
      <c r="L487" s="0" t="str">
        <f aca="false">L125</f>
        <v/>
      </c>
      <c r="M487" s="0" t="n">
        <v>121</v>
      </c>
      <c r="N487" s="0" t="n">
        <f aca="false">N125</f>
        <v>0</v>
      </c>
      <c r="Q487" s="0" t="e">
        <f aca="false">IF(Charts!$B$3="none",E2294,IF(K2294="",NA(),K2294))</f>
        <v>#N/A</v>
      </c>
      <c r="R487" s="0" t="e">
        <f aca="false">IF(Charts!$B$3="none",F2294,IF(L2294="",NA(),L2294))</f>
        <v>#N/A</v>
      </c>
      <c r="S487" s="0" t="e">
        <f aca="false">IF(Charts!$B$3="none",G2294,IF(M2294="",NA(),M2294))</f>
        <v>#N/A</v>
      </c>
      <c r="T487" s="0" t="e">
        <f aca="false">IF(Charts!$B$3="none",H2294,IF(N2294="",NA(),N2294))</f>
        <v>#N/A</v>
      </c>
    </row>
    <row r="488" customFormat="false" ht="15" hidden="false" customHeight="false" outlineLevel="0" collapsed="false">
      <c r="E488" s="0" t="n">
        <v>122</v>
      </c>
      <c r="F488" s="0" t="str">
        <f aca="false">F126</f>
        <v/>
      </c>
      <c r="G488" s="0" t="n">
        <v>122</v>
      </c>
      <c r="H488" s="0" t="n">
        <f aca="false">H126</f>
        <v>0</v>
      </c>
      <c r="K488" s="0" t="n">
        <v>122</v>
      </c>
      <c r="L488" s="0" t="str">
        <f aca="false">L126</f>
        <v/>
      </c>
      <c r="M488" s="0" t="n">
        <v>122</v>
      </c>
      <c r="N488" s="0" t="n">
        <f aca="false">N126</f>
        <v>0</v>
      </c>
      <c r="Q488" s="0" t="e">
        <f aca="false">IF(Charts!$B$3="none",E2295,IF(K2295="",NA(),K2295))</f>
        <v>#N/A</v>
      </c>
      <c r="R488" s="0" t="e">
        <f aca="false">IF(Charts!$B$3="none",F2295,IF(L2295="",NA(),L2295))</f>
        <v>#N/A</v>
      </c>
      <c r="S488" s="0" t="e">
        <f aca="false">IF(Charts!$B$3="none",G2295,IF(M2295="",NA(),M2295))</f>
        <v>#N/A</v>
      </c>
      <c r="T488" s="0" t="e">
        <f aca="false">IF(Charts!$B$3="none",H2295,IF(N2295="",NA(),N2295))</f>
        <v>#N/A</v>
      </c>
    </row>
    <row r="489" customFormat="false" ht="15" hidden="false" customHeight="false" outlineLevel="0" collapsed="false">
      <c r="E489" s="0" t="n">
        <v>123</v>
      </c>
      <c r="F489" s="0" t="str">
        <f aca="false">F127</f>
        <v/>
      </c>
      <c r="G489" s="0" t="n">
        <v>123</v>
      </c>
      <c r="H489" s="0" t="n">
        <f aca="false">H127</f>
        <v>0</v>
      </c>
      <c r="K489" s="0" t="n">
        <v>123</v>
      </c>
      <c r="L489" s="0" t="str">
        <f aca="false">L127</f>
        <v/>
      </c>
      <c r="M489" s="0" t="n">
        <v>123</v>
      </c>
      <c r="N489" s="0" t="n">
        <f aca="false">N127</f>
        <v>0</v>
      </c>
      <c r="Q489" s="0" t="e">
        <f aca="false">IF(Charts!$B$3="none",E2296,IF(K2296="",NA(),K2296))</f>
        <v>#N/A</v>
      </c>
      <c r="R489" s="0" t="e">
        <f aca="false">IF(Charts!$B$3="none",F2296,IF(L2296="",NA(),L2296))</f>
        <v>#N/A</v>
      </c>
      <c r="S489" s="0" t="e">
        <f aca="false">IF(Charts!$B$3="none",G2296,IF(M2296="",NA(),M2296))</f>
        <v>#N/A</v>
      </c>
      <c r="T489" s="0" t="e">
        <f aca="false">IF(Charts!$B$3="none",H2296,IF(N2296="",NA(),N2296))</f>
        <v>#N/A</v>
      </c>
    </row>
    <row r="490" customFormat="false" ht="15" hidden="false" customHeight="false" outlineLevel="0" collapsed="false">
      <c r="E490" s="0" t="n">
        <v>124</v>
      </c>
      <c r="F490" s="0" t="str">
        <f aca="false">F128</f>
        <v/>
      </c>
      <c r="G490" s="0" t="n">
        <v>124</v>
      </c>
      <c r="H490" s="0" t="n">
        <f aca="false">H128</f>
        <v>0</v>
      </c>
      <c r="K490" s="0" t="n">
        <v>124</v>
      </c>
      <c r="L490" s="0" t="str">
        <f aca="false">L128</f>
        <v/>
      </c>
      <c r="M490" s="0" t="n">
        <v>124</v>
      </c>
      <c r="N490" s="0" t="n">
        <f aca="false">N128</f>
        <v>0</v>
      </c>
      <c r="Q490" s="0" t="e">
        <f aca="false">IF(Charts!$B$3="none",E2297,IF(K2297="",NA(),K2297))</f>
        <v>#N/A</v>
      </c>
      <c r="R490" s="0" t="e">
        <f aca="false">IF(Charts!$B$3="none",F2297,IF(L2297="",NA(),L2297))</f>
        <v>#N/A</v>
      </c>
      <c r="S490" s="0" t="e">
        <f aca="false">IF(Charts!$B$3="none",G2297,IF(M2297="",NA(),M2297))</f>
        <v>#N/A</v>
      </c>
      <c r="T490" s="0" t="e">
        <f aca="false">IF(Charts!$B$3="none",H2297,IF(N2297="",NA(),N2297))</f>
        <v>#N/A</v>
      </c>
    </row>
    <row r="491" customFormat="false" ht="15" hidden="false" customHeight="false" outlineLevel="0" collapsed="false">
      <c r="E491" s="0" t="n">
        <v>125</v>
      </c>
      <c r="F491" s="0" t="str">
        <f aca="false">F129</f>
        <v/>
      </c>
      <c r="G491" s="0" t="n">
        <v>125</v>
      </c>
      <c r="H491" s="0" t="n">
        <f aca="false">H129</f>
        <v>0</v>
      </c>
      <c r="K491" s="0" t="n">
        <v>125</v>
      </c>
      <c r="L491" s="0" t="str">
        <f aca="false">L129</f>
        <v/>
      </c>
      <c r="M491" s="0" t="n">
        <v>125</v>
      </c>
      <c r="N491" s="0" t="n">
        <f aca="false">N129</f>
        <v>0</v>
      </c>
      <c r="Q491" s="0" t="e">
        <f aca="false">IF(Charts!$B$3="none",E2298,IF(K2298="",NA(),K2298))</f>
        <v>#N/A</v>
      </c>
      <c r="R491" s="0" t="e">
        <f aca="false">IF(Charts!$B$3="none",F2298,IF(L2298="",NA(),L2298))</f>
        <v>#N/A</v>
      </c>
      <c r="S491" s="0" t="e">
        <f aca="false">IF(Charts!$B$3="none",G2298,IF(M2298="",NA(),M2298))</f>
        <v>#N/A</v>
      </c>
      <c r="T491" s="0" t="e">
        <f aca="false">IF(Charts!$B$3="none",H2298,IF(N2298="",NA(),N2298))</f>
        <v>#N/A</v>
      </c>
    </row>
    <row r="492" customFormat="false" ht="15" hidden="false" customHeight="false" outlineLevel="0" collapsed="false">
      <c r="E492" s="0" t="n">
        <v>126</v>
      </c>
      <c r="F492" s="0" t="str">
        <f aca="false">F130</f>
        <v/>
      </c>
      <c r="G492" s="0" t="n">
        <v>126</v>
      </c>
      <c r="H492" s="0" t="n">
        <f aca="false">H130</f>
        <v>0</v>
      </c>
      <c r="K492" s="0" t="n">
        <v>126</v>
      </c>
      <c r="L492" s="0" t="str">
        <f aca="false">L130</f>
        <v/>
      </c>
      <c r="M492" s="0" t="n">
        <v>126</v>
      </c>
      <c r="N492" s="0" t="n">
        <f aca="false">N130</f>
        <v>0</v>
      </c>
      <c r="Q492" s="0" t="e">
        <f aca="false">IF(Charts!$B$3="none",E2299,IF(K2299="",NA(),K2299))</f>
        <v>#N/A</v>
      </c>
      <c r="R492" s="0" t="e">
        <f aca="false">IF(Charts!$B$3="none",F2299,IF(L2299="",NA(),L2299))</f>
        <v>#N/A</v>
      </c>
      <c r="S492" s="0" t="e">
        <f aca="false">IF(Charts!$B$3="none",G2299,IF(M2299="",NA(),M2299))</f>
        <v>#N/A</v>
      </c>
      <c r="T492" s="0" t="e">
        <f aca="false">IF(Charts!$B$3="none",H2299,IF(N2299="",NA(),N2299))</f>
        <v>#N/A</v>
      </c>
    </row>
    <row r="493" customFormat="false" ht="15" hidden="false" customHeight="false" outlineLevel="0" collapsed="false">
      <c r="E493" s="0" t="n">
        <v>127</v>
      </c>
      <c r="F493" s="0" t="str">
        <f aca="false">F131</f>
        <v/>
      </c>
      <c r="G493" s="0" t="n">
        <v>127</v>
      </c>
      <c r="H493" s="0" t="n">
        <f aca="false">H131</f>
        <v>0</v>
      </c>
      <c r="K493" s="0" t="n">
        <v>127</v>
      </c>
      <c r="L493" s="0" t="str">
        <f aca="false">L131</f>
        <v/>
      </c>
      <c r="M493" s="0" t="n">
        <v>127</v>
      </c>
      <c r="N493" s="0" t="n">
        <f aca="false">N131</f>
        <v>0</v>
      </c>
      <c r="Q493" s="0" t="e">
        <f aca="false">IF(Charts!$B$3="none",E2300,IF(K2300="",NA(),K2300))</f>
        <v>#N/A</v>
      </c>
      <c r="R493" s="0" t="e">
        <f aca="false">IF(Charts!$B$3="none",F2300,IF(L2300="",NA(),L2300))</f>
        <v>#N/A</v>
      </c>
      <c r="S493" s="0" t="e">
        <f aca="false">IF(Charts!$B$3="none",G2300,IF(M2300="",NA(),M2300))</f>
        <v>#N/A</v>
      </c>
      <c r="T493" s="0" t="e">
        <f aca="false">IF(Charts!$B$3="none",H2300,IF(N2300="",NA(),N2300))</f>
        <v>#N/A</v>
      </c>
    </row>
    <row r="494" customFormat="false" ht="15" hidden="false" customHeight="false" outlineLevel="0" collapsed="false">
      <c r="E494" s="0" t="n">
        <v>128</v>
      </c>
      <c r="F494" s="0" t="str">
        <f aca="false">F132</f>
        <v/>
      </c>
      <c r="G494" s="0" t="n">
        <v>128</v>
      </c>
      <c r="H494" s="0" t="n">
        <f aca="false">H132</f>
        <v>0</v>
      </c>
      <c r="K494" s="0" t="n">
        <v>128</v>
      </c>
      <c r="L494" s="0" t="str">
        <f aca="false">L132</f>
        <v/>
      </c>
      <c r="M494" s="0" t="n">
        <v>128</v>
      </c>
      <c r="N494" s="0" t="n">
        <f aca="false">N132</f>
        <v>0</v>
      </c>
      <c r="Q494" s="0" t="e">
        <f aca="false">IF(Charts!$B$3="none",E2301,IF(K2301="",NA(),K2301))</f>
        <v>#N/A</v>
      </c>
      <c r="R494" s="0" t="e">
        <f aca="false">IF(Charts!$B$3="none",F2301,IF(L2301="",NA(),L2301))</f>
        <v>#N/A</v>
      </c>
      <c r="S494" s="0" t="e">
        <f aca="false">IF(Charts!$B$3="none",G2301,IF(M2301="",NA(),M2301))</f>
        <v>#N/A</v>
      </c>
      <c r="T494" s="0" t="e">
        <f aca="false">IF(Charts!$B$3="none",H2301,IF(N2301="",NA(),N2301))</f>
        <v>#N/A</v>
      </c>
    </row>
    <row r="495" customFormat="false" ht="15" hidden="false" customHeight="false" outlineLevel="0" collapsed="false">
      <c r="E495" s="0" t="n">
        <v>129</v>
      </c>
      <c r="F495" s="0" t="str">
        <f aca="false">F133</f>
        <v/>
      </c>
      <c r="G495" s="0" t="n">
        <v>129</v>
      </c>
      <c r="H495" s="0" t="n">
        <f aca="false">H133</f>
        <v>0</v>
      </c>
      <c r="K495" s="0" t="n">
        <v>129</v>
      </c>
      <c r="L495" s="0" t="str">
        <f aca="false">L133</f>
        <v/>
      </c>
      <c r="M495" s="0" t="n">
        <v>129</v>
      </c>
      <c r="N495" s="0" t="n">
        <f aca="false">N133</f>
        <v>0</v>
      </c>
      <c r="Q495" s="0" t="e">
        <f aca="false">IF(Charts!$B$3="none",E2302,IF(K2302="",NA(),K2302))</f>
        <v>#N/A</v>
      </c>
      <c r="R495" s="0" t="e">
        <f aca="false">IF(Charts!$B$3="none",F2302,IF(L2302="",NA(),L2302))</f>
        <v>#N/A</v>
      </c>
      <c r="S495" s="0" t="e">
        <f aca="false">IF(Charts!$B$3="none",G2302,IF(M2302="",NA(),M2302))</f>
        <v>#N/A</v>
      </c>
      <c r="T495" s="0" t="e">
        <f aca="false">IF(Charts!$B$3="none",H2302,IF(N2302="",NA(),N2302))</f>
        <v>#N/A</v>
      </c>
    </row>
    <row r="496" customFormat="false" ht="15" hidden="false" customHeight="false" outlineLevel="0" collapsed="false">
      <c r="E496" s="0" t="n">
        <v>130</v>
      </c>
      <c r="F496" s="0" t="str">
        <f aca="false">F134</f>
        <v/>
      </c>
      <c r="G496" s="0" t="n">
        <v>130</v>
      </c>
      <c r="H496" s="0" t="n">
        <f aca="false">H134</f>
        <v>0</v>
      </c>
      <c r="K496" s="0" t="n">
        <v>130</v>
      </c>
      <c r="L496" s="0" t="str">
        <f aca="false">L134</f>
        <v/>
      </c>
      <c r="M496" s="0" t="n">
        <v>130</v>
      </c>
      <c r="N496" s="0" t="n">
        <f aca="false">N134</f>
        <v>0</v>
      </c>
      <c r="Q496" s="0" t="e">
        <f aca="false">IF(Charts!$B$3="none",E2303,IF(K2303="",NA(),K2303))</f>
        <v>#N/A</v>
      </c>
      <c r="R496" s="0" t="e">
        <f aca="false">IF(Charts!$B$3="none",F2303,IF(L2303="",NA(),L2303))</f>
        <v>#N/A</v>
      </c>
      <c r="S496" s="0" t="e">
        <f aca="false">IF(Charts!$B$3="none",G2303,IF(M2303="",NA(),M2303))</f>
        <v>#N/A</v>
      </c>
      <c r="T496" s="0" t="e">
        <f aca="false">IF(Charts!$B$3="none",H2303,IF(N2303="",NA(),N2303))</f>
        <v>#N/A</v>
      </c>
    </row>
    <row r="497" customFormat="false" ht="15" hidden="false" customHeight="false" outlineLevel="0" collapsed="false">
      <c r="E497" s="0" t="n">
        <v>131</v>
      </c>
      <c r="F497" s="0" t="str">
        <f aca="false">F135</f>
        <v/>
      </c>
      <c r="G497" s="0" t="n">
        <v>131</v>
      </c>
      <c r="H497" s="0" t="n">
        <f aca="false">H135</f>
        <v>0</v>
      </c>
      <c r="K497" s="0" t="n">
        <v>131</v>
      </c>
      <c r="L497" s="0" t="str">
        <f aca="false">L135</f>
        <v/>
      </c>
      <c r="M497" s="0" t="n">
        <v>131</v>
      </c>
      <c r="N497" s="0" t="n">
        <f aca="false">N135</f>
        <v>0</v>
      </c>
      <c r="Q497" s="0" t="e">
        <f aca="false">IF(Charts!$B$3="none",E2304,IF(K2304="",NA(),K2304))</f>
        <v>#N/A</v>
      </c>
      <c r="R497" s="0" t="e">
        <f aca="false">IF(Charts!$B$3="none",F2304,IF(L2304="",NA(),L2304))</f>
        <v>#N/A</v>
      </c>
      <c r="S497" s="0" t="e">
        <f aca="false">IF(Charts!$B$3="none",G2304,IF(M2304="",NA(),M2304))</f>
        <v>#N/A</v>
      </c>
      <c r="T497" s="0" t="e">
        <f aca="false">IF(Charts!$B$3="none",H2304,IF(N2304="",NA(),N2304))</f>
        <v>#N/A</v>
      </c>
    </row>
    <row r="498" customFormat="false" ht="15" hidden="false" customHeight="false" outlineLevel="0" collapsed="false">
      <c r="E498" s="0" t="n">
        <v>132</v>
      </c>
      <c r="F498" s="0" t="str">
        <f aca="false">F136</f>
        <v/>
      </c>
      <c r="G498" s="0" t="n">
        <v>132</v>
      </c>
      <c r="H498" s="0" t="n">
        <f aca="false">H136</f>
        <v>0</v>
      </c>
      <c r="K498" s="0" t="n">
        <v>132</v>
      </c>
      <c r="L498" s="0" t="str">
        <f aca="false">L136</f>
        <v/>
      </c>
      <c r="M498" s="0" t="n">
        <v>132</v>
      </c>
      <c r="N498" s="0" t="n">
        <f aca="false">N136</f>
        <v>0</v>
      </c>
      <c r="Q498" s="0" t="e">
        <f aca="false">IF(Charts!$B$3="none",E2305,IF(K2305="",NA(),K2305))</f>
        <v>#N/A</v>
      </c>
      <c r="R498" s="0" t="e">
        <f aca="false">IF(Charts!$B$3="none",F2305,IF(L2305="",NA(),L2305))</f>
        <v>#N/A</v>
      </c>
      <c r="S498" s="0" t="e">
        <f aca="false">IF(Charts!$B$3="none",G2305,IF(M2305="",NA(),M2305))</f>
        <v>#N/A</v>
      </c>
      <c r="T498" s="0" t="e">
        <f aca="false">IF(Charts!$B$3="none",H2305,IF(N2305="",NA(),N2305))</f>
        <v>#N/A</v>
      </c>
    </row>
    <row r="499" customFormat="false" ht="15" hidden="false" customHeight="false" outlineLevel="0" collapsed="false">
      <c r="E499" s="0" t="n">
        <v>133</v>
      </c>
      <c r="F499" s="0" t="str">
        <f aca="false">F137</f>
        <v/>
      </c>
      <c r="G499" s="0" t="n">
        <v>133</v>
      </c>
      <c r="H499" s="0" t="n">
        <f aca="false">H137</f>
        <v>0</v>
      </c>
      <c r="K499" s="0" t="n">
        <v>133</v>
      </c>
      <c r="L499" s="0" t="str">
        <f aca="false">L137</f>
        <v/>
      </c>
      <c r="M499" s="0" t="n">
        <v>133</v>
      </c>
      <c r="N499" s="0" t="n">
        <f aca="false">N137</f>
        <v>0</v>
      </c>
      <c r="Q499" s="0" t="e">
        <f aca="false">IF(Charts!$B$3="none",E2306,IF(K2306="",NA(),K2306))</f>
        <v>#N/A</v>
      </c>
      <c r="R499" s="0" t="e">
        <f aca="false">IF(Charts!$B$3="none",F2306,IF(L2306="",NA(),L2306))</f>
        <v>#N/A</v>
      </c>
      <c r="S499" s="0" t="e">
        <f aca="false">IF(Charts!$B$3="none",G2306,IF(M2306="",NA(),M2306))</f>
        <v>#N/A</v>
      </c>
      <c r="T499" s="0" t="e">
        <f aca="false">IF(Charts!$B$3="none",H2306,IF(N2306="",NA(),N2306))</f>
        <v>#N/A</v>
      </c>
    </row>
    <row r="500" customFormat="false" ht="15" hidden="false" customHeight="false" outlineLevel="0" collapsed="false">
      <c r="E500" s="0" t="n">
        <v>134</v>
      </c>
      <c r="F500" s="0" t="str">
        <f aca="false">F138</f>
        <v/>
      </c>
      <c r="G500" s="0" t="n">
        <v>134</v>
      </c>
      <c r="H500" s="0" t="n">
        <f aca="false">H138</f>
        <v>0</v>
      </c>
      <c r="K500" s="0" t="n">
        <v>134</v>
      </c>
      <c r="L500" s="0" t="str">
        <f aca="false">L138</f>
        <v/>
      </c>
      <c r="M500" s="0" t="n">
        <v>134</v>
      </c>
      <c r="N500" s="0" t="n">
        <f aca="false">N138</f>
        <v>0</v>
      </c>
      <c r="Q500" s="0" t="e">
        <f aca="false">IF(Charts!$B$3="none",E2307,IF(K2307="",NA(),K2307))</f>
        <v>#N/A</v>
      </c>
      <c r="R500" s="0" t="e">
        <f aca="false">IF(Charts!$B$3="none",F2307,IF(L2307="",NA(),L2307))</f>
        <v>#N/A</v>
      </c>
      <c r="S500" s="0" t="e">
        <f aca="false">IF(Charts!$B$3="none",G2307,IF(M2307="",NA(),M2307))</f>
        <v>#N/A</v>
      </c>
      <c r="T500" s="0" t="e">
        <f aca="false">IF(Charts!$B$3="none",H2307,IF(N2307="",NA(),N2307))</f>
        <v>#N/A</v>
      </c>
    </row>
    <row r="501" customFormat="false" ht="15" hidden="false" customHeight="false" outlineLevel="0" collapsed="false">
      <c r="E501" s="0" t="n">
        <v>135</v>
      </c>
      <c r="F501" s="0" t="str">
        <f aca="false">F139</f>
        <v/>
      </c>
      <c r="G501" s="0" t="n">
        <v>135</v>
      </c>
      <c r="H501" s="0" t="n">
        <f aca="false">H139</f>
        <v>0</v>
      </c>
      <c r="K501" s="0" t="n">
        <v>135</v>
      </c>
      <c r="L501" s="0" t="str">
        <f aca="false">L139</f>
        <v/>
      </c>
      <c r="M501" s="0" t="n">
        <v>135</v>
      </c>
      <c r="N501" s="0" t="n">
        <f aca="false">N139</f>
        <v>0</v>
      </c>
      <c r="Q501" s="0" t="e">
        <f aca="false">IF(Charts!$B$3="none",E2308,IF(K2308="",NA(),K2308))</f>
        <v>#N/A</v>
      </c>
      <c r="R501" s="0" t="e">
        <f aca="false">IF(Charts!$B$3="none",F2308,IF(L2308="",NA(),L2308))</f>
        <v>#N/A</v>
      </c>
      <c r="S501" s="0" t="e">
        <f aca="false">IF(Charts!$B$3="none",G2308,IF(M2308="",NA(),M2308))</f>
        <v>#N/A</v>
      </c>
      <c r="T501" s="0" t="e">
        <f aca="false">IF(Charts!$B$3="none",H2308,IF(N2308="",NA(),N2308))</f>
        <v>#N/A</v>
      </c>
    </row>
    <row r="502" customFormat="false" ht="15" hidden="false" customHeight="false" outlineLevel="0" collapsed="false">
      <c r="E502" s="0" t="n">
        <v>136</v>
      </c>
      <c r="F502" s="0" t="str">
        <f aca="false">F140</f>
        <v/>
      </c>
      <c r="G502" s="0" t="n">
        <v>136</v>
      </c>
      <c r="H502" s="0" t="n">
        <f aca="false">H140</f>
        <v>0</v>
      </c>
      <c r="K502" s="0" t="n">
        <v>136</v>
      </c>
      <c r="L502" s="0" t="str">
        <f aca="false">L140</f>
        <v/>
      </c>
      <c r="M502" s="0" t="n">
        <v>136</v>
      </c>
      <c r="N502" s="0" t="n">
        <f aca="false">N140</f>
        <v>0</v>
      </c>
      <c r="Q502" s="0" t="e">
        <f aca="false">IF(Charts!$B$3="none",E2309,IF(K2309="",NA(),K2309))</f>
        <v>#N/A</v>
      </c>
      <c r="R502" s="0" t="e">
        <f aca="false">IF(Charts!$B$3="none",F2309,IF(L2309="",NA(),L2309))</f>
        <v>#N/A</v>
      </c>
      <c r="S502" s="0" t="e">
        <f aca="false">IF(Charts!$B$3="none",G2309,IF(M2309="",NA(),M2309))</f>
        <v>#N/A</v>
      </c>
      <c r="T502" s="0" t="e">
        <f aca="false">IF(Charts!$B$3="none",H2309,IF(N2309="",NA(),N2309))</f>
        <v>#N/A</v>
      </c>
    </row>
    <row r="503" customFormat="false" ht="15" hidden="false" customHeight="false" outlineLevel="0" collapsed="false">
      <c r="E503" s="0" t="n">
        <v>137</v>
      </c>
      <c r="F503" s="0" t="str">
        <f aca="false">F141</f>
        <v/>
      </c>
      <c r="G503" s="0" t="n">
        <v>137</v>
      </c>
      <c r="H503" s="0" t="n">
        <f aca="false">H141</f>
        <v>0</v>
      </c>
      <c r="K503" s="0" t="n">
        <v>137</v>
      </c>
      <c r="L503" s="0" t="str">
        <f aca="false">L141</f>
        <v/>
      </c>
      <c r="M503" s="0" t="n">
        <v>137</v>
      </c>
      <c r="N503" s="0" t="n">
        <f aca="false">N141</f>
        <v>0</v>
      </c>
      <c r="Q503" s="0" t="e">
        <f aca="false">IF(Charts!$B$3="none",E2310,IF(K2310="",NA(),K2310))</f>
        <v>#N/A</v>
      </c>
      <c r="R503" s="0" t="e">
        <f aca="false">IF(Charts!$B$3="none",F2310,IF(L2310="",NA(),L2310))</f>
        <v>#N/A</v>
      </c>
      <c r="S503" s="0" t="e">
        <f aca="false">IF(Charts!$B$3="none",G2310,IF(M2310="",NA(),M2310))</f>
        <v>#N/A</v>
      </c>
      <c r="T503" s="0" t="e">
        <f aca="false">IF(Charts!$B$3="none",H2310,IF(N2310="",NA(),N2310))</f>
        <v>#N/A</v>
      </c>
    </row>
    <row r="504" customFormat="false" ht="15" hidden="false" customHeight="false" outlineLevel="0" collapsed="false">
      <c r="E504" s="0" t="n">
        <v>138</v>
      </c>
      <c r="F504" s="0" t="str">
        <f aca="false">F142</f>
        <v/>
      </c>
      <c r="G504" s="0" t="n">
        <v>138</v>
      </c>
      <c r="H504" s="0" t="n">
        <f aca="false">H142</f>
        <v>0</v>
      </c>
      <c r="K504" s="0" t="n">
        <v>138</v>
      </c>
      <c r="L504" s="0" t="str">
        <f aca="false">L142</f>
        <v/>
      </c>
      <c r="M504" s="0" t="n">
        <v>138</v>
      </c>
      <c r="N504" s="0" t="n">
        <f aca="false">N142</f>
        <v>0</v>
      </c>
      <c r="Q504" s="0" t="e">
        <f aca="false">IF(Charts!$B$3="none",E2311,IF(K2311="",NA(),K2311))</f>
        <v>#N/A</v>
      </c>
      <c r="R504" s="0" t="e">
        <f aca="false">IF(Charts!$B$3="none",F2311,IF(L2311="",NA(),L2311))</f>
        <v>#N/A</v>
      </c>
      <c r="S504" s="0" t="e">
        <f aca="false">IF(Charts!$B$3="none",G2311,IF(M2311="",NA(),M2311))</f>
        <v>#N/A</v>
      </c>
      <c r="T504" s="0" t="e">
        <f aca="false">IF(Charts!$B$3="none",H2311,IF(N2311="",NA(),N2311))</f>
        <v>#N/A</v>
      </c>
    </row>
    <row r="505" customFormat="false" ht="15" hidden="false" customHeight="false" outlineLevel="0" collapsed="false">
      <c r="E505" s="0" t="n">
        <v>139</v>
      </c>
      <c r="F505" s="0" t="str">
        <f aca="false">F143</f>
        <v/>
      </c>
      <c r="G505" s="0" t="n">
        <v>139</v>
      </c>
      <c r="H505" s="0" t="n">
        <f aca="false">H143</f>
        <v>0</v>
      </c>
      <c r="K505" s="0" t="n">
        <v>139</v>
      </c>
      <c r="L505" s="0" t="str">
        <f aca="false">L143</f>
        <v/>
      </c>
      <c r="M505" s="0" t="n">
        <v>139</v>
      </c>
      <c r="N505" s="0" t="n">
        <f aca="false">N143</f>
        <v>0</v>
      </c>
      <c r="Q505" s="0" t="e">
        <f aca="false">IF(Charts!$B$3="none",E2312,IF(K2312="",NA(),K2312))</f>
        <v>#N/A</v>
      </c>
      <c r="R505" s="0" t="e">
        <f aca="false">IF(Charts!$B$3="none",F2312,IF(L2312="",NA(),L2312))</f>
        <v>#N/A</v>
      </c>
      <c r="S505" s="0" t="e">
        <f aca="false">IF(Charts!$B$3="none",G2312,IF(M2312="",NA(),M2312))</f>
        <v>#N/A</v>
      </c>
      <c r="T505" s="0" t="e">
        <f aca="false">IF(Charts!$B$3="none",H2312,IF(N2312="",NA(),N2312))</f>
        <v>#N/A</v>
      </c>
    </row>
    <row r="506" customFormat="false" ht="15" hidden="false" customHeight="false" outlineLevel="0" collapsed="false">
      <c r="E506" s="0" t="n">
        <v>140</v>
      </c>
      <c r="F506" s="0" t="str">
        <f aca="false">F144</f>
        <v/>
      </c>
      <c r="G506" s="0" t="n">
        <v>140</v>
      </c>
      <c r="H506" s="0" t="n">
        <f aca="false">H144</f>
        <v>0</v>
      </c>
      <c r="K506" s="0" t="n">
        <v>140</v>
      </c>
      <c r="L506" s="0" t="str">
        <f aca="false">L144</f>
        <v/>
      </c>
      <c r="M506" s="0" t="n">
        <v>140</v>
      </c>
      <c r="N506" s="0" t="n">
        <f aca="false">N144</f>
        <v>0</v>
      </c>
      <c r="Q506" s="0" t="e">
        <f aca="false">IF(Charts!$B$3="none",E2313,IF(K2313="",NA(),K2313))</f>
        <v>#N/A</v>
      </c>
      <c r="R506" s="0" t="e">
        <f aca="false">IF(Charts!$B$3="none",F2313,IF(L2313="",NA(),L2313))</f>
        <v>#N/A</v>
      </c>
      <c r="S506" s="0" t="e">
        <f aca="false">IF(Charts!$B$3="none",G2313,IF(M2313="",NA(),M2313))</f>
        <v>#N/A</v>
      </c>
      <c r="T506" s="0" t="e">
        <f aca="false">IF(Charts!$B$3="none",H2313,IF(N2313="",NA(),N2313))</f>
        <v>#N/A</v>
      </c>
    </row>
    <row r="507" customFormat="false" ht="15" hidden="false" customHeight="false" outlineLevel="0" collapsed="false">
      <c r="E507" s="0" t="n">
        <v>141</v>
      </c>
      <c r="F507" s="0" t="str">
        <f aca="false">F145</f>
        <v/>
      </c>
      <c r="G507" s="0" t="n">
        <v>141</v>
      </c>
      <c r="H507" s="0" t="n">
        <f aca="false">H145</f>
        <v>0</v>
      </c>
      <c r="K507" s="0" t="n">
        <v>141</v>
      </c>
      <c r="L507" s="0" t="str">
        <f aca="false">L145</f>
        <v/>
      </c>
      <c r="M507" s="0" t="n">
        <v>141</v>
      </c>
      <c r="N507" s="0" t="n">
        <f aca="false">N145</f>
        <v>0</v>
      </c>
      <c r="Q507" s="0" t="e">
        <f aca="false">IF(Charts!$B$3="none",E2314,IF(K2314="",NA(),K2314))</f>
        <v>#N/A</v>
      </c>
      <c r="R507" s="0" t="e">
        <f aca="false">IF(Charts!$B$3="none",F2314,IF(L2314="",NA(),L2314))</f>
        <v>#N/A</v>
      </c>
      <c r="S507" s="0" t="e">
        <f aca="false">IF(Charts!$B$3="none",G2314,IF(M2314="",NA(),M2314))</f>
        <v>#N/A</v>
      </c>
      <c r="T507" s="0" t="e">
        <f aca="false">IF(Charts!$B$3="none",H2314,IF(N2314="",NA(),N2314))</f>
        <v>#N/A</v>
      </c>
    </row>
    <row r="508" customFormat="false" ht="15" hidden="false" customHeight="false" outlineLevel="0" collapsed="false">
      <c r="E508" s="0" t="n">
        <v>142</v>
      </c>
      <c r="F508" s="0" t="str">
        <f aca="false">F146</f>
        <v/>
      </c>
      <c r="G508" s="0" t="n">
        <v>142</v>
      </c>
      <c r="H508" s="0" t="n">
        <f aca="false">H146</f>
        <v>0</v>
      </c>
      <c r="K508" s="0" t="n">
        <v>142</v>
      </c>
      <c r="L508" s="0" t="str">
        <f aca="false">L146</f>
        <v/>
      </c>
      <c r="M508" s="0" t="n">
        <v>142</v>
      </c>
      <c r="N508" s="0" t="n">
        <f aca="false">N146</f>
        <v>0</v>
      </c>
      <c r="Q508" s="0" t="e">
        <f aca="false">IF(Charts!$B$3="none",E2315,IF(K2315="",NA(),K2315))</f>
        <v>#N/A</v>
      </c>
      <c r="R508" s="0" t="e">
        <f aca="false">IF(Charts!$B$3="none",F2315,IF(L2315="",NA(),L2315))</f>
        <v>#N/A</v>
      </c>
      <c r="S508" s="0" t="e">
        <f aca="false">IF(Charts!$B$3="none",G2315,IF(M2315="",NA(),M2315))</f>
        <v>#N/A</v>
      </c>
      <c r="T508" s="0" t="e">
        <f aca="false">IF(Charts!$B$3="none",H2315,IF(N2315="",NA(),N2315))</f>
        <v>#N/A</v>
      </c>
    </row>
    <row r="509" customFormat="false" ht="15" hidden="false" customHeight="false" outlineLevel="0" collapsed="false">
      <c r="E509" s="0" t="n">
        <v>143</v>
      </c>
      <c r="F509" s="0" t="str">
        <f aca="false">F147</f>
        <v/>
      </c>
      <c r="G509" s="0" t="n">
        <v>143</v>
      </c>
      <c r="H509" s="0" t="n">
        <f aca="false">H147</f>
        <v>0</v>
      </c>
      <c r="K509" s="0" t="n">
        <v>143</v>
      </c>
      <c r="L509" s="0" t="str">
        <f aca="false">L147</f>
        <v/>
      </c>
      <c r="M509" s="0" t="n">
        <v>143</v>
      </c>
      <c r="N509" s="0" t="n">
        <f aca="false">N147</f>
        <v>0</v>
      </c>
      <c r="Q509" s="0" t="e">
        <f aca="false">IF(Charts!$B$3="none",E2316,IF(K2316="",NA(),K2316))</f>
        <v>#N/A</v>
      </c>
      <c r="R509" s="0" t="e">
        <f aca="false">IF(Charts!$B$3="none",F2316,IF(L2316="",NA(),L2316))</f>
        <v>#N/A</v>
      </c>
      <c r="S509" s="0" t="e">
        <f aca="false">IF(Charts!$B$3="none",G2316,IF(M2316="",NA(),M2316))</f>
        <v>#N/A</v>
      </c>
      <c r="T509" s="0" t="e">
        <f aca="false">IF(Charts!$B$3="none",H2316,IF(N2316="",NA(),N2316))</f>
        <v>#N/A</v>
      </c>
    </row>
    <row r="510" customFormat="false" ht="15" hidden="false" customHeight="false" outlineLevel="0" collapsed="false">
      <c r="E510" s="0" t="n">
        <v>144</v>
      </c>
      <c r="F510" s="0" t="str">
        <f aca="false">F148</f>
        <v/>
      </c>
      <c r="G510" s="0" t="n">
        <v>144</v>
      </c>
      <c r="H510" s="0" t="n">
        <f aca="false">H148</f>
        <v>0</v>
      </c>
      <c r="K510" s="0" t="n">
        <v>144</v>
      </c>
      <c r="L510" s="0" t="str">
        <f aca="false">L148</f>
        <v/>
      </c>
      <c r="M510" s="0" t="n">
        <v>144</v>
      </c>
      <c r="N510" s="0" t="n">
        <f aca="false">N148</f>
        <v>0</v>
      </c>
      <c r="Q510" s="0" t="e">
        <f aca="false">IF(Charts!$B$3="none",E2317,IF(K2317="",NA(),K2317))</f>
        <v>#N/A</v>
      </c>
      <c r="R510" s="0" t="e">
        <f aca="false">IF(Charts!$B$3="none",F2317,IF(L2317="",NA(),L2317))</f>
        <v>#N/A</v>
      </c>
      <c r="S510" s="0" t="e">
        <f aca="false">IF(Charts!$B$3="none",G2317,IF(M2317="",NA(),M2317))</f>
        <v>#N/A</v>
      </c>
      <c r="T510" s="0" t="e">
        <f aca="false">IF(Charts!$B$3="none",H2317,IF(N2317="",NA(),N2317))</f>
        <v>#N/A</v>
      </c>
    </row>
    <row r="511" customFormat="false" ht="15" hidden="false" customHeight="false" outlineLevel="0" collapsed="false">
      <c r="E511" s="0" t="n">
        <v>145</v>
      </c>
      <c r="F511" s="0" t="str">
        <f aca="false">F149</f>
        <v/>
      </c>
      <c r="G511" s="0" t="n">
        <v>145</v>
      </c>
      <c r="H511" s="0" t="n">
        <f aca="false">H149</f>
        <v>0</v>
      </c>
      <c r="K511" s="0" t="n">
        <v>145</v>
      </c>
      <c r="L511" s="0" t="str">
        <f aca="false">L149</f>
        <v/>
      </c>
      <c r="M511" s="0" t="n">
        <v>145</v>
      </c>
      <c r="N511" s="0" t="n">
        <f aca="false">N149</f>
        <v>0</v>
      </c>
      <c r="Q511" s="0" t="e">
        <f aca="false">IF(Charts!$B$3="none",E2318,IF(K2318="",NA(),K2318))</f>
        <v>#N/A</v>
      </c>
      <c r="R511" s="0" t="e">
        <f aca="false">IF(Charts!$B$3="none",F2318,IF(L2318="",NA(),L2318))</f>
        <v>#N/A</v>
      </c>
      <c r="S511" s="0" t="e">
        <f aca="false">IF(Charts!$B$3="none",G2318,IF(M2318="",NA(),M2318))</f>
        <v>#N/A</v>
      </c>
      <c r="T511" s="0" t="e">
        <f aca="false">IF(Charts!$B$3="none",H2318,IF(N2318="",NA(),N2318))</f>
        <v>#N/A</v>
      </c>
    </row>
    <row r="512" customFormat="false" ht="15" hidden="false" customHeight="false" outlineLevel="0" collapsed="false">
      <c r="E512" s="0" t="n">
        <v>146</v>
      </c>
      <c r="F512" s="0" t="str">
        <f aca="false">F150</f>
        <v/>
      </c>
      <c r="G512" s="0" t="n">
        <v>146</v>
      </c>
      <c r="H512" s="0" t="n">
        <f aca="false">H150</f>
        <v>0</v>
      </c>
      <c r="K512" s="0" t="n">
        <v>146</v>
      </c>
      <c r="L512" s="0" t="str">
        <f aca="false">L150</f>
        <v/>
      </c>
      <c r="M512" s="0" t="n">
        <v>146</v>
      </c>
      <c r="N512" s="0" t="n">
        <f aca="false">N150</f>
        <v>0</v>
      </c>
      <c r="Q512" s="0" t="e">
        <f aca="false">IF(Charts!$B$3="none",E2319,IF(K2319="",NA(),K2319))</f>
        <v>#N/A</v>
      </c>
      <c r="R512" s="0" t="e">
        <f aca="false">IF(Charts!$B$3="none",F2319,IF(L2319="",NA(),L2319))</f>
        <v>#N/A</v>
      </c>
      <c r="S512" s="0" t="e">
        <f aca="false">IF(Charts!$B$3="none",G2319,IF(M2319="",NA(),M2319))</f>
        <v>#N/A</v>
      </c>
      <c r="T512" s="0" t="e">
        <f aca="false">IF(Charts!$B$3="none",H2319,IF(N2319="",NA(),N2319))</f>
        <v>#N/A</v>
      </c>
    </row>
    <row r="513" customFormat="false" ht="15" hidden="false" customHeight="false" outlineLevel="0" collapsed="false">
      <c r="E513" s="0" t="n">
        <v>147</v>
      </c>
      <c r="F513" s="0" t="str">
        <f aca="false">F151</f>
        <v/>
      </c>
      <c r="G513" s="0" t="n">
        <v>147</v>
      </c>
      <c r="H513" s="0" t="n">
        <f aca="false">H151</f>
        <v>0</v>
      </c>
      <c r="K513" s="0" t="n">
        <v>147</v>
      </c>
      <c r="L513" s="0" t="str">
        <f aca="false">L151</f>
        <v/>
      </c>
      <c r="M513" s="0" t="n">
        <v>147</v>
      </c>
      <c r="N513" s="0" t="n">
        <f aca="false">N151</f>
        <v>0</v>
      </c>
      <c r="Q513" s="0" t="e">
        <f aca="false">IF(Charts!$B$3="none",E2320,IF(K2320="",NA(),K2320))</f>
        <v>#N/A</v>
      </c>
      <c r="R513" s="0" t="e">
        <f aca="false">IF(Charts!$B$3="none",F2320,IF(L2320="",NA(),L2320))</f>
        <v>#N/A</v>
      </c>
      <c r="S513" s="0" t="e">
        <f aca="false">IF(Charts!$B$3="none",G2320,IF(M2320="",NA(),M2320))</f>
        <v>#N/A</v>
      </c>
      <c r="T513" s="0" t="e">
        <f aca="false">IF(Charts!$B$3="none",H2320,IF(N2320="",NA(),N2320))</f>
        <v>#N/A</v>
      </c>
    </row>
    <row r="514" customFormat="false" ht="15" hidden="false" customHeight="false" outlineLevel="0" collapsed="false">
      <c r="E514" s="0" t="n">
        <v>148</v>
      </c>
      <c r="F514" s="0" t="str">
        <f aca="false">F152</f>
        <v/>
      </c>
      <c r="G514" s="0" t="n">
        <v>148</v>
      </c>
      <c r="H514" s="0" t="n">
        <f aca="false">H152</f>
        <v>0</v>
      </c>
      <c r="K514" s="0" t="n">
        <v>148</v>
      </c>
      <c r="L514" s="0" t="str">
        <f aca="false">L152</f>
        <v/>
      </c>
      <c r="M514" s="0" t="n">
        <v>148</v>
      </c>
      <c r="N514" s="0" t="n">
        <f aca="false">N152</f>
        <v>0</v>
      </c>
      <c r="Q514" s="0" t="e">
        <f aca="false">IF(Charts!$B$3="none",E2321,IF(K2321="",NA(),K2321))</f>
        <v>#N/A</v>
      </c>
      <c r="R514" s="0" t="e">
        <f aca="false">IF(Charts!$B$3="none",F2321,IF(L2321="",NA(),L2321))</f>
        <v>#N/A</v>
      </c>
      <c r="S514" s="0" t="e">
        <f aca="false">IF(Charts!$B$3="none",G2321,IF(M2321="",NA(),M2321))</f>
        <v>#N/A</v>
      </c>
      <c r="T514" s="0" t="e">
        <f aca="false">IF(Charts!$B$3="none",H2321,IF(N2321="",NA(),N2321))</f>
        <v>#N/A</v>
      </c>
    </row>
    <row r="515" customFormat="false" ht="15" hidden="false" customHeight="false" outlineLevel="0" collapsed="false">
      <c r="E515" s="0" t="n">
        <v>149</v>
      </c>
      <c r="F515" s="0" t="str">
        <f aca="false">F153</f>
        <v/>
      </c>
      <c r="G515" s="0" t="n">
        <v>149</v>
      </c>
      <c r="H515" s="0" t="n">
        <f aca="false">H153</f>
        <v>0</v>
      </c>
      <c r="K515" s="0" t="n">
        <v>149</v>
      </c>
      <c r="L515" s="0" t="str">
        <f aca="false">L153</f>
        <v/>
      </c>
      <c r="M515" s="0" t="n">
        <v>149</v>
      </c>
      <c r="N515" s="0" t="n">
        <f aca="false">N153</f>
        <v>0</v>
      </c>
      <c r="Q515" s="0" t="e">
        <f aca="false">IF(Charts!$B$3="none",E2322,IF(K2322="",NA(),K2322))</f>
        <v>#N/A</v>
      </c>
      <c r="R515" s="0" t="e">
        <f aca="false">IF(Charts!$B$3="none",F2322,IF(L2322="",NA(),L2322))</f>
        <v>#N/A</v>
      </c>
      <c r="S515" s="0" t="e">
        <f aca="false">IF(Charts!$B$3="none",G2322,IF(M2322="",NA(),M2322))</f>
        <v>#N/A</v>
      </c>
      <c r="T515" s="0" t="e">
        <f aca="false">IF(Charts!$B$3="none",H2322,IF(N2322="",NA(),N2322))</f>
        <v>#N/A</v>
      </c>
    </row>
    <row r="516" customFormat="false" ht="15" hidden="false" customHeight="false" outlineLevel="0" collapsed="false">
      <c r="E516" s="0" t="n">
        <v>150</v>
      </c>
      <c r="F516" s="0" t="str">
        <f aca="false">F154</f>
        <v/>
      </c>
      <c r="G516" s="0" t="n">
        <v>150</v>
      </c>
      <c r="H516" s="0" t="n">
        <f aca="false">H154</f>
        <v>0</v>
      </c>
      <c r="K516" s="0" t="n">
        <v>150</v>
      </c>
      <c r="L516" s="0" t="str">
        <f aca="false">L154</f>
        <v/>
      </c>
      <c r="M516" s="0" t="n">
        <v>150</v>
      </c>
      <c r="N516" s="0" t="n">
        <f aca="false">N154</f>
        <v>0</v>
      </c>
      <c r="Q516" s="0" t="e">
        <f aca="false">IF(Charts!$B$3="none",E2323,IF(K2323="",NA(),K2323))</f>
        <v>#N/A</v>
      </c>
      <c r="R516" s="0" t="e">
        <f aca="false">IF(Charts!$B$3="none",F2323,IF(L2323="",NA(),L2323))</f>
        <v>#N/A</v>
      </c>
      <c r="S516" s="0" t="e">
        <f aca="false">IF(Charts!$B$3="none",G2323,IF(M2323="",NA(),M2323))</f>
        <v>#N/A</v>
      </c>
      <c r="T516" s="0" t="e">
        <f aca="false">IF(Charts!$B$3="none",H2323,IF(N2323="",NA(),N2323))</f>
        <v>#N/A</v>
      </c>
    </row>
    <row r="517" customFormat="false" ht="15" hidden="false" customHeight="false" outlineLevel="0" collapsed="false">
      <c r="E517" s="0" t="n">
        <v>151</v>
      </c>
      <c r="F517" s="0" t="str">
        <f aca="false">F155</f>
        <v/>
      </c>
      <c r="G517" s="0" t="n">
        <v>151</v>
      </c>
      <c r="H517" s="0" t="n">
        <f aca="false">H155</f>
        <v>0</v>
      </c>
      <c r="K517" s="0" t="n">
        <v>151</v>
      </c>
      <c r="L517" s="0" t="str">
        <f aca="false">L155</f>
        <v/>
      </c>
      <c r="M517" s="0" t="n">
        <v>151</v>
      </c>
      <c r="N517" s="0" t="n">
        <f aca="false">N155</f>
        <v>0</v>
      </c>
      <c r="Q517" s="0" t="e">
        <f aca="false">IF(Charts!$B$3="none",E2324,IF(K2324="",NA(),K2324))</f>
        <v>#N/A</v>
      </c>
      <c r="R517" s="0" t="e">
        <f aca="false">IF(Charts!$B$3="none",F2324,IF(L2324="",NA(),L2324))</f>
        <v>#N/A</v>
      </c>
      <c r="S517" s="0" t="e">
        <f aca="false">IF(Charts!$B$3="none",G2324,IF(M2324="",NA(),M2324))</f>
        <v>#N/A</v>
      </c>
      <c r="T517" s="0" t="e">
        <f aca="false">IF(Charts!$B$3="none",H2324,IF(N2324="",NA(),N2324))</f>
        <v>#N/A</v>
      </c>
    </row>
    <row r="518" customFormat="false" ht="15" hidden="false" customHeight="false" outlineLevel="0" collapsed="false">
      <c r="E518" s="0" t="n">
        <v>152</v>
      </c>
      <c r="F518" s="0" t="str">
        <f aca="false">F156</f>
        <v/>
      </c>
      <c r="G518" s="0" t="n">
        <v>152</v>
      </c>
      <c r="H518" s="0" t="n">
        <f aca="false">H156</f>
        <v>0</v>
      </c>
      <c r="K518" s="0" t="n">
        <v>152</v>
      </c>
      <c r="L518" s="0" t="str">
        <f aca="false">L156</f>
        <v/>
      </c>
      <c r="M518" s="0" t="n">
        <v>152</v>
      </c>
      <c r="N518" s="0" t="n">
        <f aca="false">N156</f>
        <v>0</v>
      </c>
      <c r="Q518" s="0" t="e">
        <f aca="false">IF(Charts!$B$3="none",E2325,IF(K2325="",NA(),K2325))</f>
        <v>#N/A</v>
      </c>
      <c r="R518" s="0" t="e">
        <f aca="false">IF(Charts!$B$3="none",F2325,IF(L2325="",NA(),L2325))</f>
        <v>#N/A</v>
      </c>
      <c r="S518" s="0" t="e">
        <f aca="false">IF(Charts!$B$3="none",G2325,IF(M2325="",NA(),M2325))</f>
        <v>#N/A</v>
      </c>
      <c r="T518" s="0" t="e">
        <f aca="false">IF(Charts!$B$3="none",H2325,IF(N2325="",NA(),N2325))</f>
        <v>#N/A</v>
      </c>
    </row>
    <row r="519" customFormat="false" ht="15" hidden="false" customHeight="false" outlineLevel="0" collapsed="false">
      <c r="E519" s="0" t="n">
        <v>153</v>
      </c>
      <c r="F519" s="0" t="str">
        <f aca="false">F157</f>
        <v/>
      </c>
      <c r="G519" s="0" t="n">
        <v>153</v>
      </c>
      <c r="H519" s="0" t="n">
        <f aca="false">H157</f>
        <v>0</v>
      </c>
      <c r="K519" s="0" t="n">
        <v>153</v>
      </c>
      <c r="L519" s="0" t="str">
        <f aca="false">L157</f>
        <v/>
      </c>
      <c r="M519" s="0" t="n">
        <v>153</v>
      </c>
      <c r="N519" s="0" t="n">
        <f aca="false">N157</f>
        <v>0</v>
      </c>
      <c r="Q519" s="0" t="e">
        <f aca="false">IF(Charts!$B$3="none",E2326,IF(K2326="",NA(),K2326))</f>
        <v>#N/A</v>
      </c>
      <c r="R519" s="0" t="e">
        <f aca="false">IF(Charts!$B$3="none",F2326,IF(L2326="",NA(),L2326))</f>
        <v>#N/A</v>
      </c>
      <c r="S519" s="0" t="e">
        <f aca="false">IF(Charts!$B$3="none",G2326,IF(M2326="",NA(),M2326))</f>
        <v>#N/A</v>
      </c>
      <c r="T519" s="0" t="e">
        <f aca="false">IF(Charts!$B$3="none",H2326,IF(N2326="",NA(),N2326))</f>
        <v>#N/A</v>
      </c>
    </row>
    <row r="520" customFormat="false" ht="15" hidden="false" customHeight="false" outlineLevel="0" collapsed="false">
      <c r="E520" s="0" t="n">
        <v>154</v>
      </c>
      <c r="F520" s="0" t="str">
        <f aca="false">F158</f>
        <v/>
      </c>
      <c r="G520" s="0" t="n">
        <v>154</v>
      </c>
      <c r="H520" s="0" t="n">
        <f aca="false">H158</f>
        <v>0</v>
      </c>
      <c r="K520" s="0" t="n">
        <v>154</v>
      </c>
      <c r="L520" s="0" t="str">
        <f aca="false">L158</f>
        <v/>
      </c>
      <c r="M520" s="0" t="n">
        <v>154</v>
      </c>
      <c r="N520" s="0" t="n">
        <f aca="false">N158</f>
        <v>0</v>
      </c>
      <c r="Q520" s="0" t="e">
        <f aca="false">IF(Charts!$B$3="none",E2327,IF(K2327="",NA(),K2327))</f>
        <v>#N/A</v>
      </c>
      <c r="R520" s="0" t="e">
        <f aca="false">IF(Charts!$B$3="none",F2327,IF(L2327="",NA(),L2327))</f>
        <v>#N/A</v>
      </c>
      <c r="S520" s="0" t="e">
        <f aca="false">IF(Charts!$B$3="none",G2327,IF(M2327="",NA(),M2327))</f>
        <v>#N/A</v>
      </c>
      <c r="T520" s="0" t="e">
        <f aca="false">IF(Charts!$B$3="none",H2327,IF(N2327="",NA(),N2327))</f>
        <v>#N/A</v>
      </c>
    </row>
    <row r="521" customFormat="false" ht="15" hidden="false" customHeight="false" outlineLevel="0" collapsed="false">
      <c r="E521" s="0" t="n">
        <v>155</v>
      </c>
      <c r="F521" s="0" t="str">
        <f aca="false">F159</f>
        <v/>
      </c>
      <c r="G521" s="0" t="n">
        <v>155</v>
      </c>
      <c r="H521" s="0" t="n">
        <f aca="false">H159</f>
        <v>0</v>
      </c>
      <c r="K521" s="0" t="n">
        <v>155</v>
      </c>
      <c r="L521" s="0" t="str">
        <f aca="false">L159</f>
        <v/>
      </c>
      <c r="M521" s="0" t="n">
        <v>155</v>
      </c>
      <c r="N521" s="0" t="n">
        <f aca="false">N159</f>
        <v>0</v>
      </c>
      <c r="Q521" s="0" t="e">
        <f aca="false">IF(Charts!$B$3="none",E2328,IF(K2328="",NA(),K2328))</f>
        <v>#N/A</v>
      </c>
      <c r="R521" s="0" t="e">
        <f aca="false">IF(Charts!$B$3="none",F2328,IF(L2328="",NA(),L2328))</f>
        <v>#N/A</v>
      </c>
      <c r="S521" s="0" t="e">
        <f aca="false">IF(Charts!$B$3="none",G2328,IF(M2328="",NA(),M2328))</f>
        <v>#N/A</v>
      </c>
      <c r="T521" s="0" t="e">
        <f aca="false">IF(Charts!$B$3="none",H2328,IF(N2328="",NA(),N2328))</f>
        <v>#N/A</v>
      </c>
    </row>
    <row r="522" customFormat="false" ht="15" hidden="false" customHeight="false" outlineLevel="0" collapsed="false">
      <c r="E522" s="0" t="n">
        <v>156</v>
      </c>
      <c r="F522" s="0" t="str">
        <f aca="false">F160</f>
        <v/>
      </c>
      <c r="G522" s="0" t="n">
        <v>156</v>
      </c>
      <c r="H522" s="0" t="n">
        <f aca="false">H160</f>
        <v>0</v>
      </c>
      <c r="K522" s="0" t="n">
        <v>156</v>
      </c>
      <c r="L522" s="0" t="str">
        <f aca="false">L160</f>
        <v/>
      </c>
      <c r="M522" s="0" t="n">
        <v>156</v>
      </c>
      <c r="N522" s="0" t="n">
        <f aca="false">N160</f>
        <v>0</v>
      </c>
      <c r="Q522" s="0" t="e">
        <f aca="false">IF(Charts!$B$3="none",E2329,IF(K2329="",NA(),K2329))</f>
        <v>#N/A</v>
      </c>
      <c r="R522" s="0" t="e">
        <f aca="false">IF(Charts!$B$3="none",F2329,IF(L2329="",NA(),L2329))</f>
        <v>#N/A</v>
      </c>
      <c r="S522" s="0" t="e">
        <f aca="false">IF(Charts!$B$3="none",G2329,IF(M2329="",NA(),M2329))</f>
        <v>#N/A</v>
      </c>
      <c r="T522" s="0" t="e">
        <f aca="false">IF(Charts!$B$3="none",H2329,IF(N2329="",NA(),N2329))</f>
        <v>#N/A</v>
      </c>
    </row>
    <row r="523" customFormat="false" ht="15" hidden="false" customHeight="false" outlineLevel="0" collapsed="false">
      <c r="E523" s="0" t="n">
        <v>157</v>
      </c>
      <c r="F523" s="0" t="str">
        <f aca="false">F161</f>
        <v/>
      </c>
      <c r="G523" s="0" t="n">
        <v>157</v>
      </c>
      <c r="H523" s="0" t="n">
        <f aca="false">H161</f>
        <v>0</v>
      </c>
      <c r="K523" s="0" t="n">
        <v>157</v>
      </c>
      <c r="L523" s="0" t="str">
        <f aca="false">L161</f>
        <v/>
      </c>
      <c r="M523" s="0" t="n">
        <v>157</v>
      </c>
      <c r="N523" s="0" t="n">
        <f aca="false">N161</f>
        <v>0</v>
      </c>
      <c r="Q523" s="0" t="e">
        <f aca="false">IF(Charts!$B$3="none",E2330,IF(K2330="",NA(),K2330))</f>
        <v>#N/A</v>
      </c>
      <c r="R523" s="0" t="e">
        <f aca="false">IF(Charts!$B$3="none",F2330,IF(L2330="",NA(),L2330))</f>
        <v>#N/A</v>
      </c>
      <c r="S523" s="0" t="e">
        <f aca="false">IF(Charts!$B$3="none",G2330,IF(M2330="",NA(),M2330))</f>
        <v>#N/A</v>
      </c>
      <c r="T523" s="0" t="e">
        <f aca="false">IF(Charts!$B$3="none",H2330,IF(N2330="",NA(),N2330))</f>
        <v>#N/A</v>
      </c>
    </row>
    <row r="524" customFormat="false" ht="15" hidden="false" customHeight="false" outlineLevel="0" collapsed="false">
      <c r="E524" s="0" t="n">
        <v>158</v>
      </c>
      <c r="F524" s="0" t="str">
        <f aca="false">F162</f>
        <v/>
      </c>
      <c r="G524" s="0" t="n">
        <v>158</v>
      </c>
      <c r="H524" s="0" t="n">
        <f aca="false">H162</f>
        <v>0</v>
      </c>
      <c r="K524" s="0" t="n">
        <v>158</v>
      </c>
      <c r="L524" s="0" t="str">
        <f aca="false">L162</f>
        <v/>
      </c>
      <c r="M524" s="0" t="n">
        <v>158</v>
      </c>
      <c r="N524" s="0" t="n">
        <f aca="false">N162</f>
        <v>0</v>
      </c>
      <c r="Q524" s="0" t="e">
        <f aca="false">IF(Charts!$B$3="none",E2331,IF(K2331="",NA(),K2331))</f>
        <v>#N/A</v>
      </c>
      <c r="R524" s="0" t="e">
        <f aca="false">IF(Charts!$B$3="none",F2331,IF(L2331="",NA(),L2331))</f>
        <v>#N/A</v>
      </c>
      <c r="S524" s="0" t="e">
        <f aca="false">IF(Charts!$B$3="none",G2331,IF(M2331="",NA(),M2331))</f>
        <v>#N/A</v>
      </c>
      <c r="T524" s="0" t="e">
        <f aca="false">IF(Charts!$B$3="none",H2331,IF(N2331="",NA(),N2331))</f>
        <v>#N/A</v>
      </c>
    </row>
    <row r="525" customFormat="false" ht="15" hidden="false" customHeight="false" outlineLevel="0" collapsed="false">
      <c r="E525" s="0" t="n">
        <v>159</v>
      </c>
      <c r="F525" s="0" t="str">
        <f aca="false">F163</f>
        <v/>
      </c>
      <c r="G525" s="0" t="n">
        <v>159</v>
      </c>
      <c r="H525" s="0" t="n">
        <f aca="false">H163</f>
        <v>0</v>
      </c>
      <c r="K525" s="0" t="n">
        <v>159</v>
      </c>
      <c r="L525" s="0" t="str">
        <f aca="false">L163</f>
        <v/>
      </c>
      <c r="M525" s="0" t="n">
        <v>159</v>
      </c>
      <c r="N525" s="0" t="n">
        <f aca="false">N163</f>
        <v>0</v>
      </c>
      <c r="Q525" s="0" t="e">
        <f aca="false">IF(Charts!$B$3="none",E2332,IF(K2332="",NA(),K2332))</f>
        <v>#N/A</v>
      </c>
      <c r="R525" s="0" t="e">
        <f aca="false">IF(Charts!$B$3="none",F2332,IF(L2332="",NA(),L2332))</f>
        <v>#N/A</v>
      </c>
      <c r="S525" s="0" t="e">
        <f aca="false">IF(Charts!$B$3="none",G2332,IF(M2332="",NA(),M2332))</f>
        <v>#N/A</v>
      </c>
      <c r="T525" s="0" t="e">
        <f aca="false">IF(Charts!$B$3="none",H2332,IF(N2332="",NA(),N2332))</f>
        <v>#N/A</v>
      </c>
    </row>
    <row r="526" customFormat="false" ht="15" hidden="false" customHeight="false" outlineLevel="0" collapsed="false">
      <c r="E526" s="0" t="n">
        <v>160</v>
      </c>
      <c r="F526" s="0" t="str">
        <f aca="false">F164</f>
        <v/>
      </c>
      <c r="G526" s="0" t="n">
        <v>160</v>
      </c>
      <c r="H526" s="0" t="n">
        <f aca="false">H164</f>
        <v>0</v>
      </c>
      <c r="K526" s="0" t="n">
        <v>160</v>
      </c>
      <c r="L526" s="0" t="str">
        <f aca="false">L164</f>
        <v/>
      </c>
      <c r="M526" s="0" t="n">
        <v>160</v>
      </c>
      <c r="N526" s="0" t="n">
        <f aca="false">N164</f>
        <v>0</v>
      </c>
      <c r="Q526" s="0" t="e">
        <f aca="false">IF(Charts!$B$3="none",E2333,IF(K2333="",NA(),K2333))</f>
        <v>#N/A</v>
      </c>
      <c r="R526" s="0" t="e">
        <f aca="false">IF(Charts!$B$3="none",F2333,IF(L2333="",NA(),L2333))</f>
        <v>#N/A</v>
      </c>
      <c r="S526" s="0" t="e">
        <f aca="false">IF(Charts!$B$3="none",G2333,IF(M2333="",NA(),M2333))</f>
        <v>#N/A</v>
      </c>
      <c r="T526" s="0" t="e">
        <f aca="false">IF(Charts!$B$3="none",H2333,IF(N2333="",NA(),N2333))</f>
        <v>#N/A</v>
      </c>
    </row>
    <row r="527" customFormat="false" ht="15" hidden="false" customHeight="false" outlineLevel="0" collapsed="false">
      <c r="E527" s="0" t="n">
        <v>161</v>
      </c>
      <c r="F527" s="0" t="str">
        <f aca="false">F165</f>
        <v/>
      </c>
      <c r="G527" s="0" t="n">
        <v>161</v>
      </c>
      <c r="H527" s="0" t="n">
        <f aca="false">H165</f>
        <v>0</v>
      </c>
      <c r="K527" s="0" t="n">
        <v>161</v>
      </c>
      <c r="L527" s="0" t="str">
        <f aca="false">L165</f>
        <v/>
      </c>
      <c r="M527" s="0" t="n">
        <v>161</v>
      </c>
      <c r="N527" s="0" t="n">
        <f aca="false">N165</f>
        <v>0</v>
      </c>
      <c r="Q527" s="0" t="e">
        <f aca="false">IF(Charts!$B$3="none",E2334,IF(K2334="",NA(),K2334))</f>
        <v>#N/A</v>
      </c>
      <c r="R527" s="0" t="e">
        <f aca="false">IF(Charts!$B$3="none",F2334,IF(L2334="",NA(),L2334))</f>
        <v>#N/A</v>
      </c>
      <c r="S527" s="0" t="e">
        <f aca="false">IF(Charts!$B$3="none",G2334,IF(M2334="",NA(),M2334))</f>
        <v>#N/A</v>
      </c>
      <c r="T527" s="0" t="e">
        <f aca="false">IF(Charts!$B$3="none",H2334,IF(N2334="",NA(),N2334))</f>
        <v>#N/A</v>
      </c>
    </row>
    <row r="528" customFormat="false" ht="15" hidden="false" customHeight="false" outlineLevel="0" collapsed="false">
      <c r="E528" s="0" t="n">
        <v>162</v>
      </c>
      <c r="F528" s="0" t="str">
        <f aca="false">F166</f>
        <v/>
      </c>
      <c r="G528" s="0" t="n">
        <v>162</v>
      </c>
      <c r="H528" s="0" t="n">
        <f aca="false">H166</f>
        <v>0</v>
      </c>
      <c r="K528" s="0" t="n">
        <v>162</v>
      </c>
      <c r="L528" s="0" t="str">
        <f aca="false">L166</f>
        <v/>
      </c>
      <c r="M528" s="0" t="n">
        <v>162</v>
      </c>
      <c r="N528" s="0" t="n">
        <f aca="false">N166</f>
        <v>0</v>
      </c>
      <c r="Q528" s="0" t="e">
        <f aca="false">IF(Charts!$B$3="none",E2335,IF(K2335="",NA(),K2335))</f>
        <v>#N/A</v>
      </c>
      <c r="R528" s="0" t="e">
        <f aca="false">IF(Charts!$B$3="none",F2335,IF(L2335="",NA(),L2335))</f>
        <v>#N/A</v>
      </c>
      <c r="S528" s="0" t="e">
        <f aca="false">IF(Charts!$B$3="none",G2335,IF(M2335="",NA(),M2335))</f>
        <v>#N/A</v>
      </c>
      <c r="T528" s="0" t="e">
        <f aca="false">IF(Charts!$B$3="none",H2335,IF(N2335="",NA(),N2335))</f>
        <v>#N/A</v>
      </c>
    </row>
    <row r="529" customFormat="false" ht="15" hidden="false" customHeight="false" outlineLevel="0" collapsed="false">
      <c r="E529" s="0" t="n">
        <v>163</v>
      </c>
      <c r="F529" s="0" t="str">
        <f aca="false">F167</f>
        <v/>
      </c>
      <c r="G529" s="0" t="n">
        <v>163</v>
      </c>
      <c r="H529" s="0" t="n">
        <f aca="false">H167</f>
        <v>0</v>
      </c>
      <c r="K529" s="0" t="n">
        <v>163</v>
      </c>
      <c r="L529" s="0" t="str">
        <f aca="false">L167</f>
        <v/>
      </c>
      <c r="M529" s="0" t="n">
        <v>163</v>
      </c>
      <c r="N529" s="0" t="n">
        <f aca="false">N167</f>
        <v>0</v>
      </c>
      <c r="Q529" s="0" t="e">
        <f aca="false">IF(Charts!$B$3="none",E2336,IF(K2336="",NA(),K2336))</f>
        <v>#N/A</v>
      </c>
      <c r="R529" s="0" t="e">
        <f aca="false">IF(Charts!$B$3="none",F2336,IF(L2336="",NA(),L2336))</f>
        <v>#N/A</v>
      </c>
      <c r="S529" s="0" t="e">
        <f aca="false">IF(Charts!$B$3="none",G2336,IF(M2336="",NA(),M2336))</f>
        <v>#N/A</v>
      </c>
      <c r="T529" s="0" t="e">
        <f aca="false">IF(Charts!$B$3="none",H2336,IF(N2336="",NA(),N2336))</f>
        <v>#N/A</v>
      </c>
    </row>
    <row r="530" customFormat="false" ht="15" hidden="false" customHeight="false" outlineLevel="0" collapsed="false">
      <c r="E530" s="0" t="n">
        <v>164</v>
      </c>
      <c r="F530" s="0" t="str">
        <f aca="false">F168</f>
        <v/>
      </c>
      <c r="G530" s="0" t="n">
        <v>164</v>
      </c>
      <c r="H530" s="0" t="n">
        <f aca="false">H168</f>
        <v>0</v>
      </c>
      <c r="K530" s="0" t="n">
        <v>164</v>
      </c>
      <c r="L530" s="0" t="str">
        <f aca="false">L168</f>
        <v/>
      </c>
      <c r="M530" s="0" t="n">
        <v>164</v>
      </c>
      <c r="N530" s="0" t="n">
        <f aca="false">N168</f>
        <v>0</v>
      </c>
      <c r="Q530" s="0" t="e">
        <f aca="false">IF(Charts!$B$3="none",E2337,IF(K2337="",NA(),K2337))</f>
        <v>#N/A</v>
      </c>
      <c r="R530" s="0" t="e">
        <f aca="false">IF(Charts!$B$3="none",F2337,IF(L2337="",NA(),L2337))</f>
        <v>#N/A</v>
      </c>
      <c r="S530" s="0" t="e">
        <f aca="false">IF(Charts!$B$3="none",G2337,IF(M2337="",NA(),M2337))</f>
        <v>#N/A</v>
      </c>
      <c r="T530" s="0" t="e">
        <f aca="false">IF(Charts!$B$3="none",H2337,IF(N2337="",NA(),N2337))</f>
        <v>#N/A</v>
      </c>
    </row>
    <row r="531" customFormat="false" ht="15" hidden="false" customHeight="false" outlineLevel="0" collapsed="false">
      <c r="E531" s="0" t="n">
        <v>165</v>
      </c>
      <c r="F531" s="0" t="str">
        <f aca="false">F169</f>
        <v/>
      </c>
      <c r="G531" s="0" t="n">
        <v>165</v>
      </c>
      <c r="H531" s="0" t="n">
        <f aca="false">H169</f>
        <v>0</v>
      </c>
      <c r="K531" s="0" t="n">
        <v>165</v>
      </c>
      <c r="L531" s="0" t="str">
        <f aca="false">L169</f>
        <v/>
      </c>
      <c r="M531" s="0" t="n">
        <v>165</v>
      </c>
      <c r="N531" s="0" t="n">
        <f aca="false">N169</f>
        <v>0</v>
      </c>
      <c r="Q531" s="0" t="e">
        <f aca="false">IF(Charts!$B$3="none",E2338,IF(K2338="",NA(),K2338))</f>
        <v>#N/A</v>
      </c>
      <c r="R531" s="0" t="e">
        <f aca="false">IF(Charts!$B$3="none",F2338,IF(L2338="",NA(),L2338))</f>
        <v>#N/A</v>
      </c>
      <c r="S531" s="0" t="e">
        <f aca="false">IF(Charts!$B$3="none",G2338,IF(M2338="",NA(),M2338))</f>
        <v>#N/A</v>
      </c>
      <c r="T531" s="0" t="e">
        <f aca="false">IF(Charts!$B$3="none",H2338,IF(N2338="",NA(),N2338))</f>
        <v>#N/A</v>
      </c>
    </row>
    <row r="532" customFormat="false" ht="15" hidden="false" customHeight="false" outlineLevel="0" collapsed="false">
      <c r="E532" s="0" t="n">
        <v>166</v>
      </c>
      <c r="F532" s="0" t="str">
        <f aca="false">F170</f>
        <v/>
      </c>
      <c r="G532" s="0" t="n">
        <v>166</v>
      </c>
      <c r="H532" s="0" t="n">
        <f aca="false">H170</f>
        <v>0</v>
      </c>
      <c r="K532" s="0" t="n">
        <v>166</v>
      </c>
      <c r="L532" s="0" t="str">
        <f aca="false">L170</f>
        <v/>
      </c>
      <c r="M532" s="0" t="n">
        <v>166</v>
      </c>
      <c r="N532" s="0" t="n">
        <f aca="false">N170</f>
        <v>0</v>
      </c>
      <c r="Q532" s="0" t="e">
        <f aca="false">IF(Charts!$B$3="none",E2339,IF(K2339="",NA(),K2339))</f>
        <v>#N/A</v>
      </c>
      <c r="R532" s="0" t="e">
        <f aca="false">IF(Charts!$B$3="none",F2339,IF(L2339="",NA(),L2339))</f>
        <v>#N/A</v>
      </c>
      <c r="S532" s="0" t="e">
        <f aca="false">IF(Charts!$B$3="none",G2339,IF(M2339="",NA(),M2339))</f>
        <v>#N/A</v>
      </c>
      <c r="T532" s="0" t="e">
        <f aca="false">IF(Charts!$B$3="none",H2339,IF(N2339="",NA(),N2339))</f>
        <v>#N/A</v>
      </c>
    </row>
    <row r="533" customFormat="false" ht="15" hidden="false" customHeight="false" outlineLevel="0" collapsed="false">
      <c r="E533" s="0" t="n">
        <v>167</v>
      </c>
      <c r="F533" s="0" t="str">
        <f aca="false">F171</f>
        <v/>
      </c>
      <c r="G533" s="0" t="n">
        <v>167</v>
      </c>
      <c r="H533" s="0" t="n">
        <f aca="false">H171</f>
        <v>0</v>
      </c>
      <c r="K533" s="0" t="n">
        <v>167</v>
      </c>
      <c r="L533" s="0" t="str">
        <f aca="false">L171</f>
        <v/>
      </c>
      <c r="M533" s="0" t="n">
        <v>167</v>
      </c>
      <c r="N533" s="0" t="n">
        <f aca="false">N171</f>
        <v>0</v>
      </c>
      <c r="Q533" s="0" t="e">
        <f aca="false">IF(Charts!$B$3="none",E2340,IF(K2340="",NA(),K2340))</f>
        <v>#N/A</v>
      </c>
      <c r="R533" s="0" t="e">
        <f aca="false">IF(Charts!$B$3="none",F2340,IF(L2340="",NA(),L2340))</f>
        <v>#N/A</v>
      </c>
      <c r="S533" s="0" t="e">
        <f aca="false">IF(Charts!$B$3="none",G2340,IF(M2340="",NA(),M2340))</f>
        <v>#N/A</v>
      </c>
      <c r="T533" s="0" t="e">
        <f aca="false">IF(Charts!$B$3="none",H2340,IF(N2340="",NA(),N2340))</f>
        <v>#N/A</v>
      </c>
    </row>
    <row r="534" customFormat="false" ht="15" hidden="false" customHeight="false" outlineLevel="0" collapsed="false">
      <c r="E534" s="0" t="n">
        <v>168</v>
      </c>
      <c r="F534" s="0" t="str">
        <f aca="false">F172</f>
        <v/>
      </c>
      <c r="G534" s="0" t="n">
        <v>168</v>
      </c>
      <c r="H534" s="0" t="n">
        <f aca="false">H172</f>
        <v>0</v>
      </c>
      <c r="K534" s="0" t="n">
        <v>168</v>
      </c>
      <c r="L534" s="0" t="str">
        <f aca="false">L172</f>
        <v/>
      </c>
      <c r="M534" s="0" t="n">
        <v>168</v>
      </c>
      <c r="N534" s="0" t="n">
        <f aca="false">N172</f>
        <v>0</v>
      </c>
      <c r="Q534" s="0" t="e">
        <f aca="false">IF(Charts!$B$3="none",E2341,IF(K2341="",NA(),K2341))</f>
        <v>#N/A</v>
      </c>
      <c r="R534" s="0" t="e">
        <f aca="false">IF(Charts!$B$3="none",F2341,IF(L2341="",NA(),L2341))</f>
        <v>#N/A</v>
      </c>
      <c r="S534" s="0" t="e">
        <f aca="false">IF(Charts!$B$3="none",G2341,IF(M2341="",NA(),M2341))</f>
        <v>#N/A</v>
      </c>
      <c r="T534" s="0" t="e">
        <f aca="false">IF(Charts!$B$3="none",H2341,IF(N2341="",NA(),N2341))</f>
        <v>#N/A</v>
      </c>
    </row>
    <row r="535" customFormat="false" ht="15" hidden="false" customHeight="false" outlineLevel="0" collapsed="false">
      <c r="E535" s="0" t="n">
        <v>169</v>
      </c>
      <c r="F535" s="0" t="str">
        <f aca="false">F173</f>
        <v/>
      </c>
      <c r="G535" s="0" t="n">
        <v>169</v>
      </c>
      <c r="H535" s="0" t="n">
        <f aca="false">H173</f>
        <v>0</v>
      </c>
      <c r="K535" s="0" t="n">
        <v>169</v>
      </c>
      <c r="L535" s="0" t="str">
        <f aca="false">L173</f>
        <v/>
      </c>
      <c r="M535" s="0" t="n">
        <v>169</v>
      </c>
      <c r="N535" s="0" t="n">
        <f aca="false">N173</f>
        <v>0</v>
      </c>
      <c r="Q535" s="0" t="e">
        <f aca="false">IF(Charts!$B$3="none",E2342,IF(K2342="",NA(),K2342))</f>
        <v>#N/A</v>
      </c>
      <c r="R535" s="0" t="e">
        <f aca="false">IF(Charts!$B$3="none",F2342,IF(L2342="",NA(),L2342))</f>
        <v>#N/A</v>
      </c>
      <c r="S535" s="0" t="e">
        <f aca="false">IF(Charts!$B$3="none",G2342,IF(M2342="",NA(),M2342))</f>
        <v>#N/A</v>
      </c>
      <c r="T535" s="0" t="e">
        <f aca="false">IF(Charts!$B$3="none",H2342,IF(N2342="",NA(),N2342))</f>
        <v>#N/A</v>
      </c>
    </row>
    <row r="536" customFormat="false" ht="15" hidden="false" customHeight="false" outlineLevel="0" collapsed="false">
      <c r="E536" s="0" t="n">
        <v>170</v>
      </c>
      <c r="F536" s="0" t="str">
        <f aca="false">F174</f>
        <v/>
      </c>
      <c r="G536" s="0" t="n">
        <v>170</v>
      </c>
      <c r="H536" s="0" t="n">
        <f aca="false">H174</f>
        <v>0</v>
      </c>
      <c r="K536" s="0" t="n">
        <v>170</v>
      </c>
      <c r="L536" s="0" t="str">
        <f aca="false">L174</f>
        <v/>
      </c>
      <c r="M536" s="0" t="n">
        <v>170</v>
      </c>
      <c r="N536" s="0" t="n">
        <f aca="false">N174</f>
        <v>0</v>
      </c>
      <c r="Q536" s="0" t="e">
        <f aca="false">IF(Charts!$B$3="none",E2343,IF(K2343="",NA(),K2343))</f>
        <v>#N/A</v>
      </c>
      <c r="R536" s="0" t="e">
        <f aca="false">IF(Charts!$B$3="none",F2343,IF(L2343="",NA(),L2343))</f>
        <v>#N/A</v>
      </c>
      <c r="S536" s="0" t="e">
        <f aca="false">IF(Charts!$B$3="none",G2343,IF(M2343="",NA(),M2343))</f>
        <v>#N/A</v>
      </c>
      <c r="T536" s="0" t="e">
        <f aca="false">IF(Charts!$B$3="none",H2343,IF(N2343="",NA(),N2343))</f>
        <v>#N/A</v>
      </c>
    </row>
    <row r="537" customFormat="false" ht="15" hidden="false" customHeight="false" outlineLevel="0" collapsed="false">
      <c r="E537" s="0" t="n">
        <v>171</v>
      </c>
      <c r="F537" s="0" t="str">
        <f aca="false">F175</f>
        <v/>
      </c>
      <c r="G537" s="0" t="n">
        <v>171</v>
      </c>
      <c r="H537" s="0" t="n">
        <f aca="false">H175</f>
        <v>0</v>
      </c>
      <c r="K537" s="0" t="n">
        <v>171</v>
      </c>
      <c r="L537" s="0" t="str">
        <f aca="false">L175</f>
        <v/>
      </c>
      <c r="M537" s="0" t="n">
        <v>171</v>
      </c>
      <c r="N537" s="0" t="n">
        <f aca="false">N175</f>
        <v>0</v>
      </c>
      <c r="Q537" s="0" t="e">
        <f aca="false">IF(Charts!$B$3="none",E2344,IF(K2344="",NA(),K2344))</f>
        <v>#N/A</v>
      </c>
      <c r="R537" s="0" t="e">
        <f aca="false">IF(Charts!$B$3="none",F2344,IF(L2344="",NA(),L2344))</f>
        <v>#N/A</v>
      </c>
      <c r="S537" s="0" t="e">
        <f aca="false">IF(Charts!$B$3="none",G2344,IF(M2344="",NA(),M2344))</f>
        <v>#N/A</v>
      </c>
      <c r="T537" s="0" t="e">
        <f aca="false">IF(Charts!$B$3="none",H2344,IF(N2344="",NA(),N2344))</f>
        <v>#N/A</v>
      </c>
    </row>
    <row r="538" customFormat="false" ht="15" hidden="false" customHeight="false" outlineLevel="0" collapsed="false">
      <c r="E538" s="0" t="n">
        <v>172</v>
      </c>
      <c r="F538" s="0" t="str">
        <f aca="false">F176</f>
        <v/>
      </c>
      <c r="G538" s="0" t="n">
        <v>172</v>
      </c>
      <c r="H538" s="0" t="n">
        <f aca="false">H176</f>
        <v>0</v>
      </c>
      <c r="K538" s="0" t="n">
        <v>172</v>
      </c>
      <c r="L538" s="0" t="str">
        <f aca="false">L176</f>
        <v/>
      </c>
      <c r="M538" s="0" t="n">
        <v>172</v>
      </c>
      <c r="N538" s="0" t="n">
        <f aca="false">N176</f>
        <v>0</v>
      </c>
      <c r="Q538" s="0" t="e">
        <f aca="false">IF(Charts!$B$3="none",E2345,IF(K2345="",NA(),K2345))</f>
        <v>#N/A</v>
      </c>
      <c r="R538" s="0" t="e">
        <f aca="false">IF(Charts!$B$3="none",F2345,IF(L2345="",NA(),L2345))</f>
        <v>#N/A</v>
      </c>
      <c r="S538" s="0" t="e">
        <f aca="false">IF(Charts!$B$3="none",G2345,IF(M2345="",NA(),M2345))</f>
        <v>#N/A</v>
      </c>
      <c r="T538" s="0" t="e">
        <f aca="false">IF(Charts!$B$3="none",H2345,IF(N2345="",NA(),N2345))</f>
        <v>#N/A</v>
      </c>
    </row>
    <row r="539" customFormat="false" ht="15" hidden="false" customHeight="false" outlineLevel="0" collapsed="false">
      <c r="E539" s="0" t="n">
        <v>173</v>
      </c>
      <c r="F539" s="0" t="str">
        <f aca="false">F177</f>
        <v/>
      </c>
      <c r="G539" s="0" t="n">
        <v>173</v>
      </c>
      <c r="H539" s="0" t="n">
        <f aca="false">H177</f>
        <v>0</v>
      </c>
      <c r="K539" s="0" t="n">
        <v>173</v>
      </c>
      <c r="L539" s="0" t="str">
        <f aca="false">L177</f>
        <v/>
      </c>
      <c r="M539" s="0" t="n">
        <v>173</v>
      </c>
      <c r="N539" s="0" t="n">
        <f aca="false">N177</f>
        <v>0</v>
      </c>
      <c r="Q539" s="0" t="e">
        <f aca="false">IF(Charts!$B$3="none",E2346,IF(K2346="",NA(),K2346))</f>
        <v>#N/A</v>
      </c>
      <c r="R539" s="0" t="e">
        <f aca="false">IF(Charts!$B$3="none",F2346,IF(L2346="",NA(),L2346))</f>
        <v>#N/A</v>
      </c>
      <c r="S539" s="0" t="e">
        <f aca="false">IF(Charts!$B$3="none",G2346,IF(M2346="",NA(),M2346))</f>
        <v>#N/A</v>
      </c>
      <c r="T539" s="0" t="e">
        <f aca="false">IF(Charts!$B$3="none",H2346,IF(N2346="",NA(),N2346))</f>
        <v>#N/A</v>
      </c>
    </row>
    <row r="540" customFormat="false" ht="15" hidden="false" customHeight="false" outlineLevel="0" collapsed="false">
      <c r="E540" s="0" t="n">
        <v>174</v>
      </c>
      <c r="F540" s="0" t="str">
        <f aca="false">F178</f>
        <v/>
      </c>
      <c r="G540" s="0" t="n">
        <v>174</v>
      </c>
      <c r="H540" s="0" t="n">
        <f aca="false">H178</f>
        <v>0</v>
      </c>
      <c r="K540" s="0" t="n">
        <v>174</v>
      </c>
      <c r="L540" s="0" t="str">
        <f aca="false">L178</f>
        <v/>
      </c>
      <c r="M540" s="0" t="n">
        <v>174</v>
      </c>
      <c r="N540" s="0" t="n">
        <f aca="false">N178</f>
        <v>0</v>
      </c>
      <c r="Q540" s="0" t="e">
        <f aca="false">IF(Charts!$B$3="none",E2347,IF(K2347="",NA(),K2347))</f>
        <v>#N/A</v>
      </c>
      <c r="R540" s="0" t="e">
        <f aca="false">IF(Charts!$B$3="none",F2347,IF(L2347="",NA(),L2347))</f>
        <v>#N/A</v>
      </c>
      <c r="S540" s="0" t="e">
        <f aca="false">IF(Charts!$B$3="none",G2347,IF(M2347="",NA(),M2347))</f>
        <v>#N/A</v>
      </c>
      <c r="T540" s="0" t="e">
        <f aca="false">IF(Charts!$B$3="none",H2347,IF(N2347="",NA(),N2347))</f>
        <v>#N/A</v>
      </c>
    </row>
    <row r="541" customFormat="false" ht="15" hidden="false" customHeight="false" outlineLevel="0" collapsed="false">
      <c r="E541" s="0" t="n">
        <v>175</v>
      </c>
      <c r="F541" s="0" t="str">
        <f aca="false">F179</f>
        <v/>
      </c>
      <c r="G541" s="0" t="n">
        <v>175</v>
      </c>
      <c r="H541" s="0" t="n">
        <f aca="false">H179</f>
        <v>0</v>
      </c>
      <c r="K541" s="0" t="n">
        <v>175</v>
      </c>
      <c r="L541" s="0" t="str">
        <f aca="false">L179</f>
        <v/>
      </c>
      <c r="M541" s="0" t="n">
        <v>175</v>
      </c>
      <c r="N541" s="0" t="n">
        <f aca="false">N179</f>
        <v>0</v>
      </c>
      <c r="Q541" s="0" t="e">
        <f aca="false">IF(Charts!$B$3="none",E2348,IF(K2348="",NA(),K2348))</f>
        <v>#N/A</v>
      </c>
      <c r="R541" s="0" t="e">
        <f aca="false">IF(Charts!$B$3="none",F2348,IF(L2348="",NA(),L2348))</f>
        <v>#N/A</v>
      </c>
      <c r="S541" s="0" t="e">
        <f aca="false">IF(Charts!$B$3="none",G2348,IF(M2348="",NA(),M2348))</f>
        <v>#N/A</v>
      </c>
      <c r="T541" s="0" t="e">
        <f aca="false">IF(Charts!$B$3="none",H2348,IF(N2348="",NA(),N2348))</f>
        <v>#N/A</v>
      </c>
    </row>
    <row r="542" customFormat="false" ht="15" hidden="false" customHeight="false" outlineLevel="0" collapsed="false">
      <c r="E542" s="0" t="n">
        <v>176</v>
      </c>
      <c r="F542" s="0" t="str">
        <f aca="false">F180</f>
        <v/>
      </c>
      <c r="G542" s="0" t="n">
        <v>176</v>
      </c>
      <c r="H542" s="0" t="n">
        <f aca="false">H180</f>
        <v>0</v>
      </c>
      <c r="K542" s="0" t="n">
        <v>176</v>
      </c>
      <c r="L542" s="0" t="str">
        <f aca="false">L180</f>
        <v/>
      </c>
      <c r="M542" s="0" t="n">
        <v>176</v>
      </c>
      <c r="N542" s="0" t="n">
        <f aca="false">N180</f>
        <v>0</v>
      </c>
      <c r="Q542" s="0" t="e">
        <f aca="false">IF(Charts!$B$3="none",E2349,IF(K2349="",NA(),K2349))</f>
        <v>#N/A</v>
      </c>
      <c r="R542" s="0" t="e">
        <f aca="false">IF(Charts!$B$3="none",F2349,IF(L2349="",NA(),L2349))</f>
        <v>#N/A</v>
      </c>
      <c r="S542" s="0" t="e">
        <f aca="false">IF(Charts!$B$3="none",G2349,IF(M2349="",NA(),M2349))</f>
        <v>#N/A</v>
      </c>
      <c r="T542" s="0" t="e">
        <f aca="false">IF(Charts!$B$3="none",H2349,IF(N2349="",NA(),N2349))</f>
        <v>#N/A</v>
      </c>
    </row>
    <row r="543" customFormat="false" ht="15" hidden="false" customHeight="false" outlineLevel="0" collapsed="false">
      <c r="E543" s="0" t="n">
        <v>177</v>
      </c>
      <c r="F543" s="0" t="str">
        <f aca="false">F181</f>
        <v/>
      </c>
      <c r="G543" s="0" t="n">
        <v>177</v>
      </c>
      <c r="H543" s="0" t="n">
        <f aca="false">H181</f>
        <v>0</v>
      </c>
      <c r="K543" s="0" t="n">
        <v>177</v>
      </c>
      <c r="L543" s="0" t="str">
        <f aca="false">L181</f>
        <v/>
      </c>
      <c r="M543" s="0" t="n">
        <v>177</v>
      </c>
      <c r="N543" s="0" t="n">
        <f aca="false">N181</f>
        <v>0</v>
      </c>
      <c r="Q543" s="0" t="e">
        <f aca="false">IF(Charts!$B$3="none",E2350,IF(K2350="",NA(),K2350))</f>
        <v>#N/A</v>
      </c>
      <c r="R543" s="0" t="e">
        <f aca="false">IF(Charts!$B$3="none",F2350,IF(L2350="",NA(),L2350))</f>
        <v>#N/A</v>
      </c>
      <c r="S543" s="0" t="e">
        <f aca="false">IF(Charts!$B$3="none",G2350,IF(M2350="",NA(),M2350))</f>
        <v>#N/A</v>
      </c>
      <c r="T543" s="0" t="e">
        <f aca="false">IF(Charts!$B$3="none",H2350,IF(N2350="",NA(),N2350))</f>
        <v>#N/A</v>
      </c>
    </row>
    <row r="544" customFormat="false" ht="15" hidden="false" customHeight="false" outlineLevel="0" collapsed="false">
      <c r="E544" s="0" t="n">
        <v>178</v>
      </c>
      <c r="F544" s="0" t="str">
        <f aca="false">F182</f>
        <v/>
      </c>
      <c r="G544" s="0" t="n">
        <v>178</v>
      </c>
      <c r="H544" s="0" t="n">
        <f aca="false">H182</f>
        <v>0</v>
      </c>
      <c r="K544" s="0" t="n">
        <v>178</v>
      </c>
      <c r="L544" s="0" t="str">
        <f aca="false">L182</f>
        <v/>
      </c>
      <c r="M544" s="0" t="n">
        <v>178</v>
      </c>
      <c r="N544" s="0" t="n">
        <f aca="false">N182</f>
        <v>0</v>
      </c>
      <c r="Q544" s="0" t="e">
        <f aca="false">IF(Charts!$B$3="none",E2351,IF(K2351="",NA(),K2351))</f>
        <v>#N/A</v>
      </c>
      <c r="R544" s="0" t="e">
        <f aca="false">IF(Charts!$B$3="none",F2351,IF(L2351="",NA(),L2351))</f>
        <v>#N/A</v>
      </c>
      <c r="S544" s="0" t="e">
        <f aca="false">IF(Charts!$B$3="none",G2351,IF(M2351="",NA(),M2351))</f>
        <v>#N/A</v>
      </c>
      <c r="T544" s="0" t="e">
        <f aca="false">IF(Charts!$B$3="none",H2351,IF(N2351="",NA(),N2351))</f>
        <v>#N/A</v>
      </c>
    </row>
    <row r="545" customFormat="false" ht="15" hidden="false" customHeight="false" outlineLevel="0" collapsed="false">
      <c r="E545" s="0" t="n">
        <v>179</v>
      </c>
      <c r="F545" s="0" t="str">
        <f aca="false">F183</f>
        <v/>
      </c>
      <c r="G545" s="0" t="n">
        <v>179</v>
      </c>
      <c r="H545" s="0" t="n">
        <f aca="false">H183</f>
        <v>0</v>
      </c>
      <c r="K545" s="0" t="n">
        <v>179</v>
      </c>
      <c r="L545" s="0" t="str">
        <f aca="false">L183</f>
        <v/>
      </c>
      <c r="M545" s="0" t="n">
        <v>179</v>
      </c>
      <c r="N545" s="0" t="n">
        <f aca="false">N183</f>
        <v>0</v>
      </c>
      <c r="Q545" s="0" t="e">
        <f aca="false">IF(Charts!$B$3="none",E2352,IF(K2352="",NA(),K2352))</f>
        <v>#N/A</v>
      </c>
      <c r="R545" s="0" t="e">
        <f aca="false">IF(Charts!$B$3="none",F2352,IF(L2352="",NA(),L2352))</f>
        <v>#N/A</v>
      </c>
      <c r="S545" s="0" t="e">
        <f aca="false">IF(Charts!$B$3="none",G2352,IF(M2352="",NA(),M2352))</f>
        <v>#N/A</v>
      </c>
      <c r="T545" s="0" t="e">
        <f aca="false">IF(Charts!$B$3="none",H2352,IF(N2352="",NA(),N2352))</f>
        <v>#N/A</v>
      </c>
    </row>
    <row r="546" customFormat="false" ht="15" hidden="false" customHeight="false" outlineLevel="0" collapsed="false">
      <c r="E546" s="0" t="n">
        <v>180</v>
      </c>
      <c r="F546" s="0" t="str">
        <f aca="false">F184</f>
        <v/>
      </c>
      <c r="G546" s="0" t="n">
        <v>180</v>
      </c>
      <c r="H546" s="0" t="n">
        <f aca="false">H184</f>
        <v>0</v>
      </c>
      <c r="K546" s="0" t="n">
        <v>180</v>
      </c>
      <c r="L546" s="0" t="str">
        <f aca="false">L184</f>
        <v/>
      </c>
      <c r="M546" s="0" t="n">
        <v>180</v>
      </c>
      <c r="N546" s="0" t="n">
        <f aca="false">N184</f>
        <v>0</v>
      </c>
      <c r="Q546" s="0" t="e">
        <f aca="false">IF(Charts!$B$3="none",E2353,IF(K2353="",NA(),K2353))</f>
        <v>#N/A</v>
      </c>
      <c r="R546" s="0" t="e">
        <f aca="false">IF(Charts!$B$3="none",F2353,IF(L2353="",NA(),L2353))</f>
        <v>#N/A</v>
      </c>
      <c r="S546" s="0" t="e">
        <f aca="false">IF(Charts!$B$3="none",G2353,IF(M2353="",NA(),M2353))</f>
        <v>#N/A</v>
      </c>
      <c r="T546" s="0" t="e">
        <f aca="false">IF(Charts!$B$3="none",H2353,IF(N2353="",NA(),N2353))</f>
        <v>#N/A</v>
      </c>
    </row>
    <row r="547" customFormat="false" ht="15" hidden="false" customHeight="false" outlineLevel="0" collapsed="false">
      <c r="E547" s="0" t="n">
        <v>181</v>
      </c>
      <c r="F547" s="0" t="str">
        <f aca="false">F185</f>
        <v/>
      </c>
      <c r="G547" s="0" t="n">
        <v>181</v>
      </c>
      <c r="H547" s="0" t="n">
        <f aca="false">H185</f>
        <v>0</v>
      </c>
      <c r="K547" s="0" t="n">
        <v>181</v>
      </c>
      <c r="L547" s="0" t="str">
        <f aca="false">L185</f>
        <v/>
      </c>
      <c r="M547" s="0" t="n">
        <v>181</v>
      </c>
      <c r="N547" s="0" t="n">
        <f aca="false">N185</f>
        <v>0</v>
      </c>
      <c r="Q547" s="0" t="e">
        <f aca="false">IF(Charts!$B$3="none",E2354,IF(K2354="",NA(),K2354))</f>
        <v>#N/A</v>
      </c>
      <c r="R547" s="0" t="e">
        <f aca="false">IF(Charts!$B$3="none",F2354,IF(L2354="",NA(),L2354))</f>
        <v>#N/A</v>
      </c>
      <c r="S547" s="0" t="e">
        <f aca="false">IF(Charts!$B$3="none",G2354,IF(M2354="",NA(),M2354))</f>
        <v>#N/A</v>
      </c>
      <c r="T547" s="0" t="e">
        <f aca="false">IF(Charts!$B$3="none",H2354,IF(N2354="",NA(),N2354))</f>
        <v>#N/A</v>
      </c>
    </row>
    <row r="548" customFormat="false" ht="15" hidden="false" customHeight="false" outlineLevel="0" collapsed="false">
      <c r="E548" s="0" t="n">
        <v>182</v>
      </c>
      <c r="F548" s="0" t="str">
        <f aca="false">F186</f>
        <v/>
      </c>
      <c r="G548" s="0" t="n">
        <v>182</v>
      </c>
      <c r="H548" s="0" t="n">
        <f aca="false">H186</f>
        <v>0</v>
      </c>
      <c r="K548" s="0" t="n">
        <v>182</v>
      </c>
      <c r="L548" s="0" t="str">
        <f aca="false">L186</f>
        <v/>
      </c>
      <c r="M548" s="0" t="n">
        <v>182</v>
      </c>
      <c r="N548" s="0" t="n">
        <f aca="false">N186</f>
        <v>0</v>
      </c>
      <c r="Q548" s="0" t="e">
        <f aca="false">IF(Charts!$B$3="none",E2355,IF(K2355="",NA(),K2355))</f>
        <v>#N/A</v>
      </c>
      <c r="R548" s="0" t="e">
        <f aca="false">IF(Charts!$B$3="none",F2355,IF(L2355="",NA(),L2355))</f>
        <v>#N/A</v>
      </c>
      <c r="S548" s="0" t="e">
        <f aca="false">IF(Charts!$B$3="none",G2355,IF(M2355="",NA(),M2355))</f>
        <v>#N/A</v>
      </c>
      <c r="T548" s="0" t="e">
        <f aca="false">IF(Charts!$B$3="none",H2355,IF(N2355="",NA(),N2355))</f>
        <v>#N/A</v>
      </c>
    </row>
    <row r="549" customFormat="false" ht="15" hidden="false" customHeight="false" outlineLevel="0" collapsed="false">
      <c r="E549" s="0" t="n">
        <v>183</v>
      </c>
      <c r="F549" s="0" t="str">
        <f aca="false">F187</f>
        <v/>
      </c>
      <c r="G549" s="0" t="n">
        <v>183</v>
      </c>
      <c r="H549" s="0" t="n">
        <f aca="false">H187</f>
        <v>0</v>
      </c>
      <c r="K549" s="0" t="n">
        <v>183</v>
      </c>
      <c r="L549" s="0" t="str">
        <f aca="false">L187</f>
        <v/>
      </c>
      <c r="M549" s="0" t="n">
        <v>183</v>
      </c>
      <c r="N549" s="0" t="n">
        <f aca="false">N187</f>
        <v>0</v>
      </c>
      <c r="Q549" s="0" t="e">
        <f aca="false">IF(Charts!$B$3="none",E2356,IF(K2356="",NA(),K2356))</f>
        <v>#N/A</v>
      </c>
      <c r="R549" s="0" t="e">
        <f aca="false">IF(Charts!$B$3="none",F2356,IF(L2356="",NA(),L2356))</f>
        <v>#N/A</v>
      </c>
      <c r="S549" s="0" t="e">
        <f aca="false">IF(Charts!$B$3="none",G2356,IF(M2356="",NA(),M2356))</f>
        <v>#N/A</v>
      </c>
      <c r="T549" s="0" t="e">
        <f aca="false">IF(Charts!$B$3="none",H2356,IF(N2356="",NA(),N2356))</f>
        <v>#N/A</v>
      </c>
    </row>
    <row r="550" customFormat="false" ht="15" hidden="false" customHeight="false" outlineLevel="0" collapsed="false">
      <c r="E550" s="0" t="n">
        <v>184</v>
      </c>
      <c r="F550" s="0" t="str">
        <f aca="false">F188</f>
        <v/>
      </c>
      <c r="G550" s="0" t="n">
        <v>184</v>
      </c>
      <c r="H550" s="0" t="n">
        <f aca="false">H188</f>
        <v>0</v>
      </c>
      <c r="K550" s="0" t="n">
        <v>184</v>
      </c>
      <c r="L550" s="0" t="str">
        <f aca="false">L188</f>
        <v/>
      </c>
      <c r="M550" s="0" t="n">
        <v>184</v>
      </c>
      <c r="N550" s="0" t="n">
        <f aca="false">N188</f>
        <v>0</v>
      </c>
      <c r="Q550" s="0" t="e">
        <f aca="false">IF(Charts!$B$3="none",E2357,IF(K2357="",NA(),K2357))</f>
        <v>#N/A</v>
      </c>
      <c r="R550" s="0" t="e">
        <f aca="false">IF(Charts!$B$3="none",F2357,IF(L2357="",NA(),L2357))</f>
        <v>#N/A</v>
      </c>
      <c r="S550" s="0" t="e">
        <f aca="false">IF(Charts!$B$3="none",G2357,IF(M2357="",NA(),M2357))</f>
        <v>#N/A</v>
      </c>
      <c r="T550" s="0" t="e">
        <f aca="false">IF(Charts!$B$3="none",H2357,IF(N2357="",NA(),N2357))</f>
        <v>#N/A</v>
      </c>
    </row>
    <row r="551" customFormat="false" ht="15" hidden="false" customHeight="false" outlineLevel="0" collapsed="false">
      <c r="E551" s="0" t="n">
        <v>185</v>
      </c>
      <c r="F551" s="0" t="str">
        <f aca="false">F189</f>
        <v/>
      </c>
      <c r="G551" s="0" t="n">
        <v>185</v>
      </c>
      <c r="H551" s="0" t="n">
        <f aca="false">H189</f>
        <v>0</v>
      </c>
      <c r="K551" s="0" t="n">
        <v>185</v>
      </c>
      <c r="L551" s="0" t="str">
        <f aca="false">L189</f>
        <v/>
      </c>
      <c r="M551" s="0" t="n">
        <v>185</v>
      </c>
      <c r="N551" s="0" t="n">
        <f aca="false">N189</f>
        <v>0</v>
      </c>
      <c r="Q551" s="0" t="e">
        <f aca="false">IF(Charts!$B$3="none",E2358,IF(K2358="",NA(),K2358))</f>
        <v>#N/A</v>
      </c>
      <c r="R551" s="0" t="e">
        <f aca="false">IF(Charts!$B$3="none",F2358,IF(L2358="",NA(),L2358))</f>
        <v>#N/A</v>
      </c>
      <c r="S551" s="0" t="e">
        <f aca="false">IF(Charts!$B$3="none",G2358,IF(M2358="",NA(),M2358))</f>
        <v>#N/A</v>
      </c>
      <c r="T551" s="0" t="e">
        <f aca="false">IF(Charts!$B$3="none",H2358,IF(N2358="",NA(),N2358))</f>
        <v>#N/A</v>
      </c>
    </row>
    <row r="552" customFormat="false" ht="15" hidden="false" customHeight="false" outlineLevel="0" collapsed="false">
      <c r="E552" s="0" t="n">
        <v>186</v>
      </c>
      <c r="F552" s="0" t="str">
        <f aca="false">F190</f>
        <v/>
      </c>
      <c r="G552" s="0" t="n">
        <v>186</v>
      </c>
      <c r="H552" s="0" t="n">
        <f aca="false">H190</f>
        <v>0</v>
      </c>
      <c r="K552" s="0" t="n">
        <v>186</v>
      </c>
      <c r="L552" s="0" t="str">
        <f aca="false">L190</f>
        <v/>
      </c>
      <c r="M552" s="0" t="n">
        <v>186</v>
      </c>
      <c r="N552" s="0" t="n">
        <f aca="false">N190</f>
        <v>0</v>
      </c>
      <c r="Q552" s="0" t="e">
        <f aca="false">IF(Charts!$B$3="none",E2359,IF(K2359="",NA(),K2359))</f>
        <v>#N/A</v>
      </c>
      <c r="R552" s="0" t="e">
        <f aca="false">IF(Charts!$B$3="none",F2359,IF(L2359="",NA(),L2359))</f>
        <v>#N/A</v>
      </c>
      <c r="S552" s="0" t="e">
        <f aca="false">IF(Charts!$B$3="none",G2359,IF(M2359="",NA(),M2359))</f>
        <v>#N/A</v>
      </c>
      <c r="T552" s="0" t="e">
        <f aca="false">IF(Charts!$B$3="none",H2359,IF(N2359="",NA(),N2359))</f>
        <v>#N/A</v>
      </c>
    </row>
    <row r="553" customFormat="false" ht="15" hidden="false" customHeight="false" outlineLevel="0" collapsed="false">
      <c r="E553" s="0" t="n">
        <v>187</v>
      </c>
      <c r="F553" s="0" t="str">
        <f aca="false">F191</f>
        <v/>
      </c>
      <c r="G553" s="0" t="n">
        <v>187</v>
      </c>
      <c r="H553" s="0" t="n">
        <f aca="false">H191</f>
        <v>0</v>
      </c>
      <c r="K553" s="0" t="n">
        <v>187</v>
      </c>
      <c r="L553" s="0" t="str">
        <f aca="false">L191</f>
        <v/>
      </c>
      <c r="M553" s="0" t="n">
        <v>187</v>
      </c>
      <c r="N553" s="0" t="n">
        <f aca="false">N191</f>
        <v>0</v>
      </c>
      <c r="Q553" s="0" t="e">
        <f aca="false">IF(Charts!$B$3="none",E2360,IF(K2360="",NA(),K2360))</f>
        <v>#N/A</v>
      </c>
      <c r="R553" s="0" t="e">
        <f aca="false">IF(Charts!$B$3="none",F2360,IF(L2360="",NA(),L2360))</f>
        <v>#N/A</v>
      </c>
      <c r="S553" s="0" t="e">
        <f aca="false">IF(Charts!$B$3="none",G2360,IF(M2360="",NA(),M2360))</f>
        <v>#N/A</v>
      </c>
      <c r="T553" s="0" t="e">
        <f aca="false">IF(Charts!$B$3="none",H2360,IF(N2360="",NA(),N2360))</f>
        <v>#N/A</v>
      </c>
    </row>
    <row r="554" customFormat="false" ht="15" hidden="false" customHeight="false" outlineLevel="0" collapsed="false">
      <c r="E554" s="0" t="n">
        <v>188</v>
      </c>
      <c r="F554" s="0" t="str">
        <f aca="false">F192</f>
        <v/>
      </c>
      <c r="G554" s="0" t="n">
        <v>188</v>
      </c>
      <c r="H554" s="0" t="n">
        <f aca="false">H192</f>
        <v>0</v>
      </c>
      <c r="K554" s="0" t="n">
        <v>188</v>
      </c>
      <c r="L554" s="0" t="str">
        <f aca="false">L192</f>
        <v/>
      </c>
      <c r="M554" s="0" t="n">
        <v>188</v>
      </c>
      <c r="N554" s="0" t="n">
        <f aca="false">N192</f>
        <v>0</v>
      </c>
      <c r="Q554" s="0" t="e">
        <f aca="false">IF(Charts!$B$3="none",E2361,IF(K2361="",NA(),K2361))</f>
        <v>#N/A</v>
      </c>
      <c r="R554" s="0" t="e">
        <f aca="false">IF(Charts!$B$3="none",F2361,IF(L2361="",NA(),L2361))</f>
        <v>#N/A</v>
      </c>
      <c r="S554" s="0" t="e">
        <f aca="false">IF(Charts!$B$3="none",G2361,IF(M2361="",NA(),M2361))</f>
        <v>#N/A</v>
      </c>
      <c r="T554" s="0" t="e">
        <f aca="false">IF(Charts!$B$3="none",H2361,IF(N2361="",NA(),N2361))</f>
        <v>#N/A</v>
      </c>
    </row>
    <row r="555" customFormat="false" ht="15" hidden="false" customHeight="false" outlineLevel="0" collapsed="false">
      <c r="E555" s="0" t="n">
        <v>189</v>
      </c>
      <c r="F555" s="0" t="str">
        <f aca="false">F193</f>
        <v/>
      </c>
      <c r="G555" s="0" t="n">
        <v>189</v>
      </c>
      <c r="H555" s="0" t="n">
        <f aca="false">H193</f>
        <v>0</v>
      </c>
      <c r="K555" s="0" t="n">
        <v>189</v>
      </c>
      <c r="L555" s="0" t="str">
        <f aca="false">L193</f>
        <v/>
      </c>
      <c r="M555" s="0" t="n">
        <v>189</v>
      </c>
      <c r="N555" s="0" t="n">
        <f aca="false">N193</f>
        <v>0</v>
      </c>
      <c r="Q555" s="0" t="e">
        <f aca="false">IF(Charts!$B$3="none",E2362,IF(K2362="",NA(),K2362))</f>
        <v>#N/A</v>
      </c>
      <c r="R555" s="0" t="e">
        <f aca="false">IF(Charts!$B$3="none",F2362,IF(L2362="",NA(),L2362))</f>
        <v>#N/A</v>
      </c>
      <c r="S555" s="0" t="e">
        <f aca="false">IF(Charts!$B$3="none",G2362,IF(M2362="",NA(),M2362))</f>
        <v>#N/A</v>
      </c>
      <c r="T555" s="0" t="e">
        <f aca="false">IF(Charts!$B$3="none",H2362,IF(N2362="",NA(),N2362))</f>
        <v>#N/A</v>
      </c>
    </row>
    <row r="556" customFormat="false" ht="15" hidden="false" customHeight="false" outlineLevel="0" collapsed="false">
      <c r="E556" s="0" t="n">
        <v>190</v>
      </c>
      <c r="F556" s="0" t="str">
        <f aca="false">F194</f>
        <v/>
      </c>
      <c r="G556" s="0" t="n">
        <v>190</v>
      </c>
      <c r="H556" s="0" t="n">
        <f aca="false">H194</f>
        <v>0</v>
      </c>
      <c r="K556" s="0" t="n">
        <v>190</v>
      </c>
      <c r="L556" s="0" t="str">
        <f aca="false">L194</f>
        <v/>
      </c>
      <c r="M556" s="0" t="n">
        <v>190</v>
      </c>
      <c r="N556" s="0" t="n">
        <f aca="false">N194</f>
        <v>0</v>
      </c>
      <c r="Q556" s="0" t="e">
        <f aca="false">IF(Charts!$B$3="none",E2363,IF(K2363="",NA(),K2363))</f>
        <v>#N/A</v>
      </c>
      <c r="R556" s="0" t="e">
        <f aca="false">IF(Charts!$B$3="none",F2363,IF(L2363="",NA(),L2363))</f>
        <v>#N/A</v>
      </c>
      <c r="S556" s="0" t="e">
        <f aca="false">IF(Charts!$B$3="none",G2363,IF(M2363="",NA(),M2363))</f>
        <v>#N/A</v>
      </c>
      <c r="T556" s="0" t="e">
        <f aca="false">IF(Charts!$B$3="none",H2363,IF(N2363="",NA(),N2363))</f>
        <v>#N/A</v>
      </c>
    </row>
    <row r="557" customFormat="false" ht="15" hidden="false" customHeight="false" outlineLevel="0" collapsed="false">
      <c r="E557" s="0" t="n">
        <v>191</v>
      </c>
      <c r="F557" s="0" t="str">
        <f aca="false">F195</f>
        <v/>
      </c>
      <c r="G557" s="0" t="n">
        <v>191</v>
      </c>
      <c r="H557" s="0" t="n">
        <f aca="false">H195</f>
        <v>0</v>
      </c>
      <c r="K557" s="0" t="n">
        <v>191</v>
      </c>
      <c r="L557" s="0" t="str">
        <f aca="false">L195</f>
        <v/>
      </c>
      <c r="M557" s="0" t="n">
        <v>191</v>
      </c>
      <c r="N557" s="0" t="n">
        <f aca="false">N195</f>
        <v>0</v>
      </c>
      <c r="Q557" s="0" t="e">
        <f aca="false">IF(Charts!$B$3="none",E2364,IF(K2364="",NA(),K2364))</f>
        <v>#N/A</v>
      </c>
      <c r="R557" s="0" t="e">
        <f aca="false">IF(Charts!$B$3="none",F2364,IF(L2364="",NA(),L2364))</f>
        <v>#N/A</v>
      </c>
      <c r="S557" s="0" t="e">
        <f aca="false">IF(Charts!$B$3="none",G2364,IF(M2364="",NA(),M2364))</f>
        <v>#N/A</v>
      </c>
      <c r="T557" s="0" t="e">
        <f aca="false">IF(Charts!$B$3="none",H2364,IF(N2364="",NA(),N2364))</f>
        <v>#N/A</v>
      </c>
    </row>
    <row r="558" customFormat="false" ht="15" hidden="false" customHeight="false" outlineLevel="0" collapsed="false">
      <c r="E558" s="0" t="n">
        <v>192</v>
      </c>
      <c r="F558" s="0" t="str">
        <f aca="false">F196</f>
        <v/>
      </c>
      <c r="G558" s="0" t="n">
        <v>192</v>
      </c>
      <c r="H558" s="0" t="n">
        <f aca="false">H196</f>
        <v>0</v>
      </c>
      <c r="K558" s="0" t="n">
        <v>192</v>
      </c>
      <c r="L558" s="0" t="str">
        <f aca="false">L196</f>
        <v/>
      </c>
      <c r="M558" s="0" t="n">
        <v>192</v>
      </c>
      <c r="N558" s="0" t="n">
        <f aca="false">N196</f>
        <v>0</v>
      </c>
      <c r="Q558" s="0" t="e">
        <f aca="false">IF(Charts!$B$3="none",E2365,IF(K2365="",NA(),K2365))</f>
        <v>#N/A</v>
      </c>
      <c r="R558" s="0" t="e">
        <f aca="false">IF(Charts!$B$3="none",F2365,IF(L2365="",NA(),L2365))</f>
        <v>#N/A</v>
      </c>
      <c r="S558" s="0" t="e">
        <f aca="false">IF(Charts!$B$3="none",G2365,IF(M2365="",NA(),M2365))</f>
        <v>#N/A</v>
      </c>
      <c r="T558" s="0" t="e">
        <f aca="false">IF(Charts!$B$3="none",H2365,IF(N2365="",NA(),N2365))</f>
        <v>#N/A</v>
      </c>
    </row>
    <row r="559" customFormat="false" ht="15" hidden="false" customHeight="false" outlineLevel="0" collapsed="false">
      <c r="E559" s="0" t="n">
        <v>193</v>
      </c>
      <c r="F559" s="0" t="str">
        <f aca="false">F197</f>
        <v/>
      </c>
      <c r="G559" s="0" t="n">
        <v>193</v>
      </c>
      <c r="H559" s="0" t="n">
        <f aca="false">H197</f>
        <v>0</v>
      </c>
      <c r="K559" s="0" t="n">
        <v>193</v>
      </c>
      <c r="L559" s="0" t="str">
        <f aca="false">L197</f>
        <v/>
      </c>
      <c r="M559" s="0" t="n">
        <v>193</v>
      </c>
      <c r="N559" s="0" t="n">
        <f aca="false">N197</f>
        <v>0</v>
      </c>
      <c r="Q559" s="0" t="e">
        <f aca="false">IF(Charts!$B$3="none",E2366,IF(K2366="",NA(),K2366))</f>
        <v>#N/A</v>
      </c>
      <c r="R559" s="0" t="e">
        <f aca="false">IF(Charts!$B$3="none",F2366,IF(L2366="",NA(),L2366))</f>
        <v>#N/A</v>
      </c>
      <c r="S559" s="0" t="e">
        <f aca="false">IF(Charts!$B$3="none",G2366,IF(M2366="",NA(),M2366))</f>
        <v>#N/A</v>
      </c>
      <c r="T559" s="0" t="e">
        <f aca="false">IF(Charts!$B$3="none",H2366,IF(N2366="",NA(),N2366))</f>
        <v>#N/A</v>
      </c>
    </row>
    <row r="560" customFormat="false" ht="15" hidden="false" customHeight="false" outlineLevel="0" collapsed="false">
      <c r="E560" s="0" t="n">
        <v>194</v>
      </c>
      <c r="F560" s="0" t="str">
        <f aca="false">F198</f>
        <v/>
      </c>
      <c r="G560" s="0" t="n">
        <v>194</v>
      </c>
      <c r="H560" s="0" t="n">
        <f aca="false">H198</f>
        <v>0</v>
      </c>
      <c r="K560" s="0" t="n">
        <v>194</v>
      </c>
      <c r="L560" s="0" t="str">
        <f aca="false">L198</f>
        <v/>
      </c>
      <c r="M560" s="0" t="n">
        <v>194</v>
      </c>
      <c r="N560" s="0" t="n">
        <f aca="false">N198</f>
        <v>0</v>
      </c>
      <c r="Q560" s="0" t="e">
        <f aca="false">IF(Charts!$B$3="none",E2367,IF(K2367="",NA(),K2367))</f>
        <v>#N/A</v>
      </c>
      <c r="R560" s="0" t="e">
        <f aca="false">IF(Charts!$B$3="none",F2367,IF(L2367="",NA(),L2367))</f>
        <v>#N/A</v>
      </c>
      <c r="S560" s="0" t="e">
        <f aca="false">IF(Charts!$B$3="none",G2367,IF(M2367="",NA(),M2367))</f>
        <v>#N/A</v>
      </c>
      <c r="T560" s="0" t="e">
        <f aca="false">IF(Charts!$B$3="none",H2367,IF(N2367="",NA(),N2367))</f>
        <v>#N/A</v>
      </c>
    </row>
    <row r="561" customFormat="false" ht="15" hidden="false" customHeight="false" outlineLevel="0" collapsed="false">
      <c r="E561" s="0" t="n">
        <v>195</v>
      </c>
      <c r="F561" s="0" t="str">
        <f aca="false">F199</f>
        <v/>
      </c>
      <c r="G561" s="0" t="n">
        <v>195</v>
      </c>
      <c r="H561" s="0" t="n">
        <f aca="false">H199</f>
        <v>0</v>
      </c>
      <c r="K561" s="0" t="n">
        <v>195</v>
      </c>
      <c r="L561" s="0" t="str">
        <f aca="false">L199</f>
        <v/>
      </c>
      <c r="M561" s="0" t="n">
        <v>195</v>
      </c>
      <c r="N561" s="0" t="n">
        <f aca="false">N199</f>
        <v>0</v>
      </c>
      <c r="Q561" s="0" t="e">
        <f aca="false">IF(Charts!$B$3="none",E2368,IF(K2368="",NA(),K2368))</f>
        <v>#N/A</v>
      </c>
      <c r="R561" s="0" t="e">
        <f aca="false">IF(Charts!$B$3="none",F2368,IF(L2368="",NA(),L2368))</f>
        <v>#N/A</v>
      </c>
      <c r="S561" s="0" t="e">
        <f aca="false">IF(Charts!$B$3="none",G2368,IF(M2368="",NA(),M2368))</f>
        <v>#N/A</v>
      </c>
      <c r="T561" s="0" t="e">
        <f aca="false">IF(Charts!$B$3="none",H2368,IF(N2368="",NA(),N2368))</f>
        <v>#N/A</v>
      </c>
    </row>
    <row r="562" customFormat="false" ht="15" hidden="false" customHeight="false" outlineLevel="0" collapsed="false">
      <c r="E562" s="0" t="n">
        <v>196</v>
      </c>
      <c r="F562" s="0" t="str">
        <f aca="false">F200</f>
        <v/>
      </c>
      <c r="G562" s="0" t="n">
        <v>196</v>
      </c>
      <c r="H562" s="0" t="n">
        <f aca="false">H200</f>
        <v>0</v>
      </c>
      <c r="K562" s="0" t="n">
        <v>196</v>
      </c>
      <c r="L562" s="0" t="str">
        <f aca="false">L200</f>
        <v/>
      </c>
      <c r="M562" s="0" t="n">
        <v>196</v>
      </c>
      <c r="N562" s="0" t="n">
        <f aca="false">N200</f>
        <v>0</v>
      </c>
      <c r="Q562" s="0" t="e">
        <f aca="false">IF(Charts!$B$3="none",E2369,IF(K2369="",NA(),K2369))</f>
        <v>#N/A</v>
      </c>
      <c r="R562" s="0" t="e">
        <f aca="false">IF(Charts!$B$3="none",F2369,IF(L2369="",NA(),L2369))</f>
        <v>#N/A</v>
      </c>
      <c r="S562" s="0" t="e">
        <f aca="false">IF(Charts!$B$3="none",G2369,IF(M2369="",NA(),M2369))</f>
        <v>#N/A</v>
      </c>
      <c r="T562" s="0" t="e">
        <f aca="false">IF(Charts!$B$3="none",H2369,IF(N2369="",NA(),N2369))</f>
        <v>#N/A</v>
      </c>
    </row>
    <row r="563" customFormat="false" ht="15" hidden="false" customHeight="false" outlineLevel="0" collapsed="false">
      <c r="E563" s="0" t="n">
        <v>197</v>
      </c>
      <c r="F563" s="0" t="str">
        <f aca="false">F201</f>
        <v/>
      </c>
      <c r="G563" s="0" t="n">
        <v>197</v>
      </c>
      <c r="H563" s="0" t="n">
        <f aca="false">H201</f>
        <v>0</v>
      </c>
      <c r="K563" s="0" t="n">
        <v>197</v>
      </c>
      <c r="L563" s="0" t="str">
        <f aca="false">L201</f>
        <v/>
      </c>
      <c r="M563" s="0" t="n">
        <v>197</v>
      </c>
      <c r="N563" s="0" t="n">
        <f aca="false">N201</f>
        <v>0</v>
      </c>
      <c r="Q563" s="0" t="e">
        <f aca="false">IF(Charts!$B$3="none",E2370,IF(K2370="",NA(),K2370))</f>
        <v>#N/A</v>
      </c>
      <c r="R563" s="0" t="e">
        <f aca="false">IF(Charts!$B$3="none",F2370,IF(L2370="",NA(),L2370))</f>
        <v>#N/A</v>
      </c>
      <c r="S563" s="0" t="e">
        <f aca="false">IF(Charts!$B$3="none",G2370,IF(M2370="",NA(),M2370))</f>
        <v>#N/A</v>
      </c>
      <c r="T563" s="0" t="e">
        <f aca="false">IF(Charts!$B$3="none",H2370,IF(N2370="",NA(),N2370))</f>
        <v>#N/A</v>
      </c>
    </row>
    <row r="564" customFormat="false" ht="15" hidden="false" customHeight="false" outlineLevel="0" collapsed="false">
      <c r="E564" s="0" t="n">
        <v>198</v>
      </c>
      <c r="F564" s="0" t="str">
        <f aca="false">F202</f>
        <v/>
      </c>
      <c r="G564" s="0" t="n">
        <v>198</v>
      </c>
      <c r="H564" s="0" t="n">
        <f aca="false">H202</f>
        <v>0</v>
      </c>
      <c r="K564" s="0" t="n">
        <v>198</v>
      </c>
      <c r="L564" s="0" t="str">
        <f aca="false">L202</f>
        <v/>
      </c>
      <c r="M564" s="0" t="n">
        <v>198</v>
      </c>
      <c r="N564" s="0" t="n">
        <f aca="false">N202</f>
        <v>0</v>
      </c>
      <c r="Q564" s="0" t="e">
        <f aca="false">IF(Charts!$B$3="none",E2371,IF(K2371="",NA(),K2371))</f>
        <v>#N/A</v>
      </c>
      <c r="R564" s="0" t="e">
        <f aca="false">IF(Charts!$B$3="none",F2371,IF(L2371="",NA(),L2371))</f>
        <v>#N/A</v>
      </c>
      <c r="S564" s="0" t="e">
        <f aca="false">IF(Charts!$B$3="none",G2371,IF(M2371="",NA(),M2371))</f>
        <v>#N/A</v>
      </c>
      <c r="T564" s="0" t="e">
        <f aca="false">IF(Charts!$B$3="none",H2371,IF(N2371="",NA(),N2371))</f>
        <v>#N/A</v>
      </c>
    </row>
    <row r="565" customFormat="false" ht="15" hidden="false" customHeight="false" outlineLevel="0" collapsed="false">
      <c r="E565" s="0" t="n">
        <v>199</v>
      </c>
      <c r="F565" s="0" t="str">
        <f aca="false">F203</f>
        <v/>
      </c>
      <c r="G565" s="0" t="n">
        <v>199</v>
      </c>
      <c r="H565" s="0" t="n">
        <f aca="false">H203</f>
        <v>0</v>
      </c>
      <c r="K565" s="0" t="n">
        <v>199</v>
      </c>
      <c r="L565" s="0" t="str">
        <f aca="false">L203</f>
        <v/>
      </c>
      <c r="M565" s="0" t="n">
        <v>199</v>
      </c>
      <c r="N565" s="0" t="n">
        <f aca="false">N203</f>
        <v>0</v>
      </c>
      <c r="Q565" s="0" t="e">
        <f aca="false">IF(Charts!$B$3="none",E2372,IF(K2372="",NA(),K2372))</f>
        <v>#N/A</v>
      </c>
      <c r="R565" s="0" t="e">
        <f aca="false">IF(Charts!$B$3="none",F2372,IF(L2372="",NA(),L2372))</f>
        <v>#N/A</v>
      </c>
      <c r="S565" s="0" t="e">
        <f aca="false">IF(Charts!$B$3="none",G2372,IF(M2372="",NA(),M2372))</f>
        <v>#N/A</v>
      </c>
      <c r="T565" s="0" t="e">
        <f aca="false">IF(Charts!$B$3="none",H2372,IF(N2372="",NA(),N2372))</f>
        <v>#N/A</v>
      </c>
    </row>
    <row r="566" customFormat="false" ht="15" hidden="false" customHeight="false" outlineLevel="0" collapsed="false">
      <c r="E566" s="0" t="n">
        <v>200</v>
      </c>
      <c r="F566" s="0" t="str">
        <f aca="false">F204</f>
        <v/>
      </c>
      <c r="G566" s="0" t="n">
        <v>200</v>
      </c>
      <c r="H566" s="0" t="n">
        <f aca="false">H204</f>
        <v>0</v>
      </c>
      <c r="K566" s="0" t="n">
        <v>200</v>
      </c>
      <c r="L566" s="0" t="str">
        <f aca="false">L204</f>
        <v/>
      </c>
      <c r="M566" s="0" t="n">
        <v>200</v>
      </c>
      <c r="N566" s="0" t="n">
        <f aca="false">N204</f>
        <v>0</v>
      </c>
      <c r="Q566" s="0" t="e">
        <f aca="false">IF(Charts!$B$3="none",E2373,IF(K2373="",NA(),K2373))</f>
        <v>#N/A</v>
      </c>
      <c r="R566" s="0" t="e">
        <f aca="false">IF(Charts!$B$3="none",F2373,IF(L2373="",NA(),L2373))</f>
        <v>#N/A</v>
      </c>
      <c r="S566" s="0" t="e">
        <f aca="false">IF(Charts!$B$3="none",G2373,IF(M2373="",NA(),M2373))</f>
        <v>#N/A</v>
      </c>
      <c r="T566" s="0" t="e">
        <f aca="false">IF(Charts!$B$3="none",H2373,IF(N2373="",NA(),N2373))</f>
        <v>#N/A</v>
      </c>
    </row>
    <row r="567" customFormat="false" ht="15" hidden="false" customHeight="false" outlineLevel="0" collapsed="false">
      <c r="E567" s="0" t="n">
        <v>201</v>
      </c>
      <c r="F567" s="0" t="str">
        <f aca="false">F205</f>
        <v/>
      </c>
      <c r="G567" s="0" t="n">
        <v>201</v>
      </c>
      <c r="H567" s="0" t="n">
        <f aca="false">H205</f>
        <v>0</v>
      </c>
      <c r="K567" s="0" t="n">
        <v>201</v>
      </c>
      <c r="L567" s="0" t="str">
        <f aca="false">L205</f>
        <v/>
      </c>
      <c r="M567" s="0" t="n">
        <v>201</v>
      </c>
      <c r="N567" s="0" t="n">
        <f aca="false">N205</f>
        <v>0</v>
      </c>
      <c r="Q567" s="0" t="e">
        <f aca="false">IF(Charts!$B$3="none",E2374,IF(K2374="",NA(),K2374))</f>
        <v>#N/A</v>
      </c>
      <c r="R567" s="0" t="e">
        <f aca="false">IF(Charts!$B$3="none",F2374,IF(L2374="",NA(),L2374))</f>
        <v>#N/A</v>
      </c>
      <c r="S567" s="0" t="e">
        <f aca="false">IF(Charts!$B$3="none",G2374,IF(M2374="",NA(),M2374))</f>
        <v>#N/A</v>
      </c>
      <c r="T567" s="0" t="e">
        <f aca="false">IF(Charts!$B$3="none",H2374,IF(N2374="",NA(),N2374))</f>
        <v>#N/A</v>
      </c>
    </row>
    <row r="568" customFormat="false" ht="15" hidden="false" customHeight="false" outlineLevel="0" collapsed="false">
      <c r="E568" s="0" t="n">
        <v>202</v>
      </c>
      <c r="F568" s="0" t="str">
        <f aca="false">F206</f>
        <v/>
      </c>
      <c r="G568" s="0" t="n">
        <v>202</v>
      </c>
      <c r="H568" s="0" t="n">
        <f aca="false">H206</f>
        <v>0</v>
      </c>
      <c r="K568" s="0" t="n">
        <v>202</v>
      </c>
      <c r="L568" s="0" t="str">
        <f aca="false">L206</f>
        <v/>
      </c>
      <c r="M568" s="0" t="n">
        <v>202</v>
      </c>
      <c r="N568" s="0" t="n">
        <f aca="false">N206</f>
        <v>0</v>
      </c>
      <c r="Q568" s="0" t="e">
        <f aca="false">IF(Charts!$B$3="none",E2375,IF(K2375="",NA(),K2375))</f>
        <v>#N/A</v>
      </c>
      <c r="R568" s="0" t="e">
        <f aca="false">IF(Charts!$B$3="none",F2375,IF(L2375="",NA(),L2375))</f>
        <v>#N/A</v>
      </c>
      <c r="S568" s="0" t="e">
        <f aca="false">IF(Charts!$B$3="none",G2375,IF(M2375="",NA(),M2375))</f>
        <v>#N/A</v>
      </c>
      <c r="T568" s="0" t="e">
        <f aca="false">IF(Charts!$B$3="none",H2375,IF(N2375="",NA(),N2375))</f>
        <v>#N/A</v>
      </c>
    </row>
    <row r="569" customFormat="false" ht="15" hidden="false" customHeight="false" outlineLevel="0" collapsed="false">
      <c r="E569" s="0" t="n">
        <v>203</v>
      </c>
      <c r="F569" s="0" t="str">
        <f aca="false">F207</f>
        <v/>
      </c>
      <c r="G569" s="0" t="n">
        <v>203</v>
      </c>
      <c r="H569" s="0" t="n">
        <f aca="false">H207</f>
        <v>0</v>
      </c>
      <c r="K569" s="0" t="n">
        <v>203</v>
      </c>
      <c r="L569" s="0" t="str">
        <f aca="false">L207</f>
        <v/>
      </c>
      <c r="M569" s="0" t="n">
        <v>203</v>
      </c>
      <c r="N569" s="0" t="n">
        <f aca="false">N207</f>
        <v>0</v>
      </c>
      <c r="Q569" s="0" t="e">
        <f aca="false">IF(Charts!$B$3="none",E2376,IF(K2376="",NA(),K2376))</f>
        <v>#N/A</v>
      </c>
      <c r="R569" s="0" t="e">
        <f aca="false">IF(Charts!$B$3="none",F2376,IF(L2376="",NA(),L2376))</f>
        <v>#N/A</v>
      </c>
      <c r="S569" s="0" t="e">
        <f aca="false">IF(Charts!$B$3="none",G2376,IF(M2376="",NA(),M2376))</f>
        <v>#N/A</v>
      </c>
      <c r="T569" s="0" t="e">
        <f aca="false">IF(Charts!$B$3="none",H2376,IF(N2376="",NA(),N2376))</f>
        <v>#N/A</v>
      </c>
    </row>
    <row r="570" customFormat="false" ht="15" hidden="false" customHeight="false" outlineLevel="0" collapsed="false">
      <c r="E570" s="0" t="n">
        <v>204</v>
      </c>
      <c r="F570" s="0" t="str">
        <f aca="false">F208</f>
        <v/>
      </c>
      <c r="G570" s="0" t="n">
        <v>204</v>
      </c>
      <c r="H570" s="0" t="n">
        <f aca="false">H208</f>
        <v>0</v>
      </c>
      <c r="K570" s="0" t="n">
        <v>204</v>
      </c>
      <c r="L570" s="0" t="str">
        <f aca="false">L208</f>
        <v/>
      </c>
      <c r="M570" s="0" t="n">
        <v>204</v>
      </c>
      <c r="N570" s="0" t="n">
        <f aca="false">N208</f>
        <v>0</v>
      </c>
      <c r="Q570" s="0" t="e">
        <f aca="false">IF(Charts!$B$3="none",E2377,IF(K2377="",NA(),K2377))</f>
        <v>#N/A</v>
      </c>
      <c r="R570" s="0" t="e">
        <f aca="false">IF(Charts!$B$3="none",F2377,IF(L2377="",NA(),L2377))</f>
        <v>#N/A</v>
      </c>
      <c r="S570" s="0" t="e">
        <f aca="false">IF(Charts!$B$3="none",G2377,IF(M2377="",NA(),M2377))</f>
        <v>#N/A</v>
      </c>
      <c r="T570" s="0" t="e">
        <f aca="false">IF(Charts!$B$3="none",H2377,IF(N2377="",NA(),N2377))</f>
        <v>#N/A</v>
      </c>
    </row>
    <row r="571" customFormat="false" ht="15" hidden="false" customHeight="false" outlineLevel="0" collapsed="false">
      <c r="E571" s="0" t="n">
        <v>205</v>
      </c>
      <c r="F571" s="0" t="str">
        <f aca="false">F209</f>
        <v/>
      </c>
      <c r="G571" s="0" t="n">
        <v>205</v>
      </c>
      <c r="H571" s="0" t="n">
        <f aca="false">H209</f>
        <v>0</v>
      </c>
      <c r="K571" s="0" t="n">
        <v>205</v>
      </c>
      <c r="L571" s="0" t="str">
        <f aca="false">L209</f>
        <v/>
      </c>
      <c r="M571" s="0" t="n">
        <v>205</v>
      </c>
      <c r="N571" s="0" t="n">
        <f aca="false">N209</f>
        <v>0</v>
      </c>
      <c r="Q571" s="0" t="e">
        <f aca="false">IF(Charts!$B$3="none",E2378,IF(K2378="",NA(),K2378))</f>
        <v>#N/A</v>
      </c>
      <c r="R571" s="0" t="e">
        <f aca="false">IF(Charts!$B$3="none",F2378,IF(L2378="",NA(),L2378))</f>
        <v>#N/A</v>
      </c>
      <c r="S571" s="0" t="e">
        <f aca="false">IF(Charts!$B$3="none",G2378,IF(M2378="",NA(),M2378))</f>
        <v>#N/A</v>
      </c>
      <c r="T571" s="0" t="e">
        <f aca="false">IF(Charts!$B$3="none",H2378,IF(N2378="",NA(),N2378))</f>
        <v>#N/A</v>
      </c>
    </row>
    <row r="572" customFormat="false" ht="15" hidden="false" customHeight="false" outlineLevel="0" collapsed="false">
      <c r="E572" s="0" t="n">
        <v>206</v>
      </c>
      <c r="F572" s="0" t="str">
        <f aca="false">F210</f>
        <v/>
      </c>
      <c r="G572" s="0" t="n">
        <v>206</v>
      </c>
      <c r="H572" s="0" t="n">
        <f aca="false">H210</f>
        <v>0</v>
      </c>
      <c r="K572" s="0" t="n">
        <v>206</v>
      </c>
      <c r="L572" s="0" t="str">
        <f aca="false">L210</f>
        <v/>
      </c>
      <c r="M572" s="0" t="n">
        <v>206</v>
      </c>
      <c r="N572" s="0" t="n">
        <f aca="false">N210</f>
        <v>0</v>
      </c>
      <c r="Q572" s="0" t="e">
        <f aca="false">IF(Charts!$B$3="none",E2379,IF(K2379="",NA(),K2379))</f>
        <v>#N/A</v>
      </c>
      <c r="R572" s="0" t="e">
        <f aca="false">IF(Charts!$B$3="none",F2379,IF(L2379="",NA(),L2379))</f>
        <v>#N/A</v>
      </c>
      <c r="S572" s="0" t="e">
        <f aca="false">IF(Charts!$B$3="none",G2379,IF(M2379="",NA(),M2379))</f>
        <v>#N/A</v>
      </c>
      <c r="T572" s="0" t="e">
        <f aca="false">IF(Charts!$B$3="none",H2379,IF(N2379="",NA(),N2379))</f>
        <v>#N/A</v>
      </c>
    </row>
    <row r="573" customFormat="false" ht="15" hidden="false" customHeight="false" outlineLevel="0" collapsed="false">
      <c r="E573" s="0" t="n">
        <v>207</v>
      </c>
      <c r="F573" s="0" t="str">
        <f aca="false">F211</f>
        <v/>
      </c>
      <c r="G573" s="0" t="n">
        <v>207</v>
      </c>
      <c r="H573" s="0" t="n">
        <f aca="false">H211</f>
        <v>0</v>
      </c>
      <c r="K573" s="0" t="n">
        <v>207</v>
      </c>
      <c r="L573" s="0" t="str">
        <f aca="false">L211</f>
        <v/>
      </c>
      <c r="M573" s="0" t="n">
        <v>207</v>
      </c>
      <c r="N573" s="0" t="n">
        <f aca="false">N211</f>
        <v>0</v>
      </c>
      <c r="Q573" s="0" t="e">
        <f aca="false">IF(Charts!$B$3="none",E2380,IF(K2380="",NA(),K2380))</f>
        <v>#N/A</v>
      </c>
      <c r="R573" s="0" t="e">
        <f aca="false">IF(Charts!$B$3="none",F2380,IF(L2380="",NA(),L2380))</f>
        <v>#N/A</v>
      </c>
      <c r="S573" s="0" t="e">
        <f aca="false">IF(Charts!$B$3="none",G2380,IF(M2380="",NA(),M2380))</f>
        <v>#N/A</v>
      </c>
      <c r="T573" s="0" t="e">
        <f aca="false">IF(Charts!$B$3="none",H2380,IF(N2380="",NA(),N2380))</f>
        <v>#N/A</v>
      </c>
    </row>
    <row r="574" customFormat="false" ht="15" hidden="false" customHeight="false" outlineLevel="0" collapsed="false">
      <c r="E574" s="0" t="n">
        <v>208</v>
      </c>
      <c r="F574" s="0" t="str">
        <f aca="false">F212</f>
        <v/>
      </c>
      <c r="G574" s="0" t="n">
        <v>208</v>
      </c>
      <c r="H574" s="0" t="n">
        <f aca="false">H212</f>
        <v>0</v>
      </c>
      <c r="K574" s="0" t="n">
        <v>208</v>
      </c>
      <c r="L574" s="0" t="str">
        <f aca="false">L212</f>
        <v/>
      </c>
      <c r="M574" s="0" t="n">
        <v>208</v>
      </c>
      <c r="N574" s="0" t="n">
        <f aca="false">N212</f>
        <v>0</v>
      </c>
      <c r="Q574" s="0" t="e">
        <f aca="false">IF(Charts!$B$3="none",E2381,IF(K2381="",NA(),K2381))</f>
        <v>#N/A</v>
      </c>
      <c r="R574" s="0" t="e">
        <f aca="false">IF(Charts!$B$3="none",F2381,IF(L2381="",NA(),L2381))</f>
        <v>#N/A</v>
      </c>
      <c r="S574" s="0" t="e">
        <f aca="false">IF(Charts!$B$3="none",G2381,IF(M2381="",NA(),M2381))</f>
        <v>#N/A</v>
      </c>
      <c r="T574" s="0" t="e">
        <f aca="false">IF(Charts!$B$3="none",H2381,IF(N2381="",NA(),N2381))</f>
        <v>#N/A</v>
      </c>
    </row>
    <row r="575" customFormat="false" ht="15" hidden="false" customHeight="false" outlineLevel="0" collapsed="false">
      <c r="E575" s="0" t="n">
        <v>209</v>
      </c>
      <c r="F575" s="0" t="str">
        <f aca="false">F213</f>
        <v/>
      </c>
      <c r="G575" s="0" t="n">
        <v>209</v>
      </c>
      <c r="H575" s="0" t="n">
        <f aca="false">H213</f>
        <v>0</v>
      </c>
      <c r="K575" s="0" t="n">
        <v>209</v>
      </c>
      <c r="L575" s="0" t="str">
        <f aca="false">L213</f>
        <v/>
      </c>
      <c r="M575" s="0" t="n">
        <v>209</v>
      </c>
      <c r="N575" s="0" t="n">
        <f aca="false">N213</f>
        <v>0</v>
      </c>
      <c r="Q575" s="0" t="e">
        <f aca="false">IF(Charts!$B$3="none",E2382,IF(K2382="",NA(),K2382))</f>
        <v>#N/A</v>
      </c>
      <c r="R575" s="0" t="e">
        <f aca="false">IF(Charts!$B$3="none",F2382,IF(L2382="",NA(),L2382))</f>
        <v>#N/A</v>
      </c>
      <c r="S575" s="0" t="e">
        <f aca="false">IF(Charts!$B$3="none",G2382,IF(M2382="",NA(),M2382))</f>
        <v>#N/A</v>
      </c>
      <c r="T575" s="0" t="e">
        <f aca="false">IF(Charts!$B$3="none",H2382,IF(N2382="",NA(),N2382))</f>
        <v>#N/A</v>
      </c>
    </row>
    <row r="576" customFormat="false" ht="15" hidden="false" customHeight="false" outlineLevel="0" collapsed="false">
      <c r="E576" s="0" t="n">
        <v>210</v>
      </c>
      <c r="F576" s="0" t="str">
        <f aca="false">F214</f>
        <v/>
      </c>
      <c r="G576" s="0" t="n">
        <v>210</v>
      </c>
      <c r="H576" s="0" t="n">
        <f aca="false">H214</f>
        <v>0</v>
      </c>
      <c r="K576" s="0" t="n">
        <v>210</v>
      </c>
      <c r="L576" s="0" t="str">
        <f aca="false">L214</f>
        <v/>
      </c>
      <c r="M576" s="0" t="n">
        <v>210</v>
      </c>
      <c r="N576" s="0" t="n">
        <f aca="false">N214</f>
        <v>0</v>
      </c>
      <c r="Q576" s="0" t="e">
        <f aca="false">IF(Charts!$B$3="none",E2383,IF(K2383="",NA(),K2383))</f>
        <v>#N/A</v>
      </c>
      <c r="R576" s="0" t="e">
        <f aca="false">IF(Charts!$B$3="none",F2383,IF(L2383="",NA(),L2383))</f>
        <v>#N/A</v>
      </c>
      <c r="S576" s="0" t="e">
        <f aca="false">IF(Charts!$B$3="none",G2383,IF(M2383="",NA(),M2383))</f>
        <v>#N/A</v>
      </c>
      <c r="T576" s="0" t="e">
        <f aca="false">IF(Charts!$B$3="none",H2383,IF(N2383="",NA(),N2383))</f>
        <v>#N/A</v>
      </c>
    </row>
    <row r="577" customFormat="false" ht="15" hidden="false" customHeight="false" outlineLevel="0" collapsed="false">
      <c r="E577" s="0" t="n">
        <v>211</v>
      </c>
      <c r="F577" s="0" t="str">
        <f aca="false">F215</f>
        <v/>
      </c>
      <c r="G577" s="0" t="n">
        <v>211</v>
      </c>
      <c r="H577" s="0" t="n">
        <f aca="false">H215</f>
        <v>0</v>
      </c>
      <c r="K577" s="0" t="n">
        <v>211</v>
      </c>
      <c r="L577" s="0" t="str">
        <f aca="false">L215</f>
        <v/>
      </c>
      <c r="M577" s="0" t="n">
        <v>211</v>
      </c>
      <c r="N577" s="0" t="n">
        <f aca="false">N215</f>
        <v>0</v>
      </c>
      <c r="Q577" s="0" t="e">
        <f aca="false">IF(Charts!$B$3="none",E2384,IF(K2384="",NA(),K2384))</f>
        <v>#N/A</v>
      </c>
      <c r="R577" s="0" t="e">
        <f aca="false">IF(Charts!$B$3="none",F2384,IF(L2384="",NA(),L2384))</f>
        <v>#N/A</v>
      </c>
      <c r="S577" s="0" t="e">
        <f aca="false">IF(Charts!$B$3="none",G2384,IF(M2384="",NA(),M2384))</f>
        <v>#N/A</v>
      </c>
      <c r="T577" s="0" t="e">
        <f aca="false">IF(Charts!$B$3="none",H2384,IF(N2384="",NA(),N2384))</f>
        <v>#N/A</v>
      </c>
    </row>
    <row r="578" customFormat="false" ht="15" hidden="false" customHeight="false" outlineLevel="0" collapsed="false">
      <c r="E578" s="0" t="n">
        <v>212</v>
      </c>
      <c r="F578" s="0" t="str">
        <f aca="false">F216</f>
        <v/>
      </c>
      <c r="G578" s="0" t="n">
        <v>212</v>
      </c>
      <c r="H578" s="0" t="n">
        <f aca="false">H216</f>
        <v>0</v>
      </c>
      <c r="K578" s="0" t="n">
        <v>212</v>
      </c>
      <c r="L578" s="0" t="str">
        <f aca="false">L216</f>
        <v/>
      </c>
      <c r="M578" s="0" t="n">
        <v>212</v>
      </c>
      <c r="N578" s="0" t="n">
        <f aca="false">N216</f>
        <v>0</v>
      </c>
      <c r="Q578" s="0" t="e">
        <f aca="false">IF(Charts!$B$3="none",E2385,IF(K2385="",NA(),K2385))</f>
        <v>#N/A</v>
      </c>
      <c r="R578" s="0" t="e">
        <f aca="false">IF(Charts!$B$3="none",F2385,IF(L2385="",NA(),L2385))</f>
        <v>#N/A</v>
      </c>
      <c r="S578" s="0" t="e">
        <f aca="false">IF(Charts!$B$3="none",G2385,IF(M2385="",NA(),M2385))</f>
        <v>#N/A</v>
      </c>
      <c r="T578" s="0" t="e">
        <f aca="false">IF(Charts!$B$3="none",H2385,IF(N2385="",NA(),N2385))</f>
        <v>#N/A</v>
      </c>
    </row>
    <row r="579" customFormat="false" ht="15" hidden="false" customHeight="false" outlineLevel="0" collapsed="false">
      <c r="E579" s="0" t="n">
        <v>213</v>
      </c>
      <c r="F579" s="0" t="str">
        <f aca="false">F217</f>
        <v/>
      </c>
      <c r="G579" s="0" t="n">
        <v>213</v>
      </c>
      <c r="H579" s="0" t="n">
        <f aca="false">H217</f>
        <v>0</v>
      </c>
      <c r="K579" s="0" t="n">
        <v>213</v>
      </c>
      <c r="L579" s="0" t="str">
        <f aca="false">L217</f>
        <v/>
      </c>
      <c r="M579" s="0" t="n">
        <v>213</v>
      </c>
      <c r="N579" s="0" t="n">
        <f aca="false">N217</f>
        <v>0</v>
      </c>
      <c r="Q579" s="0" t="e">
        <f aca="false">IF(Charts!$B$3="none",E2386,IF(K2386="",NA(),K2386))</f>
        <v>#N/A</v>
      </c>
      <c r="R579" s="0" t="e">
        <f aca="false">IF(Charts!$B$3="none",F2386,IF(L2386="",NA(),L2386))</f>
        <v>#N/A</v>
      </c>
      <c r="S579" s="0" t="e">
        <f aca="false">IF(Charts!$B$3="none",G2386,IF(M2386="",NA(),M2386))</f>
        <v>#N/A</v>
      </c>
      <c r="T579" s="0" t="e">
        <f aca="false">IF(Charts!$B$3="none",H2386,IF(N2386="",NA(),N2386))</f>
        <v>#N/A</v>
      </c>
    </row>
    <row r="580" customFormat="false" ht="15" hidden="false" customHeight="false" outlineLevel="0" collapsed="false">
      <c r="E580" s="0" t="n">
        <v>214</v>
      </c>
      <c r="F580" s="0" t="str">
        <f aca="false">F218</f>
        <v/>
      </c>
      <c r="G580" s="0" t="n">
        <v>214</v>
      </c>
      <c r="H580" s="0" t="n">
        <f aca="false">H218</f>
        <v>0</v>
      </c>
      <c r="K580" s="0" t="n">
        <v>214</v>
      </c>
      <c r="L580" s="0" t="str">
        <f aca="false">L218</f>
        <v/>
      </c>
      <c r="M580" s="0" t="n">
        <v>214</v>
      </c>
      <c r="N580" s="0" t="n">
        <f aca="false">N218</f>
        <v>0</v>
      </c>
      <c r="Q580" s="0" t="e">
        <f aca="false">IF(Charts!$B$3="none",E2387,IF(K2387="",NA(),K2387))</f>
        <v>#N/A</v>
      </c>
      <c r="R580" s="0" t="e">
        <f aca="false">IF(Charts!$B$3="none",F2387,IF(L2387="",NA(),L2387))</f>
        <v>#N/A</v>
      </c>
      <c r="S580" s="0" t="e">
        <f aca="false">IF(Charts!$B$3="none",G2387,IF(M2387="",NA(),M2387))</f>
        <v>#N/A</v>
      </c>
      <c r="T580" s="0" t="e">
        <f aca="false">IF(Charts!$B$3="none",H2387,IF(N2387="",NA(),N2387))</f>
        <v>#N/A</v>
      </c>
    </row>
    <row r="581" customFormat="false" ht="15" hidden="false" customHeight="false" outlineLevel="0" collapsed="false">
      <c r="E581" s="0" t="n">
        <v>215</v>
      </c>
      <c r="F581" s="0" t="str">
        <f aca="false">F219</f>
        <v/>
      </c>
      <c r="G581" s="0" t="n">
        <v>215</v>
      </c>
      <c r="H581" s="0" t="n">
        <f aca="false">H219</f>
        <v>0</v>
      </c>
      <c r="K581" s="0" t="n">
        <v>215</v>
      </c>
      <c r="L581" s="0" t="str">
        <f aca="false">L219</f>
        <v/>
      </c>
      <c r="M581" s="0" t="n">
        <v>215</v>
      </c>
      <c r="N581" s="0" t="n">
        <f aca="false">N219</f>
        <v>0</v>
      </c>
      <c r="Q581" s="0" t="e">
        <f aca="false">IF(Charts!$B$3="none",E2388,IF(K2388="",NA(),K2388))</f>
        <v>#N/A</v>
      </c>
      <c r="R581" s="0" t="e">
        <f aca="false">IF(Charts!$B$3="none",F2388,IF(L2388="",NA(),L2388))</f>
        <v>#N/A</v>
      </c>
      <c r="S581" s="0" t="e">
        <f aca="false">IF(Charts!$B$3="none",G2388,IF(M2388="",NA(),M2388))</f>
        <v>#N/A</v>
      </c>
      <c r="T581" s="0" t="e">
        <f aca="false">IF(Charts!$B$3="none",H2388,IF(N2388="",NA(),N2388))</f>
        <v>#N/A</v>
      </c>
    </row>
    <row r="582" customFormat="false" ht="15" hidden="false" customHeight="false" outlineLevel="0" collapsed="false">
      <c r="E582" s="0" t="n">
        <v>216</v>
      </c>
      <c r="F582" s="0" t="str">
        <f aca="false">F220</f>
        <v/>
      </c>
      <c r="G582" s="0" t="n">
        <v>216</v>
      </c>
      <c r="H582" s="0" t="n">
        <f aca="false">H220</f>
        <v>0</v>
      </c>
      <c r="K582" s="0" t="n">
        <v>216</v>
      </c>
      <c r="L582" s="0" t="str">
        <f aca="false">L220</f>
        <v/>
      </c>
      <c r="M582" s="0" t="n">
        <v>216</v>
      </c>
      <c r="N582" s="0" t="n">
        <f aca="false">N220</f>
        <v>0</v>
      </c>
      <c r="Q582" s="0" t="e">
        <f aca="false">IF(Charts!$B$3="none",E2389,IF(K2389="",NA(),K2389))</f>
        <v>#N/A</v>
      </c>
      <c r="R582" s="0" t="e">
        <f aca="false">IF(Charts!$B$3="none",F2389,IF(L2389="",NA(),L2389))</f>
        <v>#N/A</v>
      </c>
      <c r="S582" s="0" t="e">
        <f aca="false">IF(Charts!$B$3="none",G2389,IF(M2389="",NA(),M2389))</f>
        <v>#N/A</v>
      </c>
      <c r="T582" s="0" t="e">
        <f aca="false">IF(Charts!$B$3="none",H2389,IF(N2389="",NA(),N2389))</f>
        <v>#N/A</v>
      </c>
    </row>
    <row r="583" customFormat="false" ht="15" hidden="false" customHeight="false" outlineLevel="0" collapsed="false">
      <c r="E583" s="0" t="n">
        <v>217</v>
      </c>
      <c r="F583" s="0" t="str">
        <f aca="false">F221</f>
        <v/>
      </c>
      <c r="G583" s="0" t="n">
        <v>217</v>
      </c>
      <c r="H583" s="0" t="n">
        <f aca="false">H221</f>
        <v>0</v>
      </c>
      <c r="K583" s="0" t="n">
        <v>217</v>
      </c>
      <c r="L583" s="0" t="str">
        <f aca="false">L221</f>
        <v/>
      </c>
      <c r="M583" s="0" t="n">
        <v>217</v>
      </c>
      <c r="N583" s="0" t="n">
        <f aca="false">N221</f>
        <v>0</v>
      </c>
      <c r="Q583" s="0" t="e">
        <f aca="false">IF(Charts!$B$3="none",E2390,IF(K2390="",NA(),K2390))</f>
        <v>#N/A</v>
      </c>
      <c r="R583" s="0" t="e">
        <f aca="false">IF(Charts!$B$3="none",F2390,IF(L2390="",NA(),L2390))</f>
        <v>#N/A</v>
      </c>
      <c r="S583" s="0" t="e">
        <f aca="false">IF(Charts!$B$3="none",G2390,IF(M2390="",NA(),M2390))</f>
        <v>#N/A</v>
      </c>
      <c r="T583" s="0" t="e">
        <f aca="false">IF(Charts!$B$3="none",H2390,IF(N2390="",NA(),N2390))</f>
        <v>#N/A</v>
      </c>
    </row>
    <row r="584" customFormat="false" ht="15" hidden="false" customHeight="false" outlineLevel="0" collapsed="false">
      <c r="E584" s="0" t="n">
        <v>218</v>
      </c>
      <c r="F584" s="0" t="str">
        <f aca="false">F222</f>
        <v/>
      </c>
      <c r="G584" s="0" t="n">
        <v>218</v>
      </c>
      <c r="H584" s="0" t="n">
        <f aca="false">H222</f>
        <v>0</v>
      </c>
      <c r="K584" s="0" t="n">
        <v>218</v>
      </c>
      <c r="L584" s="0" t="str">
        <f aca="false">L222</f>
        <v/>
      </c>
      <c r="M584" s="0" t="n">
        <v>218</v>
      </c>
      <c r="N584" s="0" t="n">
        <f aca="false">N222</f>
        <v>0</v>
      </c>
      <c r="Q584" s="0" t="e">
        <f aca="false">IF(Charts!$B$3="none",E2391,IF(K2391="",NA(),K2391))</f>
        <v>#N/A</v>
      </c>
      <c r="R584" s="0" t="e">
        <f aca="false">IF(Charts!$B$3="none",F2391,IF(L2391="",NA(),L2391))</f>
        <v>#N/A</v>
      </c>
      <c r="S584" s="0" t="e">
        <f aca="false">IF(Charts!$B$3="none",G2391,IF(M2391="",NA(),M2391))</f>
        <v>#N/A</v>
      </c>
      <c r="T584" s="0" t="e">
        <f aca="false">IF(Charts!$B$3="none",H2391,IF(N2391="",NA(),N2391))</f>
        <v>#N/A</v>
      </c>
    </row>
    <row r="585" customFormat="false" ht="15" hidden="false" customHeight="false" outlineLevel="0" collapsed="false">
      <c r="E585" s="0" t="n">
        <v>219</v>
      </c>
      <c r="F585" s="0" t="str">
        <f aca="false">F223</f>
        <v/>
      </c>
      <c r="G585" s="0" t="n">
        <v>219</v>
      </c>
      <c r="H585" s="0" t="n">
        <f aca="false">H223</f>
        <v>0</v>
      </c>
      <c r="K585" s="0" t="n">
        <v>219</v>
      </c>
      <c r="L585" s="0" t="str">
        <f aca="false">L223</f>
        <v/>
      </c>
      <c r="M585" s="0" t="n">
        <v>219</v>
      </c>
      <c r="N585" s="0" t="n">
        <f aca="false">N223</f>
        <v>0</v>
      </c>
      <c r="Q585" s="0" t="e">
        <f aca="false">IF(Charts!$B$3="none",E2392,IF(K2392="",NA(),K2392))</f>
        <v>#N/A</v>
      </c>
      <c r="R585" s="0" t="e">
        <f aca="false">IF(Charts!$B$3="none",F2392,IF(L2392="",NA(),L2392))</f>
        <v>#N/A</v>
      </c>
      <c r="S585" s="0" t="e">
        <f aca="false">IF(Charts!$B$3="none",G2392,IF(M2392="",NA(),M2392))</f>
        <v>#N/A</v>
      </c>
      <c r="T585" s="0" t="e">
        <f aca="false">IF(Charts!$B$3="none",H2392,IF(N2392="",NA(),N2392))</f>
        <v>#N/A</v>
      </c>
    </row>
    <row r="586" customFormat="false" ht="15" hidden="false" customHeight="false" outlineLevel="0" collapsed="false">
      <c r="E586" s="0" t="n">
        <v>220</v>
      </c>
      <c r="F586" s="0" t="str">
        <f aca="false">F224</f>
        <v/>
      </c>
      <c r="G586" s="0" t="n">
        <v>220</v>
      </c>
      <c r="H586" s="0" t="n">
        <f aca="false">H224</f>
        <v>0</v>
      </c>
      <c r="K586" s="0" t="n">
        <v>220</v>
      </c>
      <c r="L586" s="0" t="str">
        <f aca="false">L224</f>
        <v/>
      </c>
      <c r="M586" s="0" t="n">
        <v>220</v>
      </c>
      <c r="N586" s="0" t="n">
        <f aca="false">N224</f>
        <v>0</v>
      </c>
      <c r="Q586" s="0" t="e">
        <f aca="false">IF(Charts!$B$3="none",E2393,IF(K2393="",NA(),K2393))</f>
        <v>#N/A</v>
      </c>
      <c r="R586" s="0" t="e">
        <f aca="false">IF(Charts!$B$3="none",F2393,IF(L2393="",NA(),L2393))</f>
        <v>#N/A</v>
      </c>
      <c r="S586" s="0" t="e">
        <f aca="false">IF(Charts!$B$3="none",G2393,IF(M2393="",NA(),M2393))</f>
        <v>#N/A</v>
      </c>
      <c r="T586" s="0" t="e">
        <f aca="false">IF(Charts!$B$3="none",H2393,IF(N2393="",NA(),N2393))</f>
        <v>#N/A</v>
      </c>
    </row>
    <row r="587" customFormat="false" ht="15" hidden="false" customHeight="false" outlineLevel="0" collapsed="false">
      <c r="E587" s="0" t="n">
        <v>221</v>
      </c>
      <c r="F587" s="0" t="str">
        <f aca="false">F225</f>
        <v/>
      </c>
      <c r="G587" s="0" t="n">
        <v>221</v>
      </c>
      <c r="H587" s="0" t="n">
        <f aca="false">H225</f>
        <v>0</v>
      </c>
      <c r="K587" s="0" t="n">
        <v>221</v>
      </c>
      <c r="L587" s="0" t="str">
        <f aca="false">L225</f>
        <v/>
      </c>
      <c r="M587" s="0" t="n">
        <v>221</v>
      </c>
      <c r="N587" s="0" t="n">
        <f aca="false">N225</f>
        <v>0</v>
      </c>
      <c r="Q587" s="0" t="e">
        <f aca="false">IF(Charts!$B$3="none",E2394,IF(K2394="",NA(),K2394))</f>
        <v>#N/A</v>
      </c>
      <c r="R587" s="0" t="e">
        <f aca="false">IF(Charts!$B$3="none",F2394,IF(L2394="",NA(),L2394))</f>
        <v>#N/A</v>
      </c>
      <c r="S587" s="0" t="e">
        <f aca="false">IF(Charts!$B$3="none",G2394,IF(M2394="",NA(),M2394))</f>
        <v>#N/A</v>
      </c>
      <c r="T587" s="0" t="e">
        <f aca="false">IF(Charts!$B$3="none",H2394,IF(N2394="",NA(),N2394))</f>
        <v>#N/A</v>
      </c>
    </row>
    <row r="588" customFormat="false" ht="15" hidden="false" customHeight="false" outlineLevel="0" collapsed="false">
      <c r="E588" s="0" t="n">
        <v>222</v>
      </c>
      <c r="F588" s="0" t="str">
        <f aca="false">F226</f>
        <v/>
      </c>
      <c r="G588" s="0" t="n">
        <v>222</v>
      </c>
      <c r="H588" s="0" t="n">
        <f aca="false">H226</f>
        <v>0</v>
      </c>
      <c r="K588" s="0" t="n">
        <v>222</v>
      </c>
      <c r="L588" s="0" t="str">
        <f aca="false">L226</f>
        <v/>
      </c>
      <c r="M588" s="0" t="n">
        <v>222</v>
      </c>
      <c r="N588" s="0" t="n">
        <f aca="false">N226</f>
        <v>0</v>
      </c>
      <c r="Q588" s="0" t="e">
        <f aca="false">IF(Charts!$B$3="none",E2395,IF(K2395="",NA(),K2395))</f>
        <v>#N/A</v>
      </c>
      <c r="R588" s="0" t="e">
        <f aca="false">IF(Charts!$B$3="none",F2395,IF(L2395="",NA(),L2395))</f>
        <v>#N/A</v>
      </c>
      <c r="S588" s="0" t="e">
        <f aca="false">IF(Charts!$B$3="none",G2395,IF(M2395="",NA(),M2395))</f>
        <v>#N/A</v>
      </c>
      <c r="T588" s="0" t="e">
        <f aca="false">IF(Charts!$B$3="none",H2395,IF(N2395="",NA(),N2395))</f>
        <v>#N/A</v>
      </c>
    </row>
    <row r="589" customFormat="false" ht="15" hidden="false" customHeight="false" outlineLevel="0" collapsed="false">
      <c r="E589" s="0" t="n">
        <v>223</v>
      </c>
      <c r="F589" s="0" t="str">
        <f aca="false">F227</f>
        <v/>
      </c>
      <c r="G589" s="0" t="n">
        <v>223</v>
      </c>
      <c r="H589" s="0" t="n">
        <f aca="false">H227</f>
        <v>0</v>
      </c>
      <c r="K589" s="0" t="n">
        <v>223</v>
      </c>
      <c r="L589" s="0" t="str">
        <f aca="false">L227</f>
        <v/>
      </c>
      <c r="M589" s="0" t="n">
        <v>223</v>
      </c>
      <c r="N589" s="0" t="n">
        <f aca="false">N227</f>
        <v>0</v>
      </c>
      <c r="Q589" s="0" t="e">
        <f aca="false">IF(Charts!$B$3="none",E2396,IF(K2396="",NA(),K2396))</f>
        <v>#N/A</v>
      </c>
      <c r="R589" s="0" t="e">
        <f aca="false">IF(Charts!$B$3="none",F2396,IF(L2396="",NA(),L2396))</f>
        <v>#N/A</v>
      </c>
      <c r="S589" s="0" t="e">
        <f aca="false">IF(Charts!$B$3="none",G2396,IF(M2396="",NA(),M2396))</f>
        <v>#N/A</v>
      </c>
      <c r="T589" s="0" t="e">
        <f aca="false">IF(Charts!$B$3="none",H2396,IF(N2396="",NA(),N2396))</f>
        <v>#N/A</v>
      </c>
    </row>
    <row r="590" customFormat="false" ht="15" hidden="false" customHeight="false" outlineLevel="0" collapsed="false">
      <c r="E590" s="0" t="n">
        <v>224</v>
      </c>
      <c r="F590" s="0" t="str">
        <f aca="false">F228</f>
        <v/>
      </c>
      <c r="G590" s="0" t="n">
        <v>224</v>
      </c>
      <c r="H590" s="0" t="n">
        <f aca="false">H228</f>
        <v>0</v>
      </c>
      <c r="K590" s="0" t="n">
        <v>224</v>
      </c>
      <c r="L590" s="0" t="str">
        <f aca="false">L228</f>
        <v/>
      </c>
      <c r="M590" s="0" t="n">
        <v>224</v>
      </c>
      <c r="N590" s="0" t="n">
        <f aca="false">N228</f>
        <v>0</v>
      </c>
      <c r="Q590" s="0" t="e">
        <f aca="false">IF(Charts!$B$3="none",E2397,IF(K2397="",NA(),K2397))</f>
        <v>#N/A</v>
      </c>
      <c r="R590" s="0" t="e">
        <f aca="false">IF(Charts!$B$3="none",F2397,IF(L2397="",NA(),L2397))</f>
        <v>#N/A</v>
      </c>
      <c r="S590" s="0" t="e">
        <f aca="false">IF(Charts!$B$3="none",G2397,IF(M2397="",NA(),M2397))</f>
        <v>#N/A</v>
      </c>
      <c r="T590" s="0" t="e">
        <f aca="false">IF(Charts!$B$3="none",H2397,IF(N2397="",NA(),N2397))</f>
        <v>#N/A</v>
      </c>
    </row>
    <row r="591" customFormat="false" ht="15" hidden="false" customHeight="false" outlineLevel="0" collapsed="false">
      <c r="E591" s="0" t="n">
        <v>225</v>
      </c>
      <c r="F591" s="0" t="str">
        <f aca="false">F229</f>
        <v/>
      </c>
      <c r="G591" s="0" t="n">
        <v>225</v>
      </c>
      <c r="H591" s="0" t="n">
        <f aca="false">H229</f>
        <v>0</v>
      </c>
      <c r="K591" s="0" t="n">
        <v>225</v>
      </c>
      <c r="L591" s="0" t="str">
        <f aca="false">L229</f>
        <v/>
      </c>
      <c r="M591" s="0" t="n">
        <v>225</v>
      </c>
      <c r="N591" s="0" t="n">
        <f aca="false">N229</f>
        <v>0</v>
      </c>
      <c r="Q591" s="0" t="e">
        <f aca="false">IF(Charts!$B$3="none",E2398,IF(K2398="",NA(),K2398))</f>
        <v>#N/A</v>
      </c>
      <c r="R591" s="0" t="e">
        <f aca="false">IF(Charts!$B$3="none",F2398,IF(L2398="",NA(),L2398))</f>
        <v>#N/A</v>
      </c>
      <c r="S591" s="0" t="e">
        <f aca="false">IF(Charts!$B$3="none",G2398,IF(M2398="",NA(),M2398))</f>
        <v>#N/A</v>
      </c>
      <c r="T591" s="0" t="e">
        <f aca="false">IF(Charts!$B$3="none",H2398,IF(N2398="",NA(),N2398))</f>
        <v>#N/A</v>
      </c>
    </row>
    <row r="592" customFormat="false" ht="15" hidden="false" customHeight="false" outlineLevel="0" collapsed="false">
      <c r="E592" s="0" t="n">
        <v>226</v>
      </c>
      <c r="F592" s="0" t="str">
        <f aca="false">F230</f>
        <v/>
      </c>
      <c r="G592" s="0" t="n">
        <v>226</v>
      </c>
      <c r="H592" s="0" t="n">
        <f aca="false">H230</f>
        <v>0</v>
      </c>
      <c r="K592" s="0" t="n">
        <v>226</v>
      </c>
      <c r="L592" s="0" t="str">
        <f aca="false">L230</f>
        <v/>
      </c>
      <c r="M592" s="0" t="n">
        <v>226</v>
      </c>
      <c r="N592" s="0" t="n">
        <f aca="false">N230</f>
        <v>0</v>
      </c>
      <c r="Q592" s="0" t="e">
        <f aca="false">IF(Charts!$B$3="none",E2399,IF(K2399="",NA(),K2399))</f>
        <v>#N/A</v>
      </c>
      <c r="R592" s="0" t="e">
        <f aca="false">IF(Charts!$B$3="none",F2399,IF(L2399="",NA(),L2399))</f>
        <v>#N/A</v>
      </c>
      <c r="S592" s="0" t="e">
        <f aca="false">IF(Charts!$B$3="none",G2399,IF(M2399="",NA(),M2399))</f>
        <v>#N/A</v>
      </c>
      <c r="T592" s="0" t="e">
        <f aca="false">IF(Charts!$B$3="none",H2399,IF(N2399="",NA(),N2399))</f>
        <v>#N/A</v>
      </c>
    </row>
    <row r="593" customFormat="false" ht="15" hidden="false" customHeight="false" outlineLevel="0" collapsed="false">
      <c r="E593" s="0" t="n">
        <v>227</v>
      </c>
      <c r="F593" s="0" t="str">
        <f aca="false">F231</f>
        <v/>
      </c>
      <c r="G593" s="0" t="n">
        <v>227</v>
      </c>
      <c r="H593" s="0" t="n">
        <f aca="false">H231</f>
        <v>0</v>
      </c>
      <c r="K593" s="0" t="n">
        <v>227</v>
      </c>
      <c r="L593" s="0" t="str">
        <f aca="false">L231</f>
        <v/>
      </c>
      <c r="M593" s="0" t="n">
        <v>227</v>
      </c>
      <c r="N593" s="0" t="n">
        <f aca="false">N231</f>
        <v>0</v>
      </c>
      <c r="Q593" s="0" t="e">
        <f aca="false">IF(Charts!$B$3="none",E2400,IF(K2400="",NA(),K2400))</f>
        <v>#N/A</v>
      </c>
      <c r="R593" s="0" t="e">
        <f aca="false">IF(Charts!$B$3="none",F2400,IF(L2400="",NA(),L2400))</f>
        <v>#N/A</v>
      </c>
      <c r="S593" s="0" t="e">
        <f aca="false">IF(Charts!$B$3="none",G2400,IF(M2400="",NA(),M2400))</f>
        <v>#N/A</v>
      </c>
      <c r="T593" s="0" t="e">
        <f aca="false">IF(Charts!$B$3="none",H2400,IF(N2400="",NA(),N2400))</f>
        <v>#N/A</v>
      </c>
    </row>
    <row r="594" customFormat="false" ht="15" hidden="false" customHeight="false" outlineLevel="0" collapsed="false">
      <c r="E594" s="0" t="n">
        <v>228</v>
      </c>
      <c r="F594" s="0" t="str">
        <f aca="false">F232</f>
        <v/>
      </c>
      <c r="G594" s="0" t="n">
        <v>228</v>
      </c>
      <c r="H594" s="0" t="n">
        <f aca="false">H232</f>
        <v>0</v>
      </c>
      <c r="K594" s="0" t="n">
        <v>228</v>
      </c>
      <c r="L594" s="0" t="str">
        <f aca="false">L232</f>
        <v/>
      </c>
      <c r="M594" s="0" t="n">
        <v>228</v>
      </c>
      <c r="N594" s="0" t="n">
        <f aca="false">N232</f>
        <v>0</v>
      </c>
      <c r="Q594" s="0" t="e">
        <f aca="false">IF(Charts!$B$3="none",E2401,IF(K2401="",NA(),K2401))</f>
        <v>#N/A</v>
      </c>
      <c r="R594" s="0" t="e">
        <f aca="false">IF(Charts!$B$3="none",F2401,IF(L2401="",NA(),L2401))</f>
        <v>#N/A</v>
      </c>
      <c r="S594" s="0" t="e">
        <f aca="false">IF(Charts!$B$3="none",G2401,IF(M2401="",NA(),M2401))</f>
        <v>#N/A</v>
      </c>
      <c r="T594" s="0" t="e">
        <f aca="false">IF(Charts!$B$3="none",H2401,IF(N2401="",NA(),N2401))</f>
        <v>#N/A</v>
      </c>
    </row>
    <row r="595" customFormat="false" ht="15" hidden="false" customHeight="false" outlineLevel="0" collapsed="false">
      <c r="E595" s="0" t="n">
        <v>229</v>
      </c>
      <c r="F595" s="0" t="str">
        <f aca="false">F233</f>
        <v/>
      </c>
      <c r="G595" s="0" t="n">
        <v>229</v>
      </c>
      <c r="H595" s="0" t="n">
        <f aca="false">H233</f>
        <v>0</v>
      </c>
      <c r="K595" s="0" t="n">
        <v>229</v>
      </c>
      <c r="L595" s="0" t="str">
        <f aca="false">L233</f>
        <v/>
      </c>
      <c r="M595" s="0" t="n">
        <v>229</v>
      </c>
      <c r="N595" s="0" t="n">
        <f aca="false">N233</f>
        <v>0</v>
      </c>
      <c r="Q595" s="0" t="e">
        <f aca="false">IF(Charts!$B$3="none",E2402,IF(K2402="",NA(),K2402))</f>
        <v>#N/A</v>
      </c>
      <c r="R595" s="0" t="e">
        <f aca="false">IF(Charts!$B$3="none",F2402,IF(L2402="",NA(),L2402))</f>
        <v>#N/A</v>
      </c>
      <c r="S595" s="0" t="e">
        <f aca="false">IF(Charts!$B$3="none",G2402,IF(M2402="",NA(),M2402))</f>
        <v>#N/A</v>
      </c>
      <c r="T595" s="0" t="e">
        <f aca="false">IF(Charts!$B$3="none",H2402,IF(N2402="",NA(),N2402))</f>
        <v>#N/A</v>
      </c>
    </row>
    <row r="596" customFormat="false" ht="15" hidden="false" customHeight="false" outlineLevel="0" collapsed="false">
      <c r="E596" s="0" t="n">
        <v>230</v>
      </c>
      <c r="F596" s="0" t="str">
        <f aca="false">F234</f>
        <v/>
      </c>
      <c r="G596" s="0" t="n">
        <v>230</v>
      </c>
      <c r="H596" s="0" t="n">
        <f aca="false">H234</f>
        <v>0</v>
      </c>
      <c r="K596" s="0" t="n">
        <v>230</v>
      </c>
      <c r="L596" s="0" t="str">
        <f aca="false">L234</f>
        <v/>
      </c>
      <c r="M596" s="0" t="n">
        <v>230</v>
      </c>
      <c r="N596" s="0" t="n">
        <f aca="false">N234</f>
        <v>0</v>
      </c>
      <c r="Q596" s="0" t="e">
        <f aca="false">IF(Charts!$B$3="none",E2403,IF(K2403="",NA(),K2403))</f>
        <v>#N/A</v>
      </c>
      <c r="R596" s="0" t="e">
        <f aca="false">IF(Charts!$B$3="none",F2403,IF(L2403="",NA(),L2403))</f>
        <v>#N/A</v>
      </c>
      <c r="S596" s="0" t="e">
        <f aca="false">IF(Charts!$B$3="none",G2403,IF(M2403="",NA(),M2403))</f>
        <v>#N/A</v>
      </c>
      <c r="T596" s="0" t="e">
        <f aca="false">IF(Charts!$B$3="none",H2403,IF(N2403="",NA(),N2403))</f>
        <v>#N/A</v>
      </c>
    </row>
    <row r="597" customFormat="false" ht="15" hidden="false" customHeight="false" outlineLevel="0" collapsed="false">
      <c r="E597" s="0" t="n">
        <v>231</v>
      </c>
      <c r="F597" s="0" t="str">
        <f aca="false">F235</f>
        <v/>
      </c>
      <c r="G597" s="0" t="n">
        <v>231</v>
      </c>
      <c r="H597" s="0" t="n">
        <f aca="false">H235</f>
        <v>0</v>
      </c>
      <c r="K597" s="0" t="n">
        <v>231</v>
      </c>
      <c r="L597" s="0" t="str">
        <f aca="false">L235</f>
        <v/>
      </c>
      <c r="M597" s="0" t="n">
        <v>231</v>
      </c>
      <c r="N597" s="0" t="n">
        <f aca="false">N235</f>
        <v>0</v>
      </c>
      <c r="Q597" s="0" t="e">
        <f aca="false">IF(Charts!$B$3="none",E2404,IF(K2404="",NA(),K2404))</f>
        <v>#N/A</v>
      </c>
      <c r="R597" s="0" t="e">
        <f aca="false">IF(Charts!$B$3="none",F2404,IF(L2404="",NA(),L2404))</f>
        <v>#N/A</v>
      </c>
      <c r="S597" s="0" t="e">
        <f aca="false">IF(Charts!$B$3="none",G2404,IF(M2404="",NA(),M2404))</f>
        <v>#N/A</v>
      </c>
      <c r="T597" s="0" t="e">
        <f aca="false">IF(Charts!$B$3="none",H2404,IF(N2404="",NA(),N2404))</f>
        <v>#N/A</v>
      </c>
    </row>
    <row r="598" customFormat="false" ht="15" hidden="false" customHeight="false" outlineLevel="0" collapsed="false">
      <c r="E598" s="0" t="n">
        <v>232</v>
      </c>
      <c r="F598" s="0" t="str">
        <f aca="false">F236</f>
        <v/>
      </c>
      <c r="G598" s="0" t="n">
        <v>232</v>
      </c>
      <c r="H598" s="0" t="n">
        <f aca="false">H236</f>
        <v>0</v>
      </c>
      <c r="K598" s="0" t="n">
        <v>232</v>
      </c>
      <c r="L598" s="0" t="str">
        <f aca="false">L236</f>
        <v/>
      </c>
      <c r="M598" s="0" t="n">
        <v>232</v>
      </c>
      <c r="N598" s="0" t="n">
        <f aca="false">N236</f>
        <v>0</v>
      </c>
      <c r="Q598" s="0" t="e">
        <f aca="false">IF(Charts!$B$3="none",E2405,IF(K2405="",NA(),K2405))</f>
        <v>#N/A</v>
      </c>
      <c r="R598" s="0" t="e">
        <f aca="false">IF(Charts!$B$3="none",F2405,IF(L2405="",NA(),L2405))</f>
        <v>#N/A</v>
      </c>
      <c r="S598" s="0" t="e">
        <f aca="false">IF(Charts!$B$3="none",G2405,IF(M2405="",NA(),M2405))</f>
        <v>#N/A</v>
      </c>
      <c r="T598" s="0" t="e">
        <f aca="false">IF(Charts!$B$3="none",H2405,IF(N2405="",NA(),N2405))</f>
        <v>#N/A</v>
      </c>
    </row>
    <row r="599" customFormat="false" ht="15" hidden="false" customHeight="false" outlineLevel="0" collapsed="false">
      <c r="E599" s="0" t="n">
        <v>233</v>
      </c>
      <c r="F599" s="0" t="str">
        <f aca="false">F237</f>
        <v/>
      </c>
      <c r="G599" s="0" t="n">
        <v>233</v>
      </c>
      <c r="H599" s="0" t="n">
        <f aca="false">H237</f>
        <v>0</v>
      </c>
      <c r="K599" s="0" t="n">
        <v>233</v>
      </c>
      <c r="L599" s="0" t="str">
        <f aca="false">L237</f>
        <v/>
      </c>
      <c r="M599" s="0" t="n">
        <v>233</v>
      </c>
      <c r="N599" s="0" t="n">
        <f aca="false">N237</f>
        <v>0</v>
      </c>
      <c r="Q599" s="0" t="e">
        <f aca="false">IF(Charts!$B$3="none",E2406,IF(K2406="",NA(),K2406))</f>
        <v>#N/A</v>
      </c>
      <c r="R599" s="0" t="e">
        <f aca="false">IF(Charts!$B$3="none",F2406,IF(L2406="",NA(),L2406))</f>
        <v>#N/A</v>
      </c>
      <c r="S599" s="0" t="e">
        <f aca="false">IF(Charts!$B$3="none",G2406,IF(M2406="",NA(),M2406))</f>
        <v>#N/A</v>
      </c>
      <c r="T599" s="0" t="e">
        <f aca="false">IF(Charts!$B$3="none",H2406,IF(N2406="",NA(),N2406))</f>
        <v>#N/A</v>
      </c>
    </row>
    <row r="600" customFormat="false" ht="15" hidden="false" customHeight="false" outlineLevel="0" collapsed="false">
      <c r="E600" s="0" t="n">
        <v>234</v>
      </c>
      <c r="F600" s="0" t="str">
        <f aca="false">F238</f>
        <v/>
      </c>
      <c r="G600" s="0" t="n">
        <v>234</v>
      </c>
      <c r="H600" s="0" t="n">
        <f aca="false">H238</f>
        <v>0</v>
      </c>
      <c r="K600" s="0" t="n">
        <v>234</v>
      </c>
      <c r="L600" s="0" t="str">
        <f aca="false">L238</f>
        <v/>
      </c>
      <c r="M600" s="0" t="n">
        <v>234</v>
      </c>
      <c r="N600" s="0" t="n">
        <f aca="false">N238</f>
        <v>0</v>
      </c>
      <c r="Q600" s="0" t="e">
        <f aca="false">IF(Charts!$B$3="none",E2407,IF(K2407="",NA(),K2407))</f>
        <v>#N/A</v>
      </c>
      <c r="R600" s="0" t="e">
        <f aca="false">IF(Charts!$B$3="none",F2407,IF(L2407="",NA(),L2407))</f>
        <v>#N/A</v>
      </c>
      <c r="S600" s="0" t="e">
        <f aca="false">IF(Charts!$B$3="none",G2407,IF(M2407="",NA(),M2407))</f>
        <v>#N/A</v>
      </c>
      <c r="T600" s="0" t="e">
        <f aca="false">IF(Charts!$B$3="none",H2407,IF(N2407="",NA(),N2407))</f>
        <v>#N/A</v>
      </c>
    </row>
    <row r="601" customFormat="false" ht="15" hidden="false" customHeight="false" outlineLevel="0" collapsed="false">
      <c r="E601" s="0" t="n">
        <v>235</v>
      </c>
      <c r="F601" s="0" t="str">
        <f aca="false">F239</f>
        <v/>
      </c>
      <c r="G601" s="0" t="n">
        <v>235</v>
      </c>
      <c r="H601" s="0" t="n">
        <f aca="false">H239</f>
        <v>0</v>
      </c>
      <c r="K601" s="0" t="n">
        <v>235</v>
      </c>
      <c r="L601" s="0" t="str">
        <f aca="false">L239</f>
        <v/>
      </c>
      <c r="M601" s="0" t="n">
        <v>235</v>
      </c>
      <c r="N601" s="0" t="n">
        <f aca="false">N239</f>
        <v>0</v>
      </c>
      <c r="Q601" s="0" t="e">
        <f aca="false">IF(Charts!$B$3="none",E2408,IF(K2408="",NA(),K2408))</f>
        <v>#N/A</v>
      </c>
      <c r="R601" s="0" t="e">
        <f aca="false">IF(Charts!$B$3="none",F2408,IF(L2408="",NA(),L2408))</f>
        <v>#N/A</v>
      </c>
      <c r="S601" s="0" t="e">
        <f aca="false">IF(Charts!$B$3="none",G2408,IF(M2408="",NA(),M2408))</f>
        <v>#N/A</v>
      </c>
      <c r="T601" s="0" t="e">
        <f aca="false">IF(Charts!$B$3="none",H2408,IF(N2408="",NA(),N2408))</f>
        <v>#N/A</v>
      </c>
    </row>
    <row r="602" customFormat="false" ht="15" hidden="false" customHeight="false" outlineLevel="0" collapsed="false">
      <c r="E602" s="0" t="n">
        <v>236</v>
      </c>
      <c r="F602" s="0" t="str">
        <f aca="false">F240</f>
        <v/>
      </c>
      <c r="G602" s="0" t="n">
        <v>236</v>
      </c>
      <c r="H602" s="0" t="n">
        <f aca="false">H240</f>
        <v>0</v>
      </c>
      <c r="K602" s="0" t="n">
        <v>236</v>
      </c>
      <c r="L602" s="0" t="str">
        <f aca="false">L240</f>
        <v/>
      </c>
      <c r="M602" s="0" t="n">
        <v>236</v>
      </c>
      <c r="N602" s="0" t="n">
        <f aca="false">N240</f>
        <v>0</v>
      </c>
      <c r="Q602" s="0" t="e">
        <f aca="false">IF(Charts!$B$3="none",E2409,IF(K2409="",NA(),K2409))</f>
        <v>#N/A</v>
      </c>
      <c r="R602" s="0" t="e">
        <f aca="false">IF(Charts!$B$3="none",F2409,IF(L2409="",NA(),L2409))</f>
        <v>#N/A</v>
      </c>
      <c r="S602" s="0" t="e">
        <f aca="false">IF(Charts!$B$3="none",G2409,IF(M2409="",NA(),M2409))</f>
        <v>#N/A</v>
      </c>
      <c r="T602" s="0" t="e">
        <f aca="false">IF(Charts!$B$3="none",H2409,IF(N2409="",NA(),N2409))</f>
        <v>#N/A</v>
      </c>
    </row>
    <row r="603" customFormat="false" ht="15" hidden="false" customHeight="false" outlineLevel="0" collapsed="false">
      <c r="E603" s="0" t="n">
        <v>237</v>
      </c>
      <c r="F603" s="0" t="str">
        <f aca="false">F241</f>
        <v/>
      </c>
      <c r="G603" s="0" t="n">
        <v>237</v>
      </c>
      <c r="H603" s="0" t="n">
        <f aca="false">H241</f>
        <v>0</v>
      </c>
      <c r="K603" s="0" t="n">
        <v>237</v>
      </c>
      <c r="L603" s="0" t="str">
        <f aca="false">L241</f>
        <v/>
      </c>
      <c r="M603" s="0" t="n">
        <v>237</v>
      </c>
      <c r="N603" s="0" t="n">
        <f aca="false">N241</f>
        <v>0</v>
      </c>
      <c r="Q603" s="0" t="e">
        <f aca="false">IF(Charts!$B$3="none",E2410,IF(K2410="",NA(),K2410))</f>
        <v>#N/A</v>
      </c>
      <c r="R603" s="0" t="e">
        <f aca="false">IF(Charts!$B$3="none",F2410,IF(L2410="",NA(),L2410))</f>
        <v>#N/A</v>
      </c>
      <c r="S603" s="0" t="e">
        <f aca="false">IF(Charts!$B$3="none",G2410,IF(M2410="",NA(),M2410))</f>
        <v>#N/A</v>
      </c>
      <c r="T603" s="0" t="e">
        <f aca="false">IF(Charts!$B$3="none",H2410,IF(N2410="",NA(),N2410))</f>
        <v>#N/A</v>
      </c>
    </row>
    <row r="604" customFormat="false" ht="15" hidden="false" customHeight="false" outlineLevel="0" collapsed="false">
      <c r="E604" s="0" t="n">
        <v>238</v>
      </c>
      <c r="F604" s="0" t="str">
        <f aca="false">F242</f>
        <v/>
      </c>
      <c r="G604" s="0" t="n">
        <v>238</v>
      </c>
      <c r="H604" s="0" t="n">
        <f aca="false">H242</f>
        <v>0</v>
      </c>
      <c r="K604" s="0" t="n">
        <v>238</v>
      </c>
      <c r="L604" s="0" t="str">
        <f aca="false">L242</f>
        <v/>
      </c>
      <c r="M604" s="0" t="n">
        <v>238</v>
      </c>
      <c r="N604" s="0" t="n">
        <f aca="false">N242</f>
        <v>0</v>
      </c>
      <c r="Q604" s="0" t="e">
        <f aca="false">IF(Charts!$B$3="none",E2411,IF(K2411="",NA(),K2411))</f>
        <v>#N/A</v>
      </c>
      <c r="R604" s="0" t="e">
        <f aca="false">IF(Charts!$B$3="none",F2411,IF(L2411="",NA(),L2411))</f>
        <v>#N/A</v>
      </c>
      <c r="S604" s="0" t="e">
        <f aca="false">IF(Charts!$B$3="none",G2411,IF(M2411="",NA(),M2411))</f>
        <v>#N/A</v>
      </c>
      <c r="T604" s="0" t="e">
        <f aca="false">IF(Charts!$B$3="none",H2411,IF(N2411="",NA(),N2411))</f>
        <v>#N/A</v>
      </c>
    </row>
    <row r="605" customFormat="false" ht="15" hidden="false" customHeight="false" outlineLevel="0" collapsed="false">
      <c r="E605" s="0" t="n">
        <v>239</v>
      </c>
      <c r="F605" s="0" t="str">
        <f aca="false">F243</f>
        <v/>
      </c>
      <c r="G605" s="0" t="n">
        <v>239</v>
      </c>
      <c r="H605" s="0" t="n">
        <f aca="false">H243</f>
        <v>0</v>
      </c>
      <c r="K605" s="0" t="n">
        <v>239</v>
      </c>
      <c r="L605" s="0" t="str">
        <f aca="false">L243</f>
        <v/>
      </c>
      <c r="M605" s="0" t="n">
        <v>239</v>
      </c>
      <c r="N605" s="0" t="n">
        <f aca="false">N243</f>
        <v>0</v>
      </c>
      <c r="Q605" s="0" t="e">
        <f aca="false">IF(Charts!$B$3="none",E2412,IF(K2412="",NA(),K2412))</f>
        <v>#N/A</v>
      </c>
      <c r="R605" s="0" t="e">
        <f aca="false">IF(Charts!$B$3="none",F2412,IF(L2412="",NA(),L2412))</f>
        <v>#N/A</v>
      </c>
      <c r="S605" s="0" t="e">
        <f aca="false">IF(Charts!$B$3="none",G2412,IF(M2412="",NA(),M2412))</f>
        <v>#N/A</v>
      </c>
      <c r="T605" s="0" t="e">
        <f aca="false">IF(Charts!$B$3="none",H2412,IF(N2412="",NA(),N2412))</f>
        <v>#N/A</v>
      </c>
    </row>
    <row r="606" customFormat="false" ht="15" hidden="false" customHeight="false" outlineLevel="0" collapsed="false">
      <c r="E606" s="0" t="n">
        <v>240</v>
      </c>
      <c r="F606" s="0" t="str">
        <f aca="false">F244</f>
        <v/>
      </c>
      <c r="G606" s="0" t="n">
        <v>240</v>
      </c>
      <c r="H606" s="0" t="n">
        <f aca="false">H244</f>
        <v>0</v>
      </c>
      <c r="K606" s="0" t="n">
        <v>240</v>
      </c>
      <c r="L606" s="0" t="str">
        <f aca="false">L244</f>
        <v/>
      </c>
      <c r="M606" s="0" t="n">
        <v>240</v>
      </c>
      <c r="N606" s="0" t="n">
        <f aca="false">N244</f>
        <v>0</v>
      </c>
      <c r="Q606" s="0" t="e">
        <f aca="false">IF(Charts!$B$3="none",E2413,IF(K2413="",NA(),K2413))</f>
        <v>#N/A</v>
      </c>
      <c r="R606" s="0" t="e">
        <f aca="false">IF(Charts!$B$3="none",F2413,IF(L2413="",NA(),L2413))</f>
        <v>#N/A</v>
      </c>
      <c r="S606" s="0" t="e">
        <f aca="false">IF(Charts!$B$3="none",G2413,IF(M2413="",NA(),M2413))</f>
        <v>#N/A</v>
      </c>
      <c r="T606" s="0" t="e">
        <f aca="false">IF(Charts!$B$3="none",H2413,IF(N2413="",NA(),N2413))</f>
        <v>#N/A</v>
      </c>
    </row>
    <row r="607" customFormat="false" ht="15" hidden="false" customHeight="false" outlineLevel="0" collapsed="false">
      <c r="E607" s="0" t="n">
        <v>241</v>
      </c>
      <c r="F607" s="0" t="str">
        <f aca="false">F245</f>
        <v/>
      </c>
      <c r="G607" s="0" t="n">
        <v>241</v>
      </c>
      <c r="H607" s="0" t="n">
        <f aca="false">H245</f>
        <v>0</v>
      </c>
      <c r="K607" s="0" t="n">
        <v>241</v>
      </c>
      <c r="L607" s="0" t="str">
        <f aca="false">L245</f>
        <v/>
      </c>
      <c r="M607" s="0" t="n">
        <v>241</v>
      </c>
      <c r="N607" s="0" t="n">
        <f aca="false">N245</f>
        <v>0</v>
      </c>
      <c r="Q607" s="0" t="e">
        <f aca="false">IF(Charts!$B$3="none",E2414,IF(K2414="",NA(),K2414))</f>
        <v>#N/A</v>
      </c>
      <c r="R607" s="0" t="e">
        <f aca="false">IF(Charts!$B$3="none",F2414,IF(L2414="",NA(),L2414))</f>
        <v>#N/A</v>
      </c>
      <c r="S607" s="0" t="e">
        <f aca="false">IF(Charts!$B$3="none",G2414,IF(M2414="",NA(),M2414))</f>
        <v>#N/A</v>
      </c>
      <c r="T607" s="0" t="e">
        <f aca="false">IF(Charts!$B$3="none",H2414,IF(N2414="",NA(),N2414))</f>
        <v>#N/A</v>
      </c>
    </row>
    <row r="608" customFormat="false" ht="15" hidden="false" customHeight="false" outlineLevel="0" collapsed="false">
      <c r="E608" s="0" t="n">
        <v>242</v>
      </c>
      <c r="F608" s="0" t="str">
        <f aca="false">F246</f>
        <v/>
      </c>
      <c r="G608" s="0" t="n">
        <v>242</v>
      </c>
      <c r="H608" s="0" t="n">
        <f aca="false">H246</f>
        <v>0</v>
      </c>
      <c r="K608" s="0" t="n">
        <v>242</v>
      </c>
      <c r="L608" s="0" t="str">
        <f aca="false">L246</f>
        <v/>
      </c>
      <c r="M608" s="0" t="n">
        <v>242</v>
      </c>
      <c r="N608" s="0" t="n">
        <f aca="false">N246</f>
        <v>0</v>
      </c>
      <c r="Q608" s="0" t="e">
        <f aca="false">IF(Charts!$B$3="none",E2415,IF(K2415="",NA(),K2415))</f>
        <v>#N/A</v>
      </c>
      <c r="R608" s="0" t="e">
        <f aca="false">IF(Charts!$B$3="none",F2415,IF(L2415="",NA(),L2415))</f>
        <v>#N/A</v>
      </c>
      <c r="S608" s="0" t="e">
        <f aca="false">IF(Charts!$B$3="none",G2415,IF(M2415="",NA(),M2415))</f>
        <v>#N/A</v>
      </c>
      <c r="T608" s="0" t="e">
        <f aca="false">IF(Charts!$B$3="none",H2415,IF(N2415="",NA(),N2415))</f>
        <v>#N/A</v>
      </c>
    </row>
    <row r="609" customFormat="false" ht="15" hidden="false" customHeight="false" outlineLevel="0" collapsed="false">
      <c r="E609" s="0" t="n">
        <v>243</v>
      </c>
      <c r="F609" s="0" t="str">
        <f aca="false">F247</f>
        <v/>
      </c>
      <c r="G609" s="0" t="n">
        <v>243</v>
      </c>
      <c r="H609" s="0" t="n">
        <f aca="false">H247</f>
        <v>0</v>
      </c>
      <c r="K609" s="0" t="n">
        <v>243</v>
      </c>
      <c r="L609" s="0" t="str">
        <f aca="false">L247</f>
        <v/>
      </c>
      <c r="M609" s="0" t="n">
        <v>243</v>
      </c>
      <c r="N609" s="0" t="n">
        <f aca="false">N247</f>
        <v>0</v>
      </c>
      <c r="Q609" s="0" t="e">
        <f aca="false">IF(Charts!$B$3="none",E2416,IF(K2416="",NA(),K2416))</f>
        <v>#N/A</v>
      </c>
      <c r="R609" s="0" t="e">
        <f aca="false">IF(Charts!$B$3="none",F2416,IF(L2416="",NA(),L2416))</f>
        <v>#N/A</v>
      </c>
      <c r="S609" s="0" t="e">
        <f aca="false">IF(Charts!$B$3="none",G2416,IF(M2416="",NA(),M2416))</f>
        <v>#N/A</v>
      </c>
      <c r="T609" s="0" t="e">
        <f aca="false">IF(Charts!$B$3="none",H2416,IF(N2416="",NA(),N2416))</f>
        <v>#N/A</v>
      </c>
    </row>
    <row r="610" customFormat="false" ht="15" hidden="false" customHeight="false" outlineLevel="0" collapsed="false">
      <c r="E610" s="0" t="n">
        <v>244</v>
      </c>
      <c r="F610" s="0" t="str">
        <f aca="false">F248</f>
        <v/>
      </c>
      <c r="G610" s="0" t="n">
        <v>244</v>
      </c>
      <c r="H610" s="0" t="n">
        <f aca="false">H248</f>
        <v>0</v>
      </c>
      <c r="K610" s="0" t="n">
        <v>244</v>
      </c>
      <c r="L610" s="0" t="str">
        <f aca="false">L248</f>
        <v/>
      </c>
      <c r="M610" s="0" t="n">
        <v>244</v>
      </c>
      <c r="N610" s="0" t="n">
        <f aca="false">N248</f>
        <v>0</v>
      </c>
      <c r="Q610" s="0" t="e">
        <f aca="false">IF(Charts!$B$3="none",E2417,IF(K2417="",NA(),K2417))</f>
        <v>#N/A</v>
      </c>
      <c r="R610" s="0" t="e">
        <f aca="false">IF(Charts!$B$3="none",F2417,IF(L2417="",NA(),L2417))</f>
        <v>#N/A</v>
      </c>
      <c r="S610" s="0" t="e">
        <f aca="false">IF(Charts!$B$3="none",G2417,IF(M2417="",NA(),M2417))</f>
        <v>#N/A</v>
      </c>
      <c r="T610" s="0" t="e">
        <f aca="false">IF(Charts!$B$3="none",H2417,IF(N2417="",NA(),N2417))</f>
        <v>#N/A</v>
      </c>
    </row>
    <row r="611" customFormat="false" ht="15" hidden="false" customHeight="false" outlineLevel="0" collapsed="false">
      <c r="E611" s="0" t="n">
        <v>245</v>
      </c>
      <c r="F611" s="0" t="str">
        <f aca="false">F249</f>
        <v/>
      </c>
      <c r="G611" s="0" t="n">
        <v>245</v>
      </c>
      <c r="H611" s="0" t="n">
        <f aca="false">H249</f>
        <v>0</v>
      </c>
      <c r="K611" s="0" t="n">
        <v>245</v>
      </c>
      <c r="L611" s="0" t="str">
        <f aca="false">L249</f>
        <v/>
      </c>
      <c r="M611" s="0" t="n">
        <v>245</v>
      </c>
      <c r="N611" s="0" t="n">
        <f aca="false">N249</f>
        <v>0</v>
      </c>
      <c r="Q611" s="0" t="e">
        <f aca="false">IF(Charts!$B$3="none",E2418,IF(K2418="",NA(),K2418))</f>
        <v>#N/A</v>
      </c>
      <c r="R611" s="0" t="e">
        <f aca="false">IF(Charts!$B$3="none",F2418,IF(L2418="",NA(),L2418))</f>
        <v>#N/A</v>
      </c>
      <c r="S611" s="0" t="e">
        <f aca="false">IF(Charts!$B$3="none",G2418,IF(M2418="",NA(),M2418))</f>
        <v>#N/A</v>
      </c>
      <c r="T611" s="0" t="e">
        <f aca="false">IF(Charts!$B$3="none",H2418,IF(N2418="",NA(),N2418))</f>
        <v>#N/A</v>
      </c>
    </row>
    <row r="612" customFormat="false" ht="15" hidden="false" customHeight="false" outlineLevel="0" collapsed="false">
      <c r="E612" s="0" t="n">
        <v>246</v>
      </c>
      <c r="F612" s="0" t="str">
        <f aca="false">F250</f>
        <v/>
      </c>
      <c r="G612" s="0" t="n">
        <v>246</v>
      </c>
      <c r="H612" s="0" t="n">
        <f aca="false">H250</f>
        <v>0</v>
      </c>
      <c r="K612" s="0" t="n">
        <v>246</v>
      </c>
      <c r="L612" s="0" t="str">
        <f aca="false">L250</f>
        <v/>
      </c>
      <c r="M612" s="0" t="n">
        <v>246</v>
      </c>
      <c r="N612" s="0" t="n">
        <f aca="false">N250</f>
        <v>0</v>
      </c>
      <c r="Q612" s="0" t="e">
        <f aca="false">IF(Charts!$B$3="none",E2419,IF(K2419="",NA(),K2419))</f>
        <v>#N/A</v>
      </c>
      <c r="R612" s="0" t="e">
        <f aca="false">IF(Charts!$B$3="none",F2419,IF(L2419="",NA(),L2419))</f>
        <v>#N/A</v>
      </c>
      <c r="S612" s="0" t="e">
        <f aca="false">IF(Charts!$B$3="none",G2419,IF(M2419="",NA(),M2419))</f>
        <v>#N/A</v>
      </c>
      <c r="T612" s="0" t="e">
        <f aca="false">IF(Charts!$B$3="none",H2419,IF(N2419="",NA(),N2419))</f>
        <v>#N/A</v>
      </c>
    </row>
    <row r="613" customFormat="false" ht="15" hidden="false" customHeight="false" outlineLevel="0" collapsed="false">
      <c r="E613" s="0" t="n">
        <v>247</v>
      </c>
      <c r="F613" s="0" t="str">
        <f aca="false">F251</f>
        <v/>
      </c>
      <c r="G613" s="0" t="n">
        <v>247</v>
      </c>
      <c r="H613" s="0" t="n">
        <f aca="false">H251</f>
        <v>0</v>
      </c>
      <c r="K613" s="0" t="n">
        <v>247</v>
      </c>
      <c r="L613" s="0" t="str">
        <f aca="false">L251</f>
        <v/>
      </c>
      <c r="M613" s="0" t="n">
        <v>247</v>
      </c>
      <c r="N613" s="0" t="n">
        <f aca="false">N251</f>
        <v>0</v>
      </c>
      <c r="Q613" s="0" t="e">
        <f aca="false">IF(Charts!$B$3="none",E2420,IF(K2420="",NA(),K2420))</f>
        <v>#N/A</v>
      </c>
      <c r="R613" s="0" t="e">
        <f aca="false">IF(Charts!$B$3="none",F2420,IF(L2420="",NA(),L2420))</f>
        <v>#N/A</v>
      </c>
      <c r="S613" s="0" t="e">
        <f aca="false">IF(Charts!$B$3="none",G2420,IF(M2420="",NA(),M2420))</f>
        <v>#N/A</v>
      </c>
      <c r="T613" s="0" t="e">
        <f aca="false">IF(Charts!$B$3="none",H2420,IF(N2420="",NA(),N2420))</f>
        <v>#N/A</v>
      </c>
    </row>
    <row r="614" customFormat="false" ht="15" hidden="false" customHeight="false" outlineLevel="0" collapsed="false">
      <c r="E614" s="0" t="n">
        <v>248</v>
      </c>
      <c r="F614" s="0" t="str">
        <f aca="false">F252</f>
        <v/>
      </c>
      <c r="G614" s="0" t="n">
        <v>248</v>
      </c>
      <c r="H614" s="0" t="n">
        <f aca="false">H252</f>
        <v>0</v>
      </c>
      <c r="K614" s="0" t="n">
        <v>248</v>
      </c>
      <c r="L614" s="0" t="str">
        <f aca="false">L252</f>
        <v/>
      </c>
      <c r="M614" s="0" t="n">
        <v>248</v>
      </c>
      <c r="N614" s="0" t="n">
        <f aca="false">N252</f>
        <v>0</v>
      </c>
      <c r="Q614" s="0" t="e">
        <f aca="false">IF(Charts!$B$3="none",E2421,IF(K2421="",NA(),K2421))</f>
        <v>#N/A</v>
      </c>
      <c r="R614" s="0" t="e">
        <f aca="false">IF(Charts!$B$3="none",F2421,IF(L2421="",NA(),L2421))</f>
        <v>#N/A</v>
      </c>
      <c r="S614" s="0" t="e">
        <f aca="false">IF(Charts!$B$3="none",G2421,IF(M2421="",NA(),M2421))</f>
        <v>#N/A</v>
      </c>
      <c r="T614" s="0" t="e">
        <f aca="false">IF(Charts!$B$3="none",H2421,IF(N2421="",NA(),N2421))</f>
        <v>#N/A</v>
      </c>
    </row>
    <row r="615" customFormat="false" ht="15" hidden="false" customHeight="false" outlineLevel="0" collapsed="false">
      <c r="E615" s="0" t="n">
        <v>249</v>
      </c>
      <c r="F615" s="0" t="str">
        <f aca="false">F253</f>
        <v/>
      </c>
      <c r="G615" s="0" t="n">
        <v>249</v>
      </c>
      <c r="H615" s="0" t="n">
        <f aca="false">H253</f>
        <v>0</v>
      </c>
      <c r="K615" s="0" t="n">
        <v>249</v>
      </c>
      <c r="L615" s="0" t="str">
        <f aca="false">L253</f>
        <v/>
      </c>
      <c r="M615" s="0" t="n">
        <v>249</v>
      </c>
      <c r="N615" s="0" t="n">
        <f aca="false">N253</f>
        <v>0</v>
      </c>
      <c r="Q615" s="0" t="e">
        <f aca="false">IF(Charts!$B$3="none",E2422,IF(K2422="",NA(),K2422))</f>
        <v>#N/A</v>
      </c>
      <c r="R615" s="0" t="e">
        <f aca="false">IF(Charts!$B$3="none",F2422,IF(L2422="",NA(),L2422))</f>
        <v>#N/A</v>
      </c>
      <c r="S615" s="0" t="e">
        <f aca="false">IF(Charts!$B$3="none",G2422,IF(M2422="",NA(),M2422))</f>
        <v>#N/A</v>
      </c>
      <c r="T615" s="0" t="e">
        <f aca="false">IF(Charts!$B$3="none",H2422,IF(N2422="",NA(),N2422))</f>
        <v>#N/A</v>
      </c>
    </row>
    <row r="616" customFormat="false" ht="15" hidden="false" customHeight="false" outlineLevel="0" collapsed="false">
      <c r="E616" s="0" t="n">
        <v>250</v>
      </c>
      <c r="F616" s="0" t="str">
        <f aca="false">F254</f>
        <v/>
      </c>
      <c r="G616" s="0" t="n">
        <v>250</v>
      </c>
      <c r="H616" s="0" t="n">
        <f aca="false">H254</f>
        <v>0</v>
      </c>
      <c r="K616" s="0" t="n">
        <v>250</v>
      </c>
      <c r="L616" s="0" t="str">
        <f aca="false">L254</f>
        <v/>
      </c>
      <c r="M616" s="0" t="n">
        <v>250</v>
      </c>
      <c r="N616" s="0" t="n">
        <f aca="false">N254</f>
        <v>0</v>
      </c>
      <c r="Q616" s="0" t="e">
        <f aca="false">IF(Charts!$B$3="none",E2423,IF(K2423="",NA(),K2423))</f>
        <v>#N/A</v>
      </c>
      <c r="R616" s="0" t="e">
        <f aca="false">IF(Charts!$B$3="none",F2423,IF(L2423="",NA(),L2423))</f>
        <v>#N/A</v>
      </c>
      <c r="S616" s="0" t="e">
        <f aca="false">IF(Charts!$B$3="none",G2423,IF(M2423="",NA(),M2423))</f>
        <v>#N/A</v>
      </c>
      <c r="T616" s="0" t="e">
        <f aca="false">IF(Charts!$B$3="none",H2423,IF(N2423="",NA(),N2423))</f>
        <v>#N/A</v>
      </c>
    </row>
    <row r="617" customFormat="false" ht="15" hidden="false" customHeight="false" outlineLevel="0" collapsed="false">
      <c r="E617" s="0" t="n">
        <v>251</v>
      </c>
      <c r="F617" s="0" t="str">
        <f aca="false">F255</f>
        <v/>
      </c>
      <c r="G617" s="0" t="n">
        <v>251</v>
      </c>
      <c r="H617" s="0" t="n">
        <f aca="false">H255</f>
        <v>0</v>
      </c>
      <c r="K617" s="0" t="n">
        <v>251</v>
      </c>
      <c r="L617" s="0" t="str">
        <f aca="false">L255</f>
        <v/>
      </c>
      <c r="M617" s="0" t="n">
        <v>251</v>
      </c>
      <c r="N617" s="0" t="n">
        <f aca="false">N255</f>
        <v>0</v>
      </c>
      <c r="Q617" s="0" t="e">
        <f aca="false">IF(Charts!$B$3="none",E2424,IF(K2424="",NA(),K2424))</f>
        <v>#N/A</v>
      </c>
      <c r="R617" s="0" t="e">
        <f aca="false">IF(Charts!$B$3="none",F2424,IF(L2424="",NA(),L2424))</f>
        <v>#N/A</v>
      </c>
      <c r="S617" s="0" t="e">
        <f aca="false">IF(Charts!$B$3="none",G2424,IF(M2424="",NA(),M2424))</f>
        <v>#N/A</v>
      </c>
      <c r="T617" s="0" t="e">
        <f aca="false">IF(Charts!$B$3="none",H2424,IF(N2424="",NA(),N2424))</f>
        <v>#N/A</v>
      </c>
    </row>
    <row r="618" customFormat="false" ht="15" hidden="false" customHeight="false" outlineLevel="0" collapsed="false">
      <c r="E618" s="0" t="n">
        <v>252</v>
      </c>
      <c r="F618" s="0" t="str">
        <f aca="false">F256</f>
        <v/>
      </c>
      <c r="G618" s="0" t="n">
        <v>252</v>
      </c>
      <c r="H618" s="0" t="n">
        <f aca="false">H256</f>
        <v>0</v>
      </c>
      <c r="K618" s="0" t="n">
        <v>252</v>
      </c>
      <c r="L618" s="0" t="str">
        <f aca="false">L256</f>
        <v/>
      </c>
      <c r="M618" s="0" t="n">
        <v>252</v>
      </c>
      <c r="N618" s="0" t="n">
        <f aca="false">N256</f>
        <v>0</v>
      </c>
      <c r="Q618" s="0" t="e">
        <f aca="false">IF(Charts!$B$3="none",E2425,IF(K2425="",NA(),K2425))</f>
        <v>#N/A</v>
      </c>
      <c r="R618" s="0" t="e">
        <f aca="false">IF(Charts!$B$3="none",F2425,IF(L2425="",NA(),L2425))</f>
        <v>#N/A</v>
      </c>
      <c r="S618" s="0" t="e">
        <f aca="false">IF(Charts!$B$3="none",G2425,IF(M2425="",NA(),M2425))</f>
        <v>#N/A</v>
      </c>
      <c r="T618" s="0" t="e">
        <f aca="false">IF(Charts!$B$3="none",H2425,IF(N2425="",NA(),N2425))</f>
        <v>#N/A</v>
      </c>
    </row>
    <row r="619" customFormat="false" ht="15" hidden="false" customHeight="false" outlineLevel="0" collapsed="false">
      <c r="E619" s="0" t="n">
        <v>253</v>
      </c>
      <c r="F619" s="0" t="str">
        <f aca="false">F257</f>
        <v/>
      </c>
      <c r="G619" s="0" t="n">
        <v>253</v>
      </c>
      <c r="H619" s="0" t="n">
        <f aca="false">H257</f>
        <v>0</v>
      </c>
      <c r="K619" s="0" t="n">
        <v>253</v>
      </c>
      <c r="L619" s="0" t="str">
        <f aca="false">L257</f>
        <v/>
      </c>
      <c r="M619" s="0" t="n">
        <v>253</v>
      </c>
      <c r="N619" s="0" t="n">
        <f aca="false">N257</f>
        <v>0</v>
      </c>
      <c r="Q619" s="0" t="e">
        <f aca="false">IF(Charts!$B$3="none",E2426,IF(K2426="",NA(),K2426))</f>
        <v>#N/A</v>
      </c>
      <c r="R619" s="0" t="e">
        <f aca="false">IF(Charts!$B$3="none",F2426,IF(L2426="",NA(),L2426))</f>
        <v>#N/A</v>
      </c>
      <c r="S619" s="0" t="e">
        <f aca="false">IF(Charts!$B$3="none",G2426,IF(M2426="",NA(),M2426))</f>
        <v>#N/A</v>
      </c>
      <c r="T619" s="0" t="e">
        <f aca="false">IF(Charts!$B$3="none",H2426,IF(N2426="",NA(),N2426))</f>
        <v>#N/A</v>
      </c>
    </row>
    <row r="620" customFormat="false" ht="15" hidden="false" customHeight="false" outlineLevel="0" collapsed="false">
      <c r="E620" s="0" t="n">
        <v>254</v>
      </c>
      <c r="F620" s="0" t="str">
        <f aca="false">F258</f>
        <v/>
      </c>
      <c r="G620" s="0" t="n">
        <v>254</v>
      </c>
      <c r="H620" s="0" t="n">
        <f aca="false">H258</f>
        <v>0</v>
      </c>
      <c r="K620" s="0" t="n">
        <v>254</v>
      </c>
      <c r="L620" s="0" t="str">
        <f aca="false">L258</f>
        <v/>
      </c>
      <c r="M620" s="0" t="n">
        <v>254</v>
      </c>
      <c r="N620" s="0" t="n">
        <f aca="false">N258</f>
        <v>0</v>
      </c>
      <c r="Q620" s="0" t="e">
        <f aca="false">IF(Charts!$B$3="none",E2427,IF(K2427="",NA(),K2427))</f>
        <v>#N/A</v>
      </c>
      <c r="R620" s="0" t="e">
        <f aca="false">IF(Charts!$B$3="none",F2427,IF(L2427="",NA(),L2427))</f>
        <v>#N/A</v>
      </c>
      <c r="S620" s="0" t="e">
        <f aca="false">IF(Charts!$B$3="none",G2427,IF(M2427="",NA(),M2427))</f>
        <v>#N/A</v>
      </c>
      <c r="T620" s="0" t="e">
        <f aca="false">IF(Charts!$B$3="none",H2427,IF(N2427="",NA(),N2427))</f>
        <v>#N/A</v>
      </c>
    </row>
    <row r="621" customFormat="false" ht="15" hidden="false" customHeight="false" outlineLevel="0" collapsed="false">
      <c r="E621" s="0" t="n">
        <v>255</v>
      </c>
      <c r="F621" s="0" t="str">
        <f aca="false">F259</f>
        <v/>
      </c>
      <c r="G621" s="0" t="n">
        <v>255</v>
      </c>
      <c r="H621" s="0" t="n">
        <f aca="false">H259</f>
        <v>0</v>
      </c>
      <c r="K621" s="0" t="n">
        <v>255</v>
      </c>
      <c r="L621" s="0" t="str">
        <f aca="false">L259</f>
        <v/>
      </c>
      <c r="M621" s="0" t="n">
        <v>255</v>
      </c>
      <c r="N621" s="0" t="n">
        <f aca="false">N259</f>
        <v>0</v>
      </c>
      <c r="Q621" s="0" t="e">
        <f aca="false">IF(Charts!$B$3="none",E2428,IF(K2428="",NA(),K2428))</f>
        <v>#N/A</v>
      </c>
      <c r="R621" s="0" t="e">
        <f aca="false">IF(Charts!$B$3="none",F2428,IF(L2428="",NA(),L2428))</f>
        <v>#N/A</v>
      </c>
      <c r="S621" s="0" t="e">
        <f aca="false">IF(Charts!$B$3="none",G2428,IF(M2428="",NA(),M2428))</f>
        <v>#N/A</v>
      </c>
      <c r="T621" s="0" t="e">
        <f aca="false">IF(Charts!$B$3="none",H2428,IF(N2428="",NA(),N2428))</f>
        <v>#N/A</v>
      </c>
    </row>
    <row r="622" customFormat="false" ht="15" hidden="false" customHeight="false" outlineLevel="0" collapsed="false">
      <c r="E622" s="0" t="n">
        <v>256</v>
      </c>
      <c r="F622" s="0" t="str">
        <f aca="false">F260</f>
        <v/>
      </c>
      <c r="G622" s="0" t="n">
        <v>256</v>
      </c>
      <c r="H622" s="0" t="n">
        <f aca="false">H260</f>
        <v>0</v>
      </c>
      <c r="K622" s="0" t="n">
        <v>256</v>
      </c>
      <c r="L622" s="0" t="str">
        <f aca="false">L260</f>
        <v/>
      </c>
      <c r="M622" s="0" t="n">
        <v>256</v>
      </c>
      <c r="N622" s="0" t="n">
        <f aca="false">N260</f>
        <v>0</v>
      </c>
      <c r="Q622" s="0" t="e">
        <f aca="false">IF(Charts!$B$3="none",E2429,IF(K2429="",NA(),K2429))</f>
        <v>#N/A</v>
      </c>
      <c r="R622" s="0" t="e">
        <f aca="false">IF(Charts!$B$3="none",F2429,IF(L2429="",NA(),L2429))</f>
        <v>#N/A</v>
      </c>
      <c r="S622" s="0" t="e">
        <f aca="false">IF(Charts!$B$3="none",G2429,IF(M2429="",NA(),M2429))</f>
        <v>#N/A</v>
      </c>
      <c r="T622" s="0" t="e">
        <f aca="false">IF(Charts!$B$3="none",H2429,IF(N2429="",NA(),N2429))</f>
        <v>#N/A</v>
      </c>
    </row>
    <row r="623" customFormat="false" ht="15" hidden="false" customHeight="false" outlineLevel="0" collapsed="false">
      <c r="E623" s="0" t="n">
        <v>257</v>
      </c>
      <c r="F623" s="0" t="str">
        <f aca="false">F261</f>
        <v/>
      </c>
      <c r="G623" s="0" t="n">
        <v>257</v>
      </c>
      <c r="H623" s="0" t="n">
        <f aca="false">H261</f>
        <v>0</v>
      </c>
      <c r="K623" s="0" t="n">
        <v>257</v>
      </c>
      <c r="L623" s="0" t="str">
        <f aca="false">L261</f>
        <v/>
      </c>
      <c r="M623" s="0" t="n">
        <v>257</v>
      </c>
      <c r="N623" s="0" t="n">
        <f aca="false">N261</f>
        <v>0</v>
      </c>
      <c r="Q623" s="0" t="e">
        <f aca="false">IF(Charts!$B$3="none",E2430,IF(K2430="",NA(),K2430))</f>
        <v>#N/A</v>
      </c>
      <c r="R623" s="0" t="e">
        <f aca="false">IF(Charts!$B$3="none",F2430,IF(L2430="",NA(),L2430))</f>
        <v>#N/A</v>
      </c>
      <c r="S623" s="0" t="e">
        <f aca="false">IF(Charts!$B$3="none",G2430,IF(M2430="",NA(),M2430))</f>
        <v>#N/A</v>
      </c>
      <c r="T623" s="0" t="e">
        <f aca="false">IF(Charts!$B$3="none",H2430,IF(N2430="",NA(),N2430))</f>
        <v>#N/A</v>
      </c>
    </row>
    <row r="624" customFormat="false" ht="15" hidden="false" customHeight="false" outlineLevel="0" collapsed="false">
      <c r="E624" s="0" t="n">
        <v>258</v>
      </c>
      <c r="F624" s="0" t="str">
        <f aca="false">F262</f>
        <v/>
      </c>
      <c r="G624" s="0" t="n">
        <v>258</v>
      </c>
      <c r="H624" s="0" t="n">
        <f aca="false">H262</f>
        <v>0</v>
      </c>
      <c r="K624" s="0" t="n">
        <v>258</v>
      </c>
      <c r="L624" s="0" t="str">
        <f aca="false">L262</f>
        <v/>
      </c>
      <c r="M624" s="0" t="n">
        <v>258</v>
      </c>
      <c r="N624" s="0" t="n">
        <f aca="false">N262</f>
        <v>0</v>
      </c>
      <c r="Q624" s="0" t="e">
        <f aca="false">IF(Charts!$B$3="none",E2431,IF(K2431="",NA(),K2431))</f>
        <v>#N/A</v>
      </c>
      <c r="R624" s="0" t="e">
        <f aca="false">IF(Charts!$B$3="none",F2431,IF(L2431="",NA(),L2431))</f>
        <v>#N/A</v>
      </c>
      <c r="S624" s="0" t="e">
        <f aca="false">IF(Charts!$B$3="none",G2431,IF(M2431="",NA(),M2431))</f>
        <v>#N/A</v>
      </c>
      <c r="T624" s="0" t="e">
        <f aca="false">IF(Charts!$B$3="none",H2431,IF(N2431="",NA(),N2431))</f>
        <v>#N/A</v>
      </c>
    </row>
    <row r="625" customFormat="false" ht="15" hidden="false" customHeight="false" outlineLevel="0" collapsed="false">
      <c r="E625" s="0" t="n">
        <v>259</v>
      </c>
      <c r="F625" s="0" t="str">
        <f aca="false">F263</f>
        <v/>
      </c>
      <c r="G625" s="0" t="n">
        <v>259</v>
      </c>
      <c r="H625" s="0" t="n">
        <f aca="false">H263</f>
        <v>0</v>
      </c>
      <c r="K625" s="0" t="n">
        <v>259</v>
      </c>
      <c r="L625" s="0" t="str">
        <f aca="false">L263</f>
        <v/>
      </c>
      <c r="M625" s="0" t="n">
        <v>259</v>
      </c>
      <c r="N625" s="0" t="n">
        <f aca="false">N263</f>
        <v>0</v>
      </c>
      <c r="Q625" s="0" t="e">
        <f aca="false">IF(Charts!$B$3="none",E2432,IF(K2432="",NA(),K2432))</f>
        <v>#N/A</v>
      </c>
      <c r="R625" s="0" t="e">
        <f aca="false">IF(Charts!$B$3="none",F2432,IF(L2432="",NA(),L2432))</f>
        <v>#N/A</v>
      </c>
      <c r="S625" s="0" t="e">
        <f aca="false">IF(Charts!$B$3="none",G2432,IF(M2432="",NA(),M2432))</f>
        <v>#N/A</v>
      </c>
      <c r="T625" s="0" t="e">
        <f aca="false">IF(Charts!$B$3="none",H2432,IF(N2432="",NA(),N2432))</f>
        <v>#N/A</v>
      </c>
    </row>
    <row r="626" customFormat="false" ht="15" hidden="false" customHeight="false" outlineLevel="0" collapsed="false">
      <c r="E626" s="0" t="n">
        <v>260</v>
      </c>
      <c r="F626" s="0" t="str">
        <f aca="false">F264</f>
        <v/>
      </c>
      <c r="G626" s="0" t="n">
        <v>260</v>
      </c>
      <c r="H626" s="0" t="n">
        <f aca="false">H264</f>
        <v>0</v>
      </c>
      <c r="K626" s="0" t="n">
        <v>260</v>
      </c>
      <c r="L626" s="0" t="str">
        <f aca="false">L264</f>
        <v/>
      </c>
      <c r="M626" s="0" t="n">
        <v>260</v>
      </c>
      <c r="N626" s="0" t="n">
        <f aca="false">N264</f>
        <v>0</v>
      </c>
      <c r="Q626" s="0" t="e">
        <f aca="false">IF(Charts!$B$3="none",E2433,IF(K2433="",NA(),K2433))</f>
        <v>#N/A</v>
      </c>
      <c r="R626" s="0" t="e">
        <f aca="false">IF(Charts!$B$3="none",F2433,IF(L2433="",NA(),L2433))</f>
        <v>#N/A</v>
      </c>
      <c r="S626" s="0" t="e">
        <f aca="false">IF(Charts!$B$3="none",G2433,IF(M2433="",NA(),M2433))</f>
        <v>#N/A</v>
      </c>
      <c r="T626" s="0" t="e">
        <f aca="false">IF(Charts!$B$3="none",H2433,IF(N2433="",NA(),N2433))</f>
        <v>#N/A</v>
      </c>
    </row>
    <row r="627" customFormat="false" ht="15" hidden="false" customHeight="false" outlineLevel="0" collapsed="false">
      <c r="E627" s="0" t="n">
        <v>261</v>
      </c>
      <c r="F627" s="0" t="str">
        <f aca="false">F265</f>
        <v/>
      </c>
      <c r="G627" s="0" t="n">
        <v>261</v>
      </c>
      <c r="H627" s="0" t="n">
        <f aca="false">H265</f>
        <v>0</v>
      </c>
      <c r="K627" s="0" t="n">
        <v>261</v>
      </c>
      <c r="L627" s="0" t="str">
        <f aca="false">L265</f>
        <v/>
      </c>
      <c r="M627" s="0" t="n">
        <v>261</v>
      </c>
      <c r="N627" s="0" t="n">
        <f aca="false">N265</f>
        <v>0</v>
      </c>
      <c r="Q627" s="0" t="e">
        <f aca="false">IF(Charts!$B$3="none",E2434,IF(K2434="",NA(),K2434))</f>
        <v>#N/A</v>
      </c>
      <c r="R627" s="0" t="e">
        <f aca="false">IF(Charts!$B$3="none",F2434,IF(L2434="",NA(),L2434))</f>
        <v>#N/A</v>
      </c>
      <c r="S627" s="0" t="e">
        <f aca="false">IF(Charts!$B$3="none",G2434,IF(M2434="",NA(),M2434))</f>
        <v>#N/A</v>
      </c>
      <c r="T627" s="0" t="e">
        <f aca="false">IF(Charts!$B$3="none",H2434,IF(N2434="",NA(),N2434))</f>
        <v>#N/A</v>
      </c>
    </row>
    <row r="628" customFormat="false" ht="15" hidden="false" customHeight="false" outlineLevel="0" collapsed="false">
      <c r="E628" s="0" t="n">
        <v>262</v>
      </c>
      <c r="F628" s="0" t="str">
        <f aca="false">F266</f>
        <v/>
      </c>
      <c r="G628" s="0" t="n">
        <v>262</v>
      </c>
      <c r="H628" s="0" t="n">
        <f aca="false">H266</f>
        <v>0</v>
      </c>
      <c r="K628" s="0" t="n">
        <v>262</v>
      </c>
      <c r="L628" s="0" t="str">
        <f aca="false">L266</f>
        <v/>
      </c>
      <c r="M628" s="0" t="n">
        <v>262</v>
      </c>
      <c r="N628" s="0" t="n">
        <f aca="false">N266</f>
        <v>0</v>
      </c>
      <c r="Q628" s="0" t="e">
        <f aca="false">IF(Charts!$B$3="none",E2435,IF(K2435="",NA(),K2435))</f>
        <v>#N/A</v>
      </c>
      <c r="R628" s="0" t="e">
        <f aca="false">IF(Charts!$B$3="none",F2435,IF(L2435="",NA(),L2435))</f>
        <v>#N/A</v>
      </c>
      <c r="S628" s="0" t="e">
        <f aca="false">IF(Charts!$B$3="none",G2435,IF(M2435="",NA(),M2435))</f>
        <v>#N/A</v>
      </c>
      <c r="T628" s="0" t="e">
        <f aca="false">IF(Charts!$B$3="none",H2435,IF(N2435="",NA(),N2435))</f>
        <v>#N/A</v>
      </c>
    </row>
    <row r="629" customFormat="false" ht="15" hidden="false" customHeight="false" outlineLevel="0" collapsed="false">
      <c r="E629" s="0" t="n">
        <v>263</v>
      </c>
      <c r="F629" s="0" t="str">
        <f aca="false">F267</f>
        <v/>
      </c>
      <c r="G629" s="0" t="n">
        <v>263</v>
      </c>
      <c r="H629" s="0" t="n">
        <f aca="false">H267</f>
        <v>0</v>
      </c>
      <c r="K629" s="0" t="n">
        <v>263</v>
      </c>
      <c r="L629" s="0" t="str">
        <f aca="false">L267</f>
        <v/>
      </c>
      <c r="M629" s="0" t="n">
        <v>263</v>
      </c>
      <c r="N629" s="0" t="n">
        <f aca="false">N267</f>
        <v>0</v>
      </c>
      <c r="Q629" s="0" t="e">
        <f aca="false">IF(Charts!$B$3="none",E2436,IF(K2436="",NA(),K2436))</f>
        <v>#N/A</v>
      </c>
      <c r="R629" s="0" t="e">
        <f aca="false">IF(Charts!$B$3="none",F2436,IF(L2436="",NA(),L2436))</f>
        <v>#N/A</v>
      </c>
      <c r="S629" s="0" t="e">
        <f aca="false">IF(Charts!$B$3="none",G2436,IF(M2436="",NA(),M2436))</f>
        <v>#N/A</v>
      </c>
      <c r="T629" s="0" t="e">
        <f aca="false">IF(Charts!$B$3="none",H2436,IF(N2436="",NA(),N2436))</f>
        <v>#N/A</v>
      </c>
    </row>
    <row r="630" customFormat="false" ht="15" hidden="false" customHeight="false" outlineLevel="0" collapsed="false">
      <c r="E630" s="0" t="n">
        <v>264</v>
      </c>
      <c r="F630" s="0" t="str">
        <f aca="false">F268</f>
        <v/>
      </c>
      <c r="G630" s="0" t="n">
        <v>264</v>
      </c>
      <c r="H630" s="0" t="n">
        <f aca="false">H268</f>
        <v>0</v>
      </c>
      <c r="K630" s="0" t="n">
        <v>264</v>
      </c>
      <c r="L630" s="0" t="str">
        <f aca="false">L268</f>
        <v/>
      </c>
      <c r="M630" s="0" t="n">
        <v>264</v>
      </c>
      <c r="N630" s="0" t="n">
        <f aca="false">N268</f>
        <v>0</v>
      </c>
      <c r="Q630" s="0" t="e">
        <f aca="false">IF(Charts!$B$3="none",E2437,IF(K2437="",NA(),K2437))</f>
        <v>#N/A</v>
      </c>
      <c r="R630" s="0" t="e">
        <f aca="false">IF(Charts!$B$3="none",F2437,IF(L2437="",NA(),L2437))</f>
        <v>#N/A</v>
      </c>
      <c r="S630" s="0" t="e">
        <f aca="false">IF(Charts!$B$3="none",G2437,IF(M2437="",NA(),M2437))</f>
        <v>#N/A</v>
      </c>
      <c r="T630" s="0" t="e">
        <f aca="false">IF(Charts!$B$3="none",H2437,IF(N2437="",NA(),N2437))</f>
        <v>#N/A</v>
      </c>
    </row>
    <row r="631" customFormat="false" ht="15" hidden="false" customHeight="false" outlineLevel="0" collapsed="false">
      <c r="E631" s="0" t="n">
        <v>265</v>
      </c>
      <c r="F631" s="0" t="str">
        <f aca="false">F269</f>
        <v/>
      </c>
      <c r="G631" s="0" t="n">
        <v>265</v>
      </c>
      <c r="H631" s="0" t="n">
        <f aca="false">H269</f>
        <v>0</v>
      </c>
      <c r="K631" s="0" t="n">
        <v>265</v>
      </c>
      <c r="L631" s="0" t="str">
        <f aca="false">L269</f>
        <v/>
      </c>
      <c r="M631" s="0" t="n">
        <v>265</v>
      </c>
      <c r="N631" s="0" t="n">
        <f aca="false">N269</f>
        <v>0</v>
      </c>
      <c r="Q631" s="0" t="e">
        <f aca="false">IF(Charts!$B$3="none",E2438,IF(K2438="",NA(),K2438))</f>
        <v>#N/A</v>
      </c>
      <c r="R631" s="0" t="e">
        <f aca="false">IF(Charts!$B$3="none",F2438,IF(L2438="",NA(),L2438))</f>
        <v>#N/A</v>
      </c>
      <c r="S631" s="0" t="e">
        <f aca="false">IF(Charts!$B$3="none",G2438,IF(M2438="",NA(),M2438))</f>
        <v>#N/A</v>
      </c>
      <c r="T631" s="0" t="e">
        <f aca="false">IF(Charts!$B$3="none",H2438,IF(N2438="",NA(),N2438))</f>
        <v>#N/A</v>
      </c>
    </row>
    <row r="632" customFormat="false" ht="15" hidden="false" customHeight="false" outlineLevel="0" collapsed="false">
      <c r="E632" s="0" t="n">
        <v>266</v>
      </c>
      <c r="F632" s="0" t="str">
        <f aca="false">F270</f>
        <v/>
      </c>
      <c r="G632" s="0" t="n">
        <v>266</v>
      </c>
      <c r="H632" s="0" t="n">
        <f aca="false">H270</f>
        <v>0</v>
      </c>
      <c r="K632" s="0" t="n">
        <v>266</v>
      </c>
      <c r="L632" s="0" t="str">
        <f aca="false">L270</f>
        <v/>
      </c>
      <c r="M632" s="0" t="n">
        <v>266</v>
      </c>
      <c r="N632" s="0" t="n">
        <f aca="false">N270</f>
        <v>0</v>
      </c>
      <c r="Q632" s="0" t="e">
        <f aca="false">IF(Charts!$B$3="none",E2439,IF(K2439="",NA(),K2439))</f>
        <v>#N/A</v>
      </c>
      <c r="R632" s="0" t="e">
        <f aca="false">IF(Charts!$B$3="none",F2439,IF(L2439="",NA(),L2439))</f>
        <v>#N/A</v>
      </c>
      <c r="S632" s="0" t="e">
        <f aca="false">IF(Charts!$B$3="none",G2439,IF(M2439="",NA(),M2439))</f>
        <v>#N/A</v>
      </c>
      <c r="T632" s="0" t="e">
        <f aca="false">IF(Charts!$B$3="none",H2439,IF(N2439="",NA(),N2439))</f>
        <v>#N/A</v>
      </c>
    </row>
    <row r="633" customFormat="false" ht="15" hidden="false" customHeight="false" outlineLevel="0" collapsed="false">
      <c r="E633" s="0" t="n">
        <v>267</v>
      </c>
      <c r="F633" s="0" t="str">
        <f aca="false">F271</f>
        <v/>
      </c>
      <c r="G633" s="0" t="n">
        <v>267</v>
      </c>
      <c r="H633" s="0" t="n">
        <f aca="false">H271</f>
        <v>0</v>
      </c>
      <c r="K633" s="0" t="n">
        <v>267</v>
      </c>
      <c r="L633" s="0" t="str">
        <f aca="false">L271</f>
        <v/>
      </c>
      <c r="M633" s="0" t="n">
        <v>267</v>
      </c>
      <c r="N633" s="0" t="n">
        <f aca="false">N271</f>
        <v>0</v>
      </c>
      <c r="Q633" s="0" t="e">
        <f aca="false">IF(Charts!$B$3="none",E2440,IF(K2440="",NA(),K2440))</f>
        <v>#N/A</v>
      </c>
      <c r="R633" s="0" t="e">
        <f aca="false">IF(Charts!$B$3="none",F2440,IF(L2440="",NA(),L2440))</f>
        <v>#N/A</v>
      </c>
      <c r="S633" s="0" t="e">
        <f aca="false">IF(Charts!$B$3="none",G2440,IF(M2440="",NA(),M2440))</f>
        <v>#N/A</v>
      </c>
      <c r="T633" s="0" t="e">
        <f aca="false">IF(Charts!$B$3="none",H2440,IF(N2440="",NA(),N2440))</f>
        <v>#N/A</v>
      </c>
    </row>
    <row r="634" customFormat="false" ht="15" hidden="false" customHeight="false" outlineLevel="0" collapsed="false">
      <c r="E634" s="0" t="n">
        <v>268</v>
      </c>
      <c r="F634" s="0" t="str">
        <f aca="false">F272</f>
        <v/>
      </c>
      <c r="G634" s="0" t="n">
        <v>268</v>
      </c>
      <c r="H634" s="0" t="n">
        <f aca="false">H272</f>
        <v>0</v>
      </c>
      <c r="K634" s="0" t="n">
        <v>268</v>
      </c>
      <c r="L634" s="0" t="str">
        <f aca="false">L272</f>
        <v/>
      </c>
      <c r="M634" s="0" t="n">
        <v>268</v>
      </c>
      <c r="N634" s="0" t="n">
        <f aca="false">N272</f>
        <v>0</v>
      </c>
      <c r="Q634" s="0" t="e">
        <f aca="false">IF(Charts!$B$3="none",E2441,IF(K2441="",NA(),K2441))</f>
        <v>#N/A</v>
      </c>
      <c r="R634" s="0" t="e">
        <f aca="false">IF(Charts!$B$3="none",F2441,IF(L2441="",NA(),L2441))</f>
        <v>#N/A</v>
      </c>
      <c r="S634" s="0" t="e">
        <f aca="false">IF(Charts!$B$3="none",G2441,IF(M2441="",NA(),M2441))</f>
        <v>#N/A</v>
      </c>
      <c r="T634" s="0" t="e">
        <f aca="false">IF(Charts!$B$3="none",H2441,IF(N2441="",NA(),N2441))</f>
        <v>#N/A</v>
      </c>
    </row>
    <row r="635" customFormat="false" ht="15" hidden="false" customHeight="false" outlineLevel="0" collapsed="false">
      <c r="E635" s="0" t="n">
        <v>269</v>
      </c>
      <c r="F635" s="0" t="str">
        <f aca="false">F273</f>
        <v/>
      </c>
      <c r="G635" s="0" t="n">
        <v>269</v>
      </c>
      <c r="H635" s="0" t="n">
        <f aca="false">H273</f>
        <v>0</v>
      </c>
      <c r="K635" s="0" t="n">
        <v>269</v>
      </c>
      <c r="L635" s="0" t="str">
        <f aca="false">L273</f>
        <v/>
      </c>
      <c r="M635" s="0" t="n">
        <v>269</v>
      </c>
      <c r="N635" s="0" t="n">
        <f aca="false">N273</f>
        <v>0</v>
      </c>
      <c r="Q635" s="0" t="e">
        <f aca="false">IF(Charts!$B$3="none",E2442,IF(K2442="",NA(),K2442))</f>
        <v>#N/A</v>
      </c>
      <c r="R635" s="0" t="e">
        <f aca="false">IF(Charts!$B$3="none",F2442,IF(L2442="",NA(),L2442))</f>
        <v>#N/A</v>
      </c>
      <c r="S635" s="0" t="e">
        <f aca="false">IF(Charts!$B$3="none",G2442,IF(M2442="",NA(),M2442))</f>
        <v>#N/A</v>
      </c>
      <c r="T635" s="0" t="e">
        <f aca="false">IF(Charts!$B$3="none",H2442,IF(N2442="",NA(),N2442))</f>
        <v>#N/A</v>
      </c>
    </row>
    <row r="636" customFormat="false" ht="15" hidden="false" customHeight="false" outlineLevel="0" collapsed="false">
      <c r="E636" s="0" t="n">
        <v>270</v>
      </c>
      <c r="F636" s="0" t="str">
        <f aca="false">F274</f>
        <v/>
      </c>
      <c r="G636" s="0" t="n">
        <v>270</v>
      </c>
      <c r="H636" s="0" t="n">
        <f aca="false">H274</f>
        <v>0</v>
      </c>
      <c r="K636" s="0" t="n">
        <v>270</v>
      </c>
      <c r="L636" s="0" t="str">
        <f aca="false">L274</f>
        <v/>
      </c>
      <c r="M636" s="0" t="n">
        <v>270</v>
      </c>
      <c r="N636" s="0" t="n">
        <f aca="false">N274</f>
        <v>0</v>
      </c>
      <c r="Q636" s="0" t="e">
        <f aca="false">IF(Charts!$B$3="none",E2443,IF(K2443="",NA(),K2443))</f>
        <v>#N/A</v>
      </c>
      <c r="R636" s="0" t="e">
        <f aca="false">IF(Charts!$B$3="none",F2443,IF(L2443="",NA(),L2443))</f>
        <v>#N/A</v>
      </c>
      <c r="S636" s="0" t="e">
        <f aca="false">IF(Charts!$B$3="none",G2443,IF(M2443="",NA(),M2443))</f>
        <v>#N/A</v>
      </c>
      <c r="T636" s="0" t="e">
        <f aca="false">IF(Charts!$B$3="none",H2443,IF(N2443="",NA(),N2443))</f>
        <v>#N/A</v>
      </c>
    </row>
    <row r="637" customFormat="false" ht="15" hidden="false" customHeight="false" outlineLevel="0" collapsed="false">
      <c r="E637" s="0" t="n">
        <v>271</v>
      </c>
      <c r="F637" s="0" t="str">
        <f aca="false">F275</f>
        <v/>
      </c>
      <c r="G637" s="0" t="n">
        <v>271</v>
      </c>
      <c r="H637" s="0" t="n">
        <f aca="false">H275</f>
        <v>0</v>
      </c>
      <c r="K637" s="0" t="n">
        <v>271</v>
      </c>
      <c r="L637" s="0" t="str">
        <f aca="false">L275</f>
        <v/>
      </c>
      <c r="M637" s="0" t="n">
        <v>271</v>
      </c>
      <c r="N637" s="0" t="n">
        <f aca="false">N275</f>
        <v>0</v>
      </c>
      <c r="Q637" s="0" t="e">
        <f aca="false">IF(Charts!$B$3="none",E2444,IF(K2444="",NA(),K2444))</f>
        <v>#N/A</v>
      </c>
      <c r="R637" s="0" t="e">
        <f aca="false">IF(Charts!$B$3="none",F2444,IF(L2444="",NA(),L2444))</f>
        <v>#N/A</v>
      </c>
      <c r="S637" s="0" t="e">
        <f aca="false">IF(Charts!$B$3="none",G2444,IF(M2444="",NA(),M2444))</f>
        <v>#N/A</v>
      </c>
      <c r="T637" s="0" t="e">
        <f aca="false">IF(Charts!$B$3="none",H2444,IF(N2444="",NA(),N2444))</f>
        <v>#N/A</v>
      </c>
    </row>
    <row r="638" customFormat="false" ht="15" hidden="false" customHeight="false" outlineLevel="0" collapsed="false">
      <c r="E638" s="0" t="n">
        <v>272</v>
      </c>
      <c r="F638" s="0" t="str">
        <f aca="false">F276</f>
        <v/>
      </c>
      <c r="G638" s="0" t="n">
        <v>272</v>
      </c>
      <c r="H638" s="0" t="n">
        <f aca="false">H276</f>
        <v>0</v>
      </c>
      <c r="K638" s="0" t="n">
        <v>272</v>
      </c>
      <c r="L638" s="0" t="str">
        <f aca="false">L276</f>
        <v/>
      </c>
      <c r="M638" s="0" t="n">
        <v>272</v>
      </c>
      <c r="N638" s="0" t="n">
        <f aca="false">N276</f>
        <v>0</v>
      </c>
      <c r="Q638" s="0" t="e">
        <f aca="false">IF(Charts!$B$3="none",E2445,IF(K2445="",NA(),K2445))</f>
        <v>#N/A</v>
      </c>
      <c r="R638" s="0" t="e">
        <f aca="false">IF(Charts!$B$3="none",F2445,IF(L2445="",NA(),L2445))</f>
        <v>#N/A</v>
      </c>
      <c r="S638" s="0" t="e">
        <f aca="false">IF(Charts!$B$3="none",G2445,IF(M2445="",NA(),M2445))</f>
        <v>#N/A</v>
      </c>
      <c r="T638" s="0" t="e">
        <f aca="false">IF(Charts!$B$3="none",H2445,IF(N2445="",NA(),N2445))</f>
        <v>#N/A</v>
      </c>
    </row>
    <row r="639" customFormat="false" ht="15" hidden="false" customHeight="false" outlineLevel="0" collapsed="false">
      <c r="E639" s="0" t="n">
        <v>273</v>
      </c>
      <c r="F639" s="0" t="str">
        <f aca="false">F277</f>
        <v/>
      </c>
      <c r="G639" s="0" t="n">
        <v>273</v>
      </c>
      <c r="H639" s="0" t="n">
        <f aca="false">H277</f>
        <v>0</v>
      </c>
      <c r="K639" s="0" t="n">
        <v>273</v>
      </c>
      <c r="L639" s="0" t="str">
        <f aca="false">L277</f>
        <v/>
      </c>
      <c r="M639" s="0" t="n">
        <v>273</v>
      </c>
      <c r="N639" s="0" t="n">
        <f aca="false">N277</f>
        <v>0</v>
      </c>
      <c r="Q639" s="0" t="e">
        <f aca="false">IF(Charts!$B$3="none",E2446,IF(K2446="",NA(),K2446))</f>
        <v>#N/A</v>
      </c>
      <c r="R639" s="0" t="e">
        <f aca="false">IF(Charts!$B$3="none",F2446,IF(L2446="",NA(),L2446))</f>
        <v>#N/A</v>
      </c>
      <c r="S639" s="0" t="e">
        <f aca="false">IF(Charts!$B$3="none",G2446,IF(M2446="",NA(),M2446))</f>
        <v>#N/A</v>
      </c>
      <c r="T639" s="0" t="e">
        <f aca="false">IF(Charts!$B$3="none",H2446,IF(N2446="",NA(),N2446))</f>
        <v>#N/A</v>
      </c>
    </row>
    <row r="640" customFormat="false" ht="15" hidden="false" customHeight="false" outlineLevel="0" collapsed="false">
      <c r="E640" s="0" t="n">
        <v>274</v>
      </c>
      <c r="F640" s="0" t="str">
        <f aca="false">F278</f>
        <v/>
      </c>
      <c r="G640" s="0" t="n">
        <v>274</v>
      </c>
      <c r="H640" s="0" t="n">
        <f aca="false">H278</f>
        <v>0</v>
      </c>
      <c r="K640" s="0" t="n">
        <v>274</v>
      </c>
      <c r="L640" s="0" t="str">
        <f aca="false">L278</f>
        <v/>
      </c>
      <c r="M640" s="0" t="n">
        <v>274</v>
      </c>
      <c r="N640" s="0" t="n">
        <f aca="false">N278</f>
        <v>0</v>
      </c>
      <c r="Q640" s="0" t="e">
        <f aca="false">IF(Charts!$B$3="none",E2447,IF(K2447="",NA(),K2447))</f>
        <v>#N/A</v>
      </c>
      <c r="R640" s="0" t="e">
        <f aca="false">IF(Charts!$B$3="none",F2447,IF(L2447="",NA(),L2447))</f>
        <v>#N/A</v>
      </c>
      <c r="S640" s="0" t="e">
        <f aca="false">IF(Charts!$B$3="none",G2447,IF(M2447="",NA(),M2447))</f>
        <v>#N/A</v>
      </c>
      <c r="T640" s="0" t="e">
        <f aca="false">IF(Charts!$B$3="none",H2447,IF(N2447="",NA(),N2447))</f>
        <v>#N/A</v>
      </c>
    </row>
    <row r="641" customFormat="false" ht="15" hidden="false" customHeight="false" outlineLevel="0" collapsed="false">
      <c r="E641" s="0" t="n">
        <v>275</v>
      </c>
      <c r="F641" s="0" t="str">
        <f aca="false">F279</f>
        <v/>
      </c>
      <c r="G641" s="0" t="n">
        <v>275</v>
      </c>
      <c r="H641" s="0" t="n">
        <f aca="false">H279</f>
        <v>0</v>
      </c>
      <c r="K641" s="0" t="n">
        <v>275</v>
      </c>
      <c r="L641" s="0" t="str">
        <f aca="false">L279</f>
        <v/>
      </c>
      <c r="M641" s="0" t="n">
        <v>275</v>
      </c>
      <c r="N641" s="0" t="n">
        <f aca="false">N279</f>
        <v>0</v>
      </c>
      <c r="Q641" s="0" t="e">
        <f aca="false">IF(Charts!$B$3="none",E2448,IF(K2448="",NA(),K2448))</f>
        <v>#N/A</v>
      </c>
      <c r="R641" s="0" t="e">
        <f aca="false">IF(Charts!$B$3="none",F2448,IF(L2448="",NA(),L2448))</f>
        <v>#N/A</v>
      </c>
      <c r="S641" s="0" t="e">
        <f aca="false">IF(Charts!$B$3="none",G2448,IF(M2448="",NA(),M2448))</f>
        <v>#N/A</v>
      </c>
      <c r="T641" s="0" t="e">
        <f aca="false">IF(Charts!$B$3="none",H2448,IF(N2448="",NA(),N2448))</f>
        <v>#N/A</v>
      </c>
    </row>
    <row r="642" customFormat="false" ht="15" hidden="false" customHeight="false" outlineLevel="0" collapsed="false">
      <c r="E642" s="0" t="n">
        <v>276</v>
      </c>
      <c r="F642" s="0" t="str">
        <f aca="false">F280</f>
        <v/>
      </c>
      <c r="G642" s="0" t="n">
        <v>276</v>
      </c>
      <c r="H642" s="0" t="n">
        <f aca="false">H280</f>
        <v>0</v>
      </c>
      <c r="K642" s="0" t="n">
        <v>276</v>
      </c>
      <c r="L642" s="0" t="str">
        <f aca="false">L280</f>
        <v/>
      </c>
      <c r="M642" s="0" t="n">
        <v>276</v>
      </c>
      <c r="N642" s="0" t="n">
        <f aca="false">N280</f>
        <v>0</v>
      </c>
      <c r="Q642" s="0" t="e">
        <f aca="false">IF(Charts!$B$3="none",E2449,IF(K2449="",NA(),K2449))</f>
        <v>#N/A</v>
      </c>
      <c r="R642" s="0" t="e">
        <f aca="false">IF(Charts!$B$3="none",F2449,IF(L2449="",NA(),L2449))</f>
        <v>#N/A</v>
      </c>
      <c r="S642" s="0" t="e">
        <f aca="false">IF(Charts!$B$3="none",G2449,IF(M2449="",NA(),M2449))</f>
        <v>#N/A</v>
      </c>
      <c r="T642" s="0" t="e">
        <f aca="false">IF(Charts!$B$3="none",H2449,IF(N2449="",NA(),N2449))</f>
        <v>#N/A</v>
      </c>
    </row>
    <row r="643" customFormat="false" ht="15" hidden="false" customHeight="false" outlineLevel="0" collapsed="false">
      <c r="E643" s="0" t="n">
        <v>277</v>
      </c>
      <c r="F643" s="0" t="str">
        <f aca="false">F281</f>
        <v/>
      </c>
      <c r="G643" s="0" t="n">
        <v>277</v>
      </c>
      <c r="H643" s="0" t="n">
        <f aca="false">H281</f>
        <v>0</v>
      </c>
      <c r="K643" s="0" t="n">
        <v>277</v>
      </c>
      <c r="L643" s="0" t="str">
        <f aca="false">L281</f>
        <v/>
      </c>
      <c r="M643" s="0" t="n">
        <v>277</v>
      </c>
      <c r="N643" s="0" t="n">
        <f aca="false">N281</f>
        <v>0</v>
      </c>
      <c r="Q643" s="0" t="e">
        <f aca="false">IF(Charts!$B$3="none",E2450,IF(K2450="",NA(),K2450))</f>
        <v>#N/A</v>
      </c>
      <c r="R643" s="0" t="e">
        <f aca="false">IF(Charts!$B$3="none",F2450,IF(L2450="",NA(),L2450))</f>
        <v>#N/A</v>
      </c>
      <c r="S643" s="0" t="e">
        <f aca="false">IF(Charts!$B$3="none",G2450,IF(M2450="",NA(),M2450))</f>
        <v>#N/A</v>
      </c>
      <c r="T643" s="0" t="e">
        <f aca="false">IF(Charts!$B$3="none",H2450,IF(N2450="",NA(),N2450))</f>
        <v>#N/A</v>
      </c>
    </row>
    <row r="644" customFormat="false" ht="15" hidden="false" customHeight="false" outlineLevel="0" collapsed="false">
      <c r="E644" s="0" t="n">
        <v>278</v>
      </c>
      <c r="F644" s="0" t="str">
        <f aca="false">F282</f>
        <v/>
      </c>
      <c r="G644" s="0" t="n">
        <v>278</v>
      </c>
      <c r="H644" s="0" t="n">
        <f aca="false">H282</f>
        <v>0</v>
      </c>
      <c r="K644" s="0" t="n">
        <v>278</v>
      </c>
      <c r="L644" s="0" t="str">
        <f aca="false">L282</f>
        <v/>
      </c>
      <c r="M644" s="0" t="n">
        <v>278</v>
      </c>
      <c r="N644" s="0" t="n">
        <f aca="false">N282</f>
        <v>0</v>
      </c>
      <c r="Q644" s="0" t="e">
        <f aca="false">IF(Charts!$B$3="none",E2451,IF(K2451="",NA(),K2451))</f>
        <v>#N/A</v>
      </c>
      <c r="R644" s="0" t="e">
        <f aca="false">IF(Charts!$B$3="none",F2451,IF(L2451="",NA(),L2451))</f>
        <v>#N/A</v>
      </c>
      <c r="S644" s="0" t="e">
        <f aca="false">IF(Charts!$B$3="none",G2451,IF(M2451="",NA(),M2451))</f>
        <v>#N/A</v>
      </c>
      <c r="T644" s="0" t="e">
        <f aca="false">IF(Charts!$B$3="none",H2451,IF(N2451="",NA(),N2451))</f>
        <v>#N/A</v>
      </c>
    </row>
    <row r="645" customFormat="false" ht="15" hidden="false" customHeight="false" outlineLevel="0" collapsed="false">
      <c r="E645" s="0" t="n">
        <v>279</v>
      </c>
      <c r="F645" s="0" t="str">
        <f aca="false">F283</f>
        <v/>
      </c>
      <c r="G645" s="0" t="n">
        <v>279</v>
      </c>
      <c r="H645" s="0" t="n">
        <f aca="false">H283</f>
        <v>0</v>
      </c>
      <c r="K645" s="0" t="n">
        <v>279</v>
      </c>
      <c r="L645" s="0" t="str">
        <f aca="false">L283</f>
        <v/>
      </c>
      <c r="M645" s="0" t="n">
        <v>279</v>
      </c>
      <c r="N645" s="0" t="n">
        <f aca="false">N283</f>
        <v>0</v>
      </c>
      <c r="Q645" s="0" t="e">
        <f aca="false">IF(Charts!$B$3="none",E2452,IF(K2452="",NA(),K2452))</f>
        <v>#N/A</v>
      </c>
      <c r="R645" s="0" t="e">
        <f aca="false">IF(Charts!$B$3="none",F2452,IF(L2452="",NA(),L2452))</f>
        <v>#N/A</v>
      </c>
      <c r="S645" s="0" t="e">
        <f aca="false">IF(Charts!$B$3="none",G2452,IF(M2452="",NA(),M2452))</f>
        <v>#N/A</v>
      </c>
      <c r="T645" s="0" t="e">
        <f aca="false">IF(Charts!$B$3="none",H2452,IF(N2452="",NA(),N2452))</f>
        <v>#N/A</v>
      </c>
    </row>
    <row r="646" customFormat="false" ht="15" hidden="false" customHeight="false" outlineLevel="0" collapsed="false">
      <c r="E646" s="0" t="n">
        <v>280</v>
      </c>
      <c r="F646" s="0" t="str">
        <f aca="false">F284</f>
        <v/>
      </c>
      <c r="G646" s="0" t="n">
        <v>280</v>
      </c>
      <c r="H646" s="0" t="n">
        <f aca="false">H284</f>
        <v>0</v>
      </c>
      <c r="K646" s="0" t="n">
        <v>280</v>
      </c>
      <c r="L646" s="0" t="str">
        <f aca="false">L284</f>
        <v/>
      </c>
      <c r="M646" s="0" t="n">
        <v>280</v>
      </c>
      <c r="N646" s="0" t="n">
        <f aca="false">N284</f>
        <v>0</v>
      </c>
      <c r="Q646" s="0" t="e">
        <f aca="false">IF(Charts!$B$3="none",E2453,IF(K2453="",NA(),K2453))</f>
        <v>#N/A</v>
      </c>
      <c r="R646" s="0" t="e">
        <f aca="false">IF(Charts!$B$3="none",F2453,IF(L2453="",NA(),L2453))</f>
        <v>#N/A</v>
      </c>
      <c r="S646" s="0" t="e">
        <f aca="false">IF(Charts!$B$3="none",G2453,IF(M2453="",NA(),M2453))</f>
        <v>#N/A</v>
      </c>
      <c r="T646" s="0" t="e">
        <f aca="false">IF(Charts!$B$3="none",H2453,IF(N2453="",NA(),N2453))</f>
        <v>#N/A</v>
      </c>
    </row>
    <row r="647" customFormat="false" ht="15" hidden="false" customHeight="false" outlineLevel="0" collapsed="false">
      <c r="E647" s="0" t="n">
        <v>281</v>
      </c>
      <c r="F647" s="0" t="str">
        <f aca="false">F285</f>
        <v/>
      </c>
      <c r="G647" s="0" t="n">
        <v>281</v>
      </c>
      <c r="H647" s="0" t="n">
        <f aca="false">H285</f>
        <v>0</v>
      </c>
      <c r="K647" s="0" t="n">
        <v>281</v>
      </c>
      <c r="L647" s="0" t="str">
        <f aca="false">L285</f>
        <v/>
      </c>
      <c r="M647" s="0" t="n">
        <v>281</v>
      </c>
      <c r="N647" s="0" t="n">
        <f aca="false">N285</f>
        <v>0</v>
      </c>
      <c r="Q647" s="0" t="e">
        <f aca="false">IF(Charts!$B$3="none",E2454,IF(K2454="",NA(),K2454))</f>
        <v>#N/A</v>
      </c>
      <c r="R647" s="0" t="e">
        <f aca="false">IF(Charts!$B$3="none",F2454,IF(L2454="",NA(),L2454))</f>
        <v>#N/A</v>
      </c>
      <c r="S647" s="0" t="e">
        <f aca="false">IF(Charts!$B$3="none",G2454,IF(M2454="",NA(),M2454))</f>
        <v>#N/A</v>
      </c>
      <c r="T647" s="0" t="e">
        <f aca="false">IF(Charts!$B$3="none",H2454,IF(N2454="",NA(),N2454))</f>
        <v>#N/A</v>
      </c>
    </row>
    <row r="648" customFormat="false" ht="15" hidden="false" customHeight="false" outlineLevel="0" collapsed="false">
      <c r="E648" s="0" t="n">
        <v>282</v>
      </c>
      <c r="F648" s="0" t="str">
        <f aca="false">F286</f>
        <v/>
      </c>
      <c r="G648" s="0" t="n">
        <v>282</v>
      </c>
      <c r="H648" s="0" t="n">
        <f aca="false">H286</f>
        <v>0</v>
      </c>
      <c r="K648" s="0" t="n">
        <v>282</v>
      </c>
      <c r="L648" s="0" t="str">
        <f aca="false">L286</f>
        <v/>
      </c>
      <c r="M648" s="0" t="n">
        <v>282</v>
      </c>
      <c r="N648" s="0" t="n">
        <f aca="false">N286</f>
        <v>0</v>
      </c>
      <c r="Q648" s="0" t="e">
        <f aca="false">IF(Charts!$B$3="none",E2455,IF(K2455="",NA(),K2455))</f>
        <v>#N/A</v>
      </c>
      <c r="R648" s="0" t="e">
        <f aca="false">IF(Charts!$B$3="none",F2455,IF(L2455="",NA(),L2455))</f>
        <v>#N/A</v>
      </c>
      <c r="S648" s="0" t="e">
        <f aca="false">IF(Charts!$B$3="none",G2455,IF(M2455="",NA(),M2455))</f>
        <v>#N/A</v>
      </c>
      <c r="T648" s="0" t="e">
        <f aca="false">IF(Charts!$B$3="none",H2455,IF(N2455="",NA(),N2455))</f>
        <v>#N/A</v>
      </c>
    </row>
    <row r="649" customFormat="false" ht="15" hidden="false" customHeight="false" outlineLevel="0" collapsed="false">
      <c r="E649" s="0" t="n">
        <v>283</v>
      </c>
      <c r="F649" s="0" t="str">
        <f aca="false">F287</f>
        <v/>
      </c>
      <c r="G649" s="0" t="n">
        <v>283</v>
      </c>
      <c r="H649" s="0" t="n">
        <f aca="false">H287</f>
        <v>0</v>
      </c>
      <c r="K649" s="0" t="n">
        <v>283</v>
      </c>
      <c r="L649" s="0" t="str">
        <f aca="false">L287</f>
        <v/>
      </c>
      <c r="M649" s="0" t="n">
        <v>283</v>
      </c>
      <c r="N649" s="0" t="n">
        <f aca="false">N287</f>
        <v>0</v>
      </c>
      <c r="Q649" s="0" t="e">
        <f aca="false">IF(Charts!$B$3="none",E2456,IF(K2456="",NA(),K2456))</f>
        <v>#N/A</v>
      </c>
      <c r="R649" s="0" t="e">
        <f aca="false">IF(Charts!$B$3="none",F2456,IF(L2456="",NA(),L2456))</f>
        <v>#N/A</v>
      </c>
      <c r="S649" s="0" t="e">
        <f aca="false">IF(Charts!$B$3="none",G2456,IF(M2456="",NA(),M2456))</f>
        <v>#N/A</v>
      </c>
      <c r="T649" s="0" t="e">
        <f aca="false">IF(Charts!$B$3="none",H2456,IF(N2456="",NA(),N2456))</f>
        <v>#N/A</v>
      </c>
    </row>
    <row r="650" customFormat="false" ht="15" hidden="false" customHeight="false" outlineLevel="0" collapsed="false">
      <c r="E650" s="0" t="n">
        <v>284</v>
      </c>
      <c r="F650" s="0" t="str">
        <f aca="false">F288</f>
        <v/>
      </c>
      <c r="G650" s="0" t="n">
        <v>284</v>
      </c>
      <c r="H650" s="0" t="n">
        <f aca="false">H288</f>
        <v>0</v>
      </c>
      <c r="K650" s="0" t="n">
        <v>284</v>
      </c>
      <c r="L650" s="0" t="str">
        <f aca="false">L288</f>
        <v/>
      </c>
      <c r="M650" s="0" t="n">
        <v>284</v>
      </c>
      <c r="N650" s="0" t="n">
        <f aca="false">N288</f>
        <v>0</v>
      </c>
      <c r="Q650" s="0" t="e">
        <f aca="false">IF(Charts!$B$3="none",E2457,IF(K2457="",NA(),K2457))</f>
        <v>#N/A</v>
      </c>
      <c r="R650" s="0" t="e">
        <f aca="false">IF(Charts!$B$3="none",F2457,IF(L2457="",NA(),L2457))</f>
        <v>#N/A</v>
      </c>
      <c r="S650" s="0" t="e">
        <f aca="false">IF(Charts!$B$3="none",G2457,IF(M2457="",NA(),M2457))</f>
        <v>#N/A</v>
      </c>
      <c r="T650" s="0" t="e">
        <f aca="false">IF(Charts!$B$3="none",H2457,IF(N2457="",NA(),N2457))</f>
        <v>#N/A</v>
      </c>
    </row>
    <row r="651" customFormat="false" ht="15" hidden="false" customHeight="false" outlineLevel="0" collapsed="false">
      <c r="E651" s="0" t="n">
        <v>285</v>
      </c>
      <c r="F651" s="0" t="str">
        <f aca="false">F289</f>
        <v/>
      </c>
      <c r="G651" s="0" t="n">
        <v>285</v>
      </c>
      <c r="H651" s="0" t="n">
        <f aca="false">H289</f>
        <v>0</v>
      </c>
      <c r="K651" s="0" t="n">
        <v>285</v>
      </c>
      <c r="L651" s="0" t="str">
        <f aca="false">L289</f>
        <v/>
      </c>
      <c r="M651" s="0" t="n">
        <v>285</v>
      </c>
      <c r="N651" s="0" t="n">
        <f aca="false">N289</f>
        <v>0</v>
      </c>
      <c r="Q651" s="0" t="e">
        <f aca="false">IF(Charts!$B$3="none",E2458,IF(K2458="",NA(),K2458))</f>
        <v>#N/A</v>
      </c>
      <c r="R651" s="0" t="e">
        <f aca="false">IF(Charts!$B$3="none",F2458,IF(L2458="",NA(),L2458))</f>
        <v>#N/A</v>
      </c>
      <c r="S651" s="0" t="e">
        <f aca="false">IF(Charts!$B$3="none",G2458,IF(M2458="",NA(),M2458))</f>
        <v>#N/A</v>
      </c>
      <c r="T651" s="0" t="e">
        <f aca="false">IF(Charts!$B$3="none",H2458,IF(N2458="",NA(),N2458))</f>
        <v>#N/A</v>
      </c>
    </row>
    <row r="652" customFormat="false" ht="15" hidden="false" customHeight="false" outlineLevel="0" collapsed="false">
      <c r="E652" s="0" t="n">
        <v>286</v>
      </c>
      <c r="F652" s="0" t="str">
        <f aca="false">F290</f>
        <v/>
      </c>
      <c r="G652" s="0" t="n">
        <v>286</v>
      </c>
      <c r="H652" s="0" t="n">
        <f aca="false">H290</f>
        <v>0</v>
      </c>
      <c r="K652" s="0" t="n">
        <v>286</v>
      </c>
      <c r="L652" s="0" t="str">
        <f aca="false">L290</f>
        <v/>
      </c>
      <c r="M652" s="0" t="n">
        <v>286</v>
      </c>
      <c r="N652" s="0" t="n">
        <f aca="false">N290</f>
        <v>0</v>
      </c>
      <c r="Q652" s="0" t="e">
        <f aca="false">IF(Charts!$B$3="none",E2459,IF(K2459="",NA(),K2459))</f>
        <v>#N/A</v>
      </c>
      <c r="R652" s="0" t="e">
        <f aca="false">IF(Charts!$B$3="none",F2459,IF(L2459="",NA(),L2459))</f>
        <v>#N/A</v>
      </c>
      <c r="S652" s="0" t="e">
        <f aca="false">IF(Charts!$B$3="none",G2459,IF(M2459="",NA(),M2459))</f>
        <v>#N/A</v>
      </c>
      <c r="T652" s="0" t="e">
        <f aca="false">IF(Charts!$B$3="none",H2459,IF(N2459="",NA(),N2459))</f>
        <v>#N/A</v>
      </c>
    </row>
    <row r="653" customFormat="false" ht="15" hidden="false" customHeight="false" outlineLevel="0" collapsed="false">
      <c r="E653" s="0" t="n">
        <v>287</v>
      </c>
      <c r="F653" s="0" t="str">
        <f aca="false">F291</f>
        <v/>
      </c>
      <c r="G653" s="0" t="n">
        <v>287</v>
      </c>
      <c r="H653" s="0" t="n">
        <f aca="false">H291</f>
        <v>0</v>
      </c>
      <c r="K653" s="0" t="n">
        <v>287</v>
      </c>
      <c r="L653" s="0" t="str">
        <f aca="false">L291</f>
        <v/>
      </c>
      <c r="M653" s="0" t="n">
        <v>287</v>
      </c>
      <c r="N653" s="0" t="n">
        <f aca="false">N291</f>
        <v>0</v>
      </c>
      <c r="Q653" s="0" t="e">
        <f aca="false">IF(Charts!$B$3="none",E2460,IF(K2460="",NA(),K2460))</f>
        <v>#N/A</v>
      </c>
      <c r="R653" s="0" t="e">
        <f aca="false">IF(Charts!$B$3="none",F2460,IF(L2460="",NA(),L2460))</f>
        <v>#N/A</v>
      </c>
      <c r="S653" s="0" t="e">
        <f aca="false">IF(Charts!$B$3="none",G2460,IF(M2460="",NA(),M2460))</f>
        <v>#N/A</v>
      </c>
      <c r="T653" s="0" t="e">
        <f aca="false">IF(Charts!$B$3="none",H2460,IF(N2460="",NA(),N2460))</f>
        <v>#N/A</v>
      </c>
    </row>
    <row r="654" customFormat="false" ht="15" hidden="false" customHeight="false" outlineLevel="0" collapsed="false">
      <c r="E654" s="0" t="n">
        <v>288</v>
      </c>
      <c r="F654" s="0" t="str">
        <f aca="false">F292</f>
        <v/>
      </c>
      <c r="G654" s="0" t="n">
        <v>288</v>
      </c>
      <c r="H654" s="0" t="n">
        <f aca="false">H292</f>
        <v>0</v>
      </c>
      <c r="K654" s="0" t="n">
        <v>288</v>
      </c>
      <c r="L654" s="0" t="str">
        <f aca="false">L292</f>
        <v/>
      </c>
      <c r="M654" s="0" t="n">
        <v>288</v>
      </c>
      <c r="N654" s="0" t="n">
        <f aca="false">N292</f>
        <v>0</v>
      </c>
      <c r="Q654" s="0" t="e">
        <f aca="false">IF(Charts!$B$3="none",E2461,IF(K2461="",NA(),K2461))</f>
        <v>#N/A</v>
      </c>
      <c r="R654" s="0" t="e">
        <f aca="false">IF(Charts!$B$3="none",F2461,IF(L2461="",NA(),L2461))</f>
        <v>#N/A</v>
      </c>
      <c r="S654" s="0" t="e">
        <f aca="false">IF(Charts!$B$3="none",G2461,IF(M2461="",NA(),M2461))</f>
        <v>#N/A</v>
      </c>
      <c r="T654" s="0" t="e">
        <f aca="false">IF(Charts!$B$3="none",H2461,IF(N2461="",NA(),N2461))</f>
        <v>#N/A</v>
      </c>
    </row>
    <row r="655" customFormat="false" ht="15" hidden="false" customHeight="false" outlineLevel="0" collapsed="false">
      <c r="E655" s="0" t="n">
        <v>289</v>
      </c>
      <c r="F655" s="0" t="str">
        <f aca="false">F293</f>
        <v/>
      </c>
      <c r="G655" s="0" t="n">
        <v>289</v>
      </c>
      <c r="H655" s="0" t="n">
        <f aca="false">H293</f>
        <v>0</v>
      </c>
      <c r="K655" s="0" t="n">
        <v>289</v>
      </c>
      <c r="L655" s="0" t="str">
        <f aca="false">L293</f>
        <v/>
      </c>
      <c r="M655" s="0" t="n">
        <v>289</v>
      </c>
      <c r="N655" s="0" t="n">
        <f aca="false">N293</f>
        <v>0</v>
      </c>
      <c r="Q655" s="0" t="e">
        <f aca="false">IF(Charts!$B$3="none",E2462,IF(K2462="",NA(),K2462))</f>
        <v>#N/A</v>
      </c>
      <c r="R655" s="0" t="e">
        <f aca="false">IF(Charts!$B$3="none",F2462,IF(L2462="",NA(),L2462))</f>
        <v>#N/A</v>
      </c>
      <c r="S655" s="0" t="e">
        <f aca="false">IF(Charts!$B$3="none",G2462,IF(M2462="",NA(),M2462))</f>
        <v>#N/A</v>
      </c>
      <c r="T655" s="0" t="e">
        <f aca="false">IF(Charts!$B$3="none",H2462,IF(N2462="",NA(),N2462))</f>
        <v>#N/A</v>
      </c>
    </row>
    <row r="656" customFormat="false" ht="15" hidden="false" customHeight="false" outlineLevel="0" collapsed="false">
      <c r="E656" s="0" t="n">
        <v>290</v>
      </c>
      <c r="F656" s="0" t="str">
        <f aca="false">F294</f>
        <v/>
      </c>
      <c r="G656" s="0" t="n">
        <v>290</v>
      </c>
      <c r="H656" s="0" t="n">
        <f aca="false">H294</f>
        <v>0</v>
      </c>
      <c r="K656" s="0" t="n">
        <v>290</v>
      </c>
      <c r="L656" s="0" t="str">
        <f aca="false">L294</f>
        <v/>
      </c>
      <c r="M656" s="0" t="n">
        <v>290</v>
      </c>
      <c r="N656" s="0" t="n">
        <f aca="false">N294</f>
        <v>0</v>
      </c>
      <c r="Q656" s="0" t="e">
        <f aca="false">IF(Charts!$B$3="none",E2463,IF(K2463="",NA(),K2463))</f>
        <v>#N/A</v>
      </c>
      <c r="R656" s="0" t="e">
        <f aca="false">IF(Charts!$B$3="none",F2463,IF(L2463="",NA(),L2463))</f>
        <v>#N/A</v>
      </c>
      <c r="S656" s="0" t="e">
        <f aca="false">IF(Charts!$B$3="none",G2463,IF(M2463="",NA(),M2463))</f>
        <v>#N/A</v>
      </c>
      <c r="T656" s="0" t="e">
        <f aca="false">IF(Charts!$B$3="none",H2463,IF(N2463="",NA(),N2463))</f>
        <v>#N/A</v>
      </c>
    </row>
    <row r="657" customFormat="false" ht="15" hidden="false" customHeight="false" outlineLevel="0" collapsed="false">
      <c r="E657" s="0" t="n">
        <v>291</v>
      </c>
      <c r="F657" s="0" t="str">
        <f aca="false">F295</f>
        <v/>
      </c>
      <c r="G657" s="0" t="n">
        <v>291</v>
      </c>
      <c r="H657" s="0" t="n">
        <f aca="false">H295</f>
        <v>0</v>
      </c>
      <c r="K657" s="0" t="n">
        <v>291</v>
      </c>
      <c r="L657" s="0" t="str">
        <f aca="false">L295</f>
        <v/>
      </c>
      <c r="M657" s="0" t="n">
        <v>291</v>
      </c>
      <c r="N657" s="0" t="n">
        <f aca="false">N295</f>
        <v>0</v>
      </c>
      <c r="Q657" s="0" t="e">
        <f aca="false">IF(Charts!$B$3="none",E2464,IF(K2464="",NA(),K2464))</f>
        <v>#N/A</v>
      </c>
      <c r="R657" s="0" t="e">
        <f aca="false">IF(Charts!$B$3="none",F2464,IF(L2464="",NA(),L2464))</f>
        <v>#N/A</v>
      </c>
      <c r="S657" s="0" t="e">
        <f aca="false">IF(Charts!$B$3="none",G2464,IF(M2464="",NA(),M2464))</f>
        <v>#N/A</v>
      </c>
      <c r="T657" s="0" t="e">
        <f aca="false">IF(Charts!$B$3="none",H2464,IF(N2464="",NA(),N2464))</f>
        <v>#N/A</v>
      </c>
    </row>
    <row r="658" customFormat="false" ht="15" hidden="false" customHeight="false" outlineLevel="0" collapsed="false">
      <c r="E658" s="0" t="n">
        <v>292</v>
      </c>
      <c r="F658" s="0" t="str">
        <f aca="false">F296</f>
        <v/>
      </c>
      <c r="G658" s="0" t="n">
        <v>292</v>
      </c>
      <c r="H658" s="0" t="n">
        <f aca="false">H296</f>
        <v>0</v>
      </c>
      <c r="K658" s="0" t="n">
        <v>292</v>
      </c>
      <c r="L658" s="0" t="str">
        <f aca="false">L296</f>
        <v/>
      </c>
      <c r="M658" s="0" t="n">
        <v>292</v>
      </c>
      <c r="N658" s="0" t="n">
        <f aca="false">N296</f>
        <v>0</v>
      </c>
      <c r="Q658" s="0" t="e">
        <f aca="false">IF(Charts!$B$3="none",E2465,IF(K2465="",NA(),K2465))</f>
        <v>#N/A</v>
      </c>
      <c r="R658" s="0" t="e">
        <f aca="false">IF(Charts!$B$3="none",F2465,IF(L2465="",NA(),L2465))</f>
        <v>#N/A</v>
      </c>
      <c r="S658" s="0" t="e">
        <f aca="false">IF(Charts!$B$3="none",G2465,IF(M2465="",NA(),M2465))</f>
        <v>#N/A</v>
      </c>
      <c r="T658" s="0" t="e">
        <f aca="false">IF(Charts!$B$3="none",H2465,IF(N2465="",NA(),N2465))</f>
        <v>#N/A</v>
      </c>
    </row>
    <row r="659" customFormat="false" ht="15" hidden="false" customHeight="false" outlineLevel="0" collapsed="false">
      <c r="E659" s="0" t="n">
        <v>293</v>
      </c>
      <c r="F659" s="0" t="str">
        <f aca="false">F297</f>
        <v/>
      </c>
      <c r="G659" s="0" t="n">
        <v>293</v>
      </c>
      <c r="H659" s="0" t="n">
        <f aca="false">H297</f>
        <v>0</v>
      </c>
      <c r="K659" s="0" t="n">
        <v>293</v>
      </c>
      <c r="L659" s="0" t="str">
        <f aca="false">L297</f>
        <v/>
      </c>
      <c r="M659" s="0" t="n">
        <v>293</v>
      </c>
      <c r="N659" s="0" t="n">
        <f aca="false">N297</f>
        <v>0</v>
      </c>
      <c r="Q659" s="0" t="e">
        <f aca="false">IF(Charts!$B$3="none",E2466,IF(K2466="",NA(),K2466))</f>
        <v>#N/A</v>
      </c>
      <c r="R659" s="0" t="e">
        <f aca="false">IF(Charts!$B$3="none",F2466,IF(L2466="",NA(),L2466))</f>
        <v>#N/A</v>
      </c>
      <c r="S659" s="0" t="e">
        <f aca="false">IF(Charts!$B$3="none",G2466,IF(M2466="",NA(),M2466))</f>
        <v>#N/A</v>
      </c>
      <c r="T659" s="0" t="e">
        <f aca="false">IF(Charts!$B$3="none",H2466,IF(N2466="",NA(),N2466))</f>
        <v>#N/A</v>
      </c>
    </row>
    <row r="660" customFormat="false" ht="15" hidden="false" customHeight="false" outlineLevel="0" collapsed="false">
      <c r="E660" s="0" t="n">
        <v>294</v>
      </c>
      <c r="F660" s="0" t="str">
        <f aca="false">F298</f>
        <v/>
      </c>
      <c r="G660" s="0" t="n">
        <v>294</v>
      </c>
      <c r="H660" s="0" t="n">
        <f aca="false">H298</f>
        <v>0</v>
      </c>
      <c r="K660" s="0" t="n">
        <v>294</v>
      </c>
      <c r="L660" s="0" t="str">
        <f aca="false">L298</f>
        <v/>
      </c>
      <c r="M660" s="0" t="n">
        <v>294</v>
      </c>
      <c r="N660" s="0" t="n">
        <f aca="false">N298</f>
        <v>0</v>
      </c>
      <c r="Q660" s="0" t="e">
        <f aca="false">IF(Charts!$B$3="none",E2467,IF(K2467="",NA(),K2467))</f>
        <v>#N/A</v>
      </c>
      <c r="R660" s="0" t="e">
        <f aca="false">IF(Charts!$B$3="none",F2467,IF(L2467="",NA(),L2467))</f>
        <v>#N/A</v>
      </c>
      <c r="S660" s="0" t="e">
        <f aca="false">IF(Charts!$B$3="none",G2467,IF(M2467="",NA(),M2467))</f>
        <v>#N/A</v>
      </c>
      <c r="T660" s="0" t="e">
        <f aca="false">IF(Charts!$B$3="none",H2467,IF(N2467="",NA(),N2467))</f>
        <v>#N/A</v>
      </c>
    </row>
    <row r="661" customFormat="false" ht="15" hidden="false" customHeight="false" outlineLevel="0" collapsed="false">
      <c r="E661" s="0" t="n">
        <v>295</v>
      </c>
      <c r="F661" s="0" t="str">
        <f aca="false">F299</f>
        <v/>
      </c>
      <c r="G661" s="0" t="n">
        <v>295</v>
      </c>
      <c r="H661" s="0" t="n">
        <f aca="false">H299</f>
        <v>0</v>
      </c>
      <c r="K661" s="0" t="n">
        <v>295</v>
      </c>
      <c r="L661" s="0" t="str">
        <f aca="false">L299</f>
        <v/>
      </c>
      <c r="M661" s="0" t="n">
        <v>295</v>
      </c>
      <c r="N661" s="0" t="n">
        <f aca="false">N299</f>
        <v>0</v>
      </c>
      <c r="Q661" s="0" t="e">
        <f aca="false">IF(Charts!$B$3="none",E2468,IF(K2468="",NA(),K2468))</f>
        <v>#N/A</v>
      </c>
      <c r="R661" s="0" t="e">
        <f aca="false">IF(Charts!$B$3="none",F2468,IF(L2468="",NA(),L2468))</f>
        <v>#N/A</v>
      </c>
      <c r="S661" s="0" t="e">
        <f aca="false">IF(Charts!$B$3="none",G2468,IF(M2468="",NA(),M2468))</f>
        <v>#N/A</v>
      </c>
      <c r="T661" s="0" t="e">
        <f aca="false">IF(Charts!$B$3="none",H2468,IF(N2468="",NA(),N2468))</f>
        <v>#N/A</v>
      </c>
    </row>
    <row r="662" customFormat="false" ht="15" hidden="false" customHeight="false" outlineLevel="0" collapsed="false">
      <c r="E662" s="0" t="n">
        <v>296</v>
      </c>
      <c r="F662" s="0" t="str">
        <f aca="false">F300</f>
        <v/>
      </c>
      <c r="G662" s="0" t="n">
        <v>296</v>
      </c>
      <c r="H662" s="0" t="n">
        <f aca="false">H300</f>
        <v>0</v>
      </c>
      <c r="K662" s="0" t="n">
        <v>296</v>
      </c>
      <c r="L662" s="0" t="str">
        <f aca="false">L300</f>
        <v/>
      </c>
      <c r="M662" s="0" t="n">
        <v>296</v>
      </c>
      <c r="N662" s="0" t="n">
        <f aca="false">N300</f>
        <v>0</v>
      </c>
      <c r="Q662" s="0" t="e">
        <f aca="false">IF(Charts!$B$3="none",E2469,IF(K2469="",NA(),K2469))</f>
        <v>#N/A</v>
      </c>
      <c r="R662" s="0" t="e">
        <f aca="false">IF(Charts!$B$3="none",F2469,IF(L2469="",NA(),L2469))</f>
        <v>#N/A</v>
      </c>
      <c r="S662" s="0" t="e">
        <f aca="false">IF(Charts!$B$3="none",G2469,IF(M2469="",NA(),M2469))</f>
        <v>#N/A</v>
      </c>
      <c r="T662" s="0" t="e">
        <f aca="false">IF(Charts!$B$3="none",H2469,IF(N2469="",NA(),N2469))</f>
        <v>#N/A</v>
      </c>
    </row>
    <row r="663" customFormat="false" ht="15" hidden="false" customHeight="false" outlineLevel="0" collapsed="false">
      <c r="E663" s="0" t="n">
        <v>297</v>
      </c>
      <c r="F663" s="0" t="str">
        <f aca="false">F301</f>
        <v/>
      </c>
      <c r="G663" s="0" t="n">
        <v>297</v>
      </c>
      <c r="H663" s="0" t="n">
        <f aca="false">H301</f>
        <v>0</v>
      </c>
      <c r="K663" s="0" t="n">
        <v>297</v>
      </c>
      <c r="L663" s="0" t="str">
        <f aca="false">L301</f>
        <v/>
      </c>
      <c r="M663" s="0" t="n">
        <v>297</v>
      </c>
      <c r="N663" s="0" t="n">
        <f aca="false">N301</f>
        <v>0</v>
      </c>
      <c r="Q663" s="0" t="e">
        <f aca="false">IF(Charts!$B$3="none",E2470,IF(K2470="",NA(),K2470))</f>
        <v>#N/A</v>
      </c>
      <c r="R663" s="0" t="e">
        <f aca="false">IF(Charts!$B$3="none",F2470,IF(L2470="",NA(),L2470))</f>
        <v>#N/A</v>
      </c>
      <c r="S663" s="0" t="e">
        <f aca="false">IF(Charts!$B$3="none",G2470,IF(M2470="",NA(),M2470))</f>
        <v>#N/A</v>
      </c>
      <c r="T663" s="0" t="e">
        <f aca="false">IF(Charts!$B$3="none",H2470,IF(N2470="",NA(),N2470))</f>
        <v>#N/A</v>
      </c>
    </row>
    <row r="664" customFormat="false" ht="15" hidden="false" customHeight="false" outlineLevel="0" collapsed="false">
      <c r="E664" s="0" t="n">
        <v>298</v>
      </c>
      <c r="F664" s="0" t="str">
        <f aca="false">F302</f>
        <v/>
      </c>
      <c r="G664" s="0" t="n">
        <v>298</v>
      </c>
      <c r="H664" s="0" t="n">
        <f aca="false">H302</f>
        <v>0</v>
      </c>
      <c r="K664" s="0" t="n">
        <v>298</v>
      </c>
      <c r="L664" s="0" t="str">
        <f aca="false">L302</f>
        <v/>
      </c>
      <c r="M664" s="0" t="n">
        <v>298</v>
      </c>
      <c r="N664" s="0" t="n">
        <f aca="false">N302</f>
        <v>0</v>
      </c>
      <c r="Q664" s="0" t="e">
        <f aca="false">IF(Charts!$B$3="none",E2471,IF(K2471="",NA(),K2471))</f>
        <v>#N/A</v>
      </c>
      <c r="R664" s="0" t="e">
        <f aca="false">IF(Charts!$B$3="none",F2471,IF(L2471="",NA(),L2471))</f>
        <v>#N/A</v>
      </c>
      <c r="S664" s="0" t="e">
        <f aca="false">IF(Charts!$B$3="none",G2471,IF(M2471="",NA(),M2471))</f>
        <v>#N/A</v>
      </c>
      <c r="T664" s="0" t="e">
        <f aca="false">IF(Charts!$B$3="none",H2471,IF(N2471="",NA(),N2471))</f>
        <v>#N/A</v>
      </c>
    </row>
    <row r="665" customFormat="false" ht="15" hidden="false" customHeight="false" outlineLevel="0" collapsed="false">
      <c r="E665" s="0" t="n">
        <v>299</v>
      </c>
      <c r="F665" s="0" t="str">
        <f aca="false">F303</f>
        <v/>
      </c>
      <c r="G665" s="0" t="n">
        <v>299</v>
      </c>
      <c r="H665" s="0" t="n">
        <f aca="false">H303</f>
        <v>0</v>
      </c>
      <c r="K665" s="0" t="n">
        <v>299</v>
      </c>
      <c r="L665" s="0" t="str">
        <f aca="false">L303</f>
        <v/>
      </c>
      <c r="M665" s="0" t="n">
        <v>299</v>
      </c>
      <c r="N665" s="0" t="n">
        <f aca="false">N303</f>
        <v>0</v>
      </c>
      <c r="Q665" s="0" t="e">
        <f aca="false">IF(Charts!$B$3="none",E2472,IF(K2472="",NA(),K2472))</f>
        <v>#N/A</v>
      </c>
      <c r="R665" s="0" t="e">
        <f aca="false">IF(Charts!$B$3="none",F2472,IF(L2472="",NA(),L2472))</f>
        <v>#N/A</v>
      </c>
      <c r="S665" s="0" t="e">
        <f aca="false">IF(Charts!$B$3="none",G2472,IF(M2472="",NA(),M2472))</f>
        <v>#N/A</v>
      </c>
      <c r="T665" s="0" t="e">
        <f aca="false">IF(Charts!$B$3="none",H2472,IF(N2472="",NA(),N2472))</f>
        <v>#N/A</v>
      </c>
    </row>
    <row r="666" customFormat="false" ht="15" hidden="false" customHeight="false" outlineLevel="0" collapsed="false">
      <c r="E666" s="0" t="n">
        <v>300</v>
      </c>
      <c r="F666" s="0" t="str">
        <f aca="false">F304</f>
        <v/>
      </c>
      <c r="G666" s="0" t="n">
        <v>300</v>
      </c>
      <c r="H666" s="0" t="n">
        <f aca="false">H304</f>
        <v>0</v>
      </c>
      <c r="K666" s="0" t="n">
        <v>300</v>
      </c>
      <c r="L666" s="0" t="str">
        <f aca="false">L304</f>
        <v/>
      </c>
      <c r="M666" s="0" t="n">
        <v>300</v>
      </c>
      <c r="N666" s="0" t="n">
        <f aca="false">N304</f>
        <v>0</v>
      </c>
      <c r="Q666" s="0" t="e">
        <f aca="false">IF(Charts!$B$3="none",E2473,IF(K2473="",NA(),K2473))</f>
        <v>#N/A</v>
      </c>
      <c r="R666" s="0" t="e">
        <f aca="false">IF(Charts!$B$3="none",F2473,IF(L2473="",NA(),L2473))</f>
        <v>#N/A</v>
      </c>
      <c r="S666" s="0" t="e">
        <f aca="false">IF(Charts!$B$3="none",G2473,IF(M2473="",NA(),M2473))</f>
        <v>#N/A</v>
      </c>
      <c r="T666" s="0" t="e">
        <f aca="false">IF(Charts!$B$3="none",H2473,IF(N2473="",NA(),N2473))</f>
        <v>#N/A</v>
      </c>
    </row>
    <row r="667" customFormat="false" ht="15" hidden="false" customHeight="false" outlineLevel="0" collapsed="false">
      <c r="E667" s="0" t="n">
        <v>301</v>
      </c>
      <c r="F667" s="0" t="str">
        <f aca="false">F305</f>
        <v/>
      </c>
      <c r="G667" s="0" t="n">
        <v>301</v>
      </c>
      <c r="H667" s="0" t="n">
        <f aca="false">H305</f>
        <v>0</v>
      </c>
      <c r="K667" s="0" t="n">
        <v>301</v>
      </c>
      <c r="L667" s="0" t="str">
        <f aca="false">L305</f>
        <v/>
      </c>
      <c r="M667" s="0" t="n">
        <v>301</v>
      </c>
      <c r="N667" s="0" t="n">
        <f aca="false">N305</f>
        <v>0</v>
      </c>
      <c r="Q667" s="0" t="e">
        <f aca="false">IF(Charts!$B$3="none",E2474,IF(K2474="",NA(),K2474))</f>
        <v>#N/A</v>
      </c>
      <c r="R667" s="0" t="e">
        <f aca="false">IF(Charts!$B$3="none",F2474,IF(L2474="",NA(),L2474))</f>
        <v>#N/A</v>
      </c>
      <c r="S667" s="0" t="e">
        <f aca="false">IF(Charts!$B$3="none",G2474,IF(M2474="",NA(),M2474))</f>
        <v>#N/A</v>
      </c>
      <c r="T667" s="0" t="e">
        <f aca="false">IF(Charts!$B$3="none",H2474,IF(N2474="",NA(),N2474))</f>
        <v>#N/A</v>
      </c>
    </row>
    <row r="668" customFormat="false" ht="15" hidden="false" customHeight="false" outlineLevel="0" collapsed="false">
      <c r="E668" s="0" t="n">
        <v>302</v>
      </c>
      <c r="F668" s="0" t="str">
        <f aca="false">F306</f>
        <v/>
      </c>
      <c r="G668" s="0" t="n">
        <v>302</v>
      </c>
      <c r="H668" s="0" t="n">
        <f aca="false">H306</f>
        <v>0</v>
      </c>
      <c r="K668" s="0" t="n">
        <v>302</v>
      </c>
      <c r="L668" s="0" t="str">
        <f aca="false">L306</f>
        <v/>
      </c>
      <c r="M668" s="0" t="n">
        <v>302</v>
      </c>
      <c r="N668" s="0" t="n">
        <f aca="false">N306</f>
        <v>0</v>
      </c>
      <c r="Q668" s="0" t="e">
        <f aca="false">IF(Charts!$B$3="none",E2475,IF(K2475="",NA(),K2475))</f>
        <v>#N/A</v>
      </c>
      <c r="R668" s="0" t="e">
        <f aca="false">IF(Charts!$B$3="none",F2475,IF(L2475="",NA(),L2475))</f>
        <v>#N/A</v>
      </c>
      <c r="S668" s="0" t="e">
        <f aca="false">IF(Charts!$B$3="none",G2475,IF(M2475="",NA(),M2475))</f>
        <v>#N/A</v>
      </c>
      <c r="T668" s="0" t="e">
        <f aca="false">IF(Charts!$B$3="none",H2475,IF(N2475="",NA(),N2475))</f>
        <v>#N/A</v>
      </c>
    </row>
    <row r="669" customFormat="false" ht="15" hidden="false" customHeight="false" outlineLevel="0" collapsed="false">
      <c r="E669" s="0" t="n">
        <v>303</v>
      </c>
      <c r="F669" s="0" t="str">
        <f aca="false">F307</f>
        <v/>
      </c>
      <c r="G669" s="0" t="n">
        <v>303</v>
      </c>
      <c r="H669" s="0" t="n">
        <f aca="false">H307</f>
        <v>0</v>
      </c>
      <c r="K669" s="0" t="n">
        <v>303</v>
      </c>
      <c r="L669" s="0" t="str">
        <f aca="false">L307</f>
        <v/>
      </c>
      <c r="M669" s="0" t="n">
        <v>303</v>
      </c>
      <c r="N669" s="0" t="n">
        <f aca="false">N307</f>
        <v>0</v>
      </c>
      <c r="Q669" s="0" t="e">
        <f aca="false">IF(Charts!$B$3="none",E2476,IF(K2476="",NA(),K2476))</f>
        <v>#N/A</v>
      </c>
      <c r="R669" s="0" t="e">
        <f aca="false">IF(Charts!$B$3="none",F2476,IF(L2476="",NA(),L2476))</f>
        <v>#N/A</v>
      </c>
      <c r="S669" s="0" t="e">
        <f aca="false">IF(Charts!$B$3="none",G2476,IF(M2476="",NA(),M2476))</f>
        <v>#N/A</v>
      </c>
      <c r="T669" s="0" t="e">
        <f aca="false">IF(Charts!$B$3="none",H2476,IF(N2476="",NA(),N2476))</f>
        <v>#N/A</v>
      </c>
    </row>
    <row r="670" customFormat="false" ht="15" hidden="false" customHeight="false" outlineLevel="0" collapsed="false">
      <c r="E670" s="0" t="n">
        <v>304</v>
      </c>
      <c r="F670" s="0" t="str">
        <f aca="false">F308</f>
        <v/>
      </c>
      <c r="G670" s="0" t="n">
        <v>304</v>
      </c>
      <c r="H670" s="0" t="n">
        <f aca="false">H308</f>
        <v>0</v>
      </c>
      <c r="K670" s="0" t="n">
        <v>304</v>
      </c>
      <c r="L670" s="0" t="str">
        <f aca="false">L308</f>
        <v/>
      </c>
      <c r="M670" s="0" t="n">
        <v>304</v>
      </c>
      <c r="N670" s="0" t="n">
        <f aca="false">N308</f>
        <v>0</v>
      </c>
      <c r="Q670" s="0" t="e">
        <f aca="false">IF(Charts!$B$3="none",E2477,IF(K2477="",NA(),K2477))</f>
        <v>#N/A</v>
      </c>
      <c r="R670" s="0" t="e">
        <f aca="false">IF(Charts!$B$3="none",F2477,IF(L2477="",NA(),L2477))</f>
        <v>#N/A</v>
      </c>
      <c r="S670" s="0" t="e">
        <f aca="false">IF(Charts!$B$3="none",G2477,IF(M2477="",NA(),M2477))</f>
        <v>#N/A</v>
      </c>
      <c r="T670" s="0" t="e">
        <f aca="false">IF(Charts!$B$3="none",H2477,IF(N2477="",NA(),N2477))</f>
        <v>#N/A</v>
      </c>
    </row>
    <row r="671" customFormat="false" ht="15" hidden="false" customHeight="false" outlineLevel="0" collapsed="false">
      <c r="E671" s="0" t="n">
        <v>305</v>
      </c>
      <c r="F671" s="0" t="str">
        <f aca="false">F309</f>
        <v/>
      </c>
      <c r="G671" s="0" t="n">
        <v>305</v>
      </c>
      <c r="H671" s="0" t="n">
        <f aca="false">H309</f>
        <v>0</v>
      </c>
      <c r="K671" s="0" t="n">
        <v>305</v>
      </c>
      <c r="L671" s="0" t="str">
        <f aca="false">L309</f>
        <v/>
      </c>
      <c r="M671" s="0" t="n">
        <v>305</v>
      </c>
      <c r="N671" s="0" t="n">
        <f aca="false">N309</f>
        <v>0</v>
      </c>
      <c r="Q671" s="0" t="e">
        <f aca="false">IF(Charts!$B$3="none",E2478,IF(K2478="",NA(),K2478))</f>
        <v>#N/A</v>
      </c>
      <c r="R671" s="0" t="e">
        <f aca="false">IF(Charts!$B$3="none",F2478,IF(L2478="",NA(),L2478))</f>
        <v>#N/A</v>
      </c>
      <c r="S671" s="0" t="e">
        <f aca="false">IF(Charts!$B$3="none",G2478,IF(M2478="",NA(),M2478))</f>
        <v>#N/A</v>
      </c>
      <c r="T671" s="0" t="e">
        <f aca="false">IF(Charts!$B$3="none",H2478,IF(N2478="",NA(),N2478))</f>
        <v>#N/A</v>
      </c>
    </row>
    <row r="672" customFormat="false" ht="15" hidden="false" customHeight="false" outlineLevel="0" collapsed="false">
      <c r="E672" s="0" t="n">
        <v>306</v>
      </c>
      <c r="F672" s="0" t="str">
        <f aca="false">F310</f>
        <v/>
      </c>
      <c r="G672" s="0" t="n">
        <v>306</v>
      </c>
      <c r="H672" s="0" t="n">
        <f aca="false">H310</f>
        <v>0</v>
      </c>
      <c r="K672" s="0" t="n">
        <v>306</v>
      </c>
      <c r="L672" s="0" t="str">
        <f aca="false">L310</f>
        <v/>
      </c>
      <c r="M672" s="0" t="n">
        <v>306</v>
      </c>
      <c r="N672" s="0" t="n">
        <f aca="false">N310</f>
        <v>0</v>
      </c>
      <c r="Q672" s="0" t="e">
        <f aca="false">IF(Charts!$B$3="none",E2479,IF(K2479="",NA(),K2479))</f>
        <v>#N/A</v>
      </c>
      <c r="R672" s="0" t="e">
        <f aca="false">IF(Charts!$B$3="none",F2479,IF(L2479="",NA(),L2479))</f>
        <v>#N/A</v>
      </c>
      <c r="S672" s="0" t="e">
        <f aca="false">IF(Charts!$B$3="none",G2479,IF(M2479="",NA(),M2479))</f>
        <v>#N/A</v>
      </c>
      <c r="T672" s="0" t="e">
        <f aca="false">IF(Charts!$B$3="none",H2479,IF(N2479="",NA(),N2479))</f>
        <v>#N/A</v>
      </c>
    </row>
    <row r="673" customFormat="false" ht="15" hidden="false" customHeight="false" outlineLevel="0" collapsed="false">
      <c r="E673" s="0" t="n">
        <v>307</v>
      </c>
      <c r="F673" s="0" t="str">
        <f aca="false">F311</f>
        <v/>
      </c>
      <c r="G673" s="0" t="n">
        <v>307</v>
      </c>
      <c r="H673" s="0" t="n">
        <f aca="false">H311</f>
        <v>0</v>
      </c>
      <c r="K673" s="0" t="n">
        <v>307</v>
      </c>
      <c r="L673" s="0" t="str">
        <f aca="false">L311</f>
        <v/>
      </c>
      <c r="M673" s="0" t="n">
        <v>307</v>
      </c>
      <c r="N673" s="0" t="n">
        <f aca="false">N311</f>
        <v>0</v>
      </c>
      <c r="Q673" s="0" t="e">
        <f aca="false">IF(Charts!$B$3="none",E2480,IF(K2480="",NA(),K2480))</f>
        <v>#N/A</v>
      </c>
      <c r="R673" s="0" t="e">
        <f aca="false">IF(Charts!$B$3="none",F2480,IF(L2480="",NA(),L2480))</f>
        <v>#N/A</v>
      </c>
      <c r="S673" s="0" t="e">
        <f aca="false">IF(Charts!$B$3="none",G2480,IF(M2480="",NA(),M2480))</f>
        <v>#N/A</v>
      </c>
      <c r="T673" s="0" t="e">
        <f aca="false">IF(Charts!$B$3="none",H2480,IF(N2480="",NA(),N2480))</f>
        <v>#N/A</v>
      </c>
    </row>
    <row r="674" customFormat="false" ht="15" hidden="false" customHeight="false" outlineLevel="0" collapsed="false">
      <c r="E674" s="0" t="n">
        <v>308</v>
      </c>
      <c r="F674" s="0" t="str">
        <f aca="false">F312</f>
        <v/>
      </c>
      <c r="G674" s="0" t="n">
        <v>308</v>
      </c>
      <c r="H674" s="0" t="n">
        <f aca="false">H312</f>
        <v>0</v>
      </c>
      <c r="K674" s="0" t="n">
        <v>308</v>
      </c>
      <c r="L674" s="0" t="str">
        <f aca="false">L312</f>
        <v/>
      </c>
      <c r="M674" s="0" t="n">
        <v>308</v>
      </c>
      <c r="N674" s="0" t="n">
        <f aca="false">N312</f>
        <v>0</v>
      </c>
      <c r="Q674" s="0" t="e">
        <f aca="false">IF(Charts!$B$3="none",E2481,IF(K2481="",NA(),K2481))</f>
        <v>#N/A</v>
      </c>
      <c r="R674" s="0" t="e">
        <f aca="false">IF(Charts!$B$3="none",F2481,IF(L2481="",NA(),L2481))</f>
        <v>#N/A</v>
      </c>
      <c r="S674" s="0" t="e">
        <f aca="false">IF(Charts!$B$3="none",G2481,IF(M2481="",NA(),M2481))</f>
        <v>#N/A</v>
      </c>
      <c r="T674" s="0" t="e">
        <f aca="false">IF(Charts!$B$3="none",H2481,IF(N2481="",NA(),N2481))</f>
        <v>#N/A</v>
      </c>
    </row>
    <row r="675" customFormat="false" ht="15" hidden="false" customHeight="false" outlineLevel="0" collapsed="false">
      <c r="E675" s="0" t="n">
        <v>309</v>
      </c>
      <c r="F675" s="0" t="str">
        <f aca="false">F313</f>
        <v/>
      </c>
      <c r="G675" s="0" t="n">
        <v>309</v>
      </c>
      <c r="H675" s="0" t="n">
        <f aca="false">H313</f>
        <v>0</v>
      </c>
      <c r="K675" s="0" t="n">
        <v>309</v>
      </c>
      <c r="L675" s="0" t="str">
        <f aca="false">L313</f>
        <v/>
      </c>
      <c r="M675" s="0" t="n">
        <v>309</v>
      </c>
      <c r="N675" s="0" t="n">
        <f aca="false">N313</f>
        <v>0</v>
      </c>
      <c r="Q675" s="0" t="e">
        <f aca="false">IF(Charts!$B$3="none",E2482,IF(K2482="",NA(),K2482))</f>
        <v>#N/A</v>
      </c>
      <c r="R675" s="0" t="e">
        <f aca="false">IF(Charts!$B$3="none",F2482,IF(L2482="",NA(),L2482))</f>
        <v>#N/A</v>
      </c>
      <c r="S675" s="0" t="e">
        <f aca="false">IF(Charts!$B$3="none",G2482,IF(M2482="",NA(),M2482))</f>
        <v>#N/A</v>
      </c>
      <c r="T675" s="0" t="e">
        <f aca="false">IF(Charts!$B$3="none",H2482,IF(N2482="",NA(),N2482))</f>
        <v>#N/A</v>
      </c>
    </row>
    <row r="676" customFormat="false" ht="15" hidden="false" customHeight="false" outlineLevel="0" collapsed="false">
      <c r="E676" s="0" t="n">
        <v>310</v>
      </c>
      <c r="F676" s="0" t="str">
        <f aca="false">F314</f>
        <v/>
      </c>
      <c r="G676" s="0" t="n">
        <v>310</v>
      </c>
      <c r="H676" s="0" t="n">
        <f aca="false">H314</f>
        <v>0</v>
      </c>
      <c r="K676" s="0" t="n">
        <v>310</v>
      </c>
      <c r="L676" s="0" t="str">
        <f aca="false">L314</f>
        <v/>
      </c>
      <c r="M676" s="0" t="n">
        <v>310</v>
      </c>
      <c r="N676" s="0" t="n">
        <f aca="false">N314</f>
        <v>0</v>
      </c>
      <c r="Q676" s="0" t="e">
        <f aca="false">IF(Charts!$B$3="none",E2483,IF(K2483="",NA(),K2483))</f>
        <v>#N/A</v>
      </c>
      <c r="R676" s="0" t="e">
        <f aca="false">IF(Charts!$B$3="none",F2483,IF(L2483="",NA(),L2483))</f>
        <v>#N/A</v>
      </c>
      <c r="S676" s="0" t="e">
        <f aca="false">IF(Charts!$B$3="none",G2483,IF(M2483="",NA(),M2483))</f>
        <v>#N/A</v>
      </c>
      <c r="T676" s="0" t="e">
        <f aca="false">IF(Charts!$B$3="none",H2483,IF(N2483="",NA(),N2483))</f>
        <v>#N/A</v>
      </c>
    </row>
    <row r="677" customFormat="false" ht="15" hidden="false" customHeight="false" outlineLevel="0" collapsed="false">
      <c r="E677" s="0" t="n">
        <v>311</v>
      </c>
      <c r="F677" s="0" t="str">
        <f aca="false">F315</f>
        <v/>
      </c>
      <c r="G677" s="0" t="n">
        <v>311</v>
      </c>
      <c r="H677" s="0" t="n">
        <f aca="false">H315</f>
        <v>0</v>
      </c>
      <c r="K677" s="0" t="n">
        <v>311</v>
      </c>
      <c r="L677" s="0" t="str">
        <f aca="false">L315</f>
        <v/>
      </c>
      <c r="M677" s="0" t="n">
        <v>311</v>
      </c>
      <c r="N677" s="0" t="n">
        <f aca="false">N315</f>
        <v>0</v>
      </c>
      <c r="Q677" s="0" t="e">
        <f aca="false">IF(Charts!$B$3="none",E2484,IF(K2484="",NA(),K2484))</f>
        <v>#N/A</v>
      </c>
      <c r="R677" s="0" t="e">
        <f aca="false">IF(Charts!$B$3="none",F2484,IF(L2484="",NA(),L2484))</f>
        <v>#N/A</v>
      </c>
      <c r="S677" s="0" t="e">
        <f aca="false">IF(Charts!$B$3="none",G2484,IF(M2484="",NA(),M2484))</f>
        <v>#N/A</v>
      </c>
      <c r="T677" s="0" t="e">
        <f aca="false">IF(Charts!$B$3="none",H2484,IF(N2484="",NA(),N2484))</f>
        <v>#N/A</v>
      </c>
    </row>
    <row r="678" customFormat="false" ht="15" hidden="false" customHeight="false" outlineLevel="0" collapsed="false">
      <c r="E678" s="0" t="n">
        <v>312</v>
      </c>
      <c r="F678" s="0" t="str">
        <f aca="false">F316</f>
        <v/>
      </c>
      <c r="G678" s="0" t="n">
        <v>312</v>
      </c>
      <c r="H678" s="0" t="n">
        <f aca="false">H316</f>
        <v>0</v>
      </c>
      <c r="K678" s="0" t="n">
        <v>312</v>
      </c>
      <c r="L678" s="0" t="str">
        <f aca="false">L316</f>
        <v/>
      </c>
      <c r="M678" s="0" t="n">
        <v>312</v>
      </c>
      <c r="N678" s="0" t="n">
        <f aca="false">N316</f>
        <v>0</v>
      </c>
      <c r="Q678" s="0" t="e">
        <f aca="false">IF(Charts!$B$3="none",E2485,IF(K2485="",NA(),K2485))</f>
        <v>#N/A</v>
      </c>
      <c r="R678" s="0" t="e">
        <f aca="false">IF(Charts!$B$3="none",F2485,IF(L2485="",NA(),L2485))</f>
        <v>#N/A</v>
      </c>
      <c r="S678" s="0" t="e">
        <f aca="false">IF(Charts!$B$3="none",G2485,IF(M2485="",NA(),M2485))</f>
        <v>#N/A</v>
      </c>
      <c r="T678" s="0" t="e">
        <f aca="false">IF(Charts!$B$3="none",H2485,IF(N2485="",NA(),N2485))</f>
        <v>#N/A</v>
      </c>
    </row>
    <row r="679" customFormat="false" ht="15" hidden="false" customHeight="false" outlineLevel="0" collapsed="false">
      <c r="E679" s="0" t="n">
        <v>313</v>
      </c>
      <c r="F679" s="0" t="str">
        <f aca="false">F317</f>
        <v/>
      </c>
      <c r="G679" s="0" t="n">
        <v>313</v>
      </c>
      <c r="H679" s="0" t="n">
        <f aca="false">H317</f>
        <v>0</v>
      </c>
      <c r="K679" s="0" t="n">
        <v>313</v>
      </c>
      <c r="L679" s="0" t="str">
        <f aca="false">L317</f>
        <v/>
      </c>
      <c r="M679" s="0" t="n">
        <v>313</v>
      </c>
      <c r="N679" s="0" t="n">
        <f aca="false">N317</f>
        <v>0</v>
      </c>
      <c r="Q679" s="0" t="e">
        <f aca="false">IF(Charts!$B$3="none",E2486,IF(K2486="",NA(),K2486))</f>
        <v>#N/A</v>
      </c>
      <c r="R679" s="0" t="e">
        <f aca="false">IF(Charts!$B$3="none",F2486,IF(L2486="",NA(),L2486))</f>
        <v>#N/A</v>
      </c>
      <c r="S679" s="0" t="e">
        <f aca="false">IF(Charts!$B$3="none",G2486,IF(M2486="",NA(),M2486))</f>
        <v>#N/A</v>
      </c>
      <c r="T679" s="0" t="e">
        <f aca="false">IF(Charts!$B$3="none",H2486,IF(N2486="",NA(),N2486))</f>
        <v>#N/A</v>
      </c>
    </row>
    <row r="680" customFormat="false" ht="15" hidden="false" customHeight="false" outlineLevel="0" collapsed="false">
      <c r="E680" s="0" t="n">
        <v>314</v>
      </c>
      <c r="F680" s="0" t="str">
        <f aca="false">F318</f>
        <v/>
      </c>
      <c r="G680" s="0" t="n">
        <v>314</v>
      </c>
      <c r="H680" s="0" t="n">
        <f aca="false">H318</f>
        <v>0</v>
      </c>
      <c r="K680" s="0" t="n">
        <v>314</v>
      </c>
      <c r="L680" s="0" t="str">
        <f aca="false">L318</f>
        <v/>
      </c>
      <c r="M680" s="0" t="n">
        <v>314</v>
      </c>
      <c r="N680" s="0" t="n">
        <f aca="false">N318</f>
        <v>0</v>
      </c>
      <c r="Q680" s="0" t="e">
        <f aca="false">IF(Charts!$B$3="none",E2487,IF(K2487="",NA(),K2487))</f>
        <v>#N/A</v>
      </c>
      <c r="R680" s="0" t="e">
        <f aca="false">IF(Charts!$B$3="none",F2487,IF(L2487="",NA(),L2487))</f>
        <v>#N/A</v>
      </c>
      <c r="S680" s="0" t="e">
        <f aca="false">IF(Charts!$B$3="none",G2487,IF(M2487="",NA(),M2487))</f>
        <v>#N/A</v>
      </c>
      <c r="T680" s="0" t="e">
        <f aca="false">IF(Charts!$B$3="none",H2487,IF(N2487="",NA(),N2487))</f>
        <v>#N/A</v>
      </c>
    </row>
    <row r="681" customFormat="false" ht="15" hidden="false" customHeight="false" outlineLevel="0" collapsed="false">
      <c r="E681" s="0" t="n">
        <v>315</v>
      </c>
      <c r="F681" s="0" t="str">
        <f aca="false">F319</f>
        <v/>
      </c>
      <c r="G681" s="0" t="n">
        <v>315</v>
      </c>
      <c r="H681" s="0" t="n">
        <f aca="false">H319</f>
        <v>0</v>
      </c>
      <c r="K681" s="0" t="n">
        <v>315</v>
      </c>
      <c r="L681" s="0" t="str">
        <f aca="false">L319</f>
        <v/>
      </c>
      <c r="M681" s="0" t="n">
        <v>315</v>
      </c>
      <c r="N681" s="0" t="n">
        <f aca="false">N319</f>
        <v>0</v>
      </c>
      <c r="Q681" s="0" t="e">
        <f aca="false">IF(Charts!$B$3="none",E2488,IF(K2488="",NA(),K2488))</f>
        <v>#N/A</v>
      </c>
      <c r="R681" s="0" t="e">
        <f aca="false">IF(Charts!$B$3="none",F2488,IF(L2488="",NA(),L2488))</f>
        <v>#N/A</v>
      </c>
      <c r="S681" s="0" t="e">
        <f aca="false">IF(Charts!$B$3="none",G2488,IF(M2488="",NA(),M2488))</f>
        <v>#N/A</v>
      </c>
      <c r="T681" s="0" t="e">
        <f aca="false">IF(Charts!$B$3="none",H2488,IF(N2488="",NA(),N2488))</f>
        <v>#N/A</v>
      </c>
    </row>
    <row r="682" customFormat="false" ht="15" hidden="false" customHeight="false" outlineLevel="0" collapsed="false">
      <c r="E682" s="0" t="n">
        <v>316</v>
      </c>
      <c r="F682" s="0" t="str">
        <f aca="false">F320</f>
        <v/>
      </c>
      <c r="G682" s="0" t="n">
        <v>316</v>
      </c>
      <c r="H682" s="0" t="n">
        <f aca="false">H320</f>
        <v>0</v>
      </c>
      <c r="K682" s="0" t="n">
        <v>316</v>
      </c>
      <c r="L682" s="0" t="str">
        <f aca="false">L320</f>
        <v/>
      </c>
      <c r="M682" s="0" t="n">
        <v>316</v>
      </c>
      <c r="N682" s="0" t="n">
        <f aca="false">N320</f>
        <v>0</v>
      </c>
      <c r="Q682" s="0" t="e">
        <f aca="false">IF(Charts!$B$3="none",E2489,IF(K2489="",NA(),K2489))</f>
        <v>#N/A</v>
      </c>
      <c r="R682" s="0" t="e">
        <f aca="false">IF(Charts!$B$3="none",F2489,IF(L2489="",NA(),L2489))</f>
        <v>#N/A</v>
      </c>
      <c r="S682" s="0" t="e">
        <f aca="false">IF(Charts!$B$3="none",G2489,IF(M2489="",NA(),M2489))</f>
        <v>#N/A</v>
      </c>
      <c r="T682" s="0" t="e">
        <f aca="false">IF(Charts!$B$3="none",H2489,IF(N2489="",NA(),N2489))</f>
        <v>#N/A</v>
      </c>
    </row>
    <row r="683" customFormat="false" ht="15" hidden="false" customHeight="false" outlineLevel="0" collapsed="false">
      <c r="E683" s="0" t="n">
        <v>317</v>
      </c>
      <c r="F683" s="0" t="str">
        <f aca="false">F321</f>
        <v/>
      </c>
      <c r="G683" s="0" t="n">
        <v>317</v>
      </c>
      <c r="H683" s="0" t="n">
        <f aca="false">H321</f>
        <v>0</v>
      </c>
      <c r="K683" s="0" t="n">
        <v>317</v>
      </c>
      <c r="L683" s="0" t="str">
        <f aca="false">L321</f>
        <v/>
      </c>
      <c r="M683" s="0" t="n">
        <v>317</v>
      </c>
      <c r="N683" s="0" t="n">
        <f aca="false">N321</f>
        <v>0</v>
      </c>
      <c r="Q683" s="0" t="e">
        <f aca="false">IF(Charts!$B$3="none",E2490,IF(K2490="",NA(),K2490))</f>
        <v>#N/A</v>
      </c>
      <c r="R683" s="0" t="e">
        <f aca="false">IF(Charts!$B$3="none",F2490,IF(L2490="",NA(),L2490))</f>
        <v>#N/A</v>
      </c>
      <c r="S683" s="0" t="e">
        <f aca="false">IF(Charts!$B$3="none",G2490,IF(M2490="",NA(),M2490))</f>
        <v>#N/A</v>
      </c>
      <c r="T683" s="0" t="e">
        <f aca="false">IF(Charts!$B$3="none",H2490,IF(N2490="",NA(),N2490))</f>
        <v>#N/A</v>
      </c>
    </row>
    <row r="684" customFormat="false" ht="15" hidden="false" customHeight="false" outlineLevel="0" collapsed="false">
      <c r="E684" s="0" t="n">
        <v>318</v>
      </c>
      <c r="F684" s="0" t="str">
        <f aca="false">F322</f>
        <v/>
      </c>
      <c r="G684" s="0" t="n">
        <v>318</v>
      </c>
      <c r="H684" s="0" t="n">
        <f aca="false">H322</f>
        <v>0</v>
      </c>
      <c r="K684" s="0" t="n">
        <v>318</v>
      </c>
      <c r="L684" s="0" t="str">
        <f aca="false">L322</f>
        <v/>
      </c>
      <c r="M684" s="0" t="n">
        <v>318</v>
      </c>
      <c r="N684" s="0" t="n">
        <f aca="false">N322</f>
        <v>0</v>
      </c>
      <c r="Q684" s="0" t="e">
        <f aca="false">IF(Charts!$B$3="none",E2491,IF(K2491="",NA(),K2491))</f>
        <v>#N/A</v>
      </c>
      <c r="R684" s="0" t="e">
        <f aca="false">IF(Charts!$B$3="none",F2491,IF(L2491="",NA(),L2491))</f>
        <v>#N/A</v>
      </c>
      <c r="S684" s="0" t="e">
        <f aca="false">IF(Charts!$B$3="none",G2491,IF(M2491="",NA(),M2491))</f>
        <v>#N/A</v>
      </c>
      <c r="T684" s="0" t="e">
        <f aca="false">IF(Charts!$B$3="none",H2491,IF(N2491="",NA(),N2491))</f>
        <v>#N/A</v>
      </c>
    </row>
    <row r="685" customFormat="false" ht="15" hidden="false" customHeight="false" outlineLevel="0" collapsed="false">
      <c r="E685" s="0" t="n">
        <v>319</v>
      </c>
      <c r="F685" s="0" t="str">
        <f aca="false">F323</f>
        <v/>
      </c>
      <c r="G685" s="0" t="n">
        <v>319</v>
      </c>
      <c r="H685" s="0" t="n">
        <f aca="false">H323</f>
        <v>0</v>
      </c>
      <c r="K685" s="0" t="n">
        <v>319</v>
      </c>
      <c r="L685" s="0" t="str">
        <f aca="false">L323</f>
        <v/>
      </c>
      <c r="M685" s="0" t="n">
        <v>319</v>
      </c>
      <c r="N685" s="0" t="n">
        <f aca="false">N323</f>
        <v>0</v>
      </c>
      <c r="Q685" s="0" t="e">
        <f aca="false">IF(Charts!$B$3="none",E2492,IF(K2492="",NA(),K2492))</f>
        <v>#N/A</v>
      </c>
      <c r="R685" s="0" t="e">
        <f aca="false">IF(Charts!$B$3="none",F2492,IF(L2492="",NA(),L2492))</f>
        <v>#N/A</v>
      </c>
      <c r="S685" s="0" t="e">
        <f aca="false">IF(Charts!$B$3="none",G2492,IF(M2492="",NA(),M2492))</f>
        <v>#N/A</v>
      </c>
      <c r="T685" s="0" t="e">
        <f aca="false">IF(Charts!$B$3="none",H2492,IF(N2492="",NA(),N2492))</f>
        <v>#N/A</v>
      </c>
    </row>
    <row r="686" customFormat="false" ht="15" hidden="false" customHeight="false" outlineLevel="0" collapsed="false">
      <c r="E686" s="0" t="n">
        <v>320</v>
      </c>
      <c r="F686" s="0" t="str">
        <f aca="false">F324</f>
        <v/>
      </c>
      <c r="G686" s="0" t="n">
        <v>320</v>
      </c>
      <c r="H686" s="0" t="n">
        <f aca="false">H324</f>
        <v>0</v>
      </c>
      <c r="K686" s="0" t="n">
        <v>320</v>
      </c>
      <c r="L686" s="0" t="str">
        <f aca="false">L324</f>
        <v/>
      </c>
      <c r="M686" s="0" t="n">
        <v>320</v>
      </c>
      <c r="N686" s="0" t="n">
        <f aca="false">N324</f>
        <v>0</v>
      </c>
      <c r="Q686" s="0" t="e">
        <f aca="false">IF(Charts!$B$3="none",E2493,IF(K2493="",NA(),K2493))</f>
        <v>#N/A</v>
      </c>
      <c r="R686" s="0" t="e">
        <f aca="false">IF(Charts!$B$3="none",F2493,IF(L2493="",NA(),L2493))</f>
        <v>#N/A</v>
      </c>
      <c r="S686" s="0" t="e">
        <f aca="false">IF(Charts!$B$3="none",G2493,IF(M2493="",NA(),M2493))</f>
        <v>#N/A</v>
      </c>
      <c r="T686" s="0" t="e">
        <f aca="false">IF(Charts!$B$3="none",H2493,IF(N2493="",NA(),N2493))</f>
        <v>#N/A</v>
      </c>
    </row>
    <row r="687" customFormat="false" ht="15" hidden="false" customHeight="false" outlineLevel="0" collapsed="false">
      <c r="E687" s="0" t="n">
        <v>321</v>
      </c>
      <c r="F687" s="0" t="str">
        <f aca="false">F325</f>
        <v/>
      </c>
      <c r="G687" s="0" t="n">
        <v>321</v>
      </c>
      <c r="H687" s="0" t="n">
        <f aca="false">H325</f>
        <v>0</v>
      </c>
      <c r="K687" s="0" t="n">
        <v>321</v>
      </c>
      <c r="L687" s="0" t="str">
        <f aca="false">L325</f>
        <v/>
      </c>
      <c r="M687" s="0" t="n">
        <v>321</v>
      </c>
      <c r="N687" s="0" t="n">
        <f aca="false">N325</f>
        <v>0</v>
      </c>
      <c r="Q687" s="0" t="e">
        <f aca="false">IF(Charts!$B$3="none",E2494,IF(K2494="",NA(),K2494))</f>
        <v>#N/A</v>
      </c>
      <c r="R687" s="0" t="e">
        <f aca="false">IF(Charts!$B$3="none",F2494,IF(L2494="",NA(),L2494))</f>
        <v>#N/A</v>
      </c>
      <c r="S687" s="0" t="e">
        <f aca="false">IF(Charts!$B$3="none",G2494,IF(M2494="",NA(),M2494))</f>
        <v>#N/A</v>
      </c>
      <c r="T687" s="0" t="e">
        <f aca="false">IF(Charts!$B$3="none",H2494,IF(N2494="",NA(),N2494))</f>
        <v>#N/A</v>
      </c>
    </row>
    <row r="688" customFormat="false" ht="15" hidden="false" customHeight="false" outlineLevel="0" collapsed="false">
      <c r="E688" s="0" t="n">
        <v>322</v>
      </c>
      <c r="F688" s="0" t="str">
        <f aca="false">F326</f>
        <v/>
      </c>
      <c r="G688" s="0" t="n">
        <v>322</v>
      </c>
      <c r="H688" s="0" t="n">
        <f aca="false">H326</f>
        <v>0</v>
      </c>
      <c r="K688" s="0" t="n">
        <v>322</v>
      </c>
      <c r="L688" s="0" t="str">
        <f aca="false">L326</f>
        <v/>
      </c>
      <c r="M688" s="0" t="n">
        <v>322</v>
      </c>
      <c r="N688" s="0" t="n">
        <f aca="false">N326</f>
        <v>0</v>
      </c>
      <c r="Q688" s="0" t="e">
        <f aca="false">IF(Charts!$B$3="none",E2495,IF(K2495="",NA(),K2495))</f>
        <v>#N/A</v>
      </c>
      <c r="R688" s="0" t="e">
        <f aca="false">IF(Charts!$B$3="none",F2495,IF(L2495="",NA(),L2495))</f>
        <v>#N/A</v>
      </c>
      <c r="S688" s="0" t="e">
        <f aca="false">IF(Charts!$B$3="none",G2495,IF(M2495="",NA(),M2495))</f>
        <v>#N/A</v>
      </c>
      <c r="T688" s="0" t="e">
        <f aca="false">IF(Charts!$B$3="none",H2495,IF(N2495="",NA(),N2495))</f>
        <v>#N/A</v>
      </c>
    </row>
    <row r="689" customFormat="false" ht="15" hidden="false" customHeight="false" outlineLevel="0" collapsed="false">
      <c r="E689" s="0" t="n">
        <v>323</v>
      </c>
      <c r="F689" s="0" t="str">
        <f aca="false">F327</f>
        <v/>
      </c>
      <c r="G689" s="0" t="n">
        <v>323</v>
      </c>
      <c r="H689" s="0" t="n">
        <f aca="false">H327</f>
        <v>0</v>
      </c>
      <c r="K689" s="0" t="n">
        <v>323</v>
      </c>
      <c r="L689" s="0" t="str">
        <f aca="false">L327</f>
        <v/>
      </c>
      <c r="M689" s="0" t="n">
        <v>323</v>
      </c>
      <c r="N689" s="0" t="n">
        <f aca="false">N327</f>
        <v>0</v>
      </c>
      <c r="Q689" s="0" t="e">
        <f aca="false">IF(Charts!$B$3="none",E2496,IF(K2496="",NA(),K2496))</f>
        <v>#N/A</v>
      </c>
      <c r="R689" s="0" t="e">
        <f aca="false">IF(Charts!$B$3="none",F2496,IF(L2496="",NA(),L2496))</f>
        <v>#N/A</v>
      </c>
      <c r="S689" s="0" t="e">
        <f aca="false">IF(Charts!$B$3="none",G2496,IF(M2496="",NA(),M2496))</f>
        <v>#N/A</v>
      </c>
      <c r="T689" s="0" t="e">
        <f aca="false">IF(Charts!$B$3="none",H2496,IF(N2496="",NA(),N2496))</f>
        <v>#N/A</v>
      </c>
    </row>
    <row r="690" customFormat="false" ht="15" hidden="false" customHeight="false" outlineLevel="0" collapsed="false">
      <c r="E690" s="0" t="n">
        <v>324</v>
      </c>
      <c r="F690" s="0" t="str">
        <f aca="false">F328</f>
        <v/>
      </c>
      <c r="G690" s="0" t="n">
        <v>324</v>
      </c>
      <c r="H690" s="0" t="n">
        <f aca="false">H328</f>
        <v>0</v>
      </c>
      <c r="K690" s="0" t="n">
        <v>324</v>
      </c>
      <c r="L690" s="0" t="str">
        <f aca="false">L328</f>
        <v/>
      </c>
      <c r="M690" s="0" t="n">
        <v>324</v>
      </c>
      <c r="N690" s="0" t="n">
        <f aca="false">N328</f>
        <v>0</v>
      </c>
      <c r="Q690" s="0" t="e">
        <f aca="false">IF(Charts!$B$3="none",E2497,IF(K2497="",NA(),K2497))</f>
        <v>#N/A</v>
      </c>
      <c r="R690" s="0" t="e">
        <f aca="false">IF(Charts!$B$3="none",F2497,IF(L2497="",NA(),L2497))</f>
        <v>#N/A</v>
      </c>
      <c r="S690" s="0" t="e">
        <f aca="false">IF(Charts!$B$3="none",G2497,IF(M2497="",NA(),M2497))</f>
        <v>#N/A</v>
      </c>
      <c r="T690" s="0" t="e">
        <f aca="false">IF(Charts!$B$3="none",H2497,IF(N2497="",NA(),N2497))</f>
        <v>#N/A</v>
      </c>
    </row>
    <row r="691" customFormat="false" ht="15" hidden="false" customHeight="false" outlineLevel="0" collapsed="false">
      <c r="E691" s="0" t="n">
        <v>325</v>
      </c>
      <c r="F691" s="0" t="str">
        <f aca="false">F329</f>
        <v/>
      </c>
      <c r="G691" s="0" t="n">
        <v>325</v>
      </c>
      <c r="H691" s="0" t="n">
        <f aca="false">H329</f>
        <v>0</v>
      </c>
      <c r="K691" s="0" t="n">
        <v>325</v>
      </c>
      <c r="L691" s="0" t="str">
        <f aca="false">L329</f>
        <v/>
      </c>
      <c r="M691" s="0" t="n">
        <v>325</v>
      </c>
      <c r="N691" s="0" t="n">
        <f aca="false">N329</f>
        <v>0</v>
      </c>
      <c r="Q691" s="0" t="e">
        <f aca="false">IF(Charts!$B$3="none",E2498,IF(K2498="",NA(),K2498))</f>
        <v>#N/A</v>
      </c>
      <c r="R691" s="0" t="e">
        <f aca="false">IF(Charts!$B$3="none",F2498,IF(L2498="",NA(),L2498))</f>
        <v>#N/A</v>
      </c>
      <c r="S691" s="0" t="e">
        <f aca="false">IF(Charts!$B$3="none",G2498,IF(M2498="",NA(),M2498))</f>
        <v>#N/A</v>
      </c>
      <c r="T691" s="0" t="e">
        <f aca="false">IF(Charts!$B$3="none",H2498,IF(N2498="",NA(),N2498))</f>
        <v>#N/A</v>
      </c>
    </row>
    <row r="692" customFormat="false" ht="15" hidden="false" customHeight="false" outlineLevel="0" collapsed="false">
      <c r="E692" s="0" t="n">
        <v>326</v>
      </c>
      <c r="F692" s="0" t="str">
        <f aca="false">F330</f>
        <v/>
      </c>
      <c r="G692" s="0" t="n">
        <v>326</v>
      </c>
      <c r="H692" s="0" t="n">
        <f aca="false">H330</f>
        <v>0</v>
      </c>
      <c r="K692" s="0" t="n">
        <v>326</v>
      </c>
      <c r="L692" s="0" t="str">
        <f aca="false">L330</f>
        <v/>
      </c>
      <c r="M692" s="0" t="n">
        <v>326</v>
      </c>
      <c r="N692" s="0" t="n">
        <f aca="false">N330</f>
        <v>0</v>
      </c>
      <c r="Q692" s="0" t="e">
        <f aca="false">IF(Charts!$B$3="none",E2499,IF(K2499="",NA(),K2499))</f>
        <v>#N/A</v>
      </c>
      <c r="R692" s="0" t="e">
        <f aca="false">IF(Charts!$B$3="none",F2499,IF(L2499="",NA(),L2499))</f>
        <v>#N/A</v>
      </c>
      <c r="S692" s="0" t="e">
        <f aca="false">IF(Charts!$B$3="none",G2499,IF(M2499="",NA(),M2499))</f>
        <v>#N/A</v>
      </c>
      <c r="T692" s="0" t="e">
        <f aca="false">IF(Charts!$B$3="none",H2499,IF(N2499="",NA(),N2499))</f>
        <v>#N/A</v>
      </c>
    </row>
    <row r="693" customFormat="false" ht="15" hidden="false" customHeight="false" outlineLevel="0" collapsed="false">
      <c r="E693" s="0" t="n">
        <v>327</v>
      </c>
      <c r="F693" s="0" t="str">
        <f aca="false">F331</f>
        <v/>
      </c>
      <c r="G693" s="0" t="n">
        <v>327</v>
      </c>
      <c r="H693" s="0" t="n">
        <f aca="false">H331</f>
        <v>0</v>
      </c>
      <c r="K693" s="0" t="n">
        <v>327</v>
      </c>
      <c r="L693" s="0" t="str">
        <f aca="false">L331</f>
        <v/>
      </c>
      <c r="M693" s="0" t="n">
        <v>327</v>
      </c>
      <c r="N693" s="0" t="n">
        <f aca="false">N331</f>
        <v>0</v>
      </c>
      <c r="Q693" s="0" t="e">
        <f aca="false">IF(Charts!$B$3="none",E2500,IF(K2500="",NA(),K2500))</f>
        <v>#N/A</v>
      </c>
      <c r="R693" s="0" t="e">
        <f aca="false">IF(Charts!$B$3="none",F2500,IF(L2500="",NA(),L2500))</f>
        <v>#N/A</v>
      </c>
      <c r="S693" s="0" t="e">
        <f aca="false">IF(Charts!$B$3="none",G2500,IF(M2500="",NA(),M2500))</f>
        <v>#N/A</v>
      </c>
      <c r="T693" s="0" t="e">
        <f aca="false">IF(Charts!$B$3="none",H2500,IF(N2500="",NA(),N2500))</f>
        <v>#N/A</v>
      </c>
    </row>
    <row r="694" customFormat="false" ht="15" hidden="false" customHeight="false" outlineLevel="0" collapsed="false">
      <c r="E694" s="0" t="n">
        <v>328</v>
      </c>
      <c r="F694" s="0" t="str">
        <f aca="false">F332</f>
        <v/>
      </c>
      <c r="G694" s="0" t="n">
        <v>328</v>
      </c>
      <c r="H694" s="0" t="n">
        <f aca="false">H332</f>
        <v>0</v>
      </c>
      <c r="K694" s="0" t="n">
        <v>328</v>
      </c>
      <c r="L694" s="0" t="str">
        <f aca="false">L332</f>
        <v/>
      </c>
      <c r="M694" s="0" t="n">
        <v>328</v>
      </c>
      <c r="N694" s="0" t="n">
        <f aca="false">N332</f>
        <v>0</v>
      </c>
      <c r="Q694" s="0" t="e">
        <f aca="false">IF(Charts!$B$3="none",E2501,IF(K2501="",NA(),K2501))</f>
        <v>#N/A</v>
      </c>
      <c r="R694" s="0" t="e">
        <f aca="false">IF(Charts!$B$3="none",F2501,IF(L2501="",NA(),L2501))</f>
        <v>#N/A</v>
      </c>
      <c r="S694" s="0" t="e">
        <f aca="false">IF(Charts!$B$3="none",G2501,IF(M2501="",NA(),M2501))</f>
        <v>#N/A</v>
      </c>
      <c r="T694" s="0" t="e">
        <f aca="false">IF(Charts!$B$3="none",H2501,IF(N2501="",NA(),N2501))</f>
        <v>#N/A</v>
      </c>
    </row>
    <row r="695" customFormat="false" ht="15" hidden="false" customHeight="false" outlineLevel="0" collapsed="false">
      <c r="E695" s="0" t="n">
        <v>329</v>
      </c>
      <c r="F695" s="0" t="str">
        <f aca="false">F333</f>
        <v/>
      </c>
      <c r="G695" s="0" t="n">
        <v>329</v>
      </c>
      <c r="H695" s="0" t="n">
        <f aca="false">H333</f>
        <v>0</v>
      </c>
      <c r="K695" s="0" t="n">
        <v>329</v>
      </c>
      <c r="L695" s="0" t="str">
        <f aca="false">L333</f>
        <v/>
      </c>
      <c r="M695" s="0" t="n">
        <v>329</v>
      </c>
      <c r="N695" s="0" t="n">
        <f aca="false">N333</f>
        <v>0</v>
      </c>
      <c r="Q695" s="0" t="e">
        <f aca="false">IF(Charts!$B$3="none",E2502,IF(K2502="",NA(),K2502))</f>
        <v>#N/A</v>
      </c>
      <c r="R695" s="0" t="e">
        <f aca="false">IF(Charts!$B$3="none",F2502,IF(L2502="",NA(),L2502))</f>
        <v>#N/A</v>
      </c>
      <c r="S695" s="0" t="e">
        <f aca="false">IF(Charts!$B$3="none",G2502,IF(M2502="",NA(),M2502))</f>
        <v>#N/A</v>
      </c>
      <c r="T695" s="0" t="e">
        <f aca="false">IF(Charts!$B$3="none",H2502,IF(N2502="",NA(),N2502))</f>
        <v>#N/A</v>
      </c>
    </row>
    <row r="696" customFormat="false" ht="15" hidden="false" customHeight="false" outlineLevel="0" collapsed="false">
      <c r="E696" s="0" t="n">
        <v>330</v>
      </c>
      <c r="F696" s="0" t="str">
        <f aca="false">F334</f>
        <v/>
      </c>
      <c r="G696" s="0" t="n">
        <v>330</v>
      </c>
      <c r="H696" s="0" t="n">
        <f aca="false">H334</f>
        <v>0</v>
      </c>
      <c r="K696" s="0" t="n">
        <v>330</v>
      </c>
      <c r="L696" s="0" t="str">
        <f aca="false">L334</f>
        <v/>
      </c>
      <c r="M696" s="0" t="n">
        <v>330</v>
      </c>
      <c r="N696" s="0" t="n">
        <f aca="false">N334</f>
        <v>0</v>
      </c>
      <c r="Q696" s="0" t="e">
        <f aca="false">IF(Charts!$B$3="none",E2503,IF(K2503="",NA(),K2503))</f>
        <v>#N/A</v>
      </c>
      <c r="R696" s="0" t="e">
        <f aca="false">IF(Charts!$B$3="none",F2503,IF(L2503="",NA(),L2503))</f>
        <v>#N/A</v>
      </c>
      <c r="S696" s="0" t="e">
        <f aca="false">IF(Charts!$B$3="none",G2503,IF(M2503="",NA(),M2503))</f>
        <v>#N/A</v>
      </c>
      <c r="T696" s="0" t="e">
        <f aca="false">IF(Charts!$B$3="none",H2503,IF(N2503="",NA(),N2503))</f>
        <v>#N/A</v>
      </c>
    </row>
    <row r="697" customFormat="false" ht="15" hidden="false" customHeight="false" outlineLevel="0" collapsed="false">
      <c r="E697" s="0" t="n">
        <v>331</v>
      </c>
      <c r="F697" s="0" t="str">
        <f aca="false">F335</f>
        <v/>
      </c>
      <c r="G697" s="0" t="n">
        <v>331</v>
      </c>
      <c r="H697" s="0" t="n">
        <f aca="false">H335</f>
        <v>0</v>
      </c>
      <c r="K697" s="0" t="n">
        <v>331</v>
      </c>
      <c r="L697" s="0" t="str">
        <f aca="false">L335</f>
        <v/>
      </c>
      <c r="M697" s="0" t="n">
        <v>331</v>
      </c>
      <c r="N697" s="0" t="n">
        <f aca="false">N335</f>
        <v>0</v>
      </c>
      <c r="Q697" s="0" t="e">
        <f aca="false">IF(Charts!$B$3="none",E2504,IF(K2504="",NA(),K2504))</f>
        <v>#N/A</v>
      </c>
      <c r="R697" s="0" t="e">
        <f aca="false">IF(Charts!$B$3="none",F2504,IF(L2504="",NA(),L2504))</f>
        <v>#N/A</v>
      </c>
      <c r="S697" s="0" t="e">
        <f aca="false">IF(Charts!$B$3="none",G2504,IF(M2504="",NA(),M2504))</f>
        <v>#N/A</v>
      </c>
      <c r="T697" s="0" t="e">
        <f aca="false">IF(Charts!$B$3="none",H2504,IF(N2504="",NA(),N2504))</f>
        <v>#N/A</v>
      </c>
    </row>
    <row r="698" customFormat="false" ht="15" hidden="false" customHeight="false" outlineLevel="0" collapsed="false">
      <c r="E698" s="0" t="n">
        <v>332</v>
      </c>
      <c r="F698" s="0" t="str">
        <f aca="false">F336</f>
        <v/>
      </c>
      <c r="G698" s="0" t="n">
        <v>332</v>
      </c>
      <c r="H698" s="0" t="n">
        <f aca="false">H336</f>
        <v>0</v>
      </c>
      <c r="K698" s="0" t="n">
        <v>332</v>
      </c>
      <c r="L698" s="0" t="str">
        <f aca="false">L336</f>
        <v/>
      </c>
      <c r="M698" s="0" t="n">
        <v>332</v>
      </c>
      <c r="N698" s="0" t="n">
        <f aca="false">N336</f>
        <v>0</v>
      </c>
      <c r="Q698" s="0" t="e">
        <f aca="false">IF(Charts!$B$3="none",E2505,IF(K2505="",NA(),K2505))</f>
        <v>#N/A</v>
      </c>
      <c r="R698" s="0" t="e">
        <f aca="false">IF(Charts!$B$3="none",F2505,IF(L2505="",NA(),L2505))</f>
        <v>#N/A</v>
      </c>
      <c r="S698" s="0" t="e">
        <f aca="false">IF(Charts!$B$3="none",G2505,IF(M2505="",NA(),M2505))</f>
        <v>#N/A</v>
      </c>
      <c r="T698" s="0" t="e">
        <f aca="false">IF(Charts!$B$3="none",H2505,IF(N2505="",NA(),N2505))</f>
        <v>#N/A</v>
      </c>
    </row>
    <row r="699" customFormat="false" ht="15" hidden="false" customHeight="false" outlineLevel="0" collapsed="false">
      <c r="E699" s="0" t="n">
        <v>333</v>
      </c>
      <c r="F699" s="0" t="str">
        <f aca="false">F337</f>
        <v/>
      </c>
      <c r="G699" s="0" t="n">
        <v>333</v>
      </c>
      <c r="H699" s="0" t="n">
        <f aca="false">H337</f>
        <v>0</v>
      </c>
      <c r="K699" s="0" t="n">
        <v>333</v>
      </c>
      <c r="L699" s="0" t="str">
        <f aca="false">L337</f>
        <v/>
      </c>
      <c r="M699" s="0" t="n">
        <v>333</v>
      </c>
      <c r="N699" s="0" t="n">
        <f aca="false">N337</f>
        <v>0</v>
      </c>
      <c r="Q699" s="0" t="e">
        <f aca="false">IF(Charts!$B$3="none",E2506,IF(K2506="",NA(),K2506))</f>
        <v>#N/A</v>
      </c>
      <c r="R699" s="0" t="e">
        <f aca="false">IF(Charts!$B$3="none",F2506,IF(L2506="",NA(),L2506))</f>
        <v>#N/A</v>
      </c>
      <c r="S699" s="0" t="e">
        <f aca="false">IF(Charts!$B$3="none",G2506,IF(M2506="",NA(),M2506))</f>
        <v>#N/A</v>
      </c>
      <c r="T699" s="0" t="e">
        <f aca="false">IF(Charts!$B$3="none",H2506,IF(N2506="",NA(),N2506))</f>
        <v>#N/A</v>
      </c>
    </row>
    <row r="700" customFormat="false" ht="15" hidden="false" customHeight="false" outlineLevel="0" collapsed="false">
      <c r="E700" s="0" t="n">
        <v>334</v>
      </c>
      <c r="F700" s="0" t="str">
        <f aca="false">F338</f>
        <v/>
      </c>
      <c r="G700" s="0" t="n">
        <v>334</v>
      </c>
      <c r="H700" s="0" t="n">
        <f aca="false">H338</f>
        <v>0</v>
      </c>
      <c r="K700" s="0" t="n">
        <v>334</v>
      </c>
      <c r="L700" s="0" t="str">
        <f aca="false">L338</f>
        <v/>
      </c>
      <c r="M700" s="0" t="n">
        <v>334</v>
      </c>
      <c r="N700" s="0" t="n">
        <f aca="false">N338</f>
        <v>0</v>
      </c>
      <c r="Q700" s="0" t="e">
        <f aca="false">IF(Charts!$B$3="none",E2507,IF(K2507="",NA(),K2507))</f>
        <v>#N/A</v>
      </c>
      <c r="R700" s="0" t="e">
        <f aca="false">IF(Charts!$B$3="none",F2507,IF(L2507="",NA(),L2507))</f>
        <v>#N/A</v>
      </c>
      <c r="S700" s="0" t="e">
        <f aca="false">IF(Charts!$B$3="none",G2507,IF(M2507="",NA(),M2507))</f>
        <v>#N/A</v>
      </c>
      <c r="T700" s="0" t="e">
        <f aca="false">IF(Charts!$B$3="none",H2507,IF(N2507="",NA(),N2507))</f>
        <v>#N/A</v>
      </c>
    </row>
    <row r="701" customFormat="false" ht="15" hidden="false" customHeight="false" outlineLevel="0" collapsed="false">
      <c r="E701" s="0" t="n">
        <v>335</v>
      </c>
      <c r="F701" s="0" t="str">
        <f aca="false">F339</f>
        <v/>
      </c>
      <c r="G701" s="0" t="n">
        <v>335</v>
      </c>
      <c r="H701" s="0" t="n">
        <f aca="false">H339</f>
        <v>0</v>
      </c>
      <c r="K701" s="0" t="n">
        <v>335</v>
      </c>
      <c r="L701" s="0" t="str">
        <f aca="false">L339</f>
        <v/>
      </c>
      <c r="M701" s="0" t="n">
        <v>335</v>
      </c>
      <c r="N701" s="0" t="n">
        <f aca="false">N339</f>
        <v>0</v>
      </c>
      <c r="Q701" s="0" t="e">
        <f aca="false">IF(Charts!$B$3="none",E2508,IF(K2508="",NA(),K2508))</f>
        <v>#N/A</v>
      </c>
      <c r="R701" s="0" t="e">
        <f aca="false">IF(Charts!$B$3="none",F2508,IF(L2508="",NA(),L2508))</f>
        <v>#N/A</v>
      </c>
      <c r="S701" s="0" t="e">
        <f aca="false">IF(Charts!$B$3="none",G2508,IF(M2508="",NA(),M2508))</f>
        <v>#N/A</v>
      </c>
      <c r="T701" s="0" t="e">
        <f aca="false">IF(Charts!$B$3="none",H2508,IF(N2508="",NA(),N2508))</f>
        <v>#N/A</v>
      </c>
    </row>
    <row r="702" customFormat="false" ht="15" hidden="false" customHeight="false" outlineLevel="0" collapsed="false">
      <c r="E702" s="0" t="n">
        <v>336</v>
      </c>
      <c r="F702" s="0" t="str">
        <f aca="false">F340</f>
        <v/>
      </c>
      <c r="G702" s="0" t="n">
        <v>336</v>
      </c>
      <c r="H702" s="0" t="n">
        <f aca="false">H340</f>
        <v>0</v>
      </c>
      <c r="K702" s="0" t="n">
        <v>336</v>
      </c>
      <c r="L702" s="0" t="str">
        <f aca="false">L340</f>
        <v/>
      </c>
      <c r="M702" s="0" t="n">
        <v>336</v>
      </c>
      <c r="N702" s="0" t="n">
        <f aca="false">N340</f>
        <v>0</v>
      </c>
      <c r="Q702" s="0" t="e">
        <f aca="false">IF(Charts!$B$3="none",E2509,IF(K2509="",NA(),K2509))</f>
        <v>#N/A</v>
      </c>
      <c r="R702" s="0" t="e">
        <f aca="false">IF(Charts!$B$3="none",F2509,IF(L2509="",NA(),L2509))</f>
        <v>#N/A</v>
      </c>
      <c r="S702" s="0" t="e">
        <f aca="false">IF(Charts!$B$3="none",G2509,IF(M2509="",NA(),M2509))</f>
        <v>#N/A</v>
      </c>
      <c r="T702" s="0" t="e">
        <f aca="false">IF(Charts!$B$3="none",H2509,IF(N2509="",NA(),N2509))</f>
        <v>#N/A</v>
      </c>
    </row>
    <row r="703" customFormat="false" ht="15" hidden="false" customHeight="false" outlineLevel="0" collapsed="false">
      <c r="E703" s="0" t="n">
        <v>337</v>
      </c>
      <c r="F703" s="0" t="str">
        <f aca="false">F341</f>
        <v/>
      </c>
      <c r="G703" s="0" t="n">
        <v>337</v>
      </c>
      <c r="H703" s="0" t="n">
        <f aca="false">H341</f>
        <v>0</v>
      </c>
      <c r="K703" s="0" t="n">
        <v>337</v>
      </c>
      <c r="L703" s="0" t="str">
        <f aca="false">L341</f>
        <v/>
      </c>
      <c r="M703" s="0" t="n">
        <v>337</v>
      </c>
      <c r="N703" s="0" t="n">
        <f aca="false">N341</f>
        <v>0</v>
      </c>
      <c r="Q703" s="0" t="e">
        <f aca="false">IF(Charts!$B$3="none",E2510,IF(K2510="",NA(),K2510))</f>
        <v>#N/A</v>
      </c>
      <c r="R703" s="0" t="e">
        <f aca="false">IF(Charts!$B$3="none",F2510,IF(L2510="",NA(),L2510))</f>
        <v>#N/A</v>
      </c>
      <c r="S703" s="0" t="e">
        <f aca="false">IF(Charts!$B$3="none",G2510,IF(M2510="",NA(),M2510))</f>
        <v>#N/A</v>
      </c>
      <c r="T703" s="0" t="e">
        <f aca="false">IF(Charts!$B$3="none",H2510,IF(N2510="",NA(),N2510))</f>
        <v>#N/A</v>
      </c>
    </row>
    <row r="704" customFormat="false" ht="15" hidden="false" customHeight="false" outlineLevel="0" collapsed="false">
      <c r="E704" s="0" t="n">
        <v>338</v>
      </c>
      <c r="F704" s="0" t="str">
        <f aca="false">F342</f>
        <v/>
      </c>
      <c r="G704" s="0" t="n">
        <v>338</v>
      </c>
      <c r="H704" s="0" t="n">
        <f aca="false">H342</f>
        <v>0</v>
      </c>
      <c r="K704" s="0" t="n">
        <v>338</v>
      </c>
      <c r="L704" s="0" t="str">
        <f aca="false">L342</f>
        <v/>
      </c>
      <c r="M704" s="0" t="n">
        <v>338</v>
      </c>
      <c r="N704" s="0" t="n">
        <f aca="false">N342</f>
        <v>0</v>
      </c>
      <c r="Q704" s="0" t="e">
        <f aca="false">IF(Charts!$B$3="none",E2511,IF(K2511="",NA(),K2511))</f>
        <v>#N/A</v>
      </c>
      <c r="R704" s="0" t="e">
        <f aca="false">IF(Charts!$B$3="none",F2511,IF(L2511="",NA(),L2511))</f>
        <v>#N/A</v>
      </c>
      <c r="S704" s="0" t="e">
        <f aca="false">IF(Charts!$B$3="none",G2511,IF(M2511="",NA(),M2511))</f>
        <v>#N/A</v>
      </c>
      <c r="T704" s="0" t="e">
        <f aca="false">IF(Charts!$B$3="none",H2511,IF(N2511="",NA(),N2511))</f>
        <v>#N/A</v>
      </c>
    </row>
    <row r="705" customFormat="false" ht="15" hidden="false" customHeight="false" outlineLevel="0" collapsed="false">
      <c r="E705" s="0" t="n">
        <v>339</v>
      </c>
      <c r="F705" s="0" t="str">
        <f aca="false">F343</f>
        <v/>
      </c>
      <c r="G705" s="0" t="n">
        <v>339</v>
      </c>
      <c r="H705" s="0" t="n">
        <f aca="false">H343</f>
        <v>0</v>
      </c>
      <c r="K705" s="0" t="n">
        <v>339</v>
      </c>
      <c r="L705" s="0" t="str">
        <f aca="false">L343</f>
        <v/>
      </c>
      <c r="M705" s="0" t="n">
        <v>339</v>
      </c>
      <c r="N705" s="0" t="n">
        <f aca="false">N343</f>
        <v>0</v>
      </c>
      <c r="Q705" s="0" t="e">
        <f aca="false">IF(Charts!$B$3="none",E2512,IF(K2512="",NA(),K2512))</f>
        <v>#N/A</v>
      </c>
      <c r="R705" s="0" t="e">
        <f aca="false">IF(Charts!$B$3="none",F2512,IF(L2512="",NA(),L2512))</f>
        <v>#N/A</v>
      </c>
      <c r="S705" s="0" t="e">
        <f aca="false">IF(Charts!$B$3="none",G2512,IF(M2512="",NA(),M2512))</f>
        <v>#N/A</v>
      </c>
      <c r="T705" s="0" t="e">
        <f aca="false">IF(Charts!$B$3="none",H2512,IF(N2512="",NA(),N2512))</f>
        <v>#N/A</v>
      </c>
    </row>
    <row r="706" customFormat="false" ht="15" hidden="false" customHeight="false" outlineLevel="0" collapsed="false">
      <c r="E706" s="0" t="n">
        <v>340</v>
      </c>
      <c r="F706" s="0" t="str">
        <f aca="false">F344</f>
        <v/>
      </c>
      <c r="G706" s="0" t="n">
        <v>340</v>
      </c>
      <c r="H706" s="0" t="n">
        <f aca="false">H344</f>
        <v>0</v>
      </c>
      <c r="K706" s="0" t="n">
        <v>340</v>
      </c>
      <c r="L706" s="0" t="str">
        <f aca="false">L344</f>
        <v/>
      </c>
      <c r="M706" s="0" t="n">
        <v>340</v>
      </c>
      <c r="N706" s="0" t="n">
        <f aca="false">N344</f>
        <v>0</v>
      </c>
      <c r="Q706" s="0" t="e">
        <f aca="false">IF(Charts!$B$3="none",E2513,IF(K2513="",NA(),K2513))</f>
        <v>#N/A</v>
      </c>
      <c r="R706" s="0" t="e">
        <f aca="false">IF(Charts!$B$3="none",F2513,IF(L2513="",NA(),L2513))</f>
        <v>#N/A</v>
      </c>
      <c r="S706" s="0" t="e">
        <f aca="false">IF(Charts!$B$3="none",G2513,IF(M2513="",NA(),M2513))</f>
        <v>#N/A</v>
      </c>
      <c r="T706" s="0" t="e">
        <f aca="false">IF(Charts!$B$3="none",H2513,IF(N2513="",NA(),N2513))</f>
        <v>#N/A</v>
      </c>
    </row>
    <row r="707" customFormat="false" ht="15" hidden="false" customHeight="false" outlineLevel="0" collapsed="false">
      <c r="E707" s="0" t="n">
        <v>341</v>
      </c>
      <c r="F707" s="0" t="str">
        <f aca="false">F345</f>
        <v/>
      </c>
      <c r="G707" s="0" t="n">
        <v>341</v>
      </c>
      <c r="H707" s="0" t="n">
        <f aca="false">H345</f>
        <v>0</v>
      </c>
      <c r="K707" s="0" t="n">
        <v>341</v>
      </c>
      <c r="L707" s="0" t="str">
        <f aca="false">L345</f>
        <v/>
      </c>
      <c r="M707" s="0" t="n">
        <v>341</v>
      </c>
      <c r="N707" s="0" t="n">
        <f aca="false">N345</f>
        <v>0</v>
      </c>
      <c r="Q707" s="0" t="e">
        <f aca="false">IF(Charts!$B$3="none",E2514,IF(K2514="",NA(),K2514))</f>
        <v>#N/A</v>
      </c>
      <c r="R707" s="0" t="e">
        <f aca="false">IF(Charts!$B$3="none",F2514,IF(L2514="",NA(),L2514))</f>
        <v>#N/A</v>
      </c>
      <c r="S707" s="0" t="e">
        <f aca="false">IF(Charts!$B$3="none",G2514,IF(M2514="",NA(),M2514))</f>
        <v>#N/A</v>
      </c>
      <c r="T707" s="0" t="e">
        <f aca="false">IF(Charts!$B$3="none",H2514,IF(N2514="",NA(),N2514))</f>
        <v>#N/A</v>
      </c>
    </row>
    <row r="708" customFormat="false" ht="15" hidden="false" customHeight="false" outlineLevel="0" collapsed="false">
      <c r="E708" s="0" t="n">
        <v>342</v>
      </c>
      <c r="F708" s="0" t="str">
        <f aca="false">F346</f>
        <v/>
      </c>
      <c r="G708" s="0" t="n">
        <v>342</v>
      </c>
      <c r="H708" s="0" t="n">
        <f aca="false">H346</f>
        <v>0</v>
      </c>
      <c r="K708" s="0" t="n">
        <v>342</v>
      </c>
      <c r="L708" s="0" t="str">
        <f aca="false">L346</f>
        <v/>
      </c>
      <c r="M708" s="0" t="n">
        <v>342</v>
      </c>
      <c r="N708" s="0" t="n">
        <f aca="false">N346</f>
        <v>0</v>
      </c>
      <c r="Q708" s="0" t="e">
        <f aca="false">IF(Charts!$B$3="none",E2515,IF(K2515="",NA(),K2515))</f>
        <v>#N/A</v>
      </c>
      <c r="R708" s="0" t="e">
        <f aca="false">IF(Charts!$B$3="none",F2515,IF(L2515="",NA(),L2515))</f>
        <v>#N/A</v>
      </c>
      <c r="S708" s="0" t="e">
        <f aca="false">IF(Charts!$B$3="none",G2515,IF(M2515="",NA(),M2515))</f>
        <v>#N/A</v>
      </c>
      <c r="T708" s="0" t="e">
        <f aca="false">IF(Charts!$B$3="none",H2515,IF(N2515="",NA(),N2515))</f>
        <v>#N/A</v>
      </c>
    </row>
    <row r="709" customFormat="false" ht="15" hidden="false" customHeight="false" outlineLevel="0" collapsed="false">
      <c r="E709" s="0" t="n">
        <v>343</v>
      </c>
      <c r="F709" s="0" t="str">
        <f aca="false">F347</f>
        <v/>
      </c>
      <c r="G709" s="0" t="n">
        <v>343</v>
      </c>
      <c r="H709" s="0" t="n">
        <f aca="false">H347</f>
        <v>0</v>
      </c>
      <c r="K709" s="0" t="n">
        <v>343</v>
      </c>
      <c r="L709" s="0" t="str">
        <f aca="false">L347</f>
        <v/>
      </c>
      <c r="M709" s="0" t="n">
        <v>343</v>
      </c>
      <c r="N709" s="0" t="n">
        <f aca="false">N347</f>
        <v>0</v>
      </c>
      <c r="Q709" s="0" t="e">
        <f aca="false">IF(Charts!$B$3="none",E2516,IF(K2516="",NA(),K2516))</f>
        <v>#N/A</v>
      </c>
      <c r="R709" s="0" t="e">
        <f aca="false">IF(Charts!$B$3="none",F2516,IF(L2516="",NA(),L2516))</f>
        <v>#N/A</v>
      </c>
      <c r="S709" s="0" t="e">
        <f aca="false">IF(Charts!$B$3="none",G2516,IF(M2516="",NA(),M2516))</f>
        <v>#N/A</v>
      </c>
      <c r="T709" s="0" t="e">
        <f aca="false">IF(Charts!$B$3="none",H2516,IF(N2516="",NA(),N2516))</f>
        <v>#N/A</v>
      </c>
    </row>
    <row r="710" customFormat="false" ht="15" hidden="false" customHeight="false" outlineLevel="0" collapsed="false">
      <c r="E710" s="0" t="n">
        <v>344</v>
      </c>
      <c r="F710" s="0" t="str">
        <f aca="false">F348</f>
        <v/>
      </c>
      <c r="G710" s="0" t="n">
        <v>344</v>
      </c>
      <c r="H710" s="0" t="n">
        <f aca="false">H348</f>
        <v>0</v>
      </c>
      <c r="K710" s="0" t="n">
        <v>344</v>
      </c>
      <c r="L710" s="0" t="str">
        <f aca="false">L348</f>
        <v/>
      </c>
      <c r="M710" s="0" t="n">
        <v>344</v>
      </c>
      <c r="N710" s="0" t="n">
        <f aca="false">N348</f>
        <v>0</v>
      </c>
      <c r="Q710" s="0" t="e">
        <f aca="false">IF(Charts!$B$3="none",E2517,IF(K2517="",NA(),K2517))</f>
        <v>#N/A</v>
      </c>
      <c r="R710" s="0" t="e">
        <f aca="false">IF(Charts!$B$3="none",F2517,IF(L2517="",NA(),L2517))</f>
        <v>#N/A</v>
      </c>
      <c r="S710" s="0" t="e">
        <f aca="false">IF(Charts!$B$3="none",G2517,IF(M2517="",NA(),M2517))</f>
        <v>#N/A</v>
      </c>
      <c r="T710" s="0" t="e">
        <f aca="false">IF(Charts!$B$3="none",H2517,IF(N2517="",NA(),N2517))</f>
        <v>#N/A</v>
      </c>
    </row>
    <row r="711" customFormat="false" ht="15" hidden="false" customHeight="false" outlineLevel="0" collapsed="false">
      <c r="E711" s="0" t="n">
        <v>345</v>
      </c>
      <c r="F711" s="0" t="str">
        <f aca="false">F349</f>
        <v/>
      </c>
      <c r="G711" s="0" t="n">
        <v>345</v>
      </c>
      <c r="H711" s="0" t="n">
        <f aca="false">H349</f>
        <v>0</v>
      </c>
      <c r="K711" s="0" t="n">
        <v>345</v>
      </c>
      <c r="L711" s="0" t="str">
        <f aca="false">L349</f>
        <v/>
      </c>
      <c r="M711" s="0" t="n">
        <v>345</v>
      </c>
      <c r="N711" s="0" t="n">
        <f aca="false">N349</f>
        <v>0</v>
      </c>
      <c r="Q711" s="0" t="e">
        <f aca="false">IF(Charts!$B$3="none",E2518,IF(K2518="",NA(),K2518))</f>
        <v>#N/A</v>
      </c>
      <c r="R711" s="0" t="e">
        <f aca="false">IF(Charts!$B$3="none",F2518,IF(L2518="",NA(),L2518))</f>
        <v>#N/A</v>
      </c>
      <c r="S711" s="0" t="e">
        <f aca="false">IF(Charts!$B$3="none",G2518,IF(M2518="",NA(),M2518))</f>
        <v>#N/A</v>
      </c>
      <c r="T711" s="0" t="e">
        <f aca="false">IF(Charts!$B$3="none",H2518,IF(N2518="",NA(),N2518))</f>
        <v>#N/A</v>
      </c>
    </row>
    <row r="712" customFormat="false" ht="15" hidden="false" customHeight="false" outlineLevel="0" collapsed="false">
      <c r="E712" s="0" t="n">
        <v>346</v>
      </c>
      <c r="F712" s="0" t="str">
        <f aca="false">F350</f>
        <v/>
      </c>
      <c r="G712" s="0" t="n">
        <v>346</v>
      </c>
      <c r="H712" s="0" t="n">
        <f aca="false">H350</f>
        <v>0</v>
      </c>
      <c r="K712" s="0" t="n">
        <v>346</v>
      </c>
      <c r="L712" s="0" t="str">
        <f aca="false">L350</f>
        <v/>
      </c>
      <c r="M712" s="0" t="n">
        <v>346</v>
      </c>
      <c r="N712" s="0" t="n">
        <f aca="false">N350</f>
        <v>0</v>
      </c>
      <c r="Q712" s="0" t="e">
        <f aca="false">IF(Charts!$B$3="none",E2519,IF(K2519="",NA(),K2519))</f>
        <v>#N/A</v>
      </c>
      <c r="R712" s="0" t="e">
        <f aca="false">IF(Charts!$B$3="none",F2519,IF(L2519="",NA(),L2519))</f>
        <v>#N/A</v>
      </c>
      <c r="S712" s="0" t="e">
        <f aca="false">IF(Charts!$B$3="none",G2519,IF(M2519="",NA(),M2519))</f>
        <v>#N/A</v>
      </c>
      <c r="T712" s="0" t="e">
        <f aca="false">IF(Charts!$B$3="none",H2519,IF(N2519="",NA(),N2519))</f>
        <v>#N/A</v>
      </c>
    </row>
    <row r="713" customFormat="false" ht="15" hidden="false" customHeight="false" outlineLevel="0" collapsed="false">
      <c r="E713" s="0" t="n">
        <v>347</v>
      </c>
      <c r="F713" s="0" t="str">
        <f aca="false">F351</f>
        <v/>
      </c>
      <c r="G713" s="0" t="n">
        <v>347</v>
      </c>
      <c r="H713" s="0" t="n">
        <f aca="false">H351</f>
        <v>0</v>
      </c>
      <c r="K713" s="0" t="n">
        <v>347</v>
      </c>
      <c r="L713" s="0" t="str">
        <f aca="false">L351</f>
        <v/>
      </c>
      <c r="M713" s="0" t="n">
        <v>347</v>
      </c>
      <c r="N713" s="0" t="n">
        <f aca="false">N351</f>
        <v>0</v>
      </c>
      <c r="Q713" s="0" t="e">
        <f aca="false">IF(Charts!$B$3="none",E2520,IF(K2520="",NA(),K2520))</f>
        <v>#N/A</v>
      </c>
      <c r="R713" s="0" t="e">
        <f aca="false">IF(Charts!$B$3="none",F2520,IF(L2520="",NA(),L2520))</f>
        <v>#N/A</v>
      </c>
      <c r="S713" s="0" t="e">
        <f aca="false">IF(Charts!$B$3="none",G2520,IF(M2520="",NA(),M2520))</f>
        <v>#N/A</v>
      </c>
      <c r="T713" s="0" t="e">
        <f aca="false">IF(Charts!$B$3="none",H2520,IF(N2520="",NA(),N2520))</f>
        <v>#N/A</v>
      </c>
    </row>
    <row r="714" customFormat="false" ht="15" hidden="false" customHeight="false" outlineLevel="0" collapsed="false">
      <c r="E714" s="0" t="n">
        <v>348</v>
      </c>
      <c r="F714" s="0" t="str">
        <f aca="false">F352</f>
        <v/>
      </c>
      <c r="G714" s="0" t="n">
        <v>348</v>
      </c>
      <c r="H714" s="0" t="n">
        <f aca="false">H352</f>
        <v>0</v>
      </c>
      <c r="K714" s="0" t="n">
        <v>348</v>
      </c>
      <c r="L714" s="0" t="str">
        <f aca="false">L352</f>
        <v/>
      </c>
      <c r="M714" s="0" t="n">
        <v>348</v>
      </c>
      <c r="N714" s="0" t="n">
        <f aca="false">N352</f>
        <v>0</v>
      </c>
      <c r="Q714" s="0" t="e">
        <f aca="false">IF(Charts!$B$3="none",E2521,IF(K2521="",NA(),K2521))</f>
        <v>#N/A</v>
      </c>
      <c r="R714" s="0" t="e">
        <f aca="false">IF(Charts!$B$3="none",F2521,IF(L2521="",NA(),L2521))</f>
        <v>#N/A</v>
      </c>
      <c r="S714" s="0" t="e">
        <f aca="false">IF(Charts!$B$3="none",G2521,IF(M2521="",NA(),M2521))</f>
        <v>#N/A</v>
      </c>
      <c r="T714" s="0" t="e">
        <f aca="false">IF(Charts!$B$3="none",H2521,IF(N2521="",NA(),N2521))</f>
        <v>#N/A</v>
      </c>
    </row>
    <row r="715" customFormat="false" ht="15" hidden="false" customHeight="false" outlineLevel="0" collapsed="false">
      <c r="E715" s="0" t="n">
        <v>349</v>
      </c>
      <c r="F715" s="0" t="str">
        <f aca="false">F353</f>
        <v/>
      </c>
      <c r="G715" s="0" t="n">
        <v>349</v>
      </c>
      <c r="H715" s="0" t="n">
        <f aca="false">H353</f>
        <v>0</v>
      </c>
      <c r="K715" s="0" t="n">
        <v>349</v>
      </c>
      <c r="L715" s="0" t="str">
        <f aca="false">L353</f>
        <v/>
      </c>
      <c r="M715" s="0" t="n">
        <v>349</v>
      </c>
      <c r="N715" s="0" t="n">
        <f aca="false">N353</f>
        <v>0</v>
      </c>
      <c r="Q715" s="0" t="e">
        <f aca="false">IF(Charts!$B$3="none",E2522,IF(K2522="",NA(),K2522))</f>
        <v>#N/A</v>
      </c>
      <c r="R715" s="0" t="e">
        <f aca="false">IF(Charts!$B$3="none",F2522,IF(L2522="",NA(),L2522))</f>
        <v>#N/A</v>
      </c>
      <c r="S715" s="0" t="e">
        <f aca="false">IF(Charts!$B$3="none",G2522,IF(M2522="",NA(),M2522))</f>
        <v>#N/A</v>
      </c>
      <c r="T715" s="0" t="e">
        <f aca="false">IF(Charts!$B$3="none",H2522,IF(N2522="",NA(),N2522))</f>
        <v>#N/A</v>
      </c>
    </row>
    <row r="716" customFormat="false" ht="15" hidden="false" customHeight="false" outlineLevel="0" collapsed="false">
      <c r="E716" s="0" t="n">
        <v>350</v>
      </c>
      <c r="F716" s="0" t="str">
        <f aca="false">F354</f>
        <v/>
      </c>
      <c r="G716" s="0" t="n">
        <v>350</v>
      </c>
      <c r="H716" s="0" t="n">
        <f aca="false">H354</f>
        <v>0</v>
      </c>
      <c r="K716" s="0" t="n">
        <v>350</v>
      </c>
      <c r="L716" s="0" t="str">
        <f aca="false">L354</f>
        <v/>
      </c>
      <c r="M716" s="0" t="n">
        <v>350</v>
      </c>
      <c r="N716" s="0" t="n">
        <f aca="false">N354</f>
        <v>0</v>
      </c>
      <c r="Q716" s="0" t="e">
        <f aca="false">IF(Charts!$B$3="none",E2523,IF(K2523="",NA(),K2523))</f>
        <v>#N/A</v>
      </c>
      <c r="R716" s="0" t="e">
        <f aca="false">IF(Charts!$B$3="none",F2523,IF(L2523="",NA(),L2523))</f>
        <v>#N/A</v>
      </c>
      <c r="S716" s="0" t="e">
        <f aca="false">IF(Charts!$B$3="none",G2523,IF(M2523="",NA(),M2523))</f>
        <v>#N/A</v>
      </c>
      <c r="T716" s="0" t="e">
        <f aca="false">IF(Charts!$B$3="none",H2523,IF(N2523="",NA(),N2523))</f>
        <v>#N/A</v>
      </c>
    </row>
    <row r="717" customFormat="false" ht="15" hidden="false" customHeight="false" outlineLevel="0" collapsed="false">
      <c r="E717" s="0" t="n">
        <v>351</v>
      </c>
      <c r="F717" s="0" t="str">
        <f aca="false">F355</f>
        <v/>
      </c>
      <c r="G717" s="0" t="n">
        <v>351</v>
      </c>
      <c r="H717" s="0" t="n">
        <f aca="false">H355</f>
        <v>0</v>
      </c>
      <c r="K717" s="0" t="n">
        <v>351</v>
      </c>
      <c r="L717" s="0" t="str">
        <f aca="false">L355</f>
        <v/>
      </c>
      <c r="M717" s="0" t="n">
        <v>351</v>
      </c>
      <c r="N717" s="0" t="n">
        <f aca="false">N355</f>
        <v>0</v>
      </c>
      <c r="Q717" s="0" t="e">
        <f aca="false">IF(Charts!$B$3="none",E2524,IF(K2524="",NA(),K2524))</f>
        <v>#N/A</v>
      </c>
      <c r="R717" s="0" t="e">
        <f aca="false">IF(Charts!$B$3="none",F2524,IF(L2524="",NA(),L2524))</f>
        <v>#N/A</v>
      </c>
      <c r="S717" s="0" t="e">
        <f aca="false">IF(Charts!$B$3="none",G2524,IF(M2524="",NA(),M2524))</f>
        <v>#N/A</v>
      </c>
      <c r="T717" s="0" t="e">
        <f aca="false">IF(Charts!$B$3="none",H2524,IF(N2524="",NA(),N2524))</f>
        <v>#N/A</v>
      </c>
    </row>
    <row r="718" customFormat="false" ht="15" hidden="false" customHeight="false" outlineLevel="0" collapsed="false">
      <c r="E718" s="0" t="n">
        <v>352</v>
      </c>
      <c r="F718" s="0" t="str">
        <f aca="false">F356</f>
        <v/>
      </c>
      <c r="G718" s="0" t="n">
        <v>352</v>
      </c>
      <c r="H718" s="0" t="n">
        <f aca="false">H356</f>
        <v>0</v>
      </c>
      <c r="K718" s="0" t="n">
        <v>352</v>
      </c>
      <c r="L718" s="0" t="str">
        <f aca="false">L356</f>
        <v/>
      </c>
      <c r="M718" s="0" t="n">
        <v>352</v>
      </c>
      <c r="N718" s="0" t="n">
        <f aca="false">N356</f>
        <v>0</v>
      </c>
      <c r="Q718" s="0" t="e">
        <f aca="false">IF(Charts!$B$3="none",E2525,IF(K2525="",NA(),K2525))</f>
        <v>#N/A</v>
      </c>
      <c r="R718" s="0" t="e">
        <f aca="false">IF(Charts!$B$3="none",F2525,IF(L2525="",NA(),L2525))</f>
        <v>#N/A</v>
      </c>
      <c r="S718" s="0" t="e">
        <f aca="false">IF(Charts!$B$3="none",G2525,IF(M2525="",NA(),M2525))</f>
        <v>#N/A</v>
      </c>
      <c r="T718" s="0" t="e">
        <f aca="false">IF(Charts!$B$3="none",H2525,IF(N2525="",NA(),N2525))</f>
        <v>#N/A</v>
      </c>
    </row>
    <row r="719" customFormat="false" ht="15" hidden="false" customHeight="false" outlineLevel="0" collapsed="false">
      <c r="E719" s="0" t="n">
        <v>353</v>
      </c>
      <c r="F719" s="0" t="str">
        <f aca="false">F357</f>
        <v/>
      </c>
      <c r="G719" s="0" t="n">
        <v>353</v>
      </c>
      <c r="H719" s="0" t="n">
        <f aca="false">H357</f>
        <v>0</v>
      </c>
      <c r="K719" s="0" t="n">
        <v>353</v>
      </c>
      <c r="L719" s="0" t="str">
        <f aca="false">L357</f>
        <v/>
      </c>
      <c r="M719" s="0" t="n">
        <v>353</v>
      </c>
      <c r="N719" s="0" t="n">
        <f aca="false">N357</f>
        <v>0</v>
      </c>
      <c r="Q719" s="0" t="e">
        <f aca="false">IF(Charts!$B$3="none",E2526,IF(K2526="",NA(),K2526))</f>
        <v>#N/A</v>
      </c>
      <c r="R719" s="0" t="e">
        <f aca="false">IF(Charts!$B$3="none",F2526,IF(L2526="",NA(),L2526))</f>
        <v>#N/A</v>
      </c>
      <c r="S719" s="0" t="e">
        <f aca="false">IF(Charts!$B$3="none",G2526,IF(M2526="",NA(),M2526))</f>
        <v>#N/A</v>
      </c>
      <c r="T719" s="0" t="e">
        <f aca="false">IF(Charts!$B$3="none",H2526,IF(N2526="",NA(),N2526))</f>
        <v>#N/A</v>
      </c>
    </row>
    <row r="720" customFormat="false" ht="15" hidden="false" customHeight="false" outlineLevel="0" collapsed="false">
      <c r="E720" s="0" t="n">
        <v>354</v>
      </c>
      <c r="F720" s="0" t="str">
        <f aca="false">F358</f>
        <v/>
      </c>
      <c r="G720" s="0" t="n">
        <v>354</v>
      </c>
      <c r="H720" s="0" t="n">
        <f aca="false">H358</f>
        <v>0</v>
      </c>
      <c r="K720" s="0" t="n">
        <v>354</v>
      </c>
      <c r="L720" s="0" t="str">
        <f aca="false">L358</f>
        <v/>
      </c>
      <c r="M720" s="0" t="n">
        <v>354</v>
      </c>
      <c r="N720" s="0" t="n">
        <f aca="false">N358</f>
        <v>0</v>
      </c>
      <c r="Q720" s="0" t="e">
        <f aca="false">IF(Charts!$B$3="none",E2527,IF(K2527="",NA(),K2527))</f>
        <v>#N/A</v>
      </c>
      <c r="R720" s="0" t="e">
        <f aca="false">IF(Charts!$B$3="none",F2527,IF(L2527="",NA(),L2527))</f>
        <v>#N/A</v>
      </c>
      <c r="S720" s="0" t="e">
        <f aca="false">IF(Charts!$B$3="none",G2527,IF(M2527="",NA(),M2527))</f>
        <v>#N/A</v>
      </c>
      <c r="T720" s="0" t="e">
        <f aca="false">IF(Charts!$B$3="none",H2527,IF(N2527="",NA(),N2527))</f>
        <v>#N/A</v>
      </c>
    </row>
    <row r="721" customFormat="false" ht="15" hidden="false" customHeight="false" outlineLevel="0" collapsed="false">
      <c r="E721" s="0" t="n">
        <v>355</v>
      </c>
      <c r="F721" s="0" t="str">
        <f aca="false">F359</f>
        <v/>
      </c>
      <c r="G721" s="0" t="n">
        <v>355</v>
      </c>
      <c r="H721" s="0" t="n">
        <f aca="false">H359</f>
        <v>0</v>
      </c>
      <c r="K721" s="0" t="n">
        <v>355</v>
      </c>
      <c r="L721" s="0" t="str">
        <f aca="false">L359</f>
        <v/>
      </c>
      <c r="M721" s="0" t="n">
        <v>355</v>
      </c>
      <c r="N721" s="0" t="n">
        <f aca="false">N359</f>
        <v>0</v>
      </c>
      <c r="Q721" s="0" t="e">
        <f aca="false">IF(Charts!$B$3="none",E2528,IF(K2528="",NA(),K2528))</f>
        <v>#N/A</v>
      </c>
      <c r="R721" s="0" t="e">
        <f aca="false">IF(Charts!$B$3="none",F2528,IF(L2528="",NA(),L2528))</f>
        <v>#N/A</v>
      </c>
      <c r="S721" s="0" t="e">
        <f aca="false">IF(Charts!$B$3="none",G2528,IF(M2528="",NA(),M2528))</f>
        <v>#N/A</v>
      </c>
      <c r="T721" s="0" t="e">
        <f aca="false">IF(Charts!$B$3="none",H2528,IF(N2528="",NA(),N2528))</f>
        <v>#N/A</v>
      </c>
    </row>
    <row r="722" customFormat="false" ht="15" hidden="false" customHeight="false" outlineLevel="0" collapsed="false">
      <c r="E722" s="0" t="n">
        <v>356</v>
      </c>
      <c r="F722" s="0" t="str">
        <f aca="false">F360</f>
        <v/>
      </c>
      <c r="G722" s="0" t="n">
        <v>356</v>
      </c>
      <c r="H722" s="0" t="n">
        <f aca="false">H360</f>
        <v>0</v>
      </c>
      <c r="K722" s="0" t="n">
        <v>356</v>
      </c>
      <c r="L722" s="0" t="str">
        <f aca="false">L360</f>
        <v/>
      </c>
      <c r="M722" s="0" t="n">
        <v>356</v>
      </c>
      <c r="N722" s="0" t="n">
        <f aca="false">N360</f>
        <v>0</v>
      </c>
      <c r="Q722" s="0" t="e">
        <f aca="false">IF(Charts!$B$3="none",E2529,IF(K2529="",NA(),K2529))</f>
        <v>#N/A</v>
      </c>
      <c r="R722" s="0" t="e">
        <f aca="false">IF(Charts!$B$3="none",F2529,IF(L2529="",NA(),L2529))</f>
        <v>#N/A</v>
      </c>
      <c r="S722" s="0" t="e">
        <f aca="false">IF(Charts!$B$3="none",G2529,IF(M2529="",NA(),M2529))</f>
        <v>#N/A</v>
      </c>
      <c r="T722" s="0" t="e">
        <f aca="false">IF(Charts!$B$3="none",H2529,IF(N2529="",NA(),N2529))</f>
        <v>#N/A</v>
      </c>
    </row>
    <row r="723" customFormat="false" ht="15" hidden="false" customHeight="false" outlineLevel="0" collapsed="false">
      <c r="E723" s="0" t="n">
        <v>357</v>
      </c>
      <c r="F723" s="0" t="str">
        <f aca="false">F361</f>
        <v/>
      </c>
      <c r="G723" s="0" t="n">
        <v>357</v>
      </c>
      <c r="H723" s="0" t="n">
        <f aca="false">H361</f>
        <v>0</v>
      </c>
      <c r="K723" s="0" t="n">
        <v>357</v>
      </c>
      <c r="L723" s="0" t="str">
        <f aca="false">L361</f>
        <v/>
      </c>
      <c r="M723" s="0" t="n">
        <v>357</v>
      </c>
      <c r="N723" s="0" t="n">
        <f aca="false">N361</f>
        <v>0</v>
      </c>
      <c r="Q723" s="0" t="e">
        <f aca="false">IF(Charts!$B$3="none",E2530,IF(K2530="",NA(),K2530))</f>
        <v>#N/A</v>
      </c>
      <c r="R723" s="0" t="e">
        <f aca="false">IF(Charts!$B$3="none",F2530,IF(L2530="",NA(),L2530))</f>
        <v>#N/A</v>
      </c>
      <c r="S723" s="0" t="e">
        <f aca="false">IF(Charts!$B$3="none",G2530,IF(M2530="",NA(),M2530))</f>
        <v>#N/A</v>
      </c>
      <c r="T723" s="0" t="e">
        <f aca="false">IF(Charts!$B$3="none",H2530,IF(N2530="",NA(),N2530))</f>
        <v>#N/A</v>
      </c>
    </row>
    <row r="724" customFormat="false" ht="15" hidden="false" customHeight="false" outlineLevel="0" collapsed="false">
      <c r="E724" s="0" t="n">
        <v>358</v>
      </c>
      <c r="F724" s="0" t="str">
        <f aca="false">F362</f>
        <v/>
      </c>
      <c r="G724" s="0" t="n">
        <v>358</v>
      </c>
      <c r="H724" s="0" t="n">
        <f aca="false">H362</f>
        <v>0</v>
      </c>
      <c r="K724" s="0" t="n">
        <v>358</v>
      </c>
      <c r="L724" s="0" t="str">
        <f aca="false">L362</f>
        <v/>
      </c>
      <c r="M724" s="0" t="n">
        <v>358</v>
      </c>
      <c r="N724" s="0" t="n">
        <f aca="false">N362</f>
        <v>0</v>
      </c>
      <c r="Q724" s="0" t="e">
        <f aca="false">IF(Charts!$B$3="none",E2531,IF(K2531="",NA(),K2531))</f>
        <v>#N/A</v>
      </c>
      <c r="R724" s="0" t="e">
        <f aca="false">IF(Charts!$B$3="none",F2531,IF(L2531="",NA(),L2531))</f>
        <v>#N/A</v>
      </c>
      <c r="S724" s="0" t="n">
        <f aca="false">IF(Charts!$B$3="none",G2531,IF(M2531="",NA(),M2531))</f>
        <v>0</v>
      </c>
      <c r="T724" s="0" t="n">
        <f aca="false">IF(Charts!$B$3="none",H2531,IF(N2531="",NA(),N2531))</f>
        <v>0</v>
      </c>
    </row>
    <row r="725" customFormat="false" ht="15" hidden="false" customHeight="false" outlineLevel="0" collapsed="false">
      <c r="E725" s="0" t="n">
        <v>359</v>
      </c>
      <c r="F725" s="0" t="str">
        <f aca="false">F363</f>
        <v/>
      </c>
      <c r="G725" s="0" t="n">
        <v>359</v>
      </c>
      <c r="H725" s="0" t="n">
        <f aca="false">H363</f>
        <v>0</v>
      </c>
      <c r="K725" s="0" t="n">
        <v>359</v>
      </c>
      <c r="L725" s="0" t="str">
        <f aca="false">L363</f>
        <v/>
      </c>
      <c r="M725" s="0" t="n">
        <v>359</v>
      </c>
      <c r="N725" s="0" t="n">
        <f aca="false">N363</f>
        <v>0</v>
      </c>
    </row>
    <row r="726" customFormat="false" ht="15" hidden="false" customHeight="false" outlineLevel="0" collapsed="false">
      <c r="E726" s="0" t="n">
        <v>360</v>
      </c>
      <c r="F726" s="0" t="str">
        <f aca="false">F364</f>
        <v/>
      </c>
      <c r="G726" s="0" t="n">
        <v>360</v>
      </c>
      <c r="H726" s="0" t="n">
        <f aca="false">H364</f>
        <v>0</v>
      </c>
      <c r="K726" s="0" t="n">
        <v>360</v>
      </c>
      <c r="L726" s="0" t="str">
        <f aca="false">L364</f>
        <v/>
      </c>
      <c r="M726" s="0" t="n">
        <v>360</v>
      </c>
      <c r="N726" s="0" t="n">
        <f aca="false">N364</f>
        <v>0</v>
      </c>
    </row>
    <row r="727" customFormat="false" ht="15" hidden="false" customHeight="false" outlineLevel="0" collapsed="false">
      <c r="E727" s="0" t="n">
        <v>2</v>
      </c>
      <c r="F727" s="0" t="str">
        <f aca="false">IF(F6="","",F5)</f>
        <v/>
      </c>
      <c r="G727" s="0" t="n">
        <v>2</v>
      </c>
      <c r="H727" s="0" t="n">
        <f aca="false">H5</f>
        <v>0</v>
      </c>
      <c r="K727" s="0" t="n">
        <v>2</v>
      </c>
      <c r="L727" s="0" t="str">
        <f aca="false">IF(L6="","",L5)</f>
        <v/>
      </c>
      <c r="M727" s="0" t="n">
        <v>2</v>
      </c>
      <c r="N727" s="0" t="n">
        <f aca="false">N5</f>
        <v>0</v>
      </c>
    </row>
    <row r="728" customFormat="false" ht="15" hidden="false" customHeight="false" outlineLevel="0" collapsed="false">
      <c r="E728" s="0" t="n">
        <v>3</v>
      </c>
      <c r="F728" s="0" t="str">
        <f aca="false">IF(F7="","",F6)</f>
        <v/>
      </c>
      <c r="G728" s="0" t="n">
        <v>3</v>
      </c>
      <c r="H728" s="0" t="n">
        <f aca="false">H6</f>
        <v>0</v>
      </c>
      <c r="K728" s="0" t="n">
        <v>3</v>
      </c>
      <c r="L728" s="0" t="str">
        <f aca="false">IF(L7="","",L6)</f>
        <v/>
      </c>
      <c r="M728" s="0" t="n">
        <v>3</v>
      </c>
      <c r="N728" s="0" t="n">
        <f aca="false">N6</f>
        <v>0</v>
      </c>
    </row>
    <row r="729" customFormat="false" ht="15" hidden="false" customHeight="false" outlineLevel="0" collapsed="false">
      <c r="E729" s="0" t="n">
        <v>4</v>
      </c>
      <c r="F729" s="0" t="str">
        <f aca="false">IF(F8="","",F7)</f>
        <v/>
      </c>
      <c r="G729" s="0" t="n">
        <v>4</v>
      </c>
      <c r="H729" s="0" t="n">
        <f aca="false">H7</f>
        <v>0</v>
      </c>
      <c r="K729" s="0" t="n">
        <v>4</v>
      </c>
      <c r="L729" s="0" t="str">
        <f aca="false">IF(L8="","",L7)</f>
        <v/>
      </c>
      <c r="M729" s="0" t="n">
        <v>4</v>
      </c>
      <c r="N729" s="0" t="n">
        <f aca="false">N7</f>
        <v>0</v>
      </c>
    </row>
    <row r="730" customFormat="false" ht="15" hidden="false" customHeight="false" outlineLevel="0" collapsed="false">
      <c r="E730" s="0" t="n">
        <v>5</v>
      </c>
      <c r="F730" s="0" t="str">
        <f aca="false">IF(F9="","",F8)</f>
        <v/>
      </c>
      <c r="G730" s="0" t="n">
        <v>5</v>
      </c>
      <c r="H730" s="0" t="n">
        <f aca="false">H8</f>
        <v>0</v>
      </c>
      <c r="K730" s="0" t="n">
        <v>5</v>
      </c>
      <c r="L730" s="0" t="str">
        <f aca="false">IF(L9="","",L8)</f>
        <v/>
      </c>
      <c r="M730" s="0" t="n">
        <v>5</v>
      </c>
      <c r="N730" s="0" t="n">
        <f aca="false">N8</f>
        <v>0</v>
      </c>
    </row>
    <row r="731" customFormat="false" ht="15" hidden="false" customHeight="false" outlineLevel="0" collapsed="false">
      <c r="E731" s="0" t="n">
        <v>6</v>
      </c>
      <c r="F731" s="0" t="str">
        <f aca="false">IF(F10="","",F9)</f>
        <v/>
      </c>
      <c r="G731" s="0" t="n">
        <v>6</v>
      </c>
      <c r="H731" s="0" t="n">
        <f aca="false">H9</f>
        <v>0</v>
      </c>
      <c r="K731" s="0" t="n">
        <v>6</v>
      </c>
      <c r="L731" s="0" t="str">
        <f aca="false">IF(L10="","",L9)</f>
        <v/>
      </c>
      <c r="M731" s="0" t="n">
        <v>6</v>
      </c>
      <c r="N731" s="0" t="n">
        <f aca="false">N9</f>
        <v>0</v>
      </c>
    </row>
    <row r="732" customFormat="false" ht="15" hidden="false" customHeight="false" outlineLevel="0" collapsed="false">
      <c r="E732" s="0" t="n">
        <v>7</v>
      </c>
      <c r="F732" s="0" t="str">
        <f aca="false">IF(F11="","",F10)</f>
        <v/>
      </c>
      <c r="G732" s="0" t="n">
        <v>7</v>
      </c>
      <c r="H732" s="0" t="n">
        <f aca="false">H10</f>
        <v>0</v>
      </c>
      <c r="K732" s="0" t="n">
        <v>7</v>
      </c>
      <c r="L732" s="0" t="str">
        <f aca="false">IF(L11="","",L10)</f>
        <v/>
      </c>
      <c r="M732" s="0" t="n">
        <v>7</v>
      </c>
      <c r="N732" s="0" t="n">
        <f aca="false">N10</f>
        <v>0</v>
      </c>
    </row>
    <row r="733" customFormat="false" ht="15" hidden="false" customHeight="false" outlineLevel="0" collapsed="false">
      <c r="E733" s="0" t="n">
        <v>8</v>
      </c>
      <c r="F733" s="0" t="str">
        <f aca="false">IF(F12="","",F11)</f>
        <v/>
      </c>
      <c r="G733" s="0" t="n">
        <v>8</v>
      </c>
      <c r="H733" s="0" t="n">
        <f aca="false">H11</f>
        <v>0</v>
      </c>
      <c r="K733" s="0" t="n">
        <v>8</v>
      </c>
      <c r="L733" s="0" t="str">
        <f aca="false">IF(L12="","",L11)</f>
        <v/>
      </c>
      <c r="M733" s="0" t="n">
        <v>8</v>
      </c>
      <c r="N733" s="0" t="n">
        <f aca="false">N11</f>
        <v>0</v>
      </c>
    </row>
    <row r="734" customFormat="false" ht="15" hidden="false" customHeight="false" outlineLevel="0" collapsed="false">
      <c r="E734" s="0" t="n">
        <v>9</v>
      </c>
      <c r="F734" s="0" t="str">
        <f aca="false">IF(F13="","",F12)</f>
        <v/>
      </c>
      <c r="G734" s="0" t="n">
        <v>9</v>
      </c>
      <c r="H734" s="0" t="n">
        <f aca="false">H12</f>
        <v>0</v>
      </c>
      <c r="K734" s="0" t="n">
        <v>9</v>
      </c>
      <c r="L734" s="0" t="str">
        <f aca="false">IF(L13="","",L12)</f>
        <v/>
      </c>
      <c r="M734" s="0" t="n">
        <v>9</v>
      </c>
      <c r="N734" s="0" t="n">
        <f aca="false">N12</f>
        <v>0</v>
      </c>
    </row>
    <row r="735" customFormat="false" ht="15" hidden="false" customHeight="false" outlineLevel="0" collapsed="false">
      <c r="E735" s="0" t="n">
        <v>10</v>
      </c>
      <c r="F735" s="0" t="str">
        <f aca="false">IF(F14="","",F13)</f>
        <v/>
      </c>
      <c r="G735" s="0" t="n">
        <v>10</v>
      </c>
      <c r="H735" s="0" t="n">
        <f aca="false">H13</f>
        <v>0</v>
      </c>
      <c r="K735" s="0" t="n">
        <v>10</v>
      </c>
      <c r="L735" s="0" t="str">
        <f aca="false">IF(L14="","",L13)</f>
        <v/>
      </c>
      <c r="M735" s="0" t="n">
        <v>10</v>
      </c>
      <c r="N735" s="0" t="n">
        <f aca="false">N13</f>
        <v>0</v>
      </c>
    </row>
    <row r="736" customFormat="false" ht="15" hidden="false" customHeight="false" outlineLevel="0" collapsed="false">
      <c r="E736" s="0" t="n">
        <v>11</v>
      </c>
      <c r="F736" s="0" t="str">
        <f aca="false">IF(F15="","",F14)</f>
        <v/>
      </c>
      <c r="G736" s="0" t="n">
        <v>11</v>
      </c>
      <c r="H736" s="0" t="n">
        <f aca="false">H14</f>
        <v>0</v>
      </c>
      <c r="K736" s="0" t="n">
        <v>11</v>
      </c>
      <c r="L736" s="0" t="str">
        <f aca="false">IF(L15="","",L14)</f>
        <v/>
      </c>
      <c r="M736" s="0" t="n">
        <v>11</v>
      </c>
      <c r="N736" s="0" t="n">
        <f aca="false">N14</f>
        <v>0</v>
      </c>
    </row>
    <row r="737" customFormat="false" ht="15" hidden="false" customHeight="false" outlineLevel="0" collapsed="false">
      <c r="E737" s="0" t="n">
        <v>12</v>
      </c>
      <c r="F737" s="0" t="str">
        <f aca="false">IF(F16="","",F15)</f>
        <v/>
      </c>
      <c r="G737" s="0" t="n">
        <v>12</v>
      </c>
      <c r="H737" s="0" t="n">
        <f aca="false">H15</f>
        <v>0</v>
      </c>
      <c r="K737" s="0" t="n">
        <v>12</v>
      </c>
      <c r="L737" s="0" t="str">
        <f aca="false">IF(L16="","",L15)</f>
        <v/>
      </c>
      <c r="M737" s="0" t="n">
        <v>12</v>
      </c>
      <c r="N737" s="0" t="n">
        <f aca="false">N15</f>
        <v>0</v>
      </c>
    </row>
    <row r="738" customFormat="false" ht="15" hidden="false" customHeight="false" outlineLevel="0" collapsed="false">
      <c r="E738" s="0" t="n">
        <v>13</v>
      </c>
      <c r="F738" s="0" t="str">
        <f aca="false">IF(F17="","",F16)</f>
        <v/>
      </c>
      <c r="G738" s="0" t="n">
        <v>13</v>
      </c>
      <c r="H738" s="0" t="n">
        <f aca="false">H16</f>
        <v>0</v>
      </c>
      <c r="K738" s="0" t="n">
        <v>13</v>
      </c>
      <c r="L738" s="0" t="str">
        <f aca="false">IF(L17="","",L16)</f>
        <v/>
      </c>
      <c r="M738" s="0" t="n">
        <v>13</v>
      </c>
      <c r="N738" s="0" t="n">
        <f aca="false">N16</f>
        <v>0</v>
      </c>
    </row>
    <row r="739" customFormat="false" ht="15" hidden="false" customHeight="false" outlineLevel="0" collapsed="false">
      <c r="E739" s="0" t="n">
        <v>14</v>
      </c>
      <c r="F739" s="0" t="str">
        <f aca="false">IF(F18="","",F17)</f>
        <v/>
      </c>
      <c r="G739" s="0" t="n">
        <v>14</v>
      </c>
      <c r="H739" s="0" t="n">
        <f aca="false">H17</f>
        <v>0</v>
      </c>
      <c r="K739" s="0" t="n">
        <v>14</v>
      </c>
      <c r="L739" s="0" t="str">
        <f aca="false">IF(L18="","",L17)</f>
        <v/>
      </c>
      <c r="M739" s="0" t="n">
        <v>14</v>
      </c>
      <c r="N739" s="0" t="n">
        <f aca="false">N17</f>
        <v>0</v>
      </c>
    </row>
    <row r="740" customFormat="false" ht="15" hidden="false" customHeight="false" outlineLevel="0" collapsed="false">
      <c r="E740" s="0" t="n">
        <v>15</v>
      </c>
      <c r="F740" s="0" t="str">
        <f aca="false">IF(F19="","",F18)</f>
        <v/>
      </c>
      <c r="G740" s="0" t="n">
        <v>15</v>
      </c>
      <c r="H740" s="0" t="n">
        <f aca="false">H18</f>
        <v>0</v>
      </c>
      <c r="K740" s="0" t="n">
        <v>15</v>
      </c>
      <c r="L740" s="0" t="str">
        <f aca="false">IF(L19="","",L18)</f>
        <v/>
      </c>
      <c r="M740" s="0" t="n">
        <v>15</v>
      </c>
      <c r="N740" s="0" t="n">
        <f aca="false">N18</f>
        <v>0</v>
      </c>
    </row>
    <row r="741" customFormat="false" ht="15" hidden="false" customHeight="false" outlineLevel="0" collapsed="false">
      <c r="E741" s="0" t="n">
        <v>16</v>
      </c>
      <c r="F741" s="0" t="str">
        <f aca="false">IF(F20="","",F19)</f>
        <v/>
      </c>
      <c r="G741" s="0" t="n">
        <v>16</v>
      </c>
      <c r="H741" s="0" t="n">
        <f aca="false">H19</f>
        <v>0</v>
      </c>
      <c r="K741" s="0" t="n">
        <v>16</v>
      </c>
      <c r="L741" s="0" t="str">
        <f aca="false">IF(L20="","",L19)</f>
        <v/>
      </c>
      <c r="M741" s="0" t="n">
        <v>16</v>
      </c>
      <c r="N741" s="0" t="n">
        <f aca="false">N19</f>
        <v>0</v>
      </c>
    </row>
    <row r="742" customFormat="false" ht="15" hidden="false" customHeight="false" outlineLevel="0" collapsed="false">
      <c r="E742" s="0" t="n">
        <v>17</v>
      </c>
      <c r="F742" s="0" t="str">
        <f aca="false">IF(F21="","",F20)</f>
        <v/>
      </c>
      <c r="G742" s="0" t="n">
        <v>17</v>
      </c>
      <c r="H742" s="0" t="n">
        <f aca="false">H20</f>
        <v>0</v>
      </c>
      <c r="K742" s="0" t="n">
        <v>17</v>
      </c>
      <c r="L742" s="0" t="str">
        <f aca="false">IF(L21="","",L20)</f>
        <v/>
      </c>
      <c r="M742" s="0" t="n">
        <v>17</v>
      </c>
      <c r="N742" s="0" t="n">
        <f aca="false">N20</f>
        <v>0</v>
      </c>
    </row>
    <row r="743" customFormat="false" ht="15" hidden="false" customHeight="false" outlineLevel="0" collapsed="false">
      <c r="E743" s="0" t="n">
        <v>18</v>
      </c>
      <c r="F743" s="0" t="str">
        <f aca="false">IF(F22="","",F21)</f>
        <v/>
      </c>
      <c r="G743" s="0" t="n">
        <v>18</v>
      </c>
      <c r="H743" s="0" t="n">
        <f aca="false">H21</f>
        <v>0</v>
      </c>
      <c r="K743" s="0" t="n">
        <v>18</v>
      </c>
      <c r="L743" s="0" t="str">
        <f aca="false">IF(L22="","",L21)</f>
        <v/>
      </c>
      <c r="M743" s="0" t="n">
        <v>18</v>
      </c>
      <c r="N743" s="0" t="n">
        <f aca="false">N21</f>
        <v>0</v>
      </c>
    </row>
    <row r="744" customFormat="false" ht="15" hidden="false" customHeight="false" outlineLevel="0" collapsed="false">
      <c r="E744" s="0" t="n">
        <v>19</v>
      </c>
      <c r="F744" s="0" t="str">
        <f aca="false">IF(F23="","",F22)</f>
        <v/>
      </c>
      <c r="G744" s="0" t="n">
        <v>19</v>
      </c>
      <c r="H744" s="0" t="n">
        <f aca="false">H22</f>
        <v>0</v>
      </c>
      <c r="K744" s="0" t="n">
        <v>19</v>
      </c>
      <c r="L744" s="0" t="str">
        <f aca="false">IF(L23="","",L22)</f>
        <v/>
      </c>
      <c r="M744" s="0" t="n">
        <v>19</v>
      </c>
      <c r="N744" s="0" t="n">
        <f aca="false">N22</f>
        <v>0</v>
      </c>
    </row>
    <row r="745" customFormat="false" ht="15" hidden="false" customHeight="false" outlineLevel="0" collapsed="false">
      <c r="E745" s="0" t="n">
        <v>20</v>
      </c>
      <c r="F745" s="0" t="str">
        <f aca="false">IF(F24="","",F23)</f>
        <v/>
      </c>
      <c r="G745" s="0" t="n">
        <v>20</v>
      </c>
      <c r="H745" s="0" t="n">
        <f aca="false">H23</f>
        <v>0</v>
      </c>
      <c r="K745" s="0" t="n">
        <v>20</v>
      </c>
      <c r="L745" s="0" t="str">
        <f aca="false">IF(L24="","",L23)</f>
        <v/>
      </c>
      <c r="M745" s="0" t="n">
        <v>20</v>
      </c>
      <c r="N745" s="0" t="n">
        <f aca="false">N23</f>
        <v>0</v>
      </c>
    </row>
    <row r="746" customFormat="false" ht="15" hidden="false" customHeight="false" outlineLevel="0" collapsed="false">
      <c r="E746" s="0" t="n">
        <v>21</v>
      </c>
      <c r="F746" s="0" t="str">
        <f aca="false">IF(F25="","",F24)</f>
        <v/>
      </c>
      <c r="G746" s="0" t="n">
        <v>21</v>
      </c>
      <c r="H746" s="0" t="n">
        <f aca="false">H24</f>
        <v>0</v>
      </c>
      <c r="K746" s="0" t="n">
        <v>21</v>
      </c>
      <c r="L746" s="0" t="str">
        <f aca="false">IF(L25="","",L24)</f>
        <v/>
      </c>
      <c r="M746" s="0" t="n">
        <v>21</v>
      </c>
      <c r="N746" s="0" t="n">
        <f aca="false">N24</f>
        <v>0</v>
      </c>
    </row>
    <row r="747" customFormat="false" ht="15" hidden="false" customHeight="false" outlineLevel="0" collapsed="false">
      <c r="E747" s="0" t="n">
        <v>22</v>
      </c>
      <c r="F747" s="0" t="str">
        <f aca="false">IF(F26="","",F25)</f>
        <v/>
      </c>
      <c r="G747" s="0" t="n">
        <v>22</v>
      </c>
      <c r="H747" s="0" t="n">
        <f aca="false">H25</f>
        <v>0</v>
      </c>
      <c r="K747" s="0" t="n">
        <v>22</v>
      </c>
      <c r="L747" s="0" t="str">
        <f aca="false">IF(L26="","",L25)</f>
        <v/>
      </c>
      <c r="M747" s="0" t="n">
        <v>22</v>
      </c>
      <c r="N747" s="0" t="n">
        <f aca="false">N25</f>
        <v>0</v>
      </c>
    </row>
    <row r="748" customFormat="false" ht="15" hidden="false" customHeight="false" outlineLevel="0" collapsed="false">
      <c r="E748" s="0" t="n">
        <v>23</v>
      </c>
      <c r="F748" s="0" t="str">
        <f aca="false">IF(F27="","",F26)</f>
        <v/>
      </c>
      <c r="G748" s="0" t="n">
        <v>23</v>
      </c>
      <c r="H748" s="0" t="n">
        <f aca="false">H26</f>
        <v>0</v>
      </c>
      <c r="K748" s="0" t="n">
        <v>23</v>
      </c>
      <c r="L748" s="0" t="str">
        <f aca="false">IF(L27="","",L26)</f>
        <v/>
      </c>
      <c r="M748" s="0" t="n">
        <v>23</v>
      </c>
      <c r="N748" s="0" t="n">
        <f aca="false">N26</f>
        <v>0</v>
      </c>
    </row>
    <row r="749" customFormat="false" ht="15" hidden="false" customHeight="false" outlineLevel="0" collapsed="false">
      <c r="E749" s="0" t="n">
        <v>24</v>
      </c>
      <c r="F749" s="0" t="str">
        <f aca="false">IF(F28="","",F27)</f>
        <v/>
      </c>
      <c r="G749" s="0" t="n">
        <v>24</v>
      </c>
      <c r="H749" s="0" t="n">
        <f aca="false">H27</f>
        <v>0</v>
      </c>
      <c r="K749" s="0" t="n">
        <v>24</v>
      </c>
      <c r="L749" s="0" t="str">
        <f aca="false">IF(L28="","",L27)</f>
        <v/>
      </c>
      <c r="M749" s="0" t="n">
        <v>24</v>
      </c>
      <c r="N749" s="0" t="n">
        <f aca="false">N27</f>
        <v>0</v>
      </c>
    </row>
    <row r="750" customFormat="false" ht="15" hidden="false" customHeight="false" outlineLevel="0" collapsed="false">
      <c r="E750" s="0" t="n">
        <v>25</v>
      </c>
      <c r="F750" s="0" t="str">
        <f aca="false">IF(F29="","",F28)</f>
        <v/>
      </c>
      <c r="G750" s="0" t="n">
        <v>25</v>
      </c>
      <c r="H750" s="0" t="n">
        <f aca="false">H28</f>
        <v>0</v>
      </c>
      <c r="K750" s="0" t="n">
        <v>25</v>
      </c>
      <c r="L750" s="0" t="str">
        <f aca="false">IF(L29="","",L28)</f>
        <v/>
      </c>
      <c r="M750" s="0" t="n">
        <v>25</v>
      </c>
      <c r="N750" s="0" t="n">
        <f aca="false">N28</f>
        <v>0</v>
      </c>
    </row>
    <row r="751" customFormat="false" ht="15" hidden="false" customHeight="false" outlineLevel="0" collapsed="false">
      <c r="E751" s="0" t="n">
        <v>26</v>
      </c>
      <c r="F751" s="0" t="str">
        <f aca="false">IF(F30="","",F29)</f>
        <v/>
      </c>
      <c r="G751" s="0" t="n">
        <v>26</v>
      </c>
      <c r="H751" s="0" t="n">
        <f aca="false">H29</f>
        <v>0</v>
      </c>
      <c r="K751" s="0" t="n">
        <v>26</v>
      </c>
      <c r="L751" s="0" t="str">
        <f aca="false">IF(L30="","",L29)</f>
        <v/>
      </c>
      <c r="M751" s="0" t="n">
        <v>26</v>
      </c>
      <c r="N751" s="0" t="n">
        <f aca="false">N29</f>
        <v>0</v>
      </c>
    </row>
    <row r="752" customFormat="false" ht="15" hidden="false" customHeight="false" outlineLevel="0" collapsed="false">
      <c r="E752" s="0" t="n">
        <v>27</v>
      </c>
      <c r="F752" s="0" t="str">
        <f aca="false">IF(F31="","",F30)</f>
        <v/>
      </c>
      <c r="G752" s="0" t="n">
        <v>27</v>
      </c>
      <c r="H752" s="0" t="n">
        <f aca="false">H30</f>
        <v>0</v>
      </c>
      <c r="K752" s="0" t="n">
        <v>27</v>
      </c>
      <c r="L752" s="0" t="str">
        <f aca="false">IF(L31="","",L30)</f>
        <v/>
      </c>
      <c r="M752" s="0" t="n">
        <v>27</v>
      </c>
      <c r="N752" s="0" t="n">
        <f aca="false">N30</f>
        <v>0</v>
      </c>
    </row>
    <row r="753" customFormat="false" ht="15" hidden="false" customHeight="false" outlineLevel="0" collapsed="false">
      <c r="E753" s="0" t="n">
        <v>28</v>
      </c>
      <c r="F753" s="0" t="str">
        <f aca="false">IF(F32="","",F31)</f>
        <v/>
      </c>
      <c r="G753" s="0" t="n">
        <v>28</v>
      </c>
      <c r="H753" s="0" t="n">
        <f aca="false">H31</f>
        <v>0</v>
      </c>
      <c r="K753" s="0" t="n">
        <v>28</v>
      </c>
      <c r="L753" s="0" t="str">
        <f aca="false">IF(L32="","",L31)</f>
        <v/>
      </c>
      <c r="M753" s="0" t="n">
        <v>28</v>
      </c>
      <c r="N753" s="0" t="n">
        <f aca="false">N31</f>
        <v>0</v>
      </c>
    </row>
    <row r="754" customFormat="false" ht="15" hidden="false" customHeight="false" outlineLevel="0" collapsed="false">
      <c r="E754" s="0" t="n">
        <v>29</v>
      </c>
      <c r="F754" s="0" t="str">
        <f aca="false">IF(F33="","",F32)</f>
        <v/>
      </c>
      <c r="G754" s="0" t="n">
        <v>29</v>
      </c>
      <c r="H754" s="0" t="n">
        <f aca="false">H32</f>
        <v>0</v>
      </c>
      <c r="K754" s="0" t="n">
        <v>29</v>
      </c>
      <c r="L754" s="0" t="str">
        <f aca="false">IF(L33="","",L32)</f>
        <v/>
      </c>
      <c r="M754" s="0" t="n">
        <v>29</v>
      </c>
      <c r="N754" s="0" t="n">
        <f aca="false">N32</f>
        <v>0</v>
      </c>
    </row>
    <row r="755" customFormat="false" ht="15" hidden="false" customHeight="false" outlineLevel="0" collapsed="false">
      <c r="E755" s="0" t="n">
        <v>30</v>
      </c>
      <c r="F755" s="0" t="str">
        <f aca="false">IF(F34="","",F33)</f>
        <v/>
      </c>
      <c r="G755" s="0" t="n">
        <v>30</v>
      </c>
      <c r="H755" s="0" t="n">
        <f aca="false">H33</f>
        <v>0</v>
      </c>
      <c r="K755" s="0" t="n">
        <v>30</v>
      </c>
      <c r="L755" s="0" t="str">
        <f aca="false">IF(L34="","",L33)</f>
        <v/>
      </c>
      <c r="M755" s="0" t="n">
        <v>30</v>
      </c>
      <c r="N755" s="0" t="n">
        <f aca="false">N33</f>
        <v>0</v>
      </c>
    </row>
    <row r="756" customFormat="false" ht="15" hidden="false" customHeight="false" outlineLevel="0" collapsed="false">
      <c r="E756" s="0" t="n">
        <v>31</v>
      </c>
      <c r="F756" s="0" t="str">
        <f aca="false">IF(F35="","",F34)</f>
        <v/>
      </c>
      <c r="G756" s="0" t="n">
        <v>31</v>
      </c>
      <c r="H756" s="0" t="n">
        <f aca="false">H34</f>
        <v>0</v>
      </c>
      <c r="K756" s="0" t="n">
        <v>31</v>
      </c>
      <c r="L756" s="0" t="str">
        <f aca="false">IF(L35="","",L34)</f>
        <v/>
      </c>
      <c r="M756" s="0" t="n">
        <v>31</v>
      </c>
      <c r="N756" s="0" t="n">
        <f aca="false">N34</f>
        <v>0</v>
      </c>
    </row>
    <row r="757" customFormat="false" ht="15" hidden="false" customHeight="false" outlineLevel="0" collapsed="false">
      <c r="E757" s="0" t="n">
        <v>32</v>
      </c>
      <c r="F757" s="0" t="str">
        <f aca="false">IF(F36="","",F35)</f>
        <v/>
      </c>
      <c r="G757" s="0" t="n">
        <v>32</v>
      </c>
      <c r="H757" s="0" t="n">
        <f aca="false">H35</f>
        <v>0</v>
      </c>
      <c r="K757" s="0" t="n">
        <v>32</v>
      </c>
      <c r="L757" s="0" t="str">
        <f aca="false">IF(L36="","",L35)</f>
        <v/>
      </c>
      <c r="M757" s="0" t="n">
        <v>32</v>
      </c>
      <c r="N757" s="0" t="n">
        <f aca="false">N35</f>
        <v>0</v>
      </c>
    </row>
    <row r="758" customFormat="false" ht="15" hidden="false" customHeight="false" outlineLevel="0" collapsed="false">
      <c r="E758" s="0" t="n">
        <v>33</v>
      </c>
      <c r="F758" s="0" t="str">
        <f aca="false">IF(F37="","",F36)</f>
        <v/>
      </c>
      <c r="G758" s="0" t="n">
        <v>33</v>
      </c>
      <c r="H758" s="0" t="n">
        <f aca="false">H36</f>
        <v>0</v>
      </c>
      <c r="K758" s="0" t="n">
        <v>33</v>
      </c>
      <c r="L758" s="0" t="str">
        <f aca="false">IF(L37="","",L36)</f>
        <v/>
      </c>
      <c r="M758" s="0" t="n">
        <v>33</v>
      </c>
      <c r="N758" s="0" t="n">
        <f aca="false">N36</f>
        <v>0</v>
      </c>
    </row>
    <row r="759" customFormat="false" ht="15" hidden="false" customHeight="false" outlineLevel="0" collapsed="false">
      <c r="E759" s="0" t="n">
        <v>34</v>
      </c>
      <c r="F759" s="0" t="str">
        <f aca="false">IF(F38="","",F37)</f>
        <v/>
      </c>
      <c r="G759" s="0" t="n">
        <v>34</v>
      </c>
      <c r="H759" s="0" t="n">
        <f aca="false">H37</f>
        <v>0</v>
      </c>
      <c r="K759" s="0" t="n">
        <v>34</v>
      </c>
      <c r="L759" s="0" t="str">
        <f aca="false">IF(L38="","",L37)</f>
        <v/>
      </c>
      <c r="M759" s="0" t="n">
        <v>34</v>
      </c>
      <c r="N759" s="0" t="n">
        <f aca="false">N37</f>
        <v>0</v>
      </c>
    </row>
    <row r="760" customFormat="false" ht="15" hidden="false" customHeight="false" outlineLevel="0" collapsed="false">
      <c r="E760" s="0" t="n">
        <v>35</v>
      </c>
      <c r="F760" s="0" t="str">
        <f aca="false">IF(F39="","",F38)</f>
        <v/>
      </c>
      <c r="G760" s="0" t="n">
        <v>35</v>
      </c>
      <c r="H760" s="0" t="n">
        <f aca="false">H38</f>
        <v>0</v>
      </c>
      <c r="K760" s="0" t="n">
        <v>35</v>
      </c>
      <c r="L760" s="0" t="str">
        <f aca="false">IF(L39="","",L38)</f>
        <v/>
      </c>
      <c r="M760" s="0" t="n">
        <v>35</v>
      </c>
      <c r="N760" s="0" t="n">
        <f aca="false">N38</f>
        <v>0</v>
      </c>
    </row>
    <row r="761" customFormat="false" ht="15" hidden="false" customHeight="false" outlineLevel="0" collapsed="false">
      <c r="E761" s="0" t="n">
        <v>36</v>
      </c>
      <c r="F761" s="0" t="str">
        <f aca="false">IF(F40="","",F39)</f>
        <v/>
      </c>
      <c r="G761" s="0" t="n">
        <v>36</v>
      </c>
      <c r="H761" s="0" t="n">
        <f aca="false">H39</f>
        <v>0</v>
      </c>
      <c r="K761" s="0" t="n">
        <v>36</v>
      </c>
      <c r="L761" s="0" t="str">
        <f aca="false">IF(L40="","",L39)</f>
        <v/>
      </c>
      <c r="M761" s="0" t="n">
        <v>36</v>
      </c>
      <c r="N761" s="0" t="n">
        <f aca="false">N39</f>
        <v>0</v>
      </c>
    </row>
    <row r="762" customFormat="false" ht="15" hidden="false" customHeight="false" outlineLevel="0" collapsed="false">
      <c r="E762" s="0" t="n">
        <v>37</v>
      </c>
      <c r="F762" s="0" t="str">
        <f aca="false">IF(F41="","",F40)</f>
        <v/>
      </c>
      <c r="G762" s="0" t="n">
        <v>37</v>
      </c>
      <c r="H762" s="0" t="n">
        <f aca="false">H40</f>
        <v>0</v>
      </c>
      <c r="K762" s="0" t="n">
        <v>37</v>
      </c>
      <c r="L762" s="0" t="str">
        <f aca="false">IF(L41="","",L40)</f>
        <v/>
      </c>
      <c r="M762" s="0" t="n">
        <v>37</v>
      </c>
      <c r="N762" s="0" t="n">
        <f aca="false">N40</f>
        <v>0</v>
      </c>
    </row>
    <row r="763" customFormat="false" ht="15" hidden="false" customHeight="false" outlineLevel="0" collapsed="false">
      <c r="E763" s="0" t="n">
        <v>38</v>
      </c>
      <c r="F763" s="0" t="str">
        <f aca="false">IF(F42="","",F41)</f>
        <v/>
      </c>
      <c r="G763" s="0" t="n">
        <v>38</v>
      </c>
      <c r="H763" s="0" t="n">
        <f aca="false">H41</f>
        <v>0</v>
      </c>
      <c r="K763" s="0" t="n">
        <v>38</v>
      </c>
      <c r="L763" s="0" t="str">
        <f aca="false">IF(L42="","",L41)</f>
        <v/>
      </c>
      <c r="M763" s="0" t="n">
        <v>38</v>
      </c>
      <c r="N763" s="0" t="n">
        <f aca="false">N41</f>
        <v>0</v>
      </c>
    </row>
    <row r="764" customFormat="false" ht="15" hidden="false" customHeight="false" outlineLevel="0" collapsed="false">
      <c r="E764" s="0" t="n">
        <v>39</v>
      </c>
      <c r="F764" s="0" t="str">
        <f aca="false">IF(F43="","",F42)</f>
        <v/>
      </c>
      <c r="G764" s="0" t="n">
        <v>39</v>
      </c>
      <c r="H764" s="0" t="n">
        <f aca="false">H42</f>
        <v>0</v>
      </c>
      <c r="K764" s="0" t="n">
        <v>39</v>
      </c>
      <c r="L764" s="0" t="str">
        <f aca="false">IF(L43="","",L42)</f>
        <v/>
      </c>
      <c r="M764" s="0" t="n">
        <v>39</v>
      </c>
      <c r="N764" s="0" t="n">
        <f aca="false">N42</f>
        <v>0</v>
      </c>
    </row>
    <row r="765" customFormat="false" ht="15" hidden="false" customHeight="false" outlineLevel="0" collapsed="false">
      <c r="E765" s="0" t="n">
        <v>40</v>
      </c>
      <c r="F765" s="0" t="str">
        <f aca="false">IF(F44="","",F43)</f>
        <v/>
      </c>
      <c r="G765" s="0" t="n">
        <v>40</v>
      </c>
      <c r="H765" s="0" t="n">
        <f aca="false">H43</f>
        <v>0</v>
      </c>
      <c r="K765" s="0" t="n">
        <v>40</v>
      </c>
      <c r="L765" s="0" t="str">
        <f aca="false">IF(L44="","",L43)</f>
        <v/>
      </c>
      <c r="M765" s="0" t="n">
        <v>40</v>
      </c>
      <c r="N765" s="0" t="n">
        <f aca="false">N43</f>
        <v>0</v>
      </c>
    </row>
    <row r="766" customFormat="false" ht="15" hidden="false" customHeight="false" outlineLevel="0" collapsed="false">
      <c r="E766" s="0" t="n">
        <v>41</v>
      </c>
      <c r="F766" s="0" t="str">
        <f aca="false">IF(F45="","",F44)</f>
        <v/>
      </c>
      <c r="G766" s="0" t="n">
        <v>41</v>
      </c>
      <c r="H766" s="0" t="n">
        <f aca="false">H44</f>
        <v>0</v>
      </c>
      <c r="K766" s="0" t="n">
        <v>41</v>
      </c>
      <c r="L766" s="0" t="str">
        <f aca="false">IF(L45="","",L44)</f>
        <v/>
      </c>
      <c r="M766" s="0" t="n">
        <v>41</v>
      </c>
      <c r="N766" s="0" t="n">
        <f aca="false">N44</f>
        <v>0</v>
      </c>
    </row>
    <row r="767" customFormat="false" ht="15" hidden="false" customHeight="false" outlineLevel="0" collapsed="false">
      <c r="E767" s="0" t="n">
        <v>42</v>
      </c>
      <c r="F767" s="0" t="str">
        <f aca="false">IF(F46="","",F45)</f>
        <v/>
      </c>
      <c r="G767" s="0" t="n">
        <v>42</v>
      </c>
      <c r="H767" s="0" t="n">
        <f aca="false">H45</f>
        <v>0</v>
      </c>
      <c r="K767" s="0" t="n">
        <v>42</v>
      </c>
      <c r="L767" s="0" t="str">
        <f aca="false">IF(L46="","",L45)</f>
        <v/>
      </c>
      <c r="M767" s="0" t="n">
        <v>42</v>
      </c>
      <c r="N767" s="0" t="n">
        <f aca="false">N45</f>
        <v>0</v>
      </c>
    </row>
    <row r="768" customFormat="false" ht="15" hidden="false" customHeight="false" outlineLevel="0" collapsed="false">
      <c r="E768" s="0" t="n">
        <v>43</v>
      </c>
      <c r="F768" s="0" t="str">
        <f aca="false">IF(F47="","",F46)</f>
        <v/>
      </c>
      <c r="G768" s="0" t="n">
        <v>43</v>
      </c>
      <c r="H768" s="0" t="n">
        <f aca="false">H46</f>
        <v>0</v>
      </c>
      <c r="K768" s="0" t="n">
        <v>43</v>
      </c>
      <c r="L768" s="0" t="str">
        <f aca="false">IF(L47="","",L46)</f>
        <v/>
      </c>
      <c r="M768" s="0" t="n">
        <v>43</v>
      </c>
      <c r="N768" s="0" t="n">
        <f aca="false">N46</f>
        <v>0</v>
      </c>
    </row>
    <row r="769" customFormat="false" ht="15" hidden="false" customHeight="false" outlineLevel="0" collapsed="false">
      <c r="E769" s="0" t="n">
        <v>44</v>
      </c>
      <c r="F769" s="0" t="str">
        <f aca="false">IF(F48="","",F47)</f>
        <v/>
      </c>
      <c r="G769" s="0" t="n">
        <v>44</v>
      </c>
      <c r="H769" s="0" t="n">
        <f aca="false">H47</f>
        <v>0</v>
      </c>
      <c r="K769" s="0" t="n">
        <v>44</v>
      </c>
      <c r="L769" s="0" t="str">
        <f aca="false">IF(L48="","",L47)</f>
        <v/>
      </c>
      <c r="M769" s="0" t="n">
        <v>44</v>
      </c>
      <c r="N769" s="0" t="n">
        <f aca="false">N47</f>
        <v>0</v>
      </c>
    </row>
    <row r="770" customFormat="false" ht="15" hidden="false" customHeight="false" outlineLevel="0" collapsed="false">
      <c r="E770" s="0" t="n">
        <v>45</v>
      </c>
      <c r="F770" s="0" t="str">
        <f aca="false">IF(F49="","",F48)</f>
        <v/>
      </c>
      <c r="G770" s="0" t="n">
        <v>45</v>
      </c>
      <c r="H770" s="0" t="n">
        <f aca="false">H48</f>
        <v>0</v>
      </c>
      <c r="K770" s="0" t="n">
        <v>45</v>
      </c>
      <c r="L770" s="0" t="str">
        <f aca="false">IF(L49="","",L48)</f>
        <v/>
      </c>
      <c r="M770" s="0" t="n">
        <v>45</v>
      </c>
      <c r="N770" s="0" t="n">
        <f aca="false">N48</f>
        <v>0</v>
      </c>
    </row>
    <row r="771" customFormat="false" ht="15" hidden="false" customHeight="false" outlineLevel="0" collapsed="false">
      <c r="E771" s="0" t="n">
        <v>46</v>
      </c>
      <c r="F771" s="0" t="str">
        <f aca="false">IF(F50="","",F49)</f>
        <v/>
      </c>
      <c r="G771" s="0" t="n">
        <v>46</v>
      </c>
      <c r="H771" s="0" t="n">
        <f aca="false">H49</f>
        <v>0</v>
      </c>
      <c r="K771" s="0" t="n">
        <v>46</v>
      </c>
      <c r="L771" s="0" t="str">
        <f aca="false">IF(L50="","",L49)</f>
        <v/>
      </c>
      <c r="M771" s="0" t="n">
        <v>46</v>
      </c>
      <c r="N771" s="0" t="n">
        <f aca="false">N49</f>
        <v>0</v>
      </c>
    </row>
    <row r="772" customFormat="false" ht="15" hidden="false" customHeight="false" outlineLevel="0" collapsed="false">
      <c r="E772" s="0" t="n">
        <v>47</v>
      </c>
      <c r="F772" s="0" t="str">
        <f aca="false">IF(F51="","",F50)</f>
        <v/>
      </c>
      <c r="G772" s="0" t="n">
        <v>47</v>
      </c>
      <c r="H772" s="0" t="n">
        <f aca="false">H50</f>
        <v>0</v>
      </c>
      <c r="K772" s="0" t="n">
        <v>47</v>
      </c>
      <c r="L772" s="0" t="str">
        <f aca="false">IF(L51="","",L50)</f>
        <v/>
      </c>
      <c r="M772" s="0" t="n">
        <v>47</v>
      </c>
      <c r="N772" s="0" t="n">
        <f aca="false">N50</f>
        <v>0</v>
      </c>
    </row>
    <row r="773" customFormat="false" ht="15" hidden="false" customHeight="false" outlineLevel="0" collapsed="false">
      <c r="E773" s="0" t="n">
        <v>48</v>
      </c>
      <c r="F773" s="0" t="str">
        <f aca="false">IF(F52="","",F51)</f>
        <v/>
      </c>
      <c r="G773" s="0" t="n">
        <v>48</v>
      </c>
      <c r="H773" s="0" t="n">
        <f aca="false">H51</f>
        <v>0</v>
      </c>
      <c r="K773" s="0" t="n">
        <v>48</v>
      </c>
      <c r="L773" s="0" t="str">
        <f aca="false">IF(L52="","",L51)</f>
        <v/>
      </c>
      <c r="M773" s="0" t="n">
        <v>48</v>
      </c>
      <c r="N773" s="0" t="n">
        <f aca="false">N51</f>
        <v>0</v>
      </c>
    </row>
    <row r="774" customFormat="false" ht="15" hidden="false" customHeight="false" outlineLevel="0" collapsed="false">
      <c r="E774" s="0" t="n">
        <v>49</v>
      </c>
      <c r="F774" s="0" t="str">
        <f aca="false">IF(F53="","",F52)</f>
        <v/>
      </c>
      <c r="G774" s="0" t="n">
        <v>49</v>
      </c>
      <c r="H774" s="0" t="n">
        <f aca="false">H52</f>
        <v>0</v>
      </c>
      <c r="K774" s="0" t="n">
        <v>49</v>
      </c>
      <c r="L774" s="0" t="str">
        <f aca="false">IF(L53="","",L52)</f>
        <v/>
      </c>
      <c r="M774" s="0" t="n">
        <v>49</v>
      </c>
      <c r="N774" s="0" t="n">
        <f aca="false">N52</f>
        <v>0</v>
      </c>
    </row>
    <row r="775" customFormat="false" ht="15" hidden="false" customHeight="false" outlineLevel="0" collapsed="false">
      <c r="E775" s="0" t="n">
        <v>50</v>
      </c>
      <c r="F775" s="0" t="str">
        <f aca="false">IF(F54="","",F53)</f>
        <v/>
      </c>
      <c r="G775" s="0" t="n">
        <v>50</v>
      </c>
      <c r="H775" s="0" t="n">
        <f aca="false">H53</f>
        <v>0</v>
      </c>
      <c r="K775" s="0" t="n">
        <v>50</v>
      </c>
      <c r="L775" s="0" t="str">
        <f aca="false">IF(L54="","",L53)</f>
        <v/>
      </c>
      <c r="M775" s="0" t="n">
        <v>50</v>
      </c>
      <c r="N775" s="0" t="n">
        <f aca="false">N53</f>
        <v>0</v>
      </c>
    </row>
    <row r="776" customFormat="false" ht="15" hidden="false" customHeight="false" outlineLevel="0" collapsed="false">
      <c r="E776" s="0" t="n">
        <v>51</v>
      </c>
      <c r="F776" s="0" t="str">
        <f aca="false">IF(F55="","",F54)</f>
        <v/>
      </c>
      <c r="G776" s="0" t="n">
        <v>51</v>
      </c>
      <c r="H776" s="0" t="n">
        <f aca="false">H54</f>
        <v>0</v>
      </c>
      <c r="K776" s="0" t="n">
        <v>51</v>
      </c>
      <c r="L776" s="0" t="str">
        <f aca="false">IF(L55="","",L54)</f>
        <v/>
      </c>
      <c r="M776" s="0" t="n">
        <v>51</v>
      </c>
      <c r="N776" s="0" t="n">
        <f aca="false">N54</f>
        <v>0</v>
      </c>
    </row>
    <row r="777" customFormat="false" ht="15" hidden="false" customHeight="false" outlineLevel="0" collapsed="false">
      <c r="E777" s="0" t="n">
        <v>52</v>
      </c>
      <c r="F777" s="0" t="str">
        <f aca="false">IF(F56="","",F55)</f>
        <v/>
      </c>
      <c r="G777" s="0" t="n">
        <v>52</v>
      </c>
      <c r="H777" s="0" t="n">
        <f aca="false">H55</f>
        <v>0</v>
      </c>
      <c r="K777" s="0" t="n">
        <v>52</v>
      </c>
      <c r="L777" s="0" t="str">
        <f aca="false">IF(L56="","",L55)</f>
        <v/>
      </c>
      <c r="M777" s="0" t="n">
        <v>52</v>
      </c>
      <c r="N777" s="0" t="n">
        <f aca="false">N55</f>
        <v>0</v>
      </c>
    </row>
    <row r="778" customFormat="false" ht="15" hidden="false" customHeight="false" outlineLevel="0" collapsed="false">
      <c r="E778" s="0" t="n">
        <v>53</v>
      </c>
      <c r="F778" s="0" t="str">
        <f aca="false">IF(F57="","",F56)</f>
        <v/>
      </c>
      <c r="G778" s="0" t="n">
        <v>53</v>
      </c>
      <c r="H778" s="0" t="n">
        <f aca="false">H56</f>
        <v>0</v>
      </c>
      <c r="K778" s="0" t="n">
        <v>53</v>
      </c>
      <c r="L778" s="0" t="str">
        <f aca="false">IF(L57="","",L56)</f>
        <v/>
      </c>
      <c r="M778" s="0" t="n">
        <v>53</v>
      </c>
      <c r="N778" s="0" t="n">
        <f aca="false">N56</f>
        <v>0</v>
      </c>
    </row>
    <row r="779" customFormat="false" ht="15" hidden="false" customHeight="false" outlineLevel="0" collapsed="false">
      <c r="E779" s="0" t="n">
        <v>54</v>
      </c>
      <c r="F779" s="0" t="str">
        <f aca="false">IF(F58="","",F57)</f>
        <v/>
      </c>
      <c r="G779" s="0" t="n">
        <v>54</v>
      </c>
      <c r="H779" s="0" t="n">
        <f aca="false">H57</f>
        <v>0</v>
      </c>
      <c r="K779" s="0" t="n">
        <v>54</v>
      </c>
      <c r="L779" s="0" t="str">
        <f aca="false">IF(L58="","",L57)</f>
        <v/>
      </c>
      <c r="M779" s="0" t="n">
        <v>54</v>
      </c>
      <c r="N779" s="0" t="n">
        <f aca="false">N57</f>
        <v>0</v>
      </c>
    </row>
    <row r="780" customFormat="false" ht="15" hidden="false" customHeight="false" outlineLevel="0" collapsed="false">
      <c r="E780" s="0" t="n">
        <v>55</v>
      </c>
      <c r="F780" s="0" t="str">
        <f aca="false">IF(F59="","",F58)</f>
        <v/>
      </c>
      <c r="G780" s="0" t="n">
        <v>55</v>
      </c>
      <c r="H780" s="0" t="n">
        <f aca="false">H58</f>
        <v>0</v>
      </c>
      <c r="K780" s="0" t="n">
        <v>55</v>
      </c>
      <c r="L780" s="0" t="str">
        <f aca="false">IF(L59="","",L58)</f>
        <v/>
      </c>
      <c r="M780" s="0" t="n">
        <v>55</v>
      </c>
      <c r="N780" s="0" t="n">
        <f aca="false">N58</f>
        <v>0</v>
      </c>
    </row>
    <row r="781" customFormat="false" ht="15" hidden="false" customHeight="false" outlineLevel="0" collapsed="false">
      <c r="E781" s="0" t="n">
        <v>56</v>
      </c>
      <c r="F781" s="0" t="str">
        <f aca="false">IF(F60="","",F59)</f>
        <v/>
      </c>
      <c r="G781" s="0" t="n">
        <v>56</v>
      </c>
      <c r="H781" s="0" t="n">
        <f aca="false">H59</f>
        <v>0</v>
      </c>
      <c r="K781" s="0" t="n">
        <v>56</v>
      </c>
      <c r="L781" s="0" t="str">
        <f aca="false">IF(L60="","",L59)</f>
        <v/>
      </c>
      <c r="M781" s="0" t="n">
        <v>56</v>
      </c>
      <c r="N781" s="0" t="n">
        <f aca="false">N59</f>
        <v>0</v>
      </c>
    </row>
    <row r="782" customFormat="false" ht="15" hidden="false" customHeight="false" outlineLevel="0" collapsed="false">
      <c r="E782" s="0" t="n">
        <v>57</v>
      </c>
      <c r="F782" s="0" t="str">
        <f aca="false">IF(F61="","",F60)</f>
        <v/>
      </c>
      <c r="G782" s="0" t="n">
        <v>57</v>
      </c>
      <c r="H782" s="0" t="n">
        <f aca="false">H60</f>
        <v>0</v>
      </c>
      <c r="K782" s="0" t="n">
        <v>57</v>
      </c>
      <c r="L782" s="0" t="str">
        <f aca="false">IF(L61="","",L60)</f>
        <v/>
      </c>
      <c r="M782" s="0" t="n">
        <v>57</v>
      </c>
      <c r="N782" s="0" t="n">
        <f aca="false">N60</f>
        <v>0</v>
      </c>
    </row>
    <row r="783" customFormat="false" ht="15" hidden="false" customHeight="false" outlineLevel="0" collapsed="false">
      <c r="E783" s="0" t="n">
        <v>58</v>
      </c>
      <c r="F783" s="0" t="str">
        <f aca="false">IF(F62="","",F61)</f>
        <v/>
      </c>
      <c r="G783" s="0" t="n">
        <v>58</v>
      </c>
      <c r="H783" s="0" t="n">
        <f aca="false">H61</f>
        <v>0</v>
      </c>
      <c r="K783" s="0" t="n">
        <v>58</v>
      </c>
      <c r="L783" s="0" t="str">
        <f aca="false">IF(L62="","",L61)</f>
        <v/>
      </c>
      <c r="M783" s="0" t="n">
        <v>58</v>
      </c>
      <c r="N783" s="0" t="n">
        <f aca="false">N61</f>
        <v>0</v>
      </c>
    </row>
    <row r="784" customFormat="false" ht="15" hidden="false" customHeight="false" outlineLevel="0" collapsed="false">
      <c r="E784" s="0" t="n">
        <v>59</v>
      </c>
      <c r="F784" s="0" t="str">
        <f aca="false">IF(F63="","",F62)</f>
        <v/>
      </c>
      <c r="G784" s="0" t="n">
        <v>59</v>
      </c>
      <c r="H784" s="0" t="n">
        <f aca="false">H62</f>
        <v>0</v>
      </c>
      <c r="K784" s="0" t="n">
        <v>59</v>
      </c>
      <c r="L784" s="0" t="str">
        <f aca="false">IF(L63="","",L62)</f>
        <v/>
      </c>
      <c r="M784" s="0" t="n">
        <v>59</v>
      </c>
      <c r="N784" s="0" t="n">
        <f aca="false">N62</f>
        <v>0</v>
      </c>
    </row>
    <row r="785" customFormat="false" ht="15" hidden="false" customHeight="false" outlineLevel="0" collapsed="false">
      <c r="E785" s="0" t="n">
        <v>60</v>
      </c>
      <c r="F785" s="0" t="str">
        <f aca="false">IF(F64="","",F63)</f>
        <v/>
      </c>
      <c r="G785" s="0" t="n">
        <v>60</v>
      </c>
      <c r="H785" s="0" t="n">
        <f aca="false">H63</f>
        <v>0</v>
      </c>
      <c r="K785" s="0" t="n">
        <v>60</v>
      </c>
      <c r="L785" s="0" t="str">
        <f aca="false">IF(L64="","",L63)</f>
        <v/>
      </c>
      <c r="M785" s="0" t="n">
        <v>60</v>
      </c>
      <c r="N785" s="0" t="n">
        <f aca="false">N63</f>
        <v>0</v>
      </c>
    </row>
    <row r="786" customFormat="false" ht="15" hidden="false" customHeight="false" outlineLevel="0" collapsed="false">
      <c r="E786" s="0" t="n">
        <v>61</v>
      </c>
      <c r="F786" s="0" t="str">
        <f aca="false">IF(F65="","",F64)</f>
        <v/>
      </c>
      <c r="G786" s="0" t="n">
        <v>61</v>
      </c>
      <c r="H786" s="0" t="n">
        <f aca="false">H64</f>
        <v>0</v>
      </c>
      <c r="K786" s="0" t="n">
        <v>61</v>
      </c>
      <c r="L786" s="0" t="str">
        <f aca="false">IF(L65="","",L64)</f>
        <v/>
      </c>
      <c r="M786" s="0" t="n">
        <v>61</v>
      </c>
      <c r="N786" s="0" t="n">
        <f aca="false">N64</f>
        <v>0</v>
      </c>
    </row>
    <row r="787" customFormat="false" ht="15" hidden="false" customHeight="false" outlineLevel="0" collapsed="false">
      <c r="E787" s="0" t="n">
        <v>62</v>
      </c>
      <c r="F787" s="0" t="str">
        <f aca="false">IF(F66="","",F65)</f>
        <v/>
      </c>
      <c r="G787" s="0" t="n">
        <v>62</v>
      </c>
      <c r="H787" s="0" t="n">
        <f aca="false">H65</f>
        <v>0</v>
      </c>
      <c r="K787" s="0" t="n">
        <v>62</v>
      </c>
      <c r="L787" s="0" t="str">
        <f aca="false">IF(L66="","",L65)</f>
        <v/>
      </c>
      <c r="M787" s="0" t="n">
        <v>62</v>
      </c>
      <c r="N787" s="0" t="n">
        <f aca="false">N65</f>
        <v>0</v>
      </c>
    </row>
    <row r="788" customFormat="false" ht="15" hidden="false" customHeight="false" outlineLevel="0" collapsed="false">
      <c r="E788" s="0" t="n">
        <v>63</v>
      </c>
      <c r="F788" s="0" t="str">
        <f aca="false">IF(F67="","",F66)</f>
        <v/>
      </c>
      <c r="G788" s="0" t="n">
        <v>63</v>
      </c>
      <c r="H788" s="0" t="n">
        <f aca="false">H66</f>
        <v>0</v>
      </c>
      <c r="K788" s="0" t="n">
        <v>63</v>
      </c>
      <c r="L788" s="0" t="str">
        <f aca="false">IF(L67="","",L66)</f>
        <v/>
      </c>
      <c r="M788" s="0" t="n">
        <v>63</v>
      </c>
      <c r="N788" s="0" t="n">
        <f aca="false">N66</f>
        <v>0</v>
      </c>
    </row>
    <row r="789" customFormat="false" ht="15" hidden="false" customHeight="false" outlineLevel="0" collapsed="false">
      <c r="E789" s="0" t="n">
        <v>64</v>
      </c>
      <c r="F789" s="0" t="str">
        <f aca="false">IF(F68="","",F67)</f>
        <v/>
      </c>
      <c r="G789" s="0" t="n">
        <v>64</v>
      </c>
      <c r="H789" s="0" t="n">
        <f aca="false">H67</f>
        <v>0</v>
      </c>
      <c r="K789" s="0" t="n">
        <v>64</v>
      </c>
      <c r="L789" s="0" t="str">
        <f aca="false">IF(L68="","",L67)</f>
        <v/>
      </c>
      <c r="M789" s="0" t="n">
        <v>64</v>
      </c>
      <c r="N789" s="0" t="n">
        <f aca="false">N67</f>
        <v>0</v>
      </c>
    </row>
    <row r="790" customFormat="false" ht="15" hidden="false" customHeight="false" outlineLevel="0" collapsed="false">
      <c r="E790" s="0" t="n">
        <v>65</v>
      </c>
      <c r="F790" s="0" t="str">
        <f aca="false">IF(F69="","",F68)</f>
        <v/>
      </c>
      <c r="G790" s="0" t="n">
        <v>65</v>
      </c>
      <c r="H790" s="0" t="n">
        <f aca="false">H68</f>
        <v>0</v>
      </c>
      <c r="K790" s="0" t="n">
        <v>65</v>
      </c>
      <c r="L790" s="0" t="str">
        <f aca="false">IF(L69="","",L68)</f>
        <v/>
      </c>
      <c r="M790" s="0" t="n">
        <v>65</v>
      </c>
      <c r="N790" s="0" t="n">
        <f aca="false">N68</f>
        <v>0</v>
      </c>
    </row>
    <row r="791" customFormat="false" ht="15" hidden="false" customHeight="false" outlineLevel="0" collapsed="false">
      <c r="E791" s="0" t="n">
        <v>66</v>
      </c>
      <c r="F791" s="0" t="str">
        <f aca="false">IF(F70="","",F69)</f>
        <v/>
      </c>
      <c r="G791" s="0" t="n">
        <v>66</v>
      </c>
      <c r="H791" s="0" t="n">
        <f aca="false">H69</f>
        <v>0</v>
      </c>
      <c r="K791" s="0" t="n">
        <v>66</v>
      </c>
      <c r="L791" s="0" t="str">
        <f aca="false">IF(L70="","",L69)</f>
        <v/>
      </c>
      <c r="M791" s="0" t="n">
        <v>66</v>
      </c>
      <c r="N791" s="0" t="n">
        <f aca="false">N69</f>
        <v>0</v>
      </c>
    </row>
    <row r="792" customFormat="false" ht="15" hidden="false" customHeight="false" outlineLevel="0" collapsed="false">
      <c r="E792" s="0" t="n">
        <v>67</v>
      </c>
      <c r="F792" s="0" t="str">
        <f aca="false">IF(F71="","",F70)</f>
        <v/>
      </c>
      <c r="G792" s="0" t="n">
        <v>67</v>
      </c>
      <c r="H792" s="0" t="n">
        <f aca="false">H70</f>
        <v>0</v>
      </c>
      <c r="K792" s="0" t="n">
        <v>67</v>
      </c>
      <c r="L792" s="0" t="str">
        <f aca="false">IF(L71="","",L70)</f>
        <v/>
      </c>
      <c r="M792" s="0" t="n">
        <v>67</v>
      </c>
      <c r="N792" s="0" t="n">
        <f aca="false">N70</f>
        <v>0</v>
      </c>
    </row>
    <row r="793" customFormat="false" ht="15" hidden="false" customHeight="false" outlineLevel="0" collapsed="false">
      <c r="E793" s="0" t="n">
        <v>68</v>
      </c>
      <c r="F793" s="0" t="str">
        <f aca="false">IF(F72="","",F71)</f>
        <v/>
      </c>
      <c r="G793" s="0" t="n">
        <v>68</v>
      </c>
      <c r="H793" s="0" t="n">
        <f aca="false">H71</f>
        <v>0</v>
      </c>
      <c r="K793" s="0" t="n">
        <v>68</v>
      </c>
      <c r="L793" s="0" t="str">
        <f aca="false">IF(L72="","",L71)</f>
        <v/>
      </c>
      <c r="M793" s="0" t="n">
        <v>68</v>
      </c>
      <c r="N793" s="0" t="n">
        <f aca="false">N71</f>
        <v>0</v>
      </c>
    </row>
    <row r="794" customFormat="false" ht="15" hidden="false" customHeight="false" outlineLevel="0" collapsed="false">
      <c r="E794" s="0" t="n">
        <v>69</v>
      </c>
      <c r="F794" s="0" t="str">
        <f aca="false">IF(F73="","",F72)</f>
        <v/>
      </c>
      <c r="G794" s="0" t="n">
        <v>69</v>
      </c>
      <c r="H794" s="0" t="n">
        <f aca="false">H72</f>
        <v>0</v>
      </c>
      <c r="K794" s="0" t="n">
        <v>69</v>
      </c>
      <c r="L794" s="0" t="str">
        <f aca="false">IF(L73="","",L72)</f>
        <v/>
      </c>
      <c r="M794" s="0" t="n">
        <v>69</v>
      </c>
      <c r="N794" s="0" t="n">
        <f aca="false">N72</f>
        <v>0</v>
      </c>
    </row>
    <row r="795" customFormat="false" ht="15" hidden="false" customHeight="false" outlineLevel="0" collapsed="false">
      <c r="E795" s="0" t="n">
        <v>70</v>
      </c>
      <c r="F795" s="0" t="str">
        <f aca="false">IF(F74="","",F73)</f>
        <v/>
      </c>
      <c r="G795" s="0" t="n">
        <v>70</v>
      </c>
      <c r="H795" s="0" t="n">
        <f aca="false">H73</f>
        <v>0</v>
      </c>
      <c r="K795" s="0" t="n">
        <v>70</v>
      </c>
      <c r="L795" s="0" t="str">
        <f aca="false">IF(L74="","",L73)</f>
        <v/>
      </c>
      <c r="M795" s="0" t="n">
        <v>70</v>
      </c>
      <c r="N795" s="0" t="n">
        <f aca="false">N73</f>
        <v>0</v>
      </c>
    </row>
    <row r="796" customFormat="false" ht="15" hidden="false" customHeight="false" outlineLevel="0" collapsed="false">
      <c r="E796" s="0" t="n">
        <v>71</v>
      </c>
      <c r="F796" s="0" t="str">
        <f aca="false">IF(F75="","",F74)</f>
        <v/>
      </c>
      <c r="G796" s="0" t="n">
        <v>71</v>
      </c>
      <c r="H796" s="0" t="n">
        <f aca="false">H74</f>
        <v>0</v>
      </c>
      <c r="K796" s="0" t="n">
        <v>71</v>
      </c>
      <c r="L796" s="0" t="str">
        <f aca="false">IF(L75="","",L74)</f>
        <v/>
      </c>
      <c r="M796" s="0" t="n">
        <v>71</v>
      </c>
      <c r="N796" s="0" t="n">
        <f aca="false">N74</f>
        <v>0</v>
      </c>
    </row>
    <row r="797" customFormat="false" ht="15" hidden="false" customHeight="false" outlineLevel="0" collapsed="false">
      <c r="E797" s="0" t="n">
        <v>72</v>
      </c>
      <c r="F797" s="0" t="str">
        <f aca="false">IF(F76="","",F75)</f>
        <v/>
      </c>
      <c r="G797" s="0" t="n">
        <v>72</v>
      </c>
      <c r="H797" s="0" t="n">
        <f aca="false">H75</f>
        <v>0</v>
      </c>
      <c r="K797" s="0" t="n">
        <v>72</v>
      </c>
      <c r="L797" s="0" t="str">
        <f aca="false">IF(L76="","",L75)</f>
        <v/>
      </c>
      <c r="M797" s="0" t="n">
        <v>72</v>
      </c>
      <c r="N797" s="0" t="n">
        <f aca="false">N75</f>
        <v>0</v>
      </c>
    </row>
    <row r="798" customFormat="false" ht="15" hidden="false" customHeight="false" outlineLevel="0" collapsed="false">
      <c r="E798" s="0" t="n">
        <v>73</v>
      </c>
      <c r="F798" s="0" t="str">
        <f aca="false">IF(F77="","",F76)</f>
        <v/>
      </c>
      <c r="G798" s="0" t="n">
        <v>73</v>
      </c>
      <c r="H798" s="0" t="n">
        <f aca="false">H76</f>
        <v>0</v>
      </c>
      <c r="K798" s="0" t="n">
        <v>73</v>
      </c>
      <c r="L798" s="0" t="str">
        <f aca="false">IF(L77="","",L76)</f>
        <v/>
      </c>
      <c r="M798" s="0" t="n">
        <v>73</v>
      </c>
      <c r="N798" s="0" t="n">
        <f aca="false">N76</f>
        <v>0</v>
      </c>
    </row>
    <row r="799" customFormat="false" ht="15" hidden="false" customHeight="false" outlineLevel="0" collapsed="false">
      <c r="E799" s="0" t="n">
        <v>74</v>
      </c>
      <c r="F799" s="0" t="str">
        <f aca="false">IF(F78="","",F77)</f>
        <v/>
      </c>
      <c r="G799" s="0" t="n">
        <v>74</v>
      </c>
      <c r="H799" s="0" t="n">
        <f aca="false">H77</f>
        <v>0</v>
      </c>
      <c r="K799" s="0" t="n">
        <v>74</v>
      </c>
      <c r="L799" s="0" t="str">
        <f aca="false">IF(L78="","",L77)</f>
        <v/>
      </c>
      <c r="M799" s="0" t="n">
        <v>74</v>
      </c>
      <c r="N799" s="0" t="n">
        <f aca="false">N77</f>
        <v>0</v>
      </c>
    </row>
    <row r="800" customFormat="false" ht="15" hidden="false" customHeight="false" outlineLevel="0" collapsed="false">
      <c r="E800" s="0" t="n">
        <v>75</v>
      </c>
      <c r="F800" s="0" t="str">
        <f aca="false">IF(F79="","",F78)</f>
        <v/>
      </c>
      <c r="G800" s="0" t="n">
        <v>75</v>
      </c>
      <c r="H800" s="0" t="n">
        <f aca="false">H78</f>
        <v>0</v>
      </c>
      <c r="K800" s="0" t="n">
        <v>75</v>
      </c>
      <c r="L800" s="0" t="str">
        <f aca="false">IF(L79="","",L78)</f>
        <v/>
      </c>
      <c r="M800" s="0" t="n">
        <v>75</v>
      </c>
      <c r="N800" s="0" t="n">
        <f aca="false">N78</f>
        <v>0</v>
      </c>
    </row>
    <row r="801" customFormat="false" ht="15" hidden="false" customHeight="false" outlineLevel="0" collapsed="false">
      <c r="E801" s="0" t="n">
        <v>76</v>
      </c>
      <c r="F801" s="0" t="str">
        <f aca="false">IF(F80="","",F79)</f>
        <v/>
      </c>
      <c r="G801" s="0" t="n">
        <v>76</v>
      </c>
      <c r="H801" s="0" t="n">
        <f aca="false">H79</f>
        <v>0</v>
      </c>
      <c r="K801" s="0" t="n">
        <v>76</v>
      </c>
      <c r="L801" s="0" t="str">
        <f aca="false">IF(L80="","",L79)</f>
        <v/>
      </c>
      <c r="M801" s="0" t="n">
        <v>76</v>
      </c>
      <c r="N801" s="0" t="n">
        <f aca="false">N79</f>
        <v>0</v>
      </c>
    </row>
    <row r="802" customFormat="false" ht="15" hidden="false" customHeight="false" outlineLevel="0" collapsed="false">
      <c r="E802" s="0" t="n">
        <v>77</v>
      </c>
      <c r="F802" s="0" t="str">
        <f aca="false">IF(F81="","",F80)</f>
        <v/>
      </c>
      <c r="G802" s="0" t="n">
        <v>77</v>
      </c>
      <c r="H802" s="0" t="n">
        <f aca="false">H80</f>
        <v>0</v>
      </c>
      <c r="K802" s="0" t="n">
        <v>77</v>
      </c>
      <c r="L802" s="0" t="str">
        <f aca="false">IF(L81="","",L80)</f>
        <v/>
      </c>
      <c r="M802" s="0" t="n">
        <v>77</v>
      </c>
      <c r="N802" s="0" t="n">
        <f aca="false">N80</f>
        <v>0</v>
      </c>
    </row>
    <row r="803" customFormat="false" ht="15" hidden="false" customHeight="false" outlineLevel="0" collapsed="false">
      <c r="E803" s="0" t="n">
        <v>78</v>
      </c>
      <c r="F803" s="0" t="str">
        <f aca="false">IF(F82="","",F81)</f>
        <v/>
      </c>
      <c r="G803" s="0" t="n">
        <v>78</v>
      </c>
      <c r="H803" s="0" t="n">
        <f aca="false">H81</f>
        <v>0</v>
      </c>
      <c r="K803" s="0" t="n">
        <v>78</v>
      </c>
      <c r="L803" s="0" t="str">
        <f aca="false">IF(L82="","",L81)</f>
        <v/>
      </c>
      <c r="M803" s="0" t="n">
        <v>78</v>
      </c>
      <c r="N803" s="0" t="n">
        <f aca="false">N81</f>
        <v>0</v>
      </c>
    </row>
    <row r="804" customFormat="false" ht="15" hidden="false" customHeight="false" outlineLevel="0" collapsed="false">
      <c r="E804" s="0" t="n">
        <v>79</v>
      </c>
      <c r="F804" s="0" t="str">
        <f aca="false">IF(F83="","",F82)</f>
        <v/>
      </c>
      <c r="G804" s="0" t="n">
        <v>79</v>
      </c>
      <c r="H804" s="0" t="n">
        <f aca="false">H82</f>
        <v>0</v>
      </c>
      <c r="K804" s="0" t="n">
        <v>79</v>
      </c>
      <c r="L804" s="0" t="str">
        <f aca="false">IF(L83="","",L82)</f>
        <v/>
      </c>
      <c r="M804" s="0" t="n">
        <v>79</v>
      </c>
      <c r="N804" s="0" t="n">
        <f aca="false">N82</f>
        <v>0</v>
      </c>
    </row>
    <row r="805" customFormat="false" ht="15" hidden="false" customHeight="false" outlineLevel="0" collapsed="false">
      <c r="E805" s="0" t="n">
        <v>80</v>
      </c>
      <c r="F805" s="0" t="str">
        <f aca="false">IF(F84="","",F83)</f>
        <v/>
      </c>
      <c r="G805" s="0" t="n">
        <v>80</v>
      </c>
      <c r="H805" s="0" t="n">
        <f aca="false">H83</f>
        <v>0</v>
      </c>
      <c r="K805" s="0" t="n">
        <v>80</v>
      </c>
      <c r="L805" s="0" t="str">
        <f aca="false">IF(L84="","",L83)</f>
        <v/>
      </c>
      <c r="M805" s="0" t="n">
        <v>80</v>
      </c>
      <c r="N805" s="0" t="n">
        <f aca="false">N83</f>
        <v>0</v>
      </c>
    </row>
    <row r="806" customFormat="false" ht="15" hidden="false" customHeight="false" outlineLevel="0" collapsed="false">
      <c r="E806" s="0" t="n">
        <v>81</v>
      </c>
      <c r="F806" s="0" t="str">
        <f aca="false">IF(F85="","",F84)</f>
        <v/>
      </c>
      <c r="G806" s="0" t="n">
        <v>81</v>
      </c>
      <c r="H806" s="0" t="n">
        <f aca="false">H84</f>
        <v>0</v>
      </c>
      <c r="K806" s="0" t="n">
        <v>81</v>
      </c>
      <c r="L806" s="0" t="str">
        <f aca="false">IF(L85="","",L84)</f>
        <v/>
      </c>
      <c r="M806" s="0" t="n">
        <v>81</v>
      </c>
      <c r="N806" s="0" t="n">
        <f aca="false">N84</f>
        <v>0</v>
      </c>
    </row>
    <row r="807" customFormat="false" ht="15" hidden="false" customHeight="false" outlineLevel="0" collapsed="false">
      <c r="E807" s="0" t="n">
        <v>82</v>
      </c>
      <c r="F807" s="0" t="str">
        <f aca="false">IF(F86="","",F85)</f>
        <v/>
      </c>
      <c r="G807" s="0" t="n">
        <v>82</v>
      </c>
      <c r="H807" s="0" t="n">
        <f aca="false">H85</f>
        <v>0</v>
      </c>
      <c r="K807" s="0" t="n">
        <v>82</v>
      </c>
      <c r="L807" s="0" t="str">
        <f aca="false">IF(L86="","",L85)</f>
        <v/>
      </c>
      <c r="M807" s="0" t="n">
        <v>82</v>
      </c>
      <c r="N807" s="0" t="n">
        <f aca="false">N85</f>
        <v>0</v>
      </c>
    </row>
    <row r="808" customFormat="false" ht="15" hidden="false" customHeight="false" outlineLevel="0" collapsed="false">
      <c r="E808" s="0" t="n">
        <v>83</v>
      </c>
      <c r="F808" s="0" t="str">
        <f aca="false">IF(F87="","",F86)</f>
        <v/>
      </c>
      <c r="G808" s="0" t="n">
        <v>83</v>
      </c>
      <c r="H808" s="0" t="n">
        <f aca="false">H86</f>
        <v>0</v>
      </c>
      <c r="K808" s="0" t="n">
        <v>83</v>
      </c>
      <c r="L808" s="0" t="str">
        <f aca="false">IF(L87="","",L86)</f>
        <v/>
      </c>
      <c r="M808" s="0" t="n">
        <v>83</v>
      </c>
      <c r="N808" s="0" t="n">
        <f aca="false">N86</f>
        <v>0</v>
      </c>
    </row>
    <row r="809" customFormat="false" ht="15" hidden="false" customHeight="false" outlineLevel="0" collapsed="false">
      <c r="E809" s="0" t="n">
        <v>84</v>
      </c>
      <c r="F809" s="0" t="str">
        <f aca="false">IF(F88="","",F87)</f>
        <v/>
      </c>
      <c r="G809" s="0" t="n">
        <v>84</v>
      </c>
      <c r="H809" s="0" t="n">
        <f aca="false">H87</f>
        <v>0</v>
      </c>
      <c r="K809" s="0" t="n">
        <v>84</v>
      </c>
      <c r="L809" s="0" t="str">
        <f aca="false">IF(L88="","",L87)</f>
        <v/>
      </c>
      <c r="M809" s="0" t="n">
        <v>84</v>
      </c>
      <c r="N809" s="0" t="n">
        <f aca="false">N87</f>
        <v>0</v>
      </c>
    </row>
    <row r="810" customFormat="false" ht="15" hidden="false" customHeight="false" outlineLevel="0" collapsed="false">
      <c r="E810" s="0" t="n">
        <v>85</v>
      </c>
      <c r="F810" s="0" t="str">
        <f aca="false">IF(F89="","",F88)</f>
        <v/>
      </c>
      <c r="G810" s="0" t="n">
        <v>85</v>
      </c>
      <c r="H810" s="0" t="n">
        <f aca="false">H88</f>
        <v>0</v>
      </c>
      <c r="K810" s="0" t="n">
        <v>85</v>
      </c>
      <c r="L810" s="0" t="str">
        <f aca="false">IF(L89="","",L88)</f>
        <v/>
      </c>
      <c r="M810" s="0" t="n">
        <v>85</v>
      </c>
      <c r="N810" s="0" t="n">
        <f aca="false">N88</f>
        <v>0</v>
      </c>
    </row>
    <row r="811" customFormat="false" ht="15" hidden="false" customHeight="false" outlineLevel="0" collapsed="false">
      <c r="E811" s="0" t="n">
        <v>86</v>
      </c>
      <c r="F811" s="0" t="str">
        <f aca="false">IF(F90="","",F89)</f>
        <v/>
      </c>
      <c r="G811" s="0" t="n">
        <v>86</v>
      </c>
      <c r="H811" s="0" t="n">
        <f aca="false">H89</f>
        <v>0</v>
      </c>
      <c r="K811" s="0" t="n">
        <v>86</v>
      </c>
      <c r="L811" s="0" t="str">
        <f aca="false">IF(L90="","",L89)</f>
        <v/>
      </c>
      <c r="M811" s="0" t="n">
        <v>86</v>
      </c>
      <c r="N811" s="0" t="n">
        <f aca="false">N89</f>
        <v>0</v>
      </c>
    </row>
    <row r="812" customFormat="false" ht="15" hidden="false" customHeight="false" outlineLevel="0" collapsed="false">
      <c r="E812" s="0" t="n">
        <v>87</v>
      </c>
      <c r="F812" s="0" t="str">
        <f aca="false">IF(F91="","",F90)</f>
        <v/>
      </c>
      <c r="G812" s="0" t="n">
        <v>87</v>
      </c>
      <c r="H812" s="0" t="n">
        <f aca="false">H90</f>
        <v>0</v>
      </c>
      <c r="K812" s="0" t="n">
        <v>87</v>
      </c>
      <c r="L812" s="0" t="str">
        <f aca="false">IF(L91="","",L90)</f>
        <v/>
      </c>
      <c r="M812" s="0" t="n">
        <v>87</v>
      </c>
      <c r="N812" s="0" t="n">
        <f aca="false">N90</f>
        <v>0</v>
      </c>
    </row>
    <row r="813" customFormat="false" ht="15" hidden="false" customHeight="false" outlineLevel="0" collapsed="false">
      <c r="E813" s="0" t="n">
        <v>88</v>
      </c>
      <c r="F813" s="0" t="str">
        <f aca="false">IF(F92="","",F91)</f>
        <v/>
      </c>
      <c r="G813" s="0" t="n">
        <v>88</v>
      </c>
      <c r="H813" s="0" t="n">
        <f aca="false">H91</f>
        <v>0</v>
      </c>
      <c r="K813" s="0" t="n">
        <v>88</v>
      </c>
      <c r="L813" s="0" t="str">
        <f aca="false">IF(L92="","",L91)</f>
        <v/>
      </c>
      <c r="M813" s="0" t="n">
        <v>88</v>
      </c>
      <c r="N813" s="0" t="n">
        <f aca="false">N91</f>
        <v>0</v>
      </c>
    </row>
    <row r="814" customFormat="false" ht="15" hidden="false" customHeight="false" outlineLevel="0" collapsed="false">
      <c r="E814" s="0" t="n">
        <v>89</v>
      </c>
      <c r="F814" s="0" t="str">
        <f aca="false">IF(F93="","",F92)</f>
        <v/>
      </c>
      <c r="G814" s="0" t="n">
        <v>89</v>
      </c>
      <c r="H814" s="0" t="n">
        <f aca="false">H92</f>
        <v>0</v>
      </c>
      <c r="K814" s="0" t="n">
        <v>89</v>
      </c>
      <c r="L814" s="0" t="str">
        <f aca="false">IF(L93="","",L92)</f>
        <v/>
      </c>
      <c r="M814" s="0" t="n">
        <v>89</v>
      </c>
      <c r="N814" s="0" t="n">
        <f aca="false">N92</f>
        <v>0</v>
      </c>
    </row>
    <row r="815" customFormat="false" ht="15" hidden="false" customHeight="false" outlineLevel="0" collapsed="false">
      <c r="E815" s="0" t="n">
        <v>90</v>
      </c>
      <c r="F815" s="0" t="str">
        <f aca="false">IF(F94="","",F93)</f>
        <v/>
      </c>
      <c r="G815" s="0" t="n">
        <v>90</v>
      </c>
      <c r="H815" s="0" t="n">
        <f aca="false">H93</f>
        <v>0</v>
      </c>
      <c r="K815" s="0" t="n">
        <v>90</v>
      </c>
      <c r="L815" s="0" t="str">
        <f aca="false">IF(L94="","",L93)</f>
        <v/>
      </c>
      <c r="M815" s="0" t="n">
        <v>90</v>
      </c>
      <c r="N815" s="0" t="n">
        <f aca="false">N93</f>
        <v>0</v>
      </c>
    </row>
    <row r="816" customFormat="false" ht="15" hidden="false" customHeight="false" outlineLevel="0" collapsed="false">
      <c r="E816" s="0" t="n">
        <v>91</v>
      </c>
      <c r="F816" s="0" t="str">
        <f aca="false">IF(F95="","",F94)</f>
        <v/>
      </c>
      <c r="G816" s="0" t="n">
        <v>91</v>
      </c>
      <c r="H816" s="0" t="n">
        <f aca="false">H94</f>
        <v>0</v>
      </c>
      <c r="K816" s="0" t="n">
        <v>91</v>
      </c>
      <c r="L816" s="0" t="str">
        <f aca="false">IF(L95="","",L94)</f>
        <v/>
      </c>
      <c r="M816" s="0" t="n">
        <v>91</v>
      </c>
      <c r="N816" s="0" t="n">
        <f aca="false">N94</f>
        <v>0</v>
      </c>
    </row>
    <row r="817" customFormat="false" ht="15" hidden="false" customHeight="false" outlineLevel="0" collapsed="false">
      <c r="E817" s="0" t="n">
        <v>92</v>
      </c>
      <c r="F817" s="0" t="str">
        <f aca="false">IF(F96="","",F95)</f>
        <v/>
      </c>
      <c r="G817" s="0" t="n">
        <v>92</v>
      </c>
      <c r="H817" s="0" t="n">
        <f aca="false">H95</f>
        <v>0</v>
      </c>
      <c r="K817" s="0" t="n">
        <v>92</v>
      </c>
      <c r="L817" s="0" t="str">
        <f aca="false">IF(L96="","",L95)</f>
        <v/>
      </c>
      <c r="M817" s="0" t="n">
        <v>92</v>
      </c>
      <c r="N817" s="0" t="n">
        <f aca="false">N95</f>
        <v>0</v>
      </c>
    </row>
    <row r="818" customFormat="false" ht="15" hidden="false" customHeight="false" outlineLevel="0" collapsed="false">
      <c r="E818" s="0" t="n">
        <v>93</v>
      </c>
      <c r="F818" s="0" t="str">
        <f aca="false">IF(F97="","",F96)</f>
        <v/>
      </c>
      <c r="G818" s="0" t="n">
        <v>93</v>
      </c>
      <c r="H818" s="0" t="n">
        <f aca="false">H96</f>
        <v>0</v>
      </c>
      <c r="K818" s="0" t="n">
        <v>93</v>
      </c>
      <c r="L818" s="0" t="str">
        <f aca="false">IF(L97="","",L96)</f>
        <v/>
      </c>
      <c r="M818" s="0" t="n">
        <v>93</v>
      </c>
      <c r="N818" s="0" t="n">
        <f aca="false">N96</f>
        <v>0</v>
      </c>
    </row>
    <row r="819" customFormat="false" ht="15" hidden="false" customHeight="false" outlineLevel="0" collapsed="false">
      <c r="E819" s="0" t="n">
        <v>94</v>
      </c>
      <c r="F819" s="0" t="str">
        <f aca="false">IF(F98="","",F97)</f>
        <v/>
      </c>
      <c r="G819" s="0" t="n">
        <v>94</v>
      </c>
      <c r="H819" s="0" t="n">
        <f aca="false">H97</f>
        <v>0</v>
      </c>
      <c r="K819" s="0" t="n">
        <v>94</v>
      </c>
      <c r="L819" s="0" t="str">
        <f aca="false">IF(L98="","",L97)</f>
        <v/>
      </c>
      <c r="M819" s="0" t="n">
        <v>94</v>
      </c>
      <c r="N819" s="0" t="n">
        <f aca="false">N97</f>
        <v>0</v>
      </c>
    </row>
    <row r="820" customFormat="false" ht="15" hidden="false" customHeight="false" outlineLevel="0" collapsed="false">
      <c r="E820" s="0" t="n">
        <v>95</v>
      </c>
      <c r="F820" s="0" t="str">
        <f aca="false">IF(F99="","",F98)</f>
        <v/>
      </c>
      <c r="G820" s="0" t="n">
        <v>95</v>
      </c>
      <c r="H820" s="0" t="n">
        <f aca="false">H98</f>
        <v>0</v>
      </c>
      <c r="K820" s="0" t="n">
        <v>95</v>
      </c>
      <c r="L820" s="0" t="str">
        <f aca="false">IF(L99="","",L98)</f>
        <v/>
      </c>
      <c r="M820" s="0" t="n">
        <v>95</v>
      </c>
      <c r="N820" s="0" t="n">
        <f aca="false">N98</f>
        <v>0</v>
      </c>
    </row>
    <row r="821" customFormat="false" ht="15" hidden="false" customHeight="false" outlineLevel="0" collapsed="false">
      <c r="E821" s="0" t="n">
        <v>96</v>
      </c>
      <c r="F821" s="0" t="str">
        <f aca="false">IF(F100="","",F99)</f>
        <v/>
      </c>
      <c r="G821" s="0" t="n">
        <v>96</v>
      </c>
      <c r="H821" s="0" t="n">
        <f aca="false">H99</f>
        <v>0</v>
      </c>
      <c r="K821" s="0" t="n">
        <v>96</v>
      </c>
      <c r="L821" s="0" t="str">
        <f aca="false">IF(L100="","",L99)</f>
        <v/>
      </c>
      <c r="M821" s="0" t="n">
        <v>96</v>
      </c>
      <c r="N821" s="0" t="n">
        <f aca="false">N99</f>
        <v>0</v>
      </c>
    </row>
    <row r="822" customFormat="false" ht="15" hidden="false" customHeight="false" outlineLevel="0" collapsed="false">
      <c r="E822" s="0" t="n">
        <v>97</v>
      </c>
      <c r="F822" s="0" t="str">
        <f aca="false">IF(F101="","",F100)</f>
        <v/>
      </c>
      <c r="G822" s="0" t="n">
        <v>97</v>
      </c>
      <c r="H822" s="0" t="n">
        <f aca="false">H100</f>
        <v>0</v>
      </c>
      <c r="K822" s="0" t="n">
        <v>97</v>
      </c>
      <c r="L822" s="0" t="str">
        <f aca="false">IF(L101="","",L100)</f>
        <v/>
      </c>
      <c r="M822" s="0" t="n">
        <v>97</v>
      </c>
      <c r="N822" s="0" t="n">
        <f aca="false">N100</f>
        <v>0</v>
      </c>
    </row>
    <row r="823" customFormat="false" ht="15" hidden="false" customHeight="false" outlineLevel="0" collapsed="false">
      <c r="E823" s="0" t="n">
        <v>98</v>
      </c>
      <c r="F823" s="0" t="str">
        <f aca="false">IF(F102="","",F101)</f>
        <v/>
      </c>
      <c r="G823" s="0" t="n">
        <v>98</v>
      </c>
      <c r="H823" s="0" t="n">
        <f aca="false">H101</f>
        <v>0</v>
      </c>
      <c r="K823" s="0" t="n">
        <v>98</v>
      </c>
      <c r="L823" s="0" t="str">
        <f aca="false">IF(L102="","",L101)</f>
        <v/>
      </c>
      <c r="M823" s="0" t="n">
        <v>98</v>
      </c>
      <c r="N823" s="0" t="n">
        <f aca="false">N101</f>
        <v>0</v>
      </c>
    </row>
    <row r="824" customFormat="false" ht="15" hidden="false" customHeight="false" outlineLevel="0" collapsed="false">
      <c r="E824" s="0" t="n">
        <v>99</v>
      </c>
      <c r="F824" s="0" t="str">
        <f aca="false">IF(F103="","",F102)</f>
        <v/>
      </c>
      <c r="G824" s="0" t="n">
        <v>99</v>
      </c>
      <c r="H824" s="0" t="n">
        <f aca="false">H102</f>
        <v>0</v>
      </c>
      <c r="K824" s="0" t="n">
        <v>99</v>
      </c>
      <c r="L824" s="0" t="str">
        <f aca="false">IF(L103="","",L102)</f>
        <v/>
      </c>
      <c r="M824" s="0" t="n">
        <v>99</v>
      </c>
      <c r="N824" s="0" t="n">
        <f aca="false">N102</f>
        <v>0</v>
      </c>
    </row>
    <row r="825" customFormat="false" ht="15" hidden="false" customHeight="false" outlineLevel="0" collapsed="false">
      <c r="E825" s="0" t="n">
        <v>100</v>
      </c>
      <c r="F825" s="0" t="str">
        <f aca="false">IF(F104="","",F103)</f>
        <v/>
      </c>
      <c r="G825" s="0" t="n">
        <v>100</v>
      </c>
      <c r="H825" s="0" t="n">
        <f aca="false">H103</f>
        <v>0</v>
      </c>
      <c r="K825" s="0" t="n">
        <v>100</v>
      </c>
      <c r="L825" s="0" t="str">
        <f aca="false">IF(L104="","",L103)</f>
        <v/>
      </c>
      <c r="M825" s="0" t="n">
        <v>100</v>
      </c>
      <c r="N825" s="0" t="n">
        <f aca="false">N103</f>
        <v>0</v>
      </c>
    </row>
    <row r="826" customFormat="false" ht="15" hidden="false" customHeight="false" outlineLevel="0" collapsed="false">
      <c r="E826" s="0" t="n">
        <v>101</v>
      </c>
      <c r="F826" s="0" t="str">
        <f aca="false">IF(F105="","",F104)</f>
        <v/>
      </c>
      <c r="G826" s="0" t="n">
        <v>101</v>
      </c>
      <c r="H826" s="0" t="n">
        <f aca="false">H104</f>
        <v>0</v>
      </c>
      <c r="K826" s="0" t="n">
        <v>101</v>
      </c>
      <c r="L826" s="0" t="str">
        <f aca="false">IF(L105="","",L104)</f>
        <v/>
      </c>
      <c r="M826" s="0" t="n">
        <v>101</v>
      </c>
      <c r="N826" s="0" t="n">
        <f aca="false">N104</f>
        <v>0</v>
      </c>
    </row>
    <row r="827" customFormat="false" ht="15" hidden="false" customHeight="false" outlineLevel="0" collapsed="false">
      <c r="E827" s="0" t="n">
        <v>102</v>
      </c>
      <c r="F827" s="0" t="str">
        <f aca="false">IF(F106="","",F105)</f>
        <v/>
      </c>
      <c r="G827" s="0" t="n">
        <v>102</v>
      </c>
      <c r="H827" s="0" t="n">
        <f aca="false">H105</f>
        <v>0</v>
      </c>
      <c r="K827" s="0" t="n">
        <v>102</v>
      </c>
      <c r="L827" s="0" t="str">
        <f aca="false">IF(L106="","",L105)</f>
        <v/>
      </c>
      <c r="M827" s="0" t="n">
        <v>102</v>
      </c>
      <c r="N827" s="0" t="n">
        <f aca="false">N105</f>
        <v>0</v>
      </c>
    </row>
    <row r="828" customFormat="false" ht="15" hidden="false" customHeight="false" outlineLevel="0" collapsed="false">
      <c r="E828" s="0" t="n">
        <v>103</v>
      </c>
      <c r="F828" s="0" t="str">
        <f aca="false">IF(F107="","",F106)</f>
        <v/>
      </c>
      <c r="G828" s="0" t="n">
        <v>103</v>
      </c>
      <c r="H828" s="0" t="n">
        <f aca="false">H106</f>
        <v>0</v>
      </c>
      <c r="K828" s="0" t="n">
        <v>103</v>
      </c>
      <c r="L828" s="0" t="str">
        <f aca="false">IF(L107="","",L106)</f>
        <v/>
      </c>
      <c r="M828" s="0" t="n">
        <v>103</v>
      </c>
      <c r="N828" s="0" t="n">
        <f aca="false">N106</f>
        <v>0</v>
      </c>
    </row>
    <row r="829" customFormat="false" ht="15" hidden="false" customHeight="false" outlineLevel="0" collapsed="false">
      <c r="E829" s="0" t="n">
        <v>104</v>
      </c>
      <c r="F829" s="0" t="str">
        <f aca="false">IF(F108="","",F107)</f>
        <v/>
      </c>
      <c r="G829" s="0" t="n">
        <v>104</v>
      </c>
      <c r="H829" s="0" t="n">
        <f aca="false">H107</f>
        <v>0</v>
      </c>
      <c r="K829" s="0" t="n">
        <v>104</v>
      </c>
      <c r="L829" s="0" t="str">
        <f aca="false">IF(L108="","",L107)</f>
        <v/>
      </c>
      <c r="M829" s="0" t="n">
        <v>104</v>
      </c>
      <c r="N829" s="0" t="n">
        <f aca="false">N107</f>
        <v>0</v>
      </c>
    </row>
    <row r="830" customFormat="false" ht="15" hidden="false" customHeight="false" outlineLevel="0" collapsed="false">
      <c r="E830" s="0" t="n">
        <v>105</v>
      </c>
      <c r="F830" s="0" t="str">
        <f aca="false">IF(F109="","",F108)</f>
        <v/>
      </c>
      <c r="G830" s="0" t="n">
        <v>105</v>
      </c>
      <c r="H830" s="0" t="n">
        <f aca="false">H108</f>
        <v>0</v>
      </c>
      <c r="K830" s="0" t="n">
        <v>105</v>
      </c>
      <c r="L830" s="0" t="str">
        <f aca="false">IF(L109="","",L108)</f>
        <v/>
      </c>
      <c r="M830" s="0" t="n">
        <v>105</v>
      </c>
      <c r="N830" s="0" t="n">
        <f aca="false">N108</f>
        <v>0</v>
      </c>
    </row>
    <row r="831" customFormat="false" ht="15" hidden="false" customHeight="false" outlineLevel="0" collapsed="false">
      <c r="E831" s="0" t="n">
        <v>106</v>
      </c>
      <c r="F831" s="0" t="str">
        <f aca="false">IF(F110="","",F109)</f>
        <v/>
      </c>
      <c r="G831" s="0" t="n">
        <v>106</v>
      </c>
      <c r="H831" s="0" t="n">
        <f aca="false">H109</f>
        <v>0</v>
      </c>
      <c r="K831" s="0" t="n">
        <v>106</v>
      </c>
      <c r="L831" s="0" t="str">
        <f aca="false">IF(L110="","",L109)</f>
        <v/>
      </c>
      <c r="M831" s="0" t="n">
        <v>106</v>
      </c>
      <c r="N831" s="0" t="n">
        <f aca="false">N109</f>
        <v>0</v>
      </c>
    </row>
    <row r="832" customFormat="false" ht="15" hidden="false" customHeight="false" outlineLevel="0" collapsed="false">
      <c r="E832" s="0" t="n">
        <v>107</v>
      </c>
      <c r="F832" s="0" t="str">
        <f aca="false">IF(F111="","",F110)</f>
        <v/>
      </c>
      <c r="G832" s="0" t="n">
        <v>107</v>
      </c>
      <c r="H832" s="0" t="n">
        <f aca="false">H110</f>
        <v>0</v>
      </c>
      <c r="K832" s="0" t="n">
        <v>107</v>
      </c>
      <c r="L832" s="0" t="str">
        <f aca="false">IF(L111="","",L110)</f>
        <v/>
      </c>
      <c r="M832" s="0" t="n">
        <v>107</v>
      </c>
      <c r="N832" s="0" t="n">
        <f aca="false">N110</f>
        <v>0</v>
      </c>
    </row>
    <row r="833" customFormat="false" ht="15" hidden="false" customHeight="false" outlineLevel="0" collapsed="false">
      <c r="E833" s="0" t="n">
        <v>108</v>
      </c>
      <c r="F833" s="0" t="str">
        <f aca="false">IF(F112="","",F111)</f>
        <v/>
      </c>
      <c r="G833" s="0" t="n">
        <v>108</v>
      </c>
      <c r="H833" s="0" t="n">
        <f aca="false">H111</f>
        <v>0</v>
      </c>
      <c r="K833" s="0" t="n">
        <v>108</v>
      </c>
      <c r="L833" s="0" t="str">
        <f aca="false">IF(L112="","",L111)</f>
        <v/>
      </c>
      <c r="M833" s="0" t="n">
        <v>108</v>
      </c>
      <c r="N833" s="0" t="n">
        <f aca="false">N111</f>
        <v>0</v>
      </c>
    </row>
    <row r="834" customFormat="false" ht="15" hidden="false" customHeight="false" outlineLevel="0" collapsed="false">
      <c r="E834" s="0" t="n">
        <v>109</v>
      </c>
      <c r="F834" s="0" t="str">
        <f aca="false">IF(F113="","",F112)</f>
        <v/>
      </c>
      <c r="G834" s="0" t="n">
        <v>109</v>
      </c>
      <c r="H834" s="0" t="n">
        <f aca="false">H112</f>
        <v>0</v>
      </c>
      <c r="K834" s="0" t="n">
        <v>109</v>
      </c>
      <c r="L834" s="0" t="str">
        <f aca="false">IF(L113="","",L112)</f>
        <v/>
      </c>
      <c r="M834" s="0" t="n">
        <v>109</v>
      </c>
      <c r="N834" s="0" t="n">
        <f aca="false">N112</f>
        <v>0</v>
      </c>
    </row>
    <row r="835" customFormat="false" ht="15" hidden="false" customHeight="false" outlineLevel="0" collapsed="false">
      <c r="E835" s="0" t="n">
        <v>110</v>
      </c>
      <c r="F835" s="0" t="str">
        <f aca="false">IF(F114="","",F113)</f>
        <v/>
      </c>
      <c r="G835" s="0" t="n">
        <v>110</v>
      </c>
      <c r="H835" s="0" t="n">
        <f aca="false">H113</f>
        <v>0</v>
      </c>
      <c r="K835" s="0" t="n">
        <v>110</v>
      </c>
      <c r="L835" s="0" t="str">
        <f aca="false">IF(L114="","",L113)</f>
        <v/>
      </c>
      <c r="M835" s="0" t="n">
        <v>110</v>
      </c>
      <c r="N835" s="0" t="n">
        <f aca="false">N113</f>
        <v>0</v>
      </c>
    </row>
    <row r="836" customFormat="false" ht="15" hidden="false" customHeight="false" outlineLevel="0" collapsed="false">
      <c r="E836" s="0" t="n">
        <v>111</v>
      </c>
      <c r="F836" s="0" t="str">
        <f aca="false">IF(F115="","",F114)</f>
        <v/>
      </c>
      <c r="G836" s="0" t="n">
        <v>111</v>
      </c>
      <c r="H836" s="0" t="n">
        <f aca="false">H114</f>
        <v>0</v>
      </c>
      <c r="K836" s="0" t="n">
        <v>111</v>
      </c>
      <c r="L836" s="0" t="str">
        <f aca="false">IF(L115="","",L114)</f>
        <v/>
      </c>
      <c r="M836" s="0" t="n">
        <v>111</v>
      </c>
      <c r="N836" s="0" t="n">
        <f aca="false">N114</f>
        <v>0</v>
      </c>
    </row>
    <row r="837" customFormat="false" ht="15" hidden="false" customHeight="false" outlineLevel="0" collapsed="false">
      <c r="E837" s="0" t="n">
        <v>112</v>
      </c>
      <c r="F837" s="0" t="str">
        <f aca="false">IF(F116="","",F115)</f>
        <v/>
      </c>
      <c r="G837" s="0" t="n">
        <v>112</v>
      </c>
      <c r="H837" s="0" t="n">
        <f aca="false">H115</f>
        <v>0</v>
      </c>
      <c r="K837" s="0" t="n">
        <v>112</v>
      </c>
      <c r="L837" s="0" t="str">
        <f aca="false">IF(L116="","",L115)</f>
        <v/>
      </c>
      <c r="M837" s="0" t="n">
        <v>112</v>
      </c>
      <c r="N837" s="0" t="n">
        <f aca="false">N115</f>
        <v>0</v>
      </c>
    </row>
    <row r="838" customFormat="false" ht="15" hidden="false" customHeight="false" outlineLevel="0" collapsed="false">
      <c r="E838" s="0" t="n">
        <v>113</v>
      </c>
      <c r="F838" s="0" t="str">
        <f aca="false">IF(F117="","",F116)</f>
        <v/>
      </c>
      <c r="G838" s="0" t="n">
        <v>113</v>
      </c>
      <c r="H838" s="0" t="n">
        <f aca="false">H116</f>
        <v>0</v>
      </c>
      <c r="K838" s="0" t="n">
        <v>113</v>
      </c>
      <c r="L838" s="0" t="str">
        <f aca="false">IF(L117="","",L116)</f>
        <v/>
      </c>
      <c r="M838" s="0" t="n">
        <v>113</v>
      </c>
      <c r="N838" s="0" t="n">
        <f aca="false">N116</f>
        <v>0</v>
      </c>
    </row>
    <row r="839" customFormat="false" ht="15" hidden="false" customHeight="false" outlineLevel="0" collapsed="false">
      <c r="E839" s="0" t="n">
        <v>114</v>
      </c>
      <c r="F839" s="0" t="str">
        <f aca="false">IF(F118="","",F117)</f>
        <v/>
      </c>
      <c r="G839" s="0" t="n">
        <v>114</v>
      </c>
      <c r="H839" s="0" t="n">
        <f aca="false">H117</f>
        <v>0</v>
      </c>
      <c r="K839" s="0" t="n">
        <v>114</v>
      </c>
      <c r="L839" s="0" t="str">
        <f aca="false">IF(L118="","",L117)</f>
        <v/>
      </c>
      <c r="M839" s="0" t="n">
        <v>114</v>
      </c>
      <c r="N839" s="0" t="n">
        <f aca="false">N117</f>
        <v>0</v>
      </c>
    </row>
    <row r="840" customFormat="false" ht="15" hidden="false" customHeight="false" outlineLevel="0" collapsed="false">
      <c r="E840" s="0" t="n">
        <v>115</v>
      </c>
      <c r="F840" s="0" t="str">
        <f aca="false">IF(F119="","",F118)</f>
        <v/>
      </c>
      <c r="G840" s="0" t="n">
        <v>115</v>
      </c>
      <c r="H840" s="0" t="n">
        <f aca="false">H118</f>
        <v>0</v>
      </c>
      <c r="K840" s="0" t="n">
        <v>115</v>
      </c>
      <c r="L840" s="0" t="str">
        <f aca="false">IF(L119="","",L118)</f>
        <v/>
      </c>
      <c r="M840" s="0" t="n">
        <v>115</v>
      </c>
      <c r="N840" s="0" t="n">
        <f aca="false">N118</f>
        <v>0</v>
      </c>
    </row>
    <row r="841" customFormat="false" ht="15" hidden="false" customHeight="false" outlineLevel="0" collapsed="false">
      <c r="E841" s="0" t="n">
        <v>116</v>
      </c>
      <c r="F841" s="0" t="str">
        <f aca="false">IF(F120="","",F119)</f>
        <v/>
      </c>
      <c r="G841" s="0" t="n">
        <v>116</v>
      </c>
      <c r="H841" s="0" t="n">
        <f aca="false">H119</f>
        <v>0</v>
      </c>
      <c r="K841" s="0" t="n">
        <v>116</v>
      </c>
      <c r="L841" s="0" t="str">
        <f aca="false">IF(L120="","",L119)</f>
        <v/>
      </c>
      <c r="M841" s="0" t="n">
        <v>116</v>
      </c>
      <c r="N841" s="0" t="n">
        <f aca="false">N119</f>
        <v>0</v>
      </c>
    </row>
    <row r="842" customFormat="false" ht="15" hidden="false" customHeight="false" outlineLevel="0" collapsed="false">
      <c r="E842" s="0" t="n">
        <v>117</v>
      </c>
      <c r="F842" s="0" t="str">
        <f aca="false">IF(F121="","",F120)</f>
        <v/>
      </c>
      <c r="G842" s="0" t="n">
        <v>117</v>
      </c>
      <c r="H842" s="0" t="n">
        <f aca="false">H120</f>
        <v>0</v>
      </c>
      <c r="K842" s="0" t="n">
        <v>117</v>
      </c>
      <c r="L842" s="0" t="str">
        <f aca="false">IF(L121="","",L120)</f>
        <v/>
      </c>
      <c r="M842" s="0" t="n">
        <v>117</v>
      </c>
      <c r="N842" s="0" t="n">
        <f aca="false">N120</f>
        <v>0</v>
      </c>
    </row>
    <row r="843" customFormat="false" ht="15" hidden="false" customHeight="false" outlineLevel="0" collapsed="false">
      <c r="E843" s="0" t="n">
        <v>118</v>
      </c>
      <c r="F843" s="0" t="str">
        <f aca="false">IF(F122="","",F121)</f>
        <v/>
      </c>
      <c r="G843" s="0" t="n">
        <v>118</v>
      </c>
      <c r="H843" s="0" t="n">
        <f aca="false">H121</f>
        <v>0</v>
      </c>
      <c r="K843" s="0" t="n">
        <v>118</v>
      </c>
      <c r="L843" s="0" t="str">
        <f aca="false">IF(L122="","",L121)</f>
        <v/>
      </c>
      <c r="M843" s="0" t="n">
        <v>118</v>
      </c>
      <c r="N843" s="0" t="n">
        <f aca="false">N121</f>
        <v>0</v>
      </c>
    </row>
    <row r="844" customFormat="false" ht="15" hidden="false" customHeight="false" outlineLevel="0" collapsed="false">
      <c r="E844" s="0" t="n">
        <v>119</v>
      </c>
      <c r="F844" s="0" t="str">
        <f aca="false">IF(F123="","",F122)</f>
        <v/>
      </c>
      <c r="G844" s="0" t="n">
        <v>119</v>
      </c>
      <c r="H844" s="0" t="n">
        <f aca="false">H122</f>
        <v>0</v>
      </c>
      <c r="K844" s="0" t="n">
        <v>119</v>
      </c>
      <c r="L844" s="0" t="str">
        <f aca="false">IF(L123="","",L122)</f>
        <v/>
      </c>
      <c r="M844" s="0" t="n">
        <v>119</v>
      </c>
      <c r="N844" s="0" t="n">
        <f aca="false">N122</f>
        <v>0</v>
      </c>
    </row>
    <row r="845" customFormat="false" ht="15" hidden="false" customHeight="false" outlineLevel="0" collapsed="false">
      <c r="E845" s="0" t="n">
        <v>120</v>
      </c>
      <c r="F845" s="0" t="str">
        <f aca="false">IF(F124="","",F123)</f>
        <v/>
      </c>
      <c r="G845" s="0" t="n">
        <v>120</v>
      </c>
      <c r="H845" s="0" t="n">
        <f aca="false">H123</f>
        <v>0</v>
      </c>
      <c r="K845" s="0" t="n">
        <v>120</v>
      </c>
      <c r="L845" s="0" t="str">
        <f aca="false">IF(L124="","",L123)</f>
        <v/>
      </c>
      <c r="M845" s="0" t="n">
        <v>120</v>
      </c>
      <c r="N845" s="0" t="n">
        <f aca="false">N123</f>
        <v>0</v>
      </c>
    </row>
    <row r="846" customFormat="false" ht="15" hidden="false" customHeight="false" outlineLevel="0" collapsed="false">
      <c r="E846" s="0" t="n">
        <v>121</v>
      </c>
      <c r="F846" s="0" t="str">
        <f aca="false">IF(F125="","",F124)</f>
        <v/>
      </c>
      <c r="G846" s="0" t="n">
        <v>121</v>
      </c>
      <c r="H846" s="0" t="n">
        <f aca="false">H124</f>
        <v>0</v>
      </c>
      <c r="K846" s="0" t="n">
        <v>121</v>
      </c>
      <c r="L846" s="0" t="str">
        <f aca="false">IF(L125="","",L124)</f>
        <v/>
      </c>
      <c r="M846" s="0" t="n">
        <v>121</v>
      </c>
      <c r="N846" s="0" t="n">
        <f aca="false">N124</f>
        <v>0</v>
      </c>
    </row>
    <row r="847" customFormat="false" ht="15" hidden="false" customHeight="false" outlineLevel="0" collapsed="false">
      <c r="E847" s="0" t="n">
        <v>122</v>
      </c>
      <c r="F847" s="0" t="str">
        <f aca="false">IF(F126="","",F125)</f>
        <v/>
      </c>
      <c r="G847" s="0" t="n">
        <v>122</v>
      </c>
      <c r="H847" s="0" t="n">
        <f aca="false">H125</f>
        <v>0</v>
      </c>
      <c r="K847" s="0" t="n">
        <v>122</v>
      </c>
      <c r="L847" s="0" t="str">
        <f aca="false">IF(L126="","",L125)</f>
        <v/>
      </c>
      <c r="M847" s="0" t="n">
        <v>122</v>
      </c>
      <c r="N847" s="0" t="n">
        <f aca="false">N125</f>
        <v>0</v>
      </c>
    </row>
    <row r="848" customFormat="false" ht="15" hidden="false" customHeight="false" outlineLevel="0" collapsed="false">
      <c r="E848" s="0" t="n">
        <v>123</v>
      </c>
      <c r="F848" s="0" t="str">
        <f aca="false">IF(F127="","",F126)</f>
        <v/>
      </c>
      <c r="G848" s="0" t="n">
        <v>123</v>
      </c>
      <c r="H848" s="0" t="n">
        <f aca="false">H126</f>
        <v>0</v>
      </c>
      <c r="K848" s="0" t="n">
        <v>123</v>
      </c>
      <c r="L848" s="0" t="str">
        <f aca="false">IF(L127="","",L126)</f>
        <v/>
      </c>
      <c r="M848" s="0" t="n">
        <v>123</v>
      </c>
      <c r="N848" s="0" t="n">
        <f aca="false">N126</f>
        <v>0</v>
      </c>
    </row>
    <row r="849" customFormat="false" ht="15" hidden="false" customHeight="false" outlineLevel="0" collapsed="false">
      <c r="E849" s="0" t="n">
        <v>124</v>
      </c>
      <c r="F849" s="0" t="str">
        <f aca="false">IF(F128="","",F127)</f>
        <v/>
      </c>
      <c r="G849" s="0" t="n">
        <v>124</v>
      </c>
      <c r="H849" s="0" t="n">
        <f aca="false">H127</f>
        <v>0</v>
      </c>
      <c r="K849" s="0" t="n">
        <v>124</v>
      </c>
      <c r="L849" s="0" t="str">
        <f aca="false">IF(L128="","",L127)</f>
        <v/>
      </c>
      <c r="M849" s="0" t="n">
        <v>124</v>
      </c>
      <c r="N849" s="0" t="n">
        <f aca="false">N127</f>
        <v>0</v>
      </c>
    </row>
    <row r="850" customFormat="false" ht="15" hidden="false" customHeight="false" outlineLevel="0" collapsed="false">
      <c r="E850" s="0" t="n">
        <v>125</v>
      </c>
      <c r="F850" s="0" t="str">
        <f aca="false">IF(F129="","",F128)</f>
        <v/>
      </c>
      <c r="G850" s="0" t="n">
        <v>125</v>
      </c>
      <c r="H850" s="0" t="n">
        <f aca="false">H128</f>
        <v>0</v>
      </c>
      <c r="K850" s="0" t="n">
        <v>125</v>
      </c>
      <c r="L850" s="0" t="str">
        <f aca="false">IF(L129="","",L128)</f>
        <v/>
      </c>
      <c r="M850" s="0" t="n">
        <v>125</v>
      </c>
      <c r="N850" s="0" t="n">
        <f aca="false">N128</f>
        <v>0</v>
      </c>
    </row>
    <row r="851" customFormat="false" ht="15" hidden="false" customHeight="false" outlineLevel="0" collapsed="false">
      <c r="E851" s="0" t="n">
        <v>126</v>
      </c>
      <c r="F851" s="0" t="str">
        <f aca="false">IF(F130="","",F129)</f>
        <v/>
      </c>
      <c r="G851" s="0" t="n">
        <v>126</v>
      </c>
      <c r="H851" s="0" t="n">
        <f aca="false">H129</f>
        <v>0</v>
      </c>
      <c r="K851" s="0" t="n">
        <v>126</v>
      </c>
      <c r="L851" s="0" t="str">
        <f aca="false">IF(L130="","",L129)</f>
        <v/>
      </c>
      <c r="M851" s="0" t="n">
        <v>126</v>
      </c>
      <c r="N851" s="0" t="n">
        <f aca="false">N129</f>
        <v>0</v>
      </c>
    </row>
    <row r="852" customFormat="false" ht="15" hidden="false" customHeight="false" outlineLevel="0" collapsed="false">
      <c r="E852" s="0" t="n">
        <v>127</v>
      </c>
      <c r="F852" s="0" t="str">
        <f aca="false">IF(F131="","",F130)</f>
        <v/>
      </c>
      <c r="G852" s="0" t="n">
        <v>127</v>
      </c>
      <c r="H852" s="0" t="n">
        <f aca="false">H130</f>
        <v>0</v>
      </c>
      <c r="K852" s="0" t="n">
        <v>127</v>
      </c>
      <c r="L852" s="0" t="str">
        <f aca="false">IF(L131="","",L130)</f>
        <v/>
      </c>
      <c r="M852" s="0" t="n">
        <v>127</v>
      </c>
      <c r="N852" s="0" t="n">
        <f aca="false">N130</f>
        <v>0</v>
      </c>
    </row>
    <row r="853" customFormat="false" ht="15" hidden="false" customHeight="false" outlineLevel="0" collapsed="false">
      <c r="E853" s="0" t="n">
        <v>128</v>
      </c>
      <c r="F853" s="0" t="str">
        <f aca="false">IF(F132="","",F131)</f>
        <v/>
      </c>
      <c r="G853" s="0" t="n">
        <v>128</v>
      </c>
      <c r="H853" s="0" t="n">
        <f aca="false">H131</f>
        <v>0</v>
      </c>
      <c r="K853" s="0" t="n">
        <v>128</v>
      </c>
      <c r="L853" s="0" t="str">
        <f aca="false">IF(L132="","",L131)</f>
        <v/>
      </c>
      <c r="M853" s="0" t="n">
        <v>128</v>
      </c>
      <c r="N853" s="0" t="n">
        <f aca="false">N131</f>
        <v>0</v>
      </c>
    </row>
    <row r="854" customFormat="false" ht="15" hidden="false" customHeight="false" outlineLevel="0" collapsed="false">
      <c r="E854" s="0" t="n">
        <v>129</v>
      </c>
      <c r="F854" s="0" t="str">
        <f aca="false">IF(F133="","",F132)</f>
        <v/>
      </c>
      <c r="G854" s="0" t="n">
        <v>129</v>
      </c>
      <c r="H854" s="0" t="n">
        <f aca="false">H132</f>
        <v>0</v>
      </c>
      <c r="K854" s="0" t="n">
        <v>129</v>
      </c>
      <c r="L854" s="0" t="str">
        <f aca="false">IF(L133="","",L132)</f>
        <v/>
      </c>
      <c r="M854" s="0" t="n">
        <v>129</v>
      </c>
      <c r="N854" s="0" t="n">
        <f aca="false">N132</f>
        <v>0</v>
      </c>
    </row>
    <row r="855" customFormat="false" ht="15" hidden="false" customHeight="false" outlineLevel="0" collapsed="false">
      <c r="E855" s="0" t="n">
        <v>130</v>
      </c>
      <c r="F855" s="0" t="str">
        <f aca="false">IF(F134="","",F133)</f>
        <v/>
      </c>
      <c r="G855" s="0" t="n">
        <v>130</v>
      </c>
      <c r="H855" s="0" t="n">
        <f aca="false">H133</f>
        <v>0</v>
      </c>
      <c r="K855" s="0" t="n">
        <v>130</v>
      </c>
      <c r="L855" s="0" t="str">
        <f aca="false">IF(L134="","",L133)</f>
        <v/>
      </c>
      <c r="M855" s="0" t="n">
        <v>130</v>
      </c>
      <c r="N855" s="0" t="n">
        <f aca="false">N133</f>
        <v>0</v>
      </c>
    </row>
    <row r="856" customFormat="false" ht="15" hidden="false" customHeight="false" outlineLevel="0" collapsed="false">
      <c r="E856" s="0" t="n">
        <v>131</v>
      </c>
      <c r="F856" s="0" t="str">
        <f aca="false">IF(F135="","",F134)</f>
        <v/>
      </c>
      <c r="G856" s="0" t="n">
        <v>131</v>
      </c>
      <c r="H856" s="0" t="n">
        <f aca="false">H134</f>
        <v>0</v>
      </c>
      <c r="K856" s="0" t="n">
        <v>131</v>
      </c>
      <c r="L856" s="0" t="str">
        <f aca="false">IF(L135="","",L134)</f>
        <v/>
      </c>
      <c r="M856" s="0" t="n">
        <v>131</v>
      </c>
      <c r="N856" s="0" t="n">
        <f aca="false">N134</f>
        <v>0</v>
      </c>
    </row>
    <row r="857" customFormat="false" ht="15" hidden="false" customHeight="false" outlineLevel="0" collapsed="false">
      <c r="E857" s="0" t="n">
        <v>132</v>
      </c>
      <c r="F857" s="0" t="str">
        <f aca="false">IF(F136="","",F135)</f>
        <v/>
      </c>
      <c r="G857" s="0" t="n">
        <v>132</v>
      </c>
      <c r="H857" s="0" t="n">
        <f aca="false">H135</f>
        <v>0</v>
      </c>
      <c r="K857" s="0" t="n">
        <v>132</v>
      </c>
      <c r="L857" s="0" t="str">
        <f aca="false">IF(L136="","",L135)</f>
        <v/>
      </c>
      <c r="M857" s="0" t="n">
        <v>132</v>
      </c>
      <c r="N857" s="0" t="n">
        <f aca="false">N135</f>
        <v>0</v>
      </c>
    </row>
    <row r="858" customFormat="false" ht="15" hidden="false" customHeight="false" outlineLevel="0" collapsed="false">
      <c r="E858" s="0" t="n">
        <v>133</v>
      </c>
      <c r="F858" s="0" t="str">
        <f aca="false">IF(F137="","",F136)</f>
        <v/>
      </c>
      <c r="G858" s="0" t="n">
        <v>133</v>
      </c>
      <c r="H858" s="0" t="n">
        <f aca="false">H136</f>
        <v>0</v>
      </c>
      <c r="K858" s="0" t="n">
        <v>133</v>
      </c>
      <c r="L858" s="0" t="str">
        <f aca="false">IF(L137="","",L136)</f>
        <v/>
      </c>
      <c r="M858" s="0" t="n">
        <v>133</v>
      </c>
      <c r="N858" s="0" t="n">
        <f aca="false">N136</f>
        <v>0</v>
      </c>
    </row>
    <row r="859" customFormat="false" ht="15" hidden="false" customHeight="false" outlineLevel="0" collapsed="false">
      <c r="E859" s="0" t="n">
        <v>134</v>
      </c>
      <c r="F859" s="0" t="str">
        <f aca="false">IF(F138="","",F137)</f>
        <v/>
      </c>
      <c r="G859" s="0" t="n">
        <v>134</v>
      </c>
      <c r="H859" s="0" t="n">
        <f aca="false">H137</f>
        <v>0</v>
      </c>
      <c r="K859" s="0" t="n">
        <v>134</v>
      </c>
      <c r="L859" s="0" t="str">
        <f aca="false">IF(L138="","",L137)</f>
        <v/>
      </c>
      <c r="M859" s="0" t="n">
        <v>134</v>
      </c>
      <c r="N859" s="0" t="n">
        <f aca="false">N137</f>
        <v>0</v>
      </c>
    </row>
    <row r="860" customFormat="false" ht="15" hidden="false" customHeight="false" outlineLevel="0" collapsed="false">
      <c r="E860" s="0" t="n">
        <v>135</v>
      </c>
      <c r="F860" s="0" t="str">
        <f aca="false">IF(F139="","",F138)</f>
        <v/>
      </c>
      <c r="G860" s="0" t="n">
        <v>135</v>
      </c>
      <c r="H860" s="0" t="n">
        <f aca="false">H138</f>
        <v>0</v>
      </c>
      <c r="K860" s="0" t="n">
        <v>135</v>
      </c>
      <c r="L860" s="0" t="str">
        <f aca="false">IF(L139="","",L138)</f>
        <v/>
      </c>
      <c r="M860" s="0" t="n">
        <v>135</v>
      </c>
      <c r="N860" s="0" t="n">
        <f aca="false">N138</f>
        <v>0</v>
      </c>
    </row>
    <row r="861" customFormat="false" ht="15" hidden="false" customHeight="false" outlineLevel="0" collapsed="false">
      <c r="E861" s="0" t="n">
        <v>136</v>
      </c>
      <c r="F861" s="0" t="str">
        <f aca="false">IF(F140="","",F139)</f>
        <v/>
      </c>
      <c r="G861" s="0" t="n">
        <v>136</v>
      </c>
      <c r="H861" s="0" t="n">
        <f aca="false">H139</f>
        <v>0</v>
      </c>
      <c r="K861" s="0" t="n">
        <v>136</v>
      </c>
      <c r="L861" s="0" t="str">
        <f aca="false">IF(L140="","",L139)</f>
        <v/>
      </c>
      <c r="M861" s="0" t="n">
        <v>136</v>
      </c>
      <c r="N861" s="0" t="n">
        <f aca="false">N139</f>
        <v>0</v>
      </c>
    </row>
    <row r="862" customFormat="false" ht="15" hidden="false" customHeight="false" outlineLevel="0" collapsed="false">
      <c r="E862" s="0" t="n">
        <v>137</v>
      </c>
      <c r="F862" s="0" t="str">
        <f aca="false">IF(F141="","",F140)</f>
        <v/>
      </c>
      <c r="G862" s="0" t="n">
        <v>137</v>
      </c>
      <c r="H862" s="0" t="n">
        <f aca="false">H140</f>
        <v>0</v>
      </c>
      <c r="K862" s="0" t="n">
        <v>137</v>
      </c>
      <c r="L862" s="0" t="str">
        <f aca="false">IF(L141="","",L140)</f>
        <v/>
      </c>
      <c r="M862" s="0" t="n">
        <v>137</v>
      </c>
      <c r="N862" s="0" t="n">
        <f aca="false">N140</f>
        <v>0</v>
      </c>
    </row>
    <row r="863" customFormat="false" ht="15" hidden="false" customHeight="false" outlineLevel="0" collapsed="false">
      <c r="E863" s="0" t="n">
        <v>138</v>
      </c>
      <c r="F863" s="0" t="str">
        <f aca="false">IF(F142="","",F141)</f>
        <v/>
      </c>
      <c r="G863" s="0" t="n">
        <v>138</v>
      </c>
      <c r="H863" s="0" t="n">
        <f aca="false">H141</f>
        <v>0</v>
      </c>
      <c r="K863" s="0" t="n">
        <v>138</v>
      </c>
      <c r="L863" s="0" t="str">
        <f aca="false">IF(L142="","",L141)</f>
        <v/>
      </c>
      <c r="M863" s="0" t="n">
        <v>138</v>
      </c>
      <c r="N863" s="0" t="n">
        <f aca="false">N141</f>
        <v>0</v>
      </c>
    </row>
    <row r="864" customFormat="false" ht="15" hidden="false" customHeight="false" outlineLevel="0" collapsed="false">
      <c r="E864" s="0" t="n">
        <v>139</v>
      </c>
      <c r="F864" s="0" t="str">
        <f aca="false">IF(F143="","",F142)</f>
        <v/>
      </c>
      <c r="G864" s="0" t="n">
        <v>139</v>
      </c>
      <c r="H864" s="0" t="n">
        <f aca="false">H142</f>
        <v>0</v>
      </c>
      <c r="K864" s="0" t="n">
        <v>139</v>
      </c>
      <c r="L864" s="0" t="str">
        <f aca="false">IF(L143="","",L142)</f>
        <v/>
      </c>
      <c r="M864" s="0" t="n">
        <v>139</v>
      </c>
      <c r="N864" s="0" t="n">
        <f aca="false">N142</f>
        <v>0</v>
      </c>
    </row>
    <row r="865" customFormat="false" ht="15" hidden="false" customHeight="false" outlineLevel="0" collapsed="false">
      <c r="E865" s="0" t="n">
        <v>140</v>
      </c>
      <c r="F865" s="0" t="str">
        <f aca="false">IF(F144="","",F143)</f>
        <v/>
      </c>
      <c r="G865" s="0" t="n">
        <v>140</v>
      </c>
      <c r="H865" s="0" t="n">
        <f aca="false">H143</f>
        <v>0</v>
      </c>
      <c r="K865" s="0" t="n">
        <v>140</v>
      </c>
      <c r="L865" s="0" t="str">
        <f aca="false">IF(L144="","",L143)</f>
        <v/>
      </c>
      <c r="M865" s="0" t="n">
        <v>140</v>
      </c>
      <c r="N865" s="0" t="n">
        <f aca="false">N143</f>
        <v>0</v>
      </c>
    </row>
    <row r="866" customFormat="false" ht="15" hidden="false" customHeight="false" outlineLevel="0" collapsed="false">
      <c r="E866" s="0" t="n">
        <v>141</v>
      </c>
      <c r="F866" s="0" t="str">
        <f aca="false">IF(F145="","",F144)</f>
        <v/>
      </c>
      <c r="G866" s="0" t="n">
        <v>141</v>
      </c>
      <c r="H866" s="0" t="n">
        <f aca="false">H144</f>
        <v>0</v>
      </c>
      <c r="K866" s="0" t="n">
        <v>141</v>
      </c>
      <c r="L866" s="0" t="str">
        <f aca="false">IF(L145="","",L144)</f>
        <v/>
      </c>
      <c r="M866" s="0" t="n">
        <v>141</v>
      </c>
      <c r="N866" s="0" t="n">
        <f aca="false">N144</f>
        <v>0</v>
      </c>
    </row>
    <row r="867" customFormat="false" ht="15" hidden="false" customHeight="false" outlineLevel="0" collapsed="false">
      <c r="E867" s="0" t="n">
        <v>142</v>
      </c>
      <c r="F867" s="0" t="str">
        <f aca="false">IF(F146="","",F145)</f>
        <v/>
      </c>
      <c r="G867" s="0" t="n">
        <v>142</v>
      </c>
      <c r="H867" s="0" t="n">
        <f aca="false">H145</f>
        <v>0</v>
      </c>
      <c r="K867" s="0" t="n">
        <v>142</v>
      </c>
      <c r="L867" s="0" t="str">
        <f aca="false">IF(L146="","",L145)</f>
        <v/>
      </c>
      <c r="M867" s="0" t="n">
        <v>142</v>
      </c>
      <c r="N867" s="0" t="n">
        <f aca="false">N145</f>
        <v>0</v>
      </c>
    </row>
    <row r="868" customFormat="false" ht="15" hidden="false" customHeight="false" outlineLevel="0" collapsed="false">
      <c r="E868" s="0" t="n">
        <v>143</v>
      </c>
      <c r="F868" s="0" t="str">
        <f aca="false">IF(F147="","",F146)</f>
        <v/>
      </c>
      <c r="G868" s="0" t="n">
        <v>143</v>
      </c>
      <c r="H868" s="0" t="n">
        <f aca="false">H146</f>
        <v>0</v>
      </c>
      <c r="K868" s="0" t="n">
        <v>143</v>
      </c>
      <c r="L868" s="0" t="str">
        <f aca="false">IF(L147="","",L146)</f>
        <v/>
      </c>
      <c r="M868" s="0" t="n">
        <v>143</v>
      </c>
      <c r="N868" s="0" t="n">
        <f aca="false">N146</f>
        <v>0</v>
      </c>
    </row>
    <row r="869" customFormat="false" ht="15" hidden="false" customHeight="false" outlineLevel="0" collapsed="false">
      <c r="E869" s="0" t="n">
        <v>144</v>
      </c>
      <c r="F869" s="0" t="str">
        <f aca="false">IF(F148="","",F147)</f>
        <v/>
      </c>
      <c r="G869" s="0" t="n">
        <v>144</v>
      </c>
      <c r="H869" s="0" t="n">
        <f aca="false">H147</f>
        <v>0</v>
      </c>
      <c r="K869" s="0" t="n">
        <v>144</v>
      </c>
      <c r="L869" s="0" t="str">
        <f aca="false">IF(L148="","",L147)</f>
        <v/>
      </c>
      <c r="M869" s="0" t="n">
        <v>144</v>
      </c>
      <c r="N869" s="0" t="n">
        <f aca="false">N147</f>
        <v>0</v>
      </c>
    </row>
    <row r="870" customFormat="false" ht="15" hidden="false" customHeight="false" outlineLevel="0" collapsed="false">
      <c r="E870" s="0" t="n">
        <v>145</v>
      </c>
      <c r="F870" s="0" t="str">
        <f aca="false">IF(F149="","",F148)</f>
        <v/>
      </c>
      <c r="G870" s="0" t="n">
        <v>145</v>
      </c>
      <c r="H870" s="0" t="n">
        <f aca="false">H148</f>
        <v>0</v>
      </c>
      <c r="K870" s="0" t="n">
        <v>145</v>
      </c>
      <c r="L870" s="0" t="str">
        <f aca="false">IF(L149="","",L148)</f>
        <v/>
      </c>
      <c r="M870" s="0" t="n">
        <v>145</v>
      </c>
      <c r="N870" s="0" t="n">
        <f aca="false">N148</f>
        <v>0</v>
      </c>
    </row>
    <row r="871" customFormat="false" ht="15" hidden="false" customHeight="false" outlineLevel="0" collapsed="false">
      <c r="E871" s="0" t="n">
        <v>146</v>
      </c>
      <c r="F871" s="0" t="str">
        <f aca="false">IF(F150="","",F149)</f>
        <v/>
      </c>
      <c r="G871" s="0" t="n">
        <v>146</v>
      </c>
      <c r="H871" s="0" t="n">
        <f aca="false">H149</f>
        <v>0</v>
      </c>
      <c r="K871" s="0" t="n">
        <v>146</v>
      </c>
      <c r="L871" s="0" t="str">
        <f aca="false">IF(L150="","",L149)</f>
        <v/>
      </c>
      <c r="M871" s="0" t="n">
        <v>146</v>
      </c>
      <c r="N871" s="0" t="n">
        <f aca="false">N149</f>
        <v>0</v>
      </c>
    </row>
    <row r="872" customFormat="false" ht="15" hidden="false" customHeight="false" outlineLevel="0" collapsed="false">
      <c r="E872" s="0" t="n">
        <v>147</v>
      </c>
      <c r="F872" s="0" t="str">
        <f aca="false">IF(F151="","",F150)</f>
        <v/>
      </c>
      <c r="G872" s="0" t="n">
        <v>147</v>
      </c>
      <c r="H872" s="0" t="n">
        <f aca="false">H150</f>
        <v>0</v>
      </c>
      <c r="K872" s="0" t="n">
        <v>147</v>
      </c>
      <c r="L872" s="0" t="str">
        <f aca="false">IF(L151="","",L150)</f>
        <v/>
      </c>
      <c r="M872" s="0" t="n">
        <v>147</v>
      </c>
      <c r="N872" s="0" t="n">
        <f aca="false">N150</f>
        <v>0</v>
      </c>
    </row>
    <row r="873" customFormat="false" ht="15" hidden="false" customHeight="false" outlineLevel="0" collapsed="false">
      <c r="E873" s="0" t="n">
        <v>148</v>
      </c>
      <c r="F873" s="0" t="str">
        <f aca="false">IF(F152="","",F151)</f>
        <v/>
      </c>
      <c r="G873" s="0" t="n">
        <v>148</v>
      </c>
      <c r="H873" s="0" t="n">
        <f aca="false">H151</f>
        <v>0</v>
      </c>
      <c r="K873" s="0" t="n">
        <v>148</v>
      </c>
      <c r="L873" s="0" t="str">
        <f aca="false">IF(L152="","",L151)</f>
        <v/>
      </c>
      <c r="M873" s="0" t="n">
        <v>148</v>
      </c>
      <c r="N873" s="0" t="n">
        <f aca="false">N151</f>
        <v>0</v>
      </c>
    </row>
    <row r="874" customFormat="false" ht="15" hidden="false" customHeight="false" outlineLevel="0" collapsed="false">
      <c r="E874" s="0" t="n">
        <v>149</v>
      </c>
      <c r="F874" s="0" t="str">
        <f aca="false">IF(F153="","",F152)</f>
        <v/>
      </c>
      <c r="G874" s="0" t="n">
        <v>149</v>
      </c>
      <c r="H874" s="0" t="n">
        <f aca="false">H152</f>
        <v>0</v>
      </c>
      <c r="K874" s="0" t="n">
        <v>149</v>
      </c>
      <c r="L874" s="0" t="str">
        <f aca="false">IF(L153="","",L152)</f>
        <v/>
      </c>
      <c r="M874" s="0" t="n">
        <v>149</v>
      </c>
      <c r="N874" s="0" t="n">
        <f aca="false">N152</f>
        <v>0</v>
      </c>
    </row>
    <row r="875" customFormat="false" ht="15" hidden="false" customHeight="false" outlineLevel="0" collapsed="false">
      <c r="E875" s="0" t="n">
        <v>150</v>
      </c>
      <c r="F875" s="0" t="str">
        <f aca="false">IF(F154="","",F153)</f>
        <v/>
      </c>
      <c r="G875" s="0" t="n">
        <v>150</v>
      </c>
      <c r="H875" s="0" t="n">
        <f aca="false">H153</f>
        <v>0</v>
      </c>
      <c r="K875" s="0" t="n">
        <v>150</v>
      </c>
      <c r="L875" s="0" t="str">
        <f aca="false">IF(L154="","",L153)</f>
        <v/>
      </c>
      <c r="M875" s="0" t="n">
        <v>150</v>
      </c>
      <c r="N875" s="0" t="n">
        <f aca="false">N153</f>
        <v>0</v>
      </c>
    </row>
    <row r="876" customFormat="false" ht="15" hidden="false" customHeight="false" outlineLevel="0" collapsed="false">
      <c r="E876" s="0" t="n">
        <v>151</v>
      </c>
      <c r="F876" s="0" t="str">
        <f aca="false">IF(F155="","",F154)</f>
        <v/>
      </c>
      <c r="G876" s="0" t="n">
        <v>151</v>
      </c>
      <c r="H876" s="0" t="n">
        <f aca="false">H154</f>
        <v>0</v>
      </c>
      <c r="K876" s="0" t="n">
        <v>151</v>
      </c>
      <c r="L876" s="0" t="str">
        <f aca="false">IF(L155="","",L154)</f>
        <v/>
      </c>
      <c r="M876" s="0" t="n">
        <v>151</v>
      </c>
      <c r="N876" s="0" t="n">
        <f aca="false">N154</f>
        <v>0</v>
      </c>
    </row>
    <row r="877" customFormat="false" ht="15" hidden="false" customHeight="false" outlineLevel="0" collapsed="false">
      <c r="E877" s="0" t="n">
        <v>152</v>
      </c>
      <c r="F877" s="0" t="str">
        <f aca="false">IF(F156="","",F155)</f>
        <v/>
      </c>
      <c r="G877" s="0" t="n">
        <v>152</v>
      </c>
      <c r="H877" s="0" t="n">
        <f aca="false">H155</f>
        <v>0</v>
      </c>
      <c r="K877" s="0" t="n">
        <v>152</v>
      </c>
      <c r="L877" s="0" t="str">
        <f aca="false">IF(L156="","",L155)</f>
        <v/>
      </c>
      <c r="M877" s="0" t="n">
        <v>152</v>
      </c>
      <c r="N877" s="0" t="n">
        <f aca="false">N155</f>
        <v>0</v>
      </c>
    </row>
    <row r="878" customFormat="false" ht="15" hidden="false" customHeight="false" outlineLevel="0" collapsed="false">
      <c r="E878" s="0" t="n">
        <v>153</v>
      </c>
      <c r="F878" s="0" t="str">
        <f aca="false">IF(F157="","",F156)</f>
        <v/>
      </c>
      <c r="G878" s="0" t="n">
        <v>153</v>
      </c>
      <c r="H878" s="0" t="n">
        <f aca="false">H156</f>
        <v>0</v>
      </c>
      <c r="K878" s="0" t="n">
        <v>153</v>
      </c>
      <c r="L878" s="0" t="str">
        <f aca="false">IF(L157="","",L156)</f>
        <v/>
      </c>
      <c r="M878" s="0" t="n">
        <v>153</v>
      </c>
      <c r="N878" s="0" t="n">
        <f aca="false">N156</f>
        <v>0</v>
      </c>
    </row>
    <row r="879" customFormat="false" ht="15" hidden="false" customHeight="false" outlineLevel="0" collapsed="false">
      <c r="E879" s="0" t="n">
        <v>154</v>
      </c>
      <c r="F879" s="0" t="str">
        <f aca="false">IF(F158="","",F157)</f>
        <v/>
      </c>
      <c r="G879" s="0" t="n">
        <v>154</v>
      </c>
      <c r="H879" s="0" t="n">
        <f aca="false">H157</f>
        <v>0</v>
      </c>
      <c r="K879" s="0" t="n">
        <v>154</v>
      </c>
      <c r="L879" s="0" t="str">
        <f aca="false">IF(L158="","",L157)</f>
        <v/>
      </c>
      <c r="M879" s="0" t="n">
        <v>154</v>
      </c>
      <c r="N879" s="0" t="n">
        <f aca="false">N157</f>
        <v>0</v>
      </c>
    </row>
    <row r="880" customFormat="false" ht="15" hidden="false" customHeight="false" outlineLevel="0" collapsed="false">
      <c r="E880" s="0" t="n">
        <v>155</v>
      </c>
      <c r="F880" s="0" t="str">
        <f aca="false">IF(F159="","",F158)</f>
        <v/>
      </c>
      <c r="G880" s="0" t="n">
        <v>155</v>
      </c>
      <c r="H880" s="0" t="n">
        <f aca="false">H158</f>
        <v>0</v>
      </c>
      <c r="K880" s="0" t="n">
        <v>155</v>
      </c>
      <c r="L880" s="0" t="str">
        <f aca="false">IF(L159="","",L158)</f>
        <v/>
      </c>
      <c r="M880" s="0" t="n">
        <v>155</v>
      </c>
      <c r="N880" s="0" t="n">
        <f aca="false">N158</f>
        <v>0</v>
      </c>
    </row>
    <row r="881" customFormat="false" ht="15" hidden="false" customHeight="false" outlineLevel="0" collapsed="false">
      <c r="E881" s="0" t="n">
        <v>156</v>
      </c>
      <c r="F881" s="0" t="str">
        <f aca="false">IF(F160="","",F159)</f>
        <v/>
      </c>
      <c r="G881" s="0" t="n">
        <v>156</v>
      </c>
      <c r="H881" s="0" t="n">
        <f aca="false">H159</f>
        <v>0</v>
      </c>
      <c r="K881" s="0" t="n">
        <v>156</v>
      </c>
      <c r="L881" s="0" t="str">
        <f aca="false">IF(L160="","",L159)</f>
        <v/>
      </c>
      <c r="M881" s="0" t="n">
        <v>156</v>
      </c>
      <c r="N881" s="0" t="n">
        <f aca="false">N159</f>
        <v>0</v>
      </c>
    </row>
    <row r="882" customFormat="false" ht="15" hidden="false" customHeight="false" outlineLevel="0" collapsed="false">
      <c r="E882" s="0" t="n">
        <v>157</v>
      </c>
      <c r="F882" s="0" t="str">
        <f aca="false">IF(F161="","",F160)</f>
        <v/>
      </c>
      <c r="G882" s="0" t="n">
        <v>157</v>
      </c>
      <c r="H882" s="0" t="n">
        <f aca="false">H160</f>
        <v>0</v>
      </c>
      <c r="K882" s="0" t="n">
        <v>157</v>
      </c>
      <c r="L882" s="0" t="str">
        <f aca="false">IF(L161="","",L160)</f>
        <v/>
      </c>
      <c r="M882" s="0" t="n">
        <v>157</v>
      </c>
      <c r="N882" s="0" t="n">
        <f aca="false">N160</f>
        <v>0</v>
      </c>
    </row>
    <row r="883" customFormat="false" ht="15" hidden="false" customHeight="false" outlineLevel="0" collapsed="false">
      <c r="E883" s="0" t="n">
        <v>158</v>
      </c>
      <c r="F883" s="0" t="str">
        <f aca="false">IF(F162="","",F161)</f>
        <v/>
      </c>
      <c r="G883" s="0" t="n">
        <v>158</v>
      </c>
      <c r="H883" s="0" t="n">
        <f aca="false">H161</f>
        <v>0</v>
      </c>
      <c r="K883" s="0" t="n">
        <v>158</v>
      </c>
      <c r="L883" s="0" t="str">
        <f aca="false">IF(L162="","",L161)</f>
        <v/>
      </c>
      <c r="M883" s="0" t="n">
        <v>158</v>
      </c>
      <c r="N883" s="0" t="n">
        <f aca="false">N161</f>
        <v>0</v>
      </c>
    </row>
    <row r="884" customFormat="false" ht="15" hidden="false" customHeight="false" outlineLevel="0" collapsed="false">
      <c r="E884" s="0" t="n">
        <v>159</v>
      </c>
      <c r="F884" s="0" t="str">
        <f aca="false">IF(F163="","",F162)</f>
        <v/>
      </c>
      <c r="G884" s="0" t="n">
        <v>159</v>
      </c>
      <c r="H884" s="0" t="n">
        <f aca="false">H162</f>
        <v>0</v>
      </c>
      <c r="K884" s="0" t="n">
        <v>159</v>
      </c>
      <c r="L884" s="0" t="str">
        <f aca="false">IF(L163="","",L162)</f>
        <v/>
      </c>
      <c r="M884" s="0" t="n">
        <v>159</v>
      </c>
      <c r="N884" s="0" t="n">
        <f aca="false">N162</f>
        <v>0</v>
      </c>
    </row>
    <row r="885" customFormat="false" ht="15" hidden="false" customHeight="false" outlineLevel="0" collapsed="false">
      <c r="E885" s="0" t="n">
        <v>160</v>
      </c>
      <c r="F885" s="0" t="str">
        <f aca="false">IF(F164="","",F163)</f>
        <v/>
      </c>
      <c r="G885" s="0" t="n">
        <v>160</v>
      </c>
      <c r="H885" s="0" t="n">
        <f aca="false">H163</f>
        <v>0</v>
      </c>
      <c r="K885" s="0" t="n">
        <v>160</v>
      </c>
      <c r="L885" s="0" t="str">
        <f aca="false">IF(L164="","",L163)</f>
        <v/>
      </c>
      <c r="M885" s="0" t="n">
        <v>160</v>
      </c>
      <c r="N885" s="0" t="n">
        <f aca="false">N163</f>
        <v>0</v>
      </c>
    </row>
    <row r="886" customFormat="false" ht="15" hidden="false" customHeight="false" outlineLevel="0" collapsed="false">
      <c r="E886" s="0" t="n">
        <v>161</v>
      </c>
      <c r="F886" s="0" t="str">
        <f aca="false">IF(F165="","",F164)</f>
        <v/>
      </c>
      <c r="G886" s="0" t="n">
        <v>161</v>
      </c>
      <c r="H886" s="0" t="n">
        <f aca="false">H164</f>
        <v>0</v>
      </c>
      <c r="K886" s="0" t="n">
        <v>161</v>
      </c>
      <c r="L886" s="0" t="str">
        <f aca="false">IF(L165="","",L164)</f>
        <v/>
      </c>
      <c r="M886" s="0" t="n">
        <v>161</v>
      </c>
      <c r="N886" s="0" t="n">
        <f aca="false">N164</f>
        <v>0</v>
      </c>
    </row>
    <row r="887" customFormat="false" ht="15" hidden="false" customHeight="false" outlineLevel="0" collapsed="false">
      <c r="E887" s="0" t="n">
        <v>162</v>
      </c>
      <c r="F887" s="0" t="str">
        <f aca="false">IF(F166="","",F165)</f>
        <v/>
      </c>
      <c r="G887" s="0" t="n">
        <v>162</v>
      </c>
      <c r="H887" s="0" t="n">
        <f aca="false">H165</f>
        <v>0</v>
      </c>
      <c r="K887" s="0" t="n">
        <v>162</v>
      </c>
      <c r="L887" s="0" t="str">
        <f aca="false">IF(L166="","",L165)</f>
        <v/>
      </c>
      <c r="M887" s="0" t="n">
        <v>162</v>
      </c>
      <c r="N887" s="0" t="n">
        <f aca="false">N165</f>
        <v>0</v>
      </c>
    </row>
    <row r="888" customFormat="false" ht="15" hidden="false" customHeight="false" outlineLevel="0" collapsed="false">
      <c r="E888" s="0" t="n">
        <v>163</v>
      </c>
      <c r="F888" s="0" t="str">
        <f aca="false">IF(F167="","",F166)</f>
        <v/>
      </c>
      <c r="G888" s="0" t="n">
        <v>163</v>
      </c>
      <c r="H888" s="0" t="n">
        <f aca="false">H166</f>
        <v>0</v>
      </c>
      <c r="K888" s="0" t="n">
        <v>163</v>
      </c>
      <c r="L888" s="0" t="str">
        <f aca="false">IF(L167="","",L166)</f>
        <v/>
      </c>
      <c r="M888" s="0" t="n">
        <v>163</v>
      </c>
      <c r="N888" s="0" t="n">
        <f aca="false">N166</f>
        <v>0</v>
      </c>
    </row>
    <row r="889" customFormat="false" ht="15" hidden="false" customHeight="false" outlineLevel="0" collapsed="false">
      <c r="E889" s="0" t="n">
        <v>164</v>
      </c>
      <c r="F889" s="0" t="str">
        <f aca="false">IF(F168="","",F167)</f>
        <v/>
      </c>
      <c r="G889" s="0" t="n">
        <v>164</v>
      </c>
      <c r="H889" s="0" t="n">
        <f aca="false">H167</f>
        <v>0</v>
      </c>
      <c r="K889" s="0" t="n">
        <v>164</v>
      </c>
      <c r="L889" s="0" t="str">
        <f aca="false">IF(L168="","",L167)</f>
        <v/>
      </c>
      <c r="M889" s="0" t="n">
        <v>164</v>
      </c>
      <c r="N889" s="0" t="n">
        <f aca="false">N167</f>
        <v>0</v>
      </c>
    </row>
    <row r="890" customFormat="false" ht="15" hidden="false" customHeight="false" outlineLevel="0" collapsed="false">
      <c r="E890" s="0" t="n">
        <v>165</v>
      </c>
      <c r="F890" s="0" t="str">
        <f aca="false">IF(F169="","",F168)</f>
        <v/>
      </c>
      <c r="G890" s="0" t="n">
        <v>165</v>
      </c>
      <c r="H890" s="0" t="n">
        <f aca="false">H168</f>
        <v>0</v>
      </c>
      <c r="K890" s="0" t="n">
        <v>165</v>
      </c>
      <c r="L890" s="0" t="str">
        <f aca="false">IF(L169="","",L168)</f>
        <v/>
      </c>
      <c r="M890" s="0" t="n">
        <v>165</v>
      </c>
      <c r="N890" s="0" t="n">
        <f aca="false">N168</f>
        <v>0</v>
      </c>
    </row>
    <row r="891" customFormat="false" ht="15" hidden="false" customHeight="false" outlineLevel="0" collapsed="false">
      <c r="E891" s="0" t="n">
        <v>166</v>
      </c>
      <c r="F891" s="0" t="str">
        <f aca="false">IF(F170="","",F169)</f>
        <v/>
      </c>
      <c r="G891" s="0" t="n">
        <v>166</v>
      </c>
      <c r="H891" s="0" t="n">
        <f aca="false">H169</f>
        <v>0</v>
      </c>
      <c r="K891" s="0" t="n">
        <v>166</v>
      </c>
      <c r="L891" s="0" t="str">
        <f aca="false">IF(L170="","",L169)</f>
        <v/>
      </c>
      <c r="M891" s="0" t="n">
        <v>166</v>
      </c>
      <c r="N891" s="0" t="n">
        <f aca="false">N169</f>
        <v>0</v>
      </c>
    </row>
    <row r="892" customFormat="false" ht="15" hidden="false" customHeight="false" outlineLevel="0" collapsed="false">
      <c r="E892" s="0" t="n">
        <v>167</v>
      </c>
      <c r="F892" s="0" t="str">
        <f aca="false">IF(F171="","",F170)</f>
        <v/>
      </c>
      <c r="G892" s="0" t="n">
        <v>167</v>
      </c>
      <c r="H892" s="0" t="n">
        <f aca="false">H170</f>
        <v>0</v>
      </c>
      <c r="K892" s="0" t="n">
        <v>167</v>
      </c>
      <c r="L892" s="0" t="str">
        <f aca="false">IF(L171="","",L170)</f>
        <v/>
      </c>
      <c r="M892" s="0" t="n">
        <v>167</v>
      </c>
      <c r="N892" s="0" t="n">
        <f aca="false">N170</f>
        <v>0</v>
      </c>
    </row>
    <row r="893" customFormat="false" ht="15" hidden="false" customHeight="false" outlineLevel="0" collapsed="false">
      <c r="E893" s="0" t="n">
        <v>168</v>
      </c>
      <c r="F893" s="0" t="str">
        <f aca="false">IF(F172="","",F171)</f>
        <v/>
      </c>
      <c r="G893" s="0" t="n">
        <v>168</v>
      </c>
      <c r="H893" s="0" t="n">
        <f aca="false">H171</f>
        <v>0</v>
      </c>
      <c r="K893" s="0" t="n">
        <v>168</v>
      </c>
      <c r="L893" s="0" t="str">
        <f aca="false">IF(L172="","",L171)</f>
        <v/>
      </c>
      <c r="M893" s="0" t="n">
        <v>168</v>
      </c>
      <c r="N893" s="0" t="n">
        <f aca="false">N171</f>
        <v>0</v>
      </c>
    </row>
    <row r="894" customFormat="false" ht="15" hidden="false" customHeight="false" outlineLevel="0" collapsed="false">
      <c r="E894" s="0" t="n">
        <v>169</v>
      </c>
      <c r="F894" s="0" t="str">
        <f aca="false">IF(F173="","",F172)</f>
        <v/>
      </c>
      <c r="G894" s="0" t="n">
        <v>169</v>
      </c>
      <c r="H894" s="0" t="n">
        <f aca="false">H172</f>
        <v>0</v>
      </c>
      <c r="K894" s="0" t="n">
        <v>169</v>
      </c>
      <c r="L894" s="0" t="str">
        <f aca="false">IF(L173="","",L172)</f>
        <v/>
      </c>
      <c r="M894" s="0" t="n">
        <v>169</v>
      </c>
      <c r="N894" s="0" t="n">
        <f aca="false">N172</f>
        <v>0</v>
      </c>
    </row>
    <row r="895" customFormat="false" ht="15" hidden="false" customHeight="false" outlineLevel="0" collapsed="false">
      <c r="E895" s="0" t="n">
        <v>170</v>
      </c>
      <c r="F895" s="0" t="str">
        <f aca="false">IF(F174="","",F173)</f>
        <v/>
      </c>
      <c r="G895" s="0" t="n">
        <v>170</v>
      </c>
      <c r="H895" s="0" t="n">
        <f aca="false">H173</f>
        <v>0</v>
      </c>
      <c r="K895" s="0" t="n">
        <v>170</v>
      </c>
      <c r="L895" s="0" t="str">
        <f aca="false">IF(L174="","",L173)</f>
        <v/>
      </c>
      <c r="M895" s="0" t="n">
        <v>170</v>
      </c>
      <c r="N895" s="0" t="n">
        <f aca="false">N173</f>
        <v>0</v>
      </c>
    </row>
    <row r="896" customFormat="false" ht="15" hidden="false" customHeight="false" outlineLevel="0" collapsed="false">
      <c r="E896" s="0" t="n">
        <v>171</v>
      </c>
      <c r="F896" s="0" t="str">
        <f aca="false">IF(F175="","",F174)</f>
        <v/>
      </c>
      <c r="G896" s="0" t="n">
        <v>171</v>
      </c>
      <c r="H896" s="0" t="n">
        <f aca="false">H174</f>
        <v>0</v>
      </c>
      <c r="K896" s="0" t="n">
        <v>171</v>
      </c>
      <c r="L896" s="0" t="str">
        <f aca="false">IF(L175="","",L174)</f>
        <v/>
      </c>
      <c r="M896" s="0" t="n">
        <v>171</v>
      </c>
      <c r="N896" s="0" t="n">
        <f aca="false">N174</f>
        <v>0</v>
      </c>
    </row>
    <row r="897" customFormat="false" ht="15" hidden="false" customHeight="false" outlineLevel="0" collapsed="false">
      <c r="E897" s="0" t="n">
        <v>172</v>
      </c>
      <c r="F897" s="0" t="str">
        <f aca="false">IF(F176="","",F175)</f>
        <v/>
      </c>
      <c r="G897" s="0" t="n">
        <v>172</v>
      </c>
      <c r="H897" s="0" t="n">
        <f aca="false">H175</f>
        <v>0</v>
      </c>
      <c r="K897" s="0" t="n">
        <v>172</v>
      </c>
      <c r="L897" s="0" t="str">
        <f aca="false">IF(L176="","",L175)</f>
        <v/>
      </c>
      <c r="M897" s="0" t="n">
        <v>172</v>
      </c>
      <c r="N897" s="0" t="n">
        <f aca="false">N175</f>
        <v>0</v>
      </c>
    </row>
    <row r="898" customFormat="false" ht="15" hidden="false" customHeight="false" outlineLevel="0" collapsed="false">
      <c r="E898" s="0" t="n">
        <v>173</v>
      </c>
      <c r="F898" s="0" t="str">
        <f aca="false">IF(F177="","",F176)</f>
        <v/>
      </c>
      <c r="G898" s="0" t="n">
        <v>173</v>
      </c>
      <c r="H898" s="0" t="n">
        <f aca="false">H176</f>
        <v>0</v>
      </c>
      <c r="K898" s="0" t="n">
        <v>173</v>
      </c>
      <c r="L898" s="0" t="str">
        <f aca="false">IF(L177="","",L176)</f>
        <v/>
      </c>
      <c r="M898" s="0" t="n">
        <v>173</v>
      </c>
      <c r="N898" s="0" t="n">
        <f aca="false">N176</f>
        <v>0</v>
      </c>
    </row>
    <row r="899" customFormat="false" ht="15" hidden="false" customHeight="false" outlineLevel="0" collapsed="false">
      <c r="E899" s="0" t="n">
        <v>174</v>
      </c>
      <c r="F899" s="0" t="str">
        <f aca="false">IF(F178="","",F177)</f>
        <v/>
      </c>
      <c r="G899" s="0" t="n">
        <v>174</v>
      </c>
      <c r="H899" s="0" t="n">
        <f aca="false">H177</f>
        <v>0</v>
      </c>
      <c r="K899" s="0" t="n">
        <v>174</v>
      </c>
      <c r="L899" s="0" t="str">
        <f aca="false">IF(L178="","",L177)</f>
        <v/>
      </c>
      <c r="M899" s="0" t="n">
        <v>174</v>
      </c>
      <c r="N899" s="0" t="n">
        <f aca="false">N177</f>
        <v>0</v>
      </c>
    </row>
    <row r="900" customFormat="false" ht="15" hidden="false" customHeight="false" outlineLevel="0" collapsed="false">
      <c r="E900" s="0" t="n">
        <v>175</v>
      </c>
      <c r="F900" s="0" t="str">
        <f aca="false">IF(F179="","",F178)</f>
        <v/>
      </c>
      <c r="G900" s="0" t="n">
        <v>175</v>
      </c>
      <c r="H900" s="0" t="n">
        <f aca="false">H178</f>
        <v>0</v>
      </c>
      <c r="K900" s="0" t="n">
        <v>175</v>
      </c>
      <c r="L900" s="0" t="str">
        <f aca="false">IF(L179="","",L178)</f>
        <v/>
      </c>
      <c r="M900" s="0" t="n">
        <v>175</v>
      </c>
      <c r="N900" s="0" t="n">
        <f aca="false">N178</f>
        <v>0</v>
      </c>
    </row>
    <row r="901" customFormat="false" ht="15" hidden="false" customHeight="false" outlineLevel="0" collapsed="false">
      <c r="E901" s="0" t="n">
        <v>176</v>
      </c>
      <c r="F901" s="0" t="str">
        <f aca="false">IF(F180="","",F179)</f>
        <v/>
      </c>
      <c r="G901" s="0" t="n">
        <v>176</v>
      </c>
      <c r="H901" s="0" t="n">
        <f aca="false">H179</f>
        <v>0</v>
      </c>
      <c r="K901" s="0" t="n">
        <v>176</v>
      </c>
      <c r="L901" s="0" t="str">
        <f aca="false">IF(L180="","",L179)</f>
        <v/>
      </c>
      <c r="M901" s="0" t="n">
        <v>176</v>
      </c>
      <c r="N901" s="0" t="n">
        <f aca="false">N179</f>
        <v>0</v>
      </c>
    </row>
    <row r="902" customFormat="false" ht="15" hidden="false" customHeight="false" outlineLevel="0" collapsed="false">
      <c r="E902" s="0" t="n">
        <v>177</v>
      </c>
      <c r="F902" s="0" t="str">
        <f aca="false">IF(F181="","",F180)</f>
        <v/>
      </c>
      <c r="G902" s="0" t="n">
        <v>177</v>
      </c>
      <c r="H902" s="0" t="n">
        <f aca="false">H180</f>
        <v>0</v>
      </c>
      <c r="K902" s="0" t="n">
        <v>177</v>
      </c>
      <c r="L902" s="0" t="str">
        <f aca="false">IF(L181="","",L180)</f>
        <v/>
      </c>
      <c r="M902" s="0" t="n">
        <v>177</v>
      </c>
      <c r="N902" s="0" t="n">
        <f aca="false">N180</f>
        <v>0</v>
      </c>
    </row>
    <row r="903" customFormat="false" ht="15" hidden="false" customHeight="false" outlineLevel="0" collapsed="false">
      <c r="E903" s="0" t="n">
        <v>178</v>
      </c>
      <c r="F903" s="0" t="str">
        <f aca="false">IF(F182="","",F181)</f>
        <v/>
      </c>
      <c r="G903" s="0" t="n">
        <v>178</v>
      </c>
      <c r="H903" s="0" t="n">
        <f aca="false">H181</f>
        <v>0</v>
      </c>
      <c r="K903" s="0" t="n">
        <v>178</v>
      </c>
      <c r="L903" s="0" t="str">
        <f aca="false">IF(L182="","",L181)</f>
        <v/>
      </c>
      <c r="M903" s="0" t="n">
        <v>178</v>
      </c>
      <c r="N903" s="0" t="n">
        <f aca="false">N181</f>
        <v>0</v>
      </c>
    </row>
    <row r="904" customFormat="false" ht="15" hidden="false" customHeight="false" outlineLevel="0" collapsed="false">
      <c r="E904" s="0" t="n">
        <v>179</v>
      </c>
      <c r="F904" s="0" t="str">
        <f aca="false">IF(F183="","",F182)</f>
        <v/>
      </c>
      <c r="G904" s="0" t="n">
        <v>179</v>
      </c>
      <c r="H904" s="0" t="n">
        <f aca="false">H182</f>
        <v>0</v>
      </c>
      <c r="K904" s="0" t="n">
        <v>179</v>
      </c>
      <c r="L904" s="0" t="str">
        <f aca="false">IF(L183="","",L182)</f>
        <v/>
      </c>
      <c r="M904" s="0" t="n">
        <v>179</v>
      </c>
      <c r="N904" s="0" t="n">
        <f aca="false">N182</f>
        <v>0</v>
      </c>
    </row>
    <row r="905" customFormat="false" ht="15" hidden="false" customHeight="false" outlineLevel="0" collapsed="false">
      <c r="E905" s="0" t="n">
        <v>180</v>
      </c>
      <c r="F905" s="0" t="str">
        <f aca="false">IF(F184="","",F183)</f>
        <v/>
      </c>
      <c r="G905" s="0" t="n">
        <v>180</v>
      </c>
      <c r="H905" s="0" t="n">
        <f aca="false">H183</f>
        <v>0</v>
      </c>
      <c r="K905" s="0" t="n">
        <v>180</v>
      </c>
      <c r="L905" s="0" t="str">
        <f aca="false">IF(L184="","",L183)</f>
        <v/>
      </c>
      <c r="M905" s="0" t="n">
        <v>180</v>
      </c>
      <c r="N905" s="0" t="n">
        <f aca="false">N183</f>
        <v>0</v>
      </c>
    </row>
    <row r="906" customFormat="false" ht="15" hidden="false" customHeight="false" outlineLevel="0" collapsed="false">
      <c r="E906" s="0" t="n">
        <v>181</v>
      </c>
      <c r="F906" s="0" t="str">
        <f aca="false">IF(F185="","",F184)</f>
        <v/>
      </c>
      <c r="G906" s="0" t="n">
        <v>181</v>
      </c>
      <c r="H906" s="0" t="n">
        <f aca="false">H184</f>
        <v>0</v>
      </c>
      <c r="K906" s="0" t="n">
        <v>181</v>
      </c>
      <c r="L906" s="0" t="str">
        <f aca="false">IF(L185="","",L184)</f>
        <v/>
      </c>
      <c r="M906" s="0" t="n">
        <v>181</v>
      </c>
      <c r="N906" s="0" t="n">
        <f aca="false">N184</f>
        <v>0</v>
      </c>
    </row>
    <row r="907" customFormat="false" ht="15" hidden="false" customHeight="false" outlineLevel="0" collapsed="false">
      <c r="E907" s="0" t="n">
        <v>182</v>
      </c>
      <c r="F907" s="0" t="str">
        <f aca="false">IF(F186="","",F185)</f>
        <v/>
      </c>
      <c r="G907" s="0" t="n">
        <v>182</v>
      </c>
      <c r="H907" s="0" t="n">
        <f aca="false">H185</f>
        <v>0</v>
      </c>
      <c r="K907" s="0" t="n">
        <v>182</v>
      </c>
      <c r="L907" s="0" t="str">
        <f aca="false">IF(L186="","",L185)</f>
        <v/>
      </c>
      <c r="M907" s="0" t="n">
        <v>182</v>
      </c>
      <c r="N907" s="0" t="n">
        <f aca="false">N185</f>
        <v>0</v>
      </c>
    </row>
    <row r="908" customFormat="false" ht="15" hidden="false" customHeight="false" outlineLevel="0" collapsed="false">
      <c r="E908" s="0" t="n">
        <v>183</v>
      </c>
      <c r="F908" s="0" t="str">
        <f aca="false">IF(F187="","",F186)</f>
        <v/>
      </c>
      <c r="G908" s="0" t="n">
        <v>183</v>
      </c>
      <c r="H908" s="0" t="n">
        <f aca="false">H186</f>
        <v>0</v>
      </c>
      <c r="K908" s="0" t="n">
        <v>183</v>
      </c>
      <c r="L908" s="0" t="str">
        <f aca="false">IF(L187="","",L186)</f>
        <v/>
      </c>
      <c r="M908" s="0" t="n">
        <v>183</v>
      </c>
      <c r="N908" s="0" t="n">
        <f aca="false">N186</f>
        <v>0</v>
      </c>
    </row>
    <row r="909" customFormat="false" ht="15" hidden="false" customHeight="false" outlineLevel="0" collapsed="false">
      <c r="E909" s="0" t="n">
        <v>184</v>
      </c>
      <c r="F909" s="0" t="str">
        <f aca="false">IF(F188="","",F187)</f>
        <v/>
      </c>
      <c r="G909" s="0" t="n">
        <v>184</v>
      </c>
      <c r="H909" s="0" t="n">
        <f aca="false">H187</f>
        <v>0</v>
      </c>
      <c r="K909" s="0" t="n">
        <v>184</v>
      </c>
      <c r="L909" s="0" t="str">
        <f aca="false">IF(L188="","",L187)</f>
        <v/>
      </c>
      <c r="M909" s="0" t="n">
        <v>184</v>
      </c>
      <c r="N909" s="0" t="n">
        <f aca="false">N187</f>
        <v>0</v>
      </c>
    </row>
    <row r="910" customFormat="false" ht="15" hidden="false" customHeight="false" outlineLevel="0" collapsed="false">
      <c r="E910" s="0" t="n">
        <v>185</v>
      </c>
      <c r="F910" s="0" t="str">
        <f aca="false">IF(F189="","",F188)</f>
        <v/>
      </c>
      <c r="G910" s="0" t="n">
        <v>185</v>
      </c>
      <c r="H910" s="0" t="n">
        <f aca="false">H188</f>
        <v>0</v>
      </c>
      <c r="K910" s="0" t="n">
        <v>185</v>
      </c>
      <c r="L910" s="0" t="str">
        <f aca="false">IF(L189="","",L188)</f>
        <v/>
      </c>
      <c r="M910" s="0" t="n">
        <v>185</v>
      </c>
      <c r="N910" s="0" t="n">
        <f aca="false">N188</f>
        <v>0</v>
      </c>
    </row>
    <row r="911" customFormat="false" ht="15" hidden="false" customHeight="false" outlineLevel="0" collapsed="false">
      <c r="E911" s="0" t="n">
        <v>186</v>
      </c>
      <c r="F911" s="0" t="str">
        <f aca="false">IF(F190="","",F189)</f>
        <v/>
      </c>
      <c r="G911" s="0" t="n">
        <v>186</v>
      </c>
      <c r="H911" s="0" t="n">
        <f aca="false">H189</f>
        <v>0</v>
      </c>
      <c r="K911" s="0" t="n">
        <v>186</v>
      </c>
      <c r="L911" s="0" t="str">
        <f aca="false">IF(L190="","",L189)</f>
        <v/>
      </c>
      <c r="M911" s="0" t="n">
        <v>186</v>
      </c>
      <c r="N911" s="0" t="n">
        <f aca="false">N189</f>
        <v>0</v>
      </c>
    </row>
    <row r="912" customFormat="false" ht="15" hidden="false" customHeight="false" outlineLevel="0" collapsed="false">
      <c r="E912" s="0" t="n">
        <v>187</v>
      </c>
      <c r="F912" s="0" t="str">
        <f aca="false">IF(F191="","",F190)</f>
        <v/>
      </c>
      <c r="G912" s="0" t="n">
        <v>187</v>
      </c>
      <c r="H912" s="0" t="n">
        <f aca="false">H190</f>
        <v>0</v>
      </c>
      <c r="K912" s="0" t="n">
        <v>187</v>
      </c>
      <c r="L912" s="0" t="str">
        <f aca="false">IF(L191="","",L190)</f>
        <v/>
      </c>
      <c r="M912" s="0" t="n">
        <v>187</v>
      </c>
      <c r="N912" s="0" t="n">
        <f aca="false">N190</f>
        <v>0</v>
      </c>
    </row>
    <row r="913" customFormat="false" ht="15" hidden="false" customHeight="false" outlineLevel="0" collapsed="false">
      <c r="E913" s="0" t="n">
        <v>188</v>
      </c>
      <c r="F913" s="0" t="str">
        <f aca="false">IF(F192="","",F191)</f>
        <v/>
      </c>
      <c r="G913" s="0" t="n">
        <v>188</v>
      </c>
      <c r="H913" s="0" t="n">
        <f aca="false">H191</f>
        <v>0</v>
      </c>
      <c r="K913" s="0" t="n">
        <v>188</v>
      </c>
      <c r="L913" s="0" t="str">
        <f aca="false">IF(L192="","",L191)</f>
        <v/>
      </c>
      <c r="M913" s="0" t="n">
        <v>188</v>
      </c>
      <c r="N913" s="0" t="n">
        <f aca="false">N191</f>
        <v>0</v>
      </c>
    </row>
    <row r="914" customFormat="false" ht="15" hidden="false" customHeight="false" outlineLevel="0" collapsed="false">
      <c r="E914" s="0" t="n">
        <v>189</v>
      </c>
      <c r="F914" s="0" t="str">
        <f aca="false">IF(F193="","",F192)</f>
        <v/>
      </c>
      <c r="G914" s="0" t="n">
        <v>189</v>
      </c>
      <c r="H914" s="0" t="n">
        <f aca="false">H192</f>
        <v>0</v>
      </c>
      <c r="K914" s="0" t="n">
        <v>189</v>
      </c>
      <c r="L914" s="0" t="str">
        <f aca="false">IF(L193="","",L192)</f>
        <v/>
      </c>
      <c r="M914" s="0" t="n">
        <v>189</v>
      </c>
      <c r="N914" s="0" t="n">
        <f aca="false">N192</f>
        <v>0</v>
      </c>
    </row>
    <row r="915" customFormat="false" ht="15" hidden="false" customHeight="false" outlineLevel="0" collapsed="false">
      <c r="E915" s="0" t="n">
        <v>190</v>
      </c>
      <c r="F915" s="0" t="str">
        <f aca="false">IF(F194="","",F193)</f>
        <v/>
      </c>
      <c r="G915" s="0" t="n">
        <v>190</v>
      </c>
      <c r="H915" s="0" t="n">
        <f aca="false">H193</f>
        <v>0</v>
      </c>
      <c r="K915" s="0" t="n">
        <v>190</v>
      </c>
      <c r="L915" s="0" t="str">
        <f aca="false">IF(L194="","",L193)</f>
        <v/>
      </c>
      <c r="M915" s="0" t="n">
        <v>190</v>
      </c>
      <c r="N915" s="0" t="n">
        <f aca="false">N193</f>
        <v>0</v>
      </c>
    </row>
    <row r="916" customFormat="false" ht="15" hidden="false" customHeight="false" outlineLevel="0" collapsed="false">
      <c r="E916" s="0" t="n">
        <v>191</v>
      </c>
      <c r="F916" s="0" t="str">
        <f aca="false">IF(F195="","",F194)</f>
        <v/>
      </c>
      <c r="G916" s="0" t="n">
        <v>191</v>
      </c>
      <c r="H916" s="0" t="n">
        <f aca="false">H194</f>
        <v>0</v>
      </c>
      <c r="K916" s="0" t="n">
        <v>191</v>
      </c>
      <c r="L916" s="0" t="str">
        <f aca="false">IF(L195="","",L194)</f>
        <v/>
      </c>
      <c r="M916" s="0" t="n">
        <v>191</v>
      </c>
      <c r="N916" s="0" t="n">
        <f aca="false">N194</f>
        <v>0</v>
      </c>
    </row>
    <row r="917" customFormat="false" ht="15" hidden="false" customHeight="false" outlineLevel="0" collapsed="false">
      <c r="E917" s="0" t="n">
        <v>192</v>
      </c>
      <c r="F917" s="0" t="str">
        <f aca="false">IF(F196="","",F195)</f>
        <v/>
      </c>
      <c r="G917" s="0" t="n">
        <v>192</v>
      </c>
      <c r="H917" s="0" t="n">
        <f aca="false">H195</f>
        <v>0</v>
      </c>
      <c r="K917" s="0" t="n">
        <v>192</v>
      </c>
      <c r="L917" s="0" t="str">
        <f aca="false">IF(L196="","",L195)</f>
        <v/>
      </c>
      <c r="M917" s="0" t="n">
        <v>192</v>
      </c>
      <c r="N917" s="0" t="n">
        <f aca="false">N195</f>
        <v>0</v>
      </c>
    </row>
    <row r="918" customFormat="false" ht="15" hidden="false" customHeight="false" outlineLevel="0" collapsed="false">
      <c r="E918" s="0" t="n">
        <v>193</v>
      </c>
      <c r="F918" s="0" t="str">
        <f aca="false">IF(F197="","",F196)</f>
        <v/>
      </c>
      <c r="G918" s="0" t="n">
        <v>193</v>
      </c>
      <c r="H918" s="0" t="n">
        <f aca="false">H196</f>
        <v>0</v>
      </c>
      <c r="K918" s="0" t="n">
        <v>193</v>
      </c>
      <c r="L918" s="0" t="str">
        <f aca="false">IF(L197="","",L196)</f>
        <v/>
      </c>
      <c r="M918" s="0" t="n">
        <v>193</v>
      </c>
      <c r="N918" s="0" t="n">
        <f aca="false">N196</f>
        <v>0</v>
      </c>
    </row>
    <row r="919" customFormat="false" ht="15" hidden="false" customHeight="false" outlineLevel="0" collapsed="false">
      <c r="E919" s="0" t="n">
        <v>194</v>
      </c>
      <c r="F919" s="0" t="str">
        <f aca="false">IF(F198="","",F197)</f>
        <v/>
      </c>
      <c r="G919" s="0" t="n">
        <v>194</v>
      </c>
      <c r="H919" s="0" t="n">
        <f aca="false">H197</f>
        <v>0</v>
      </c>
      <c r="K919" s="0" t="n">
        <v>194</v>
      </c>
      <c r="L919" s="0" t="str">
        <f aca="false">IF(L198="","",L197)</f>
        <v/>
      </c>
      <c r="M919" s="0" t="n">
        <v>194</v>
      </c>
      <c r="N919" s="0" t="n">
        <f aca="false">N197</f>
        <v>0</v>
      </c>
    </row>
    <row r="920" customFormat="false" ht="15" hidden="false" customHeight="false" outlineLevel="0" collapsed="false">
      <c r="E920" s="0" t="n">
        <v>195</v>
      </c>
      <c r="F920" s="0" t="str">
        <f aca="false">IF(F199="","",F198)</f>
        <v/>
      </c>
      <c r="G920" s="0" t="n">
        <v>195</v>
      </c>
      <c r="H920" s="0" t="n">
        <f aca="false">H198</f>
        <v>0</v>
      </c>
      <c r="K920" s="0" t="n">
        <v>195</v>
      </c>
      <c r="L920" s="0" t="str">
        <f aca="false">IF(L199="","",L198)</f>
        <v/>
      </c>
      <c r="M920" s="0" t="n">
        <v>195</v>
      </c>
      <c r="N920" s="0" t="n">
        <f aca="false">N198</f>
        <v>0</v>
      </c>
    </row>
    <row r="921" customFormat="false" ht="15" hidden="false" customHeight="false" outlineLevel="0" collapsed="false">
      <c r="E921" s="0" t="n">
        <v>196</v>
      </c>
      <c r="F921" s="0" t="str">
        <f aca="false">IF(F200="","",F199)</f>
        <v/>
      </c>
      <c r="G921" s="0" t="n">
        <v>196</v>
      </c>
      <c r="H921" s="0" t="n">
        <f aca="false">H199</f>
        <v>0</v>
      </c>
      <c r="K921" s="0" t="n">
        <v>196</v>
      </c>
      <c r="L921" s="0" t="str">
        <f aca="false">IF(L200="","",L199)</f>
        <v/>
      </c>
      <c r="M921" s="0" t="n">
        <v>196</v>
      </c>
      <c r="N921" s="0" t="n">
        <f aca="false">N199</f>
        <v>0</v>
      </c>
    </row>
    <row r="922" customFormat="false" ht="15" hidden="false" customHeight="false" outlineLevel="0" collapsed="false">
      <c r="E922" s="0" t="n">
        <v>197</v>
      </c>
      <c r="F922" s="0" t="str">
        <f aca="false">IF(F201="","",F200)</f>
        <v/>
      </c>
      <c r="G922" s="0" t="n">
        <v>197</v>
      </c>
      <c r="H922" s="0" t="n">
        <f aca="false">H200</f>
        <v>0</v>
      </c>
      <c r="K922" s="0" t="n">
        <v>197</v>
      </c>
      <c r="L922" s="0" t="str">
        <f aca="false">IF(L201="","",L200)</f>
        <v/>
      </c>
      <c r="M922" s="0" t="n">
        <v>197</v>
      </c>
      <c r="N922" s="0" t="n">
        <f aca="false">N200</f>
        <v>0</v>
      </c>
    </row>
    <row r="923" customFormat="false" ht="15" hidden="false" customHeight="false" outlineLevel="0" collapsed="false">
      <c r="E923" s="0" t="n">
        <v>198</v>
      </c>
      <c r="F923" s="0" t="str">
        <f aca="false">IF(F202="","",F201)</f>
        <v/>
      </c>
      <c r="G923" s="0" t="n">
        <v>198</v>
      </c>
      <c r="H923" s="0" t="n">
        <f aca="false">H201</f>
        <v>0</v>
      </c>
      <c r="K923" s="0" t="n">
        <v>198</v>
      </c>
      <c r="L923" s="0" t="str">
        <f aca="false">IF(L202="","",L201)</f>
        <v/>
      </c>
      <c r="M923" s="0" t="n">
        <v>198</v>
      </c>
      <c r="N923" s="0" t="n">
        <f aca="false">N201</f>
        <v>0</v>
      </c>
    </row>
    <row r="924" customFormat="false" ht="15" hidden="false" customHeight="false" outlineLevel="0" collapsed="false">
      <c r="E924" s="0" t="n">
        <v>199</v>
      </c>
      <c r="F924" s="0" t="str">
        <f aca="false">IF(F203="","",F202)</f>
        <v/>
      </c>
      <c r="G924" s="0" t="n">
        <v>199</v>
      </c>
      <c r="H924" s="0" t="n">
        <f aca="false">H202</f>
        <v>0</v>
      </c>
      <c r="K924" s="0" t="n">
        <v>199</v>
      </c>
      <c r="L924" s="0" t="str">
        <f aca="false">IF(L203="","",L202)</f>
        <v/>
      </c>
      <c r="M924" s="0" t="n">
        <v>199</v>
      </c>
      <c r="N924" s="0" t="n">
        <f aca="false">N202</f>
        <v>0</v>
      </c>
    </row>
    <row r="925" customFormat="false" ht="15" hidden="false" customHeight="false" outlineLevel="0" collapsed="false">
      <c r="E925" s="0" t="n">
        <v>200</v>
      </c>
      <c r="F925" s="0" t="str">
        <f aca="false">IF(F204="","",F203)</f>
        <v/>
      </c>
      <c r="G925" s="0" t="n">
        <v>200</v>
      </c>
      <c r="H925" s="0" t="n">
        <f aca="false">H203</f>
        <v>0</v>
      </c>
      <c r="K925" s="0" t="n">
        <v>200</v>
      </c>
      <c r="L925" s="0" t="str">
        <f aca="false">IF(L204="","",L203)</f>
        <v/>
      </c>
      <c r="M925" s="0" t="n">
        <v>200</v>
      </c>
      <c r="N925" s="0" t="n">
        <f aca="false">N203</f>
        <v>0</v>
      </c>
    </row>
    <row r="926" customFormat="false" ht="15" hidden="false" customHeight="false" outlineLevel="0" collapsed="false">
      <c r="E926" s="0" t="n">
        <v>201</v>
      </c>
      <c r="F926" s="0" t="str">
        <f aca="false">IF(F205="","",F204)</f>
        <v/>
      </c>
      <c r="G926" s="0" t="n">
        <v>201</v>
      </c>
      <c r="H926" s="0" t="n">
        <f aca="false">H204</f>
        <v>0</v>
      </c>
      <c r="K926" s="0" t="n">
        <v>201</v>
      </c>
      <c r="L926" s="0" t="str">
        <f aca="false">IF(L205="","",L204)</f>
        <v/>
      </c>
      <c r="M926" s="0" t="n">
        <v>201</v>
      </c>
      <c r="N926" s="0" t="n">
        <f aca="false">N204</f>
        <v>0</v>
      </c>
    </row>
    <row r="927" customFormat="false" ht="15" hidden="false" customHeight="false" outlineLevel="0" collapsed="false">
      <c r="E927" s="0" t="n">
        <v>202</v>
      </c>
      <c r="F927" s="0" t="str">
        <f aca="false">IF(F206="","",F205)</f>
        <v/>
      </c>
      <c r="G927" s="0" t="n">
        <v>202</v>
      </c>
      <c r="H927" s="0" t="n">
        <f aca="false">H205</f>
        <v>0</v>
      </c>
      <c r="K927" s="0" t="n">
        <v>202</v>
      </c>
      <c r="L927" s="0" t="str">
        <f aca="false">IF(L206="","",L205)</f>
        <v/>
      </c>
      <c r="M927" s="0" t="n">
        <v>202</v>
      </c>
      <c r="N927" s="0" t="n">
        <f aca="false">N205</f>
        <v>0</v>
      </c>
    </row>
    <row r="928" customFormat="false" ht="15" hidden="false" customHeight="false" outlineLevel="0" collapsed="false">
      <c r="E928" s="0" t="n">
        <v>203</v>
      </c>
      <c r="F928" s="0" t="str">
        <f aca="false">IF(F207="","",F206)</f>
        <v/>
      </c>
      <c r="G928" s="0" t="n">
        <v>203</v>
      </c>
      <c r="H928" s="0" t="n">
        <f aca="false">H206</f>
        <v>0</v>
      </c>
      <c r="K928" s="0" t="n">
        <v>203</v>
      </c>
      <c r="L928" s="0" t="str">
        <f aca="false">IF(L207="","",L206)</f>
        <v/>
      </c>
      <c r="M928" s="0" t="n">
        <v>203</v>
      </c>
      <c r="N928" s="0" t="n">
        <f aca="false">N206</f>
        <v>0</v>
      </c>
    </row>
    <row r="929" customFormat="false" ht="15" hidden="false" customHeight="false" outlineLevel="0" collapsed="false">
      <c r="E929" s="0" t="n">
        <v>204</v>
      </c>
      <c r="F929" s="0" t="str">
        <f aca="false">IF(F208="","",F207)</f>
        <v/>
      </c>
      <c r="G929" s="0" t="n">
        <v>204</v>
      </c>
      <c r="H929" s="0" t="n">
        <f aca="false">H207</f>
        <v>0</v>
      </c>
      <c r="K929" s="0" t="n">
        <v>204</v>
      </c>
      <c r="L929" s="0" t="str">
        <f aca="false">IF(L208="","",L207)</f>
        <v/>
      </c>
      <c r="M929" s="0" t="n">
        <v>204</v>
      </c>
      <c r="N929" s="0" t="n">
        <f aca="false">N207</f>
        <v>0</v>
      </c>
    </row>
    <row r="930" customFormat="false" ht="15" hidden="false" customHeight="false" outlineLevel="0" collapsed="false">
      <c r="E930" s="0" t="n">
        <v>205</v>
      </c>
      <c r="F930" s="0" t="str">
        <f aca="false">IF(F209="","",F208)</f>
        <v/>
      </c>
      <c r="G930" s="0" t="n">
        <v>205</v>
      </c>
      <c r="H930" s="0" t="n">
        <f aca="false">H208</f>
        <v>0</v>
      </c>
      <c r="K930" s="0" t="n">
        <v>205</v>
      </c>
      <c r="L930" s="0" t="str">
        <f aca="false">IF(L209="","",L208)</f>
        <v/>
      </c>
      <c r="M930" s="0" t="n">
        <v>205</v>
      </c>
      <c r="N930" s="0" t="n">
        <f aca="false">N208</f>
        <v>0</v>
      </c>
    </row>
    <row r="931" customFormat="false" ht="15" hidden="false" customHeight="false" outlineLevel="0" collapsed="false">
      <c r="E931" s="0" t="n">
        <v>206</v>
      </c>
      <c r="F931" s="0" t="str">
        <f aca="false">IF(F210="","",F209)</f>
        <v/>
      </c>
      <c r="G931" s="0" t="n">
        <v>206</v>
      </c>
      <c r="H931" s="0" t="n">
        <f aca="false">H209</f>
        <v>0</v>
      </c>
      <c r="K931" s="0" t="n">
        <v>206</v>
      </c>
      <c r="L931" s="0" t="str">
        <f aca="false">IF(L210="","",L209)</f>
        <v/>
      </c>
      <c r="M931" s="0" t="n">
        <v>206</v>
      </c>
      <c r="N931" s="0" t="n">
        <f aca="false">N209</f>
        <v>0</v>
      </c>
    </row>
    <row r="932" customFormat="false" ht="15" hidden="false" customHeight="false" outlineLevel="0" collapsed="false">
      <c r="E932" s="0" t="n">
        <v>207</v>
      </c>
      <c r="F932" s="0" t="str">
        <f aca="false">IF(F211="","",F210)</f>
        <v/>
      </c>
      <c r="G932" s="0" t="n">
        <v>207</v>
      </c>
      <c r="H932" s="0" t="n">
        <f aca="false">H210</f>
        <v>0</v>
      </c>
      <c r="K932" s="0" t="n">
        <v>207</v>
      </c>
      <c r="L932" s="0" t="str">
        <f aca="false">IF(L211="","",L210)</f>
        <v/>
      </c>
      <c r="M932" s="0" t="n">
        <v>207</v>
      </c>
      <c r="N932" s="0" t="n">
        <f aca="false">N210</f>
        <v>0</v>
      </c>
    </row>
    <row r="933" customFormat="false" ht="15" hidden="false" customHeight="false" outlineLevel="0" collapsed="false">
      <c r="E933" s="0" t="n">
        <v>208</v>
      </c>
      <c r="F933" s="0" t="str">
        <f aca="false">IF(F212="","",F211)</f>
        <v/>
      </c>
      <c r="G933" s="0" t="n">
        <v>208</v>
      </c>
      <c r="H933" s="0" t="n">
        <f aca="false">H211</f>
        <v>0</v>
      </c>
      <c r="K933" s="0" t="n">
        <v>208</v>
      </c>
      <c r="L933" s="0" t="str">
        <f aca="false">IF(L212="","",L211)</f>
        <v/>
      </c>
      <c r="M933" s="0" t="n">
        <v>208</v>
      </c>
      <c r="N933" s="0" t="n">
        <f aca="false">N211</f>
        <v>0</v>
      </c>
    </row>
    <row r="934" customFormat="false" ht="15" hidden="false" customHeight="false" outlineLevel="0" collapsed="false">
      <c r="E934" s="0" t="n">
        <v>209</v>
      </c>
      <c r="F934" s="0" t="str">
        <f aca="false">IF(F213="","",F212)</f>
        <v/>
      </c>
      <c r="G934" s="0" t="n">
        <v>209</v>
      </c>
      <c r="H934" s="0" t="n">
        <f aca="false">H212</f>
        <v>0</v>
      </c>
      <c r="K934" s="0" t="n">
        <v>209</v>
      </c>
      <c r="L934" s="0" t="str">
        <f aca="false">IF(L213="","",L212)</f>
        <v/>
      </c>
      <c r="M934" s="0" t="n">
        <v>209</v>
      </c>
      <c r="N934" s="0" t="n">
        <f aca="false">N212</f>
        <v>0</v>
      </c>
    </row>
    <row r="935" customFormat="false" ht="15" hidden="false" customHeight="false" outlineLevel="0" collapsed="false">
      <c r="E935" s="0" t="n">
        <v>210</v>
      </c>
      <c r="F935" s="0" t="str">
        <f aca="false">IF(F214="","",F213)</f>
        <v/>
      </c>
      <c r="G935" s="0" t="n">
        <v>210</v>
      </c>
      <c r="H935" s="0" t="n">
        <f aca="false">H213</f>
        <v>0</v>
      </c>
      <c r="K935" s="0" t="n">
        <v>210</v>
      </c>
      <c r="L935" s="0" t="str">
        <f aca="false">IF(L214="","",L213)</f>
        <v/>
      </c>
      <c r="M935" s="0" t="n">
        <v>210</v>
      </c>
      <c r="N935" s="0" t="n">
        <f aca="false">N213</f>
        <v>0</v>
      </c>
    </row>
    <row r="936" customFormat="false" ht="15" hidden="false" customHeight="false" outlineLevel="0" collapsed="false">
      <c r="E936" s="0" t="n">
        <v>211</v>
      </c>
      <c r="F936" s="0" t="str">
        <f aca="false">IF(F215="","",F214)</f>
        <v/>
      </c>
      <c r="G936" s="0" t="n">
        <v>211</v>
      </c>
      <c r="H936" s="0" t="n">
        <f aca="false">H214</f>
        <v>0</v>
      </c>
      <c r="K936" s="0" t="n">
        <v>211</v>
      </c>
      <c r="L936" s="0" t="str">
        <f aca="false">IF(L215="","",L214)</f>
        <v/>
      </c>
      <c r="M936" s="0" t="n">
        <v>211</v>
      </c>
      <c r="N936" s="0" t="n">
        <f aca="false">N214</f>
        <v>0</v>
      </c>
    </row>
    <row r="937" customFormat="false" ht="15" hidden="false" customHeight="false" outlineLevel="0" collapsed="false">
      <c r="E937" s="0" t="n">
        <v>212</v>
      </c>
      <c r="F937" s="0" t="str">
        <f aca="false">IF(F216="","",F215)</f>
        <v/>
      </c>
      <c r="G937" s="0" t="n">
        <v>212</v>
      </c>
      <c r="H937" s="0" t="n">
        <f aca="false">H215</f>
        <v>0</v>
      </c>
      <c r="K937" s="0" t="n">
        <v>212</v>
      </c>
      <c r="L937" s="0" t="str">
        <f aca="false">IF(L216="","",L215)</f>
        <v/>
      </c>
      <c r="M937" s="0" t="n">
        <v>212</v>
      </c>
      <c r="N937" s="0" t="n">
        <f aca="false">N215</f>
        <v>0</v>
      </c>
    </row>
    <row r="938" customFormat="false" ht="15" hidden="false" customHeight="false" outlineLevel="0" collapsed="false">
      <c r="E938" s="0" t="n">
        <v>213</v>
      </c>
      <c r="F938" s="0" t="str">
        <f aca="false">IF(F217="","",F216)</f>
        <v/>
      </c>
      <c r="G938" s="0" t="n">
        <v>213</v>
      </c>
      <c r="H938" s="0" t="n">
        <f aca="false">H216</f>
        <v>0</v>
      </c>
      <c r="K938" s="0" t="n">
        <v>213</v>
      </c>
      <c r="L938" s="0" t="str">
        <f aca="false">IF(L217="","",L216)</f>
        <v/>
      </c>
      <c r="M938" s="0" t="n">
        <v>213</v>
      </c>
      <c r="N938" s="0" t="n">
        <f aca="false">N216</f>
        <v>0</v>
      </c>
    </row>
    <row r="939" customFormat="false" ht="15" hidden="false" customHeight="false" outlineLevel="0" collapsed="false">
      <c r="E939" s="0" t="n">
        <v>214</v>
      </c>
      <c r="F939" s="0" t="str">
        <f aca="false">IF(F218="","",F217)</f>
        <v/>
      </c>
      <c r="G939" s="0" t="n">
        <v>214</v>
      </c>
      <c r="H939" s="0" t="n">
        <f aca="false">H217</f>
        <v>0</v>
      </c>
      <c r="K939" s="0" t="n">
        <v>214</v>
      </c>
      <c r="L939" s="0" t="str">
        <f aca="false">IF(L218="","",L217)</f>
        <v/>
      </c>
      <c r="M939" s="0" t="n">
        <v>214</v>
      </c>
      <c r="N939" s="0" t="n">
        <f aca="false">N217</f>
        <v>0</v>
      </c>
    </row>
    <row r="940" customFormat="false" ht="15" hidden="false" customHeight="false" outlineLevel="0" collapsed="false">
      <c r="E940" s="0" t="n">
        <v>215</v>
      </c>
      <c r="F940" s="0" t="str">
        <f aca="false">IF(F219="","",F218)</f>
        <v/>
      </c>
      <c r="G940" s="0" t="n">
        <v>215</v>
      </c>
      <c r="H940" s="0" t="n">
        <f aca="false">H218</f>
        <v>0</v>
      </c>
      <c r="K940" s="0" t="n">
        <v>215</v>
      </c>
      <c r="L940" s="0" t="str">
        <f aca="false">IF(L219="","",L218)</f>
        <v/>
      </c>
      <c r="M940" s="0" t="n">
        <v>215</v>
      </c>
      <c r="N940" s="0" t="n">
        <f aca="false">N218</f>
        <v>0</v>
      </c>
    </row>
    <row r="941" customFormat="false" ht="15" hidden="false" customHeight="false" outlineLevel="0" collapsed="false">
      <c r="E941" s="0" t="n">
        <v>216</v>
      </c>
      <c r="F941" s="0" t="str">
        <f aca="false">IF(F220="","",F219)</f>
        <v/>
      </c>
      <c r="G941" s="0" t="n">
        <v>216</v>
      </c>
      <c r="H941" s="0" t="n">
        <f aca="false">H219</f>
        <v>0</v>
      </c>
      <c r="K941" s="0" t="n">
        <v>216</v>
      </c>
      <c r="L941" s="0" t="str">
        <f aca="false">IF(L220="","",L219)</f>
        <v/>
      </c>
      <c r="M941" s="0" t="n">
        <v>216</v>
      </c>
      <c r="N941" s="0" t="n">
        <f aca="false">N219</f>
        <v>0</v>
      </c>
    </row>
    <row r="942" customFormat="false" ht="15" hidden="false" customHeight="false" outlineLevel="0" collapsed="false">
      <c r="E942" s="0" t="n">
        <v>217</v>
      </c>
      <c r="F942" s="0" t="str">
        <f aca="false">IF(F221="","",F220)</f>
        <v/>
      </c>
      <c r="G942" s="0" t="n">
        <v>217</v>
      </c>
      <c r="H942" s="0" t="n">
        <f aca="false">H220</f>
        <v>0</v>
      </c>
      <c r="K942" s="0" t="n">
        <v>217</v>
      </c>
      <c r="L942" s="0" t="str">
        <f aca="false">IF(L221="","",L220)</f>
        <v/>
      </c>
      <c r="M942" s="0" t="n">
        <v>217</v>
      </c>
      <c r="N942" s="0" t="n">
        <f aca="false">N220</f>
        <v>0</v>
      </c>
    </row>
    <row r="943" customFormat="false" ht="15" hidden="false" customHeight="false" outlineLevel="0" collapsed="false">
      <c r="E943" s="0" t="n">
        <v>218</v>
      </c>
      <c r="F943" s="0" t="str">
        <f aca="false">IF(F222="","",F221)</f>
        <v/>
      </c>
      <c r="G943" s="0" t="n">
        <v>218</v>
      </c>
      <c r="H943" s="0" t="n">
        <f aca="false">H221</f>
        <v>0</v>
      </c>
      <c r="K943" s="0" t="n">
        <v>218</v>
      </c>
      <c r="L943" s="0" t="str">
        <f aca="false">IF(L222="","",L221)</f>
        <v/>
      </c>
      <c r="M943" s="0" t="n">
        <v>218</v>
      </c>
      <c r="N943" s="0" t="n">
        <f aca="false">N221</f>
        <v>0</v>
      </c>
    </row>
    <row r="944" customFormat="false" ht="15" hidden="false" customHeight="false" outlineLevel="0" collapsed="false">
      <c r="E944" s="0" t="n">
        <v>219</v>
      </c>
      <c r="F944" s="0" t="str">
        <f aca="false">IF(F223="","",F222)</f>
        <v/>
      </c>
      <c r="G944" s="0" t="n">
        <v>219</v>
      </c>
      <c r="H944" s="0" t="n">
        <f aca="false">H222</f>
        <v>0</v>
      </c>
      <c r="K944" s="0" t="n">
        <v>219</v>
      </c>
      <c r="L944" s="0" t="str">
        <f aca="false">IF(L223="","",L222)</f>
        <v/>
      </c>
      <c r="M944" s="0" t="n">
        <v>219</v>
      </c>
      <c r="N944" s="0" t="n">
        <f aca="false">N222</f>
        <v>0</v>
      </c>
    </row>
    <row r="945" customFormat="false" ht="15" hidden="false" customHeight="false" outlineLevel="0" collapsed="false">
      <c r="E945" s="0" t="n">
        <v>220</v>
      </c>
      <c r="F945" s="0" t="str">
        <f aca="false">IF(F224="","",F223)</f>
        <v/>
      </c>
      <c r="G945" s="0" t="n">
        <v>220</v>
      </c>
      <c r="H945" s="0" t="n">
        <f aca="false">H223</f>
        <v>0</v>
      </c>
      <c r="K945" s="0" t="n">
        <v>220</v>
      </c>
      <c r="L945" s="0" t="str">
        <f aca="false">IF(L224="","",L223)</f>
        <v/>
      </c>
      <c r="M945" s="0" t="n">
        <v>220</v>
      </c>
      <c r="N945" s="0" t="n">
        <f aca="false">N223</f>
        <v>0</v>
      </c>
    </row>
    <row r="946" customFormat="false" ht="15" hidden="false" customHeight="false" outlineLevel="0" collapsed="false">
      <c r="E946" s="0" t="n">
        <v>221</v>
      </c>
      <c r="F946" s="0" t="str">
        <f aca="false">IF(F225="","",F224)</f>
        <v/>
      </c>
      <c r="G946" s="0" t="n">
        <v>221</v>
      </c>
      <c r="H946" s="0" t="n">
        <f aca="false">H224</f>
        <v>0</v>
      </c>
      <c r="K946" s="0" t="n">
        <v>221</v>
      </c>
      <c r="L946" s="0" t="str">
        <f aca="false">IF(L225="","",L224)</f>
        <v/>
      </c>
      <c r="M946" s="0" t="n">
        <v>221</v>
      </c>
      <c r="N946" s="0" t="n">
        <f aca="false">N224</f>
        <v>0</v>
      </c>
    </row>
    <row r="947" customFormat="false" ht="15" hidden="false" customHeight="false" outlineLevel="0" collapsed="false">
      <c r="E947" s="0" t="n">
        <v>222</v>
      </c>
      <c r="F947" s="0" t="str">
        <f aca="false">IF(F226="","",F225)</f>
        <v/>
      </c>
      <c r="G947" s="0" t="n">
        <v>222</v>
      </c>
      <c r="H947" s="0" t="n">
        <f aca="false">H225</f>
        <v>0</v>
      </c>
      <c r="K947" s="0" t="n">
        <v>222</v>
      </c>
      <c r="L947" s="0" t="str">
        <f aca="false">IF(L226="","",L225)</f>
        <v/>
      </c>
      <c r="M947" s="0" t="n">
        <v>222</v>
      </c>
      <c r="N947" s="0" t="n">
        <f aca="false">N225</f>
        <v>0</v>
      </c>
    </row>
    <row r="948" customFormat="false" ht="15" hidden="false" customHeight="false" outlineLevel="0" collapsed="false">
      <c r="E948" s="0" t="n">
        <v>223</v>
      </c>
      <c r="F948" s="0" t="str">
        <f aca="false">IF(F227="","",F226)</f>
        <v/>
      </c>
      <c r="G948" s="0" t="n">
        <v>223</v>
      </c>
      <c r="H948" s="0" t="n">
        <f aca="false">H226</f>
        <v>0</v>
      </c>
      <c r="K948" s="0" t="n">
        <v>223</v>
      </c>
      <c r="L948" s="0" t="str">
        <f aca="false">IF(L227="","",L226)</f>
        <v/>
      </c>
      <c r="M948" s="0" t="n">
        <v>223</v>
      </c>
      <c r="N948" s="0" t="n">
        <f aca="false">N226</f>
        <v>0</v>
      </c>
    </row>
    <row r="949" customFormat="false" ht="15" hidden="false" customHeight="false" outlineLevel="0" collapsed="false">
      <c r="E949" s="0" t="n">
        <v>224</v>
      </c>
      <c r="F949" s="0" t="str">
        <f aca="false">IF(F228="","",F227)</f>
        <v/>
      </c>
      <c r="G949" s="0" t="n">
        <v>224</v>
      </c>
      <c r="H949" s="0" t="n">
        <f aca="false">H227</f>
        <v>0</v>
      </c>
      <c r="K949" s="0" t="n">
        <v>224</v>
      </c>
      <c r="L949" s="0" t="str">
        <f aca="false">IF(L228="","",L227)</f>
        <v/>
      </c>
      <c r="M949" s="0" t="n">
        <v>224</v>
      </c>
      <c r="N949" s="0" t="n">
        <f aca="false">N227</f>
        <v>0</v>
      </c>
    </row>
    <row r="950" customFormat="false" ht="15" hidden="false" customHeight="false" outlineLevel="0" collapsed="false">
      <c r="E950" s="0" t="n">
        <v>225</v>
      </c>
      <c r="F950" s="0" t="str">
        <f aca="false">IF(F229="","",F228)</f>
        <v/>
      </c>
      <c r="G950" s="0" t="n">
        <v>225</v>
      </c>
      <c r="H950" s="0" t="n">
        <f aca="false">H228</f>
        <v>0</v>
      </c>
      <c r="K950" s="0" t="n">
        <v>225</v>
      </c>
      <c r="L950" s="0" t="str">
        <f aca="false">IF(L229="","",L228)</f>
        <v/>
      </c>
      <c r="M950" s="0" t="n">
        <v>225</v>
      </c>
      <c r="N950" s="0" t="n">
        <f aca="false">N228</f>
        <v>0</v>
      </c>
    </row>
    <row r="951" customFormat="false" ht="15" hidden="false" customHeight="false" outlineLevel="0" collapsed="false">
      <c r="E951" s="0" t="n">
        <v>226</v>
      </c>
      <c r="F951" s="0" t="str">
        <f aca="false">IF(F230="","",F229)</f>
        <v/>
      </c>
      <c r="G951" s="0" t="n">
        <v>226</v>
      </c>
      <c r="H951" s="0" t="n">
        <f aca="false">H229</f>
        <v>0</v>
      </c>
      <c r="K951" s="0" t="n">
        <v>226</v>
      </c>
      <c r="L951" s="0" t="str">
        <f aca="false">IF(L230="","",L229)</f>
        <v/>
      </c>
      <c r="M951" s="0" t="n">
        <v>226</v>
      </c>
      <c r="N951" s="0" t="n">
        <f aca="false">N229</f>
        <v>0</v>
      </c>
    </row>
    <row r="952" customFormat="false" ht="15" hidden="false" customHeight="false" outlineLevel="0" collapsed="false">
      <c r="E952" s="0" t="n">
        <v>227</v>
      </c>
      <c r="F952" s="0" t="str">
        <f aca="false">IF(F231="","",F230)</f>
        <v/>
      </c>
      <c r="G952" s="0" t="n">
        <v>227</v>
      </c>
      <c r="H952" s="0" t="n">
        <f aca="false">H230</f>
        <v>0</v>
      </c>
      <c r="K952" s="0" t="n">
        <v>227</v>
      </c>
      <c r="L952" s="0" t="str">
        <f aca="false">IF(L231="","",L230)</f>
        <v/>
      </c>
      <c r="M952" s="0" t="n">
        <v>227</v>
      </c>
      <c r="N952" s="0" t="n">
        <f aca="false">N230</f>
        <v>0</v>
      </c>
    </row>
    <row r="953" customFormat="false" ht="15" hidden="false" customHeight="false" outlineLevel="0" collapsed="false">
      <c r="E953" s="0" t="n">
        <v>228</v>
      </c>
      <c r="F953" s="0" t="str">
        <f aca="false">IF(F232="","",F231)</f>
        <v/>
      </c>
      <c r="G953" s="0" t="n">
        <v>228</v>
      </c>
      <c r="H953" s="0" t="n">
        <f aca="false">H231</f>
        <v>0</v>
      </c>
      <c r="K953" s="0" t="n">
        <v>228</v>
      </c>
      <c r="L953" s="0" t="str">
        <f aca="false">IF(L232="","",L231)</f>
        <v/>
      </c>
      <c r="M953" s="0" t="n">
        <v>228</v>
      </c>
      <c r="N953" s="0" t="n">
        <f aca="false">N231</f>
        <v>0</v>
      </c>
    </row>
    <row r="954" customFormat="false" ht="15" hidden="false" customHeight="false" outlineLevel="0" collapsed="false">
      <c r="E954" s="0" t="n">
        <v>229</v>
      </c>
      <c r="F954" s="0" t="str">
        <f aca="false">IF(F233="","",F232)</f>
        <v/>
      </c>
      <c r="G954" s="0" t="n">
        <v>229</v>
      </c>
      <c r="H954" s="0" t="n">
        <f aca="false">H232</f>
        <v>0</v>
      </c>
      <c r="K954" s="0" t="n">
        <v>229</v>
      </c>
      <c r="L954" s="0" t="str">
        <f aca="false">IF(L233="","",L232)</f>
        <v/>
      </c>
      <c r="M954" s="0" t="n">
        <v>229</v>
      </c>
      <c r="N954" s="0" t="n">
        <f aca="false">N232</f>
        <v>0</v>
      </c>
    </row>
    <row r="955" customFormat="false" ht="15" hidden="false" customHeight="false" outlineLevel="0" collapsed="false">
      <c r="E955" s="0" t="n">
        <v>230</v>
      </c>
      <c r="F955" s="0" t="str">
        <f aca="false">IF(F234="","",F233)</f>
        <v/>
      </c>
      <c r="G955" s="0" t="n">
        <v>230</v>
      </c>
      <c r="H955" s="0" t="n">
        <f aca="false">H233</f>
        <v>0</v>
      </c>
      <c r="K955" s="0" t="n">
        <v>230</v>
      </c>
      <c r="L955" s="0" t="str">
        <f aca="false">IF(L234="","",L233)</f>
        <v/>
      </c>
      <c r="M955" s="0" t="n">
        <v>230</v>
      </c>
      <c r="N955" s="0" t="n">
        <f aca="false">N233</f>
        <v>0</v>
      </c>
    </row>
    <row r="956" customFormat="false" ht="15" hidden="false" customHeight="false" outlineLevel="0" collapsed="false">
      <c r="E956" s="0" t="n">
        <v>231</v>
      </c>
      <c r="F956" s="0" t="str">
        <f aca="false">IF(F235="","",F234)</f>
        <v/>
      </c>
      <c r="G956" s="0" t="n">
        <v>231</v>
      </c>
      <c r="H956" s="0" t="n">
        <f aca="false">H234</f>
        <v>0</v>
      </c>
      <c r="K956" s="0" t="n">
        <v>231</v>
      </c>
      <c r="L956" s="0" t="str">
        <f aca="false">IF(L235="","",L234)</f>
        <v/>
      </c>
      <c r="M956" s="0" t="n">
        <v>231</v>
      </c>
      <c r="N956" s="0" t="n">
        <f aca="false">N234</f>
        <v>0</v>
      </c>
    </row>
    <row r="957" customFormat="false" ht="15" hidden="false" customHeight="false" outlineLevel="0" collapsed="false">
      <c r="E957" s="0" t="n">
        <v>232</v>
      </c>
      <c r="F957" s="0" t="str">
        <f aca="false">IF(F236="","",F235)</f>
        <v/>
      </c>
      <c r="G957" s="0" t="n">
        <v>232</v>
      </c>
      <c r="H957" s="0" t="n">
        <f aca="false">H235</f>
        <v>0</v>
      </c>
      <c r="K957" s="0" t="n">
        <v>232</v>
      </c>
      <c r="L957" s="0" t="str">
        <f aca="false">IF(L236="","",L235)</f>
        <v/>
      </c>
      <c r="M957" s="0" t="n">
        <v>232</v>
      </c>
      <c r="N957" s="0" t="n">
        <f aca="false">N235</f>
        <v>0</v>
      </c>
    </row>
    <row r="958" customFormat="false" ht="15" hidden="false" customHeight="false" outlineLevel="0" collapsed="false">
      <c r="E958" s="0" t="n">
        <v>233</v>
      </c>
      <c r="F958" s="0" t="str">
        <f aca="false">IF(F237="","",F236)</f>
        <v/>
      </c>
      <c r="G958" s="0" t="n">
        <v>233</v>
      </c>
      <c r="H958" s="0" t="n">
        <f aca="false">H236</f>
        <v>0</v>
      </c>
      <c r="K958" s="0" t="n">
        <v>233</v>
      </c>
      <c r="L958" s="0" t="str">
        <f aca="false">IF(L237="","",L236)</f>
        <v/>
      </c>
      <c r="M958" s="0" t="n">
        <v>233</v>
      </c>
      <c r="N958" s="0" t="n">
        <f aca="false">N236</f>
        <v>0</v>
      </c>
    </row>
    <row r="959" customFormat="false" ht="15" hidden="false" customHeight="false" outlineLevel="0" collapsed="false">
      <c r="E959" s="0" t="n">
        <v>234</v>
      </c>
      <c r="F959" s="0" t="str">
        <f aca="false">IF(F238="","",F237)</f>
        <v/>
      </c>
      <c r="G959" s="0" t="n">
        <v>234</v>
      </c>
      <c r="H959" s="0" t="n">
        <f aca="false">H237</f>
        <v>0</v>
      </c>
      <c r="K959" s="0" t="n">
        <v>234</v>
      </c>
      <c r="L959" s="0" t="str">
        <f aca="false">IF(L238="","",L237)</f>
        <v/>
      </c>
      <c r="M959" s="0" t="n">
        <v>234</v>
      </c>
      <c r="N959" s="0" t="n">
        <f aca="false">N237</f>
        <v>0</v>
      </c>
    </row>
    <row r="960" customFormat="false" ht="15" hidden="false" customHeight="false" outlineLevel="0" collapsed="false">
      <c r="E960" s="0" t="n">
        <v>235</v>
      </c>
      <c r="F960" s="0" t="str">
        <f aca="false">IF(F239="","",F238)</f>
        <v/>
      </c>
      <c r="G960" s="0" t="n">
        <v>235</v>
      </c>
      <c r="H960" s="0" t="n">
        <f aca="false">H238</f>
        <v>0</v>
      </c>
      <c r="K960" s="0" t="n">
        <v>235</v>
      </c>
      <c r="L960" s="0" t="str">
        <f aca="false">IF(L239="","",L238)</f>
        <v/>
      </c>
      <c r="M960" s="0" t="n">
        <v>235</v>
      </c>
      <c r="N960" s="0" t="n">
        <f aca="false">N238</f>
        <v>0</v>
      </c>
    </row>
    <row r="961" customFormat="false" ht="15" hidden="false" customHeight="false" outlineLevel="0" collapsed="false">
      <c r="E961" s="0" t="n">
        <v>236</v>
      </c>
      <c r="F961" s="0" t="str">
        <f aca="false">IF(F240="","",F239)</f>
        <v/>
      </c>
      <c r="G961" s="0" t="n">
        <v>236</v>
      </c>
      <c r="H961" s="0" t="n">
        <f aca="false">H239</f>
        <v>0</v>
      </c>
      <c r="K961" s="0" t="n">
        <v>236</v>
      </c>
      <c r="L961" s="0" t="str">
        <f aca="false">IF(L240="","",L239)</f>
        <v/>
      </c>
      <c r="M961" s="0" t="n">
        <v>236</v>
      </c>
      <c r="N961" s="0" t="n">
        <f aca="false">N239</f>
        <v>0</v>
      </c>
    </row>
    <row r="962" customFormat="false" ht="15" hidden="false" customHeight="false" outlineLevel="0" collapsed="false">
      <c r="E962" s="0" t="n">
        <v>237</v>
      </c>
      <c r="F962" s="0" t="str">
        <f aca="false">IF(F241="","",F240)</f>
        <v/>
      </c>
      <c r="G962" s="0" t="n">
        <v>237</v>
      </c>
      <c r="H962" s="0" t="n">
        <f aca="false">H240</f>
        <v>0</v>
      </c>
      <c r="K962" s="0" t="n">
        <v>237</v>
      </c>
      <c r="L962" s="0" t="str">
        <f aca="false">IF(L241="","",L240)</f>
        <v/>
      </c>
      <c r="M962" s="0" t="n">
        <v>237</v>
      </c>
      <c r="N962" s="0" t="n">
        <f aca="false">N240</f>
        <v>0</v>
      </c>
    </row>
    <row r="963" customFormat="false" ht="15" hidden="false" customHeight="false" outlineLevel="0" collapsed="false">
      <c r="E963" s="0" t="n">
        <v>238</v>
      </c>
      <c r="F963" s="0" t="str">
        <f aca="false">IF(F242="","",F241)</f>
        <v/>
      </c>
      <c r="G963" s="0" t="n">
        <v>238</v>
      </c>
      <c r="H963" s="0" t="n">
        <f aca="false">H241</f>
        <v>0</v>
      </c>
      <c r="K963" s="0" t="n">
        <v>238</v>
      </c>
      <c r="L963" s="0" t="str">
        <f aca="false">IF(L242="","",L241)</f>
        <v/>
      </c>
      <c r="M963" s="0" t="n">
        <v>238</v>
      </c>
      <c r="N963" s="0" t="n">
        <f aca="false">N241</f>
        <v>0</v>
      </c>
    </row>
    <row r="964" customFormat="false" ht="15" hidden="false" customHeight="false" outlineLevel="0" collapsed="false">
      <c r="E964" s="0" t="n">
        <v>239</v>
      </c>
      <c r="F964" s="0" t="str">
        <f aca="false">IF(F243="","",F242)</f>
        <v/>
      </c>
      <c r="G964" s="0" t="n">
        <v>239</v>
      </c>
      <c r="H964" s="0" t="n">
        <f aca="false">H242</f>
        <v>0</v>
      </c>
      <c r="K964" s="0" t="n">
        <v>239</v>
      </c>
      <c r="L964" s="0" t="str">
        <f aca="false">IF(L243="","",L242)</f>
        <v/>
      </c>
      <c r="M964" s="0" t="n">
        <v>239</v>
      </c>
      <c r="N964" s="0" t="n">
        <f aca="false">N242</f>
        <v>0</v>
      </c>
    </row>
    <row r="965" customFormat="false" ht="15" hidden="false" customHeight="false" outlineLevel="0" collapsed="false">
      <c r="E965" s="0" t="n">
        <v>240</v>
      </c>
      <c r="F965" s="0" t="str">
        <f aca="false">IF(F244="","",F243)</f>
        <v/>
      </c>
      <c r="G965" s="0" t="n">
        <v>240</v>
      </c>
      <c r="H965" s="0" t="n">
        <f aca="false">H243</f>
        <v>0</v>
      </c>
      <c r="K965" s="0" t="n">
        <v>240</v>
      </c>
      <c r="L965" s="0" t="str">
        <f aca="false">IF(L244="","",L243)</f>
        <v/>
      </c>
      <c r="M965" s="0" t="n">
        <v>240</v>
      </c>
      <c r="N965" s="0" t="n">
        <f aca="false">N243</f>
        <v>0</v>
      </c>
    </row>
    <row r="966" customFormat="false" ht="15" hidden="false" customHeight="false" outlineLevel="0" collapsed="false">
      <c r="E966" s="0" t="n">
        <v>241</v>
      </c>
      <c r="F966" s="0" t="str">
        <f aca="false">IF(F245="","",F244)</f>
        <v/>
      </c>
      <c r="G966" s="0" t="n">
        <v>241</v>
      </c>
      <c r="H966" s="0" t="n">
        <f aca="false">H244</f>
        <v>0</v>
      </c>
      <c r="K966" s="0" t="n">
        <v>241</v>
      </c>
      <c r="L966" s="0" t="str">
        <f aca="false">IF(L245="","",L244)</f>
        <v/>
      </c>
      <c r="M966" s="0" t="n">
        <v>241</v>
      </c>
      <c r="N966" s="0" t="n">
        <f aca="false">N244</f>
        <v>0</v>
      </c>
    </row>
    <row r="967" customFormat="false" ht="15" hidden="false" customHeight="false" outlineLevel="0" collapsed="false">
      <c r="E967" s="0" t="n">
        <v>242</v>
      </c>
      <c r="F967" s="0" t="str">
        <f aca="false">IF(F246="","",F245)</f>
        <v/>
      </c>
      <c r="G967" s="0" t="n">
        <v>242</v>
      </c>
      <c r="H967" s="0" t="n">
        <f aca="false">H245</f>
        <v>0</v>
      </c>
      <c r="K967" s="0" t="n">
        <v>242</v>
      </c>
      <c r="L967" s="0" t="str">
        <f aca="false">IF(L246="","",L245)</f>
        <v/>
      </c>
      <c r="M967" s="0" t="n">
        <v>242</v>
      </c>
      <c r="N967" s="0" t="n">
        <f aca="false">N245</f>
        <v>0</v>
      </c>
    </row>
    <row r="968" customFormat="false" ht="15" hidden="false" customHeight="false" outlineLevel="0" collapsed="false">
      <c r="E968" s="0" t="n">
        <v>243</v>
      </c>
      <c r="F968" s="0" t="str">
        <f aca="false">IF(F247="","",F246)</f>
        <v/>
      </c>
      <c r="G968" s="0" t="n">
        <v>243</v>
      </c>
      <c r="H968" s="0" t="n">
        <f aca="false">H246</f>
        <v>0</v>
      </c>
      <c r="K968" s="0" t="n">
        <v>243</v>
      </c>
      <c r="L968" s="0" t="str">
        <f aca="false">IF(L247="","",L246)</f>
        <v/>
      </c>
      <c r="M968" s="0" t="n">
        <v>243</v>
      </c>
      <c r="N968" s="0" t="n">
        <f aca="false">N246</f>
        <v>0</v>
      </c>
    </row>
    <row r="969" customFormat="false" ht="15" hidden="false" customHeight="false" outlineLevel="0" collapsed="false">
      <c r="E969" s="0" t="n">
        <v>244</v>
      </c>
      <c r="F969" s="0" t="str">
        <f aca="false">IF(F248="","",F247)</f>
        <v/>
      </c>
      <c r="G969" s="0" t="n">
        <v>244</v>
      </c>
      <c r="H969" s="0" t="n">
        <f aca="false">H247</f>
        <v>0</v>
      </c>
      <c r="K969" s="0" t="n">
        <v>244</v>
      </c>
      <c r="L969" s="0" t="str">
        <f aca="false">IF(L248="","",L247)</f>
        <v/>
      </c>
      <c r="M969" s="0" t="n">
        <v>244</v>
      </c>
      <c r="N969" s="0" t="n">
        <f aca="false">N247</f>
        <v>0</v>
      </c>
    </row>
    <row r="970" customFormat="false" ht="15" hidden="false" customHeight="false" outlineLevel="0" collapsed="false">
      <c r="E970" s="0" t="n">
        <v>245</v>
      </c>
      <c r="F970" s="0" t="str">
        <f aca="false">IF(F249="","",F248)</f>
        <v/>
      </c>
      <c r="G970" s="0" t="n">
        <v>245</v>
      </c>
      <c r="H970" s="0" t="n">
        <f aca="false">H248</f>
        <v>0</v>
      </c>
      <c r="K970" s="0" t="n">
        <v>245</v>
      </c>
      <c r="L970" s="0" t="str">
        <f aca="false">IF(L249="","",L248)</f>
        <v/>
      </c>
      <c r="M970" s="0" t="n">
        <v>245</v>
      </c>
      <c r="N970" s="0" t="n">
        <f aca="false">N248</f>
        <v>0</v>
      </c>
    </row>
    <row r="971" customFormat="false" ht="15" hidden="false" customHeight="false" outlineLevel="0" collapsed="false">
      <c r="E971" s="0" t="n">
        <v>246</v>
      </c>
      <c r="F971" s="0" t="str">
        <f aca="false">IF(F250="","",F249)</f>
        <v/>
      </c>
      <c r="G971" s="0" t="n">
        <v>246</v>
      </c>
      <c r="H971" s="0" t="n">
        <f aca="false">H249</f>
        <v>0</v>
      </c>
      <c r="K971" s="0" t="n">
        <v>246</v>
      </c>
      <c r="L971" s="0" t="str">
        <f aca="false">IF(L250="","",L249)</f>
        <v/>
      </c>
      <c r="M971" s="0" t="n">
        <v>246</v>
      </c>
      <c r="N971" s="0" t="n">
        <f aca="false">N249</f>
        <v>0</v>
      </c>
    </row>
    <row r="972" customFormat="false" ht="15" hidden="false" customHeight="false" outlineLevel="0" collapsed="false">
      <c r="E972" s="0" t="n">
        <v>247</v>
      </c>
      <c r="F972" s="0" t="str">
        <f aca="false">IF(F251="","",F250)</f>
        <v/>
      </c>
      <c r="G972" s="0" t="n">
        <v>247</v>
      </c>
      <c r="H972" s="0" t="n">
        <f aca="false">H250</f>
        <v>0</v>
      </c>
      <c r="K972" s="0" t="n">
        <v>247</v>
      </c>
      <c r="L972" s="0" t="str">
        <f aca="false">IF(L251="","",L250)</f>
        <v/>
      </c>
      <c r="M972" s="0" t="n">
        <v>247</v>
      </c>
      <c r="N972" s="0" t="n">
        <f aca="false">N250</f>
        <v>0</v>
      </c>
    </row>
    <row r="973" customFormat="false" ht="15" hidden="false" customHeight="false" outlineLevel="0" collapsed="false">
      <c r="E973" s="0" t="n">
        <v>248</v>
      </c>
      <c r="F973" s="0" t="str">
        <f aca="false">IF(F252="","",F251)</f>
        <v/>
      </c>
      <c r="G973" s="0" t="n">
        <v>248</v>
      </c>
      <c r="H973" s="0" t="n">
        <f aca="false">H251</f>
        <v>0</v>
      </c>
      <c r="K973" s="0" t="n">
        <v>248</v>
      </c>
      <c r="L973" s="0" t="str">
        <f aca="false">IF(L252="","",L251)</f>
        <v/>
      </c>
      <c r="M973" s="0" t="n">
        <v>248</v>
      </c>
      <c r="N973" s="0" t="n">
        <f aca="false">N251</f>
        <v>0</v>
      </c>
    </row>
    <row r="974" customFormat="false" ht="15" hidden="false" customHeight="false" outlineLevel="0" collapsed="false">
      <c r="E974" s="0" t="n">
        <v>249</v>
      </c>
      <c r="F974" s="0" t="str">
        <f aca="false">IF(F253="","",F252)</f>
        <v/>
      </c>
      <c r="G974" s="0" t="n">
        <v>249</v>
      </c>
      <c r="H974" s="0" t="n">
        <f aca="false">H252</f>
        <v>0</v>
      </c>
      <c r="K974" s="0" t="n">
        <v>249</v>
      </c>
      <c r="L974" s="0" t="str">
        <f aca="false">IF(L253="","",L252)</f>
        <v/>
      </c>
      <c r="M974" s="0" t="n">
        <v>249</v>
      </c>
      <c r="N974" s="0" t="n">
        <f aca="false">N252</f>
        <v>0</v>
      </c>
    </row>
    <row r="975" customFormat="false" ht="15" hidden="false" customHeight="false" outlineLevel="0" collapsed="false">
      <c r="E975" s="0" t="n">
        <v>250</v>
      </c>
      <c r="F975" s="0" t="str">
        <f aca="false">IF(F254="","",F253)</f>
        <v/>
      </c>
      <c r="G975" s="0" t="n">
        <v>250</v>
      </c>
      <c r="H975" s="0" t="n">
        <f aca="false">H253</f>
        <v>0</v>
      </c>
      <c r="K975" s="0" t="n">
        <v>250</v>
      </c>
      <c r="L975" s="0" t="str">
        <f aca="false">IF(L254="","",L253)</f>
        <v/>
      </c>
      <c r="M975" s="0" t="n">
        <v>250</v>
      </c>
      <c r="N975" s="0" t="n">
        <f aca="false">N253</f>
        <v>0</v>
      </c>
    </row>
    <row r="976" customFormat="false" ht="15" hidden="false" customHeight="false" outlineLevel="0" collapsed="false">
      <c r="E976" s="0" t="n">
        <v>251</v>
      </c>
      <c r="F976" s="0" t="str">
        <f aca="false">IF(F255="","",F254)</f>
        <v/>
      </c>
      <c r="G976" s="0" t="n">
        <v>251</v>
      </c>
      <c r="H976" s="0" t="n">
        <f aca="false">H254</f>
        <v>0</v>
      </c>
      <c r="K976" s="0" t="n">
        <v>251</v>
      </c>
      <c r="L976" s="0" t="str">
        <f aca="false">IF(L255="","",L254)</f>
        <v/>
      </c>
      <c r="M976" s="0" t="n">
        <v>251</v>
      </c>
      <c r="N976" s="0" t="n">
        <f aca="false">N254</f>
        <v>0</v>
      </c>
    </row>
    <row r="977" customFormat="false" ht="15" hidden="false" customHeight="false" outlineLevel="0" collapsed="false">
      <c r="E977" s="0" t="n">
        <v>252</v>
      </c>
      <c r="F977" s="0" t="str">
        <f aca="false">IF(F256="","",F255)</f>
        <v/>
      </c>
      <c r="G977" s="0" t="n">
        <v>252</v>
      </c>
      <c r="H977" s="0" t="n">
        <f aca="false">H255</f>
        <v>0</v>
      </c>
      <c r="K977" s="0" t="n">
        <v>252</v>
      </c>
      <c r="L977" s="0" t="str">
        <f aca="false">IF(L256="","",L255)</f>
        <v/>
      </c>
      <c r="M977" s="0" t="n">
        <v>252</v>
      </c>
      <c r="N977" s="0" t="n">
        <f aca="false">N255</f>
        <v>0</v>
      </c>
    </row>
    <row r="978" customFormat="false" ht="15" hidden="false" customHeight="false" outlineLevel="0" collapsed="false">
      <c r="E978" s="0" t="n">
        <v>253</v>
      </c>
      <c r="F978" s="0" t="str">
        <f aca="false">IF(F257="","",F256)</f>
        <v/>
      </c>
      <c r="G978" s="0" t="n">
        <v>253</v>
      </c>
      <c r="H978" s="0" t="n">
        <f aca="false">H256</f>
        <v>0</v>
      </c>
      <c r="K978" s="0" t="n">
        <v>253</v>
      </c>
      <c r="L978" s="0" t="str">
        <f aca="false">IF(L257="","",L256)</f>
        <v/>
      </c>
      <c r="M978" s="0" t="n">
        <v>253</v>
      </c>
      <c r="N978" s="0" t="n">
        <f aca="false">N256</f>
        <v>0</v>
      </c>
    </row>
    <row r="979" customFormat="false" ht="15" hidden="false" customHeight="false" outlineLevel="0" collapsed="false">
      <c r="E979" s="0" t="n">
        <v>254</v>
      </c>
      <c r="F979" s="0" t="str">
        <f aca="false">IF(F258="","",F257)</f>
        <v/>
      </c>
      <c r="G979" s="0" t="n">
        <v>254</v>
      </c>
      <c r="H979" s="0" t="n">
        <f aca="false">H257</f>
        <v>0</v>
      </c>
      <c r="K979" s="0" t="n">
        <v>254</v>
      </c>
      <c r="L979" s="0" t="str">
        <f aca="false">IF(L258="","",L257)</f>
        <v/>
      </c>
      <c r="M979" s="0" t="n">
        <v>254</v>
      </c>
      <c r="N979" s="0" t="n">
        <f aca="false">N257</f>
        <v>0</v>
      </c>
    </row>
    <row r="980" customFormat="false" ht="15" hidden="false" customHeight="false" outlineLevel="0" collapsed="false">
      <c r="E980" s="0" t="n">
        <v>255</v>
      </c>
      <c r="F980" s="0" t="str">
        <f aca="false">IF(F259="","",F258)</f>
        <v/>
      </c>
      <c r="G980" s="0" t="n">
        <v>255</v>
      </c>
      <c r="H980" s="0" t="n">
        <f aca="false">H258</f>
        <v>0</v>
      </c>
      <c r="K980" s="0" t="n">
        <v>255</v>
      </c>
      <c r="L980" s="0" t="str">
        <f aca="false">IF(L259="","",L258)</f>
        <v/>
      </c>
      <c r="M980" s="0" t="n">
        <v>255</v>
      </c>
      <c r="N980" s="0" t="n">
        <f aca="false">N258</f>
        <v>0</v>
      </c>
    </row>
    <row r="981" customFormat="false" ht="15" hidden="false" customHeight="false" outlineLevel="0" collapsed="false">
      <c r="E981" s="0" t="n">
        <v>256</v>
      </c>
      <c r="F981" s="0" t="str">
        <f aca="false">IF(F260="","",F259)</f>
        <v/>
      </c>
      <c r="G981" s="0" t="n">
        <v>256</v>
      </c>
      <c r="H981" s="0" t="n">
        <f aca="false">H259</f>
        <v>0</v>
      </c>
      <c r="K981" s="0" t="n">
        <v>256</v>
      </c>
      <c r="L981" s="0" t="str">
        <f aca="false">IF(L260="","",L259)</f>
        <v/>
      </c>
      <c r="M981" s="0" t="n">
        <v>256</v>
      </c>
      <c r="N981" s="0" t="n">
        <f aca="false">N259</f>
        <v>0</v>
      </c>
    </row>
    <row r="982" customFormat="false" ht="15" hidden="false" customHeight="false" outlineLevel="0" collapsed="false">
      <c r="E982" s="0" t="n">
        <v>257</v>
      </c>
      <c r="F982" s="0" t="str">
        <f aca="false">IF(F261="","",F260)</f>
        <v/>
      </c>
      <c r="G982" s="0" t="n">
        <v>257</v>
      </c>
      <c r="H982" s="0" t="n">
        <f aca="false">H260</f>
        <v>0</v>
      </c>
      <c r="K982" s="0" t="n">
        <v>257</v>
      </c>
      <c r="L982" s="0" t="str">
        <f aca="false">IF(L261="","",L260)</f>
        <v/>
      </c>
      <c r="M982" s="0" t="n">
        <v>257</v>
      </c>
      <c r="N982" s="0" t="n">
        <f aca="false">N260</f>
        <v>0</v>
      </c>
    </row>
    <row r="983" customFormat="false" ht="15" hidden="false" customHeight="false" outlineLevel="0" collapsed="false">
      <c r="E983" s="0" t="n">
        <v>258</v>
      </c>
      <c r="F983" s="0" t="str">
        <f aca="false">IF(F262="","",F261)</f>
        <v/>
      </c>
      <c r="G983" s="0" t="n">
        <v>258</v>
      </c>
      <c r="H983" s="0" t="n">
        <f aca="false">H261</f>
        <v>0</v>
      </c>
      <c r="K983" s="0" t="n">
        <v>258</v>
      </c>
      <c r="L983" s="0" t="str">
        <f aca="false">IF(L262="","",L261)</f>
        <v/>
      </c>
      <c r="M983" s="0" t="n">
        <v>258</v>
      </c>
      <c r="N983" s="0" t="n">
        <f aca="false">N261</f>
        <v>0</v>
      </c>
    </row>
    <row r="984" customFormat="false" ht="15" hidden="false" customHeight="false" outlineLevel="0" collapsed="false">
      <c r="E984" s="0" t="n">
        <v>259</v>
      </c>
      <c r="F984" s="0" t="str">
        <f aca="false">IF(F263="","",F262)</f>
        <v/>
      </c>
      <c r="G984" s="0" t="n">
        <v>259</v>
      </c>
      <c r="H984" s="0" t="n">
        <f aca="false">H262</f>
        <v>0</v>
      </c>
      <c r="K984" s="0" t="n">
        <v>259</v>
      </c>
      <c r="L984" s="0" t="str">
        <f aca="false">IF(L263="","",L262)</f>
        <v/>
      </c>
      <c r="M984" s="0" t="n">
        <v>259</v>
      </c>
      <c r="N984" s="0" t="n">
        <f aca="false">N262</f>
        <v>0</v>
      </c>
    </row>
    <row r="985" customFormat="false" ht="15" hidden="false" customHeight="false" outlineLevel="0" collapsed="false">
      <c r="E985" s="0" t="n">
        <v>260</v>
      </c>
      <c r="F985" s="0" t="str">
        <f aca="false">IF(F264="","",F263)</f>
        <v/>
      </c>
      <c r="G985" s="0" t="n">
        <v>260</v>
      </c>
      <c r="H985" s="0" t="n">
        <f aca="false">H263</f>
        <v>0</v>
      </c>
      <c r="K985" s="0" t="n">
        <v>260</v>
      </c>
      <c r="L985" s="0" t="str">
        <f aca="false">IF(L264="","",L263)</f>
        <v/>
      </c>
      <c r="M985" s="0" t="n">
        <v>260</v>
      </c>
      <c r="N985" s="0" t="n">
        <f aca="false">N263</f>
        <v>0</v>
      </c>
    </row>
    <row r="986" customFormat="false" ht="15" hidden="false" customHeight="false" outlineLevel="0" collapsed="false">
      <c r="E986" s="0" t="n">
        <v>261</v>
      </c>
      <c r="F986" s="0" t="str">
        <f aca="false">IF(F265="","",F264)</f>
        <v/>
      </c>
      <c r="G986" s="0" t="n">
        <v>261</v>
      </c>
      <c r="H986" s="0" t="n">
        <f aca="false">H264</f>
        <v>0</v>
      </c>
      <c r="K986" s="0" t="n">
        <v>261</v>
      </c>
      <c r="L986" s="0" t="str">
        <f aca="false">IF(L265="","",L264)</f>
        <v/>
      </c>
      <c r="M986" s="0" t="n">
        <v>261</v>
      </c>
      <c r="N986" s="0" t="n">
        <f aca="false">N264</f>
        <v>0</v>
      </c>
    </row>
    <row r="987" customFormat="false" ht="15" hidden="false" customHeight="false" outlineLevel="0" collapsed="false">
      <c r="E987" s="0" t="n">
        <v>262</v>
      </c>
      <c r="F987" s="0" t="str">
        <f aca="false">IF(F266="","",F265)</f>
        <v/>
      </c>
      <c r="G987" s="0" t="n">
        <v>262</v>
      </c>
      <c r="H987" s="0" t="n">
        <f aca="false">H265</f>
        <v>0</v>
      </c>
      <c r="K987" s="0" t="n">
        <v>262</v>
      </c>
      <c r="L987" s="0" t="str">
        <f aca="false">IF(L266="","",L265)</f>
        <v/>
      </c>
      <c r="M987" s="0" t="n">
        <v>262</v>
      </c>
      <c r="N987" s="0" t="n">
        <f aca="false">N265</f>
        <v>0</v>
      </c>
    </row>
    <row r="988" customFormat="false" ht="15" hidden="false" customHeight="false" outlineLevel="0" collapsed="false">
      <c r="E988" s="0" t="n">
        <v>263</v>
      </c>
      <c r="F988" s="0" t="str">
        <f aca="false">IF(F267="","",F266)</f>
        <v/>
      </c>
      <c r="G988" s="0" t="n">
        <v>263</v>
      </c>
      <c r="H988" s="0" t="n">
        <f aca="false">H266</f>
        <v>0</v>
      </c>
      <c r="K988" s="0" t="n">
        <v>263</v>
      </c>
      <c r="L988" s="0" t="str">
        <f aca="false">IF(L267="","",L266)</f>
        <v/>
      </c>
      <c r="M988" s="0" t="n">
        <v>263</v>
      </c>
      <c r="N988" s="0" t="n">
        <f aca="false">N266</f>
        <v>0</v>
      </c>
    </row>
    <row r="989" customFormat="false" ht="15" hidden="false" customHeight="false" outlineLevel="0" collapsed="false">
      <c r="E989" s="0" t="n">
        <v>264</v>
      </c>
      <c r="F989" s="0" t="str">
        <f aca="false">IF(F268="","",F267)</f>
        <v/>
      </c>
      <c r="G989" s="0" t="n">
        <v>264</v>
      </c>
      <c r="H989" s="0" t="n">
        <f aca="false">H267</f>
        <v>0</v>
      </c>
      <c r="K989" s="0" t="n">
        <v>264</v>
      </c>
      <c r="L989" s="0" t="str">
        <f aca="false">IF(L268="","",L267)</f>
        <v/>
      </c>
      <c r="M989" s="0" t="n">
        <v>264</v>
      </c>
      <c r="N989" s="0" t="n">
        <f aca="false">N267</f>
        <v>0</v>
      </c>
    </row>
    <row r="990" customFormat="false" ht="15" hidden="false" customHeight="false" outlineLevel="0" collapsed="false">
      <c r="E990" s="0" t="n">
        <v>265</v>
      </c>
      <c r="F990" s="0" t="str">
        <f aca="false">IF(F269="","",F268)</f>
        <v/>
      </c>
      <c r="G990" s="0" t="n">
        <v>265</v>
      </c>
      <c r="H990" s="0" t="n">
        <f aca="false">H268</f>
        <v>0</v>
      </c>
      <c r="K990" s="0" t="n">
        <v>265</v>
      </c>
      <c r="L990" s="0" t="str">
        <f aca="false">IF(L269="","",L268)</f>
        <v/>
      </c>
      <c r="M990" s="0" t="n">
        <v>265</v>
      </c>
      <c r="N990" s="0" t="n">
        <f aca="false">N268</f>
        <v>0</v>
      </c>
    </row>
    <row r="991" customFormat="false" ht="15" hidden="false" customHeight="false" outlineLevel="0" collapsed="false">
      <c r="E991" s="0" t="n">
        <v>266</v>
      </c>
      <c r="F991" s="0" t="str">
        <f aca="false">IF(F270="","",F269)</f>
        <v/>
      </c>
      <c r="G991" s="0" t="n">
        <v>266</v>
      </c>
      <c r="H991" s="0" t="n">
        <f aca="false">H269</f>
        <v>0</v>
      </c>
      <c r="K991" s="0" t="n">
        <v>266</v>
      </c>
      <c r="L991" s="0" t="str">
        <f aca="false">IF(L270="","",L269)</f>
        <v/>
      </c>
      <c r="M991" s="0" t="n">
        <v>266</v>
      </c>
      <c r="N991" s="0" t="n">
        <f aca="false">N269</f>
        <v>0</v>
      </c>
    </row>
    <row r="992" customFormat="false" ht="15" hidden="false" customHeight="false" outlineLevel="0" collapsed="false">
      <c r="E992" s="0" t="n">
        <v>267</v>
      </c>
      <c r="F992" s="0" t="str">
        <f aca="false">IF(F271="","",F270)</f>
        <v/>
      </c>
      <c r="G992" s="0" t="n">
        <v>267</v>
      </c>
      <c r="H992" s="0" t="n">
        <f aca="false">H270</f>
        <v>0</v>
      </c>
      <c r="K992" s="0" t="n">
        <v>267</v>
      </c>
      <c r="L992" s="0" t="str">
        <f aca="false">IF(L271="","",L270)</f>
        <v/>
      </c>
      <c r="M992" s="0" t="n">
        <v>267</v>
      </c>
      <c r="N992" s="0" t="n">
        <f aca="false">N270</f>
        <v>0</v>
      </c>
    </row>
    <row r="993" customFormat="false" ht="15" hidden="false" customHeight="false" outlineLevel="0" collapsed="false">
      <c r="E993" s="0" t="n">
        <v>268</v>
      </c>
      <c r="F993" s="0" t="str">
        <f aca="false">IF(F272="","",F271)</f>
        <v/>
      </c>
      <c r="G993" s="0" t="n">
        <v>268</v>
      </c>
      <c r="H993" s="0" t="n">
        <f aca="false">H271</f>
        <v>0</v>
      </c>
      <c r="K993" s="0" t="n">
        <v>268</v>
      </c>
      <c r="L993" s="0" t="str">
        <f aca="false">IF(L272="","",L271)</f>
        <v/>
      </c>
      <c r="M993" s="0" t="n">
        <v>268</v>
      </c>
      <c r="N993" s="0" t="n">
        <f aca="false">N271</f>
        <v>0</v>
      </c>
    </row>
    <row r="994" customFormat="false" ht="15" hidden="false" customHeight="false" outlineLevel="0" collapsed="false">
      <c r="E994" s="0" t="n">
        <v>269</v>
      </c>
      <c r="F994" s="0" t="str">
        <f aca="false">IF(F273="","",F272)</f>
        <v/>
      </c>
      <c r="G994" s="0" t="n">
        <v>269</v>
      </c>
      <c r="H994" s="0" t="n">
        <f aca="false">H272</f>
        <v>0</v>
      </c>
      <c r="K994" s="0" t="n">
        <v>269</v>
      </c>
      <c r="L994" s="0" t="str">
        <f aca="false">IF(L273="","",L272)</f>
        <v/>
      </c>
      <c r="M994" s="0" t="n">
        <v>269</v>
      </c>
      <c r="N994" s="0" t="n">
        <f aca="false">N272</f>
        <v>0</v>
      </c>
    </row>
    <row r="995" customFormat="false" ht="15" hidden="false" customHeight="false" outlineLevel="0" collapsed="false">
      <c r="E995" s="0" t="n">
        <v>270</v>
      </c>
      <c r="F995" s="0" t="str">
        <f aca="false">IF(F274="","",F273)</f>
        <v/>
      </c>
      <c r="G995" s="0" t="n">
        <v>270</v>
      </c>
      <c r="H995" s="0" t="n">
        <f aca="false">H273</f>
        <v>0</v>
      </c>
      <c r="K995" s="0" t="n">
        <v>270</v>
      </c>
      <c r="L995" s="0" t="str">
        <f aca="false">IF(L274="","",L273)</f>
        <v/>
      </c>
      <c r="M995" s="0" t="n">
        <v>270</v>
      </c>
      <c r="N995" s="0" t="n">
        <f aca="false">N273</f>
        <v>0</v>
      </c>
    </row>
    <row r="996" customFormat="false" ht="15" hidden="false" customHeight="false" outlineLevel="0" collapsed="false">
      <c r="E996" s="0" t="n">
        <v>271</v>
      </c>
      <c r="F996" s="0" t="str">
        <f aca="false">IF(F275="","",F274)</f>
        <v/>
      </c>
      <c r="G996" s="0" t="n">
        <v>271</v>
      </c>
      <c r="H996" s="0" t="n">
        <f aca="false">H274</f>
        <v>0</v>
      </c>
      <c r="K996" s="0" t="n">
        <v>271</v>
      </c>
      <c r="L996" s="0" t="str">
        <f aca="false">IF(L275="","",L274)</f>
        <v/>
      </c>
      <c r="M996" s="0" t="n">
        <v>271</v>
      </c>
      <c r="N996" s="0" t="n">
        <f aca="false">N274</f>
        <v>0</v>
      </c>
    </row>
    <row r="997" customFormat="false" ht="15" hidden="false" customHeight="false" outlineLevel="0" collapsed="false">
      <c r="E997" s="0" t="n">
        <v>272</v>
      </c>
      <c r="F997" s="0" t="str">
        <f aca="false">IF(F276="","",F275)</f>
        <v/>
      </c>
      <c r="G997" s="0" t="n">
        <v>272</v>
      </c>
      <c r="H997" s="0" t="n">
        <f aca="false">H275</f>
        <v>0</v>
      </c>
      <c r="K997" s="0" t="n">
        <v>272</v>
      </c>
      <c r="L997" s="0" t="str">
        <f aca="false">IF(L276="","",L275)</f>
        <v/>
      </c>
      <c r="M997" s="0" t="n">
        <v>272</v>
      </c>
      <c r="N997" s="0" t="n">
        <f aca="false">N275</f>
        <v>0</v>
      </c>
    </row>
    <row r="998" customFormat="false" ht="15" hidden="false" customHeight="false" outlineLevel="0" collapsed="false">
      <c r="E998" s="0" t="n">
        <v>273</v>
      </c>
      <c r="F998" s="0" t="str">
        <f aca="false">IF(F277="","",F276)</f>
        <v/>
      </c>
      <c r="G998" s="0" t="n">
        <v>273</v>
      </c>
      <c r="H998" s="0" t="n">
        <f aca="false">H276</f>
        <v>0</v>
      </c>
      <c r="K998" s="0" t="n">
        <v>273</v>
      </c>
      <c r="L998" s="0" t="str">
        <f aca="false">IF(L277="","",L276)</f>
        <v/>
      </c>
      <c r="M998" s="0" t="n">
        <v>273</v>
      </c>
      <c r="N998" s="0" t="n">
        <f aca="false">N276</f>
        <v>0</v>
      </c>
    </row>
    <row r="999" customFormat="false" ht="15" hidden="false" customHeight="false" outlineLevel="0" collapsed="false">
      <c r="E999" s="0" t="n">
        <v>274</v>
      </c>
      <c r="F999" s="0" t="str">
        <f aca="false">IF(F278="","",F277)</f>
        <v/>
      </c>
      <c r="G999" s="0" t="n">
        <v>274</v>
      </c>
      <c r="H999" s="0" t="n">
        <f aca="false">H277</f>
        <v>0</v>
      </c>
      <c r="K999" s="0" t="n">
        <v>274</v>
      </c>
      <c r="L999" s="0" t="str">
        <f aca="false">IF(L278="","",L277)</f>
        <v/>
      </c>
      <c r="M999" s="0" t="n">
        <v>274</v>
      </c>
      <c r="N999" s="0" t="n">
        <f aca="false">N277</f>
        <v>0</v>
      </c>
    </row>
    <row r="1000" customFormat="false" ht="15" hidden="false" customHeight="false" outlineLevel="0" collapsed="false">
      <c r="E1000" s="0" t="n">
        <v>275</v>
      </c>
      <c r="F1000" s="0" t="str">
        <f aca="false">IF(F279="","",F278)</f>
        <v/>
      </c>
      <c r="G1000" s="0" t="n">
        <v>275</v>
      </c>
      <c r="H1000" s="0" t="n">
        <f aca="false">H278</f>
        <v>0</v>
      </c>
      <c r="K1000" s="0" t="n">
        <v>275</v>
      </c>
      <c r="L1000" s="0" t="str">
        <f aca="false">IF(L279="","",L278)</f>
        <v/>
      </c>
      <c r="M1000" s="0" t="n">
        <v>275</v>
      </c>
      <c r="N1000" s="0" t="n">
        <f aca="false">N278</f>
        <v>0</v>
      </c>
    </row>
    <row r="1001" customFormat="false" ht="15" hidden="false" customHeight="false" outlineLevel="0" collapsed="false">
      <c r="E1001" s="0" t="n">
        <v>276</v>
      </c>
      <c r="F1001" s="0" t="str">
        <f aca="false">IF(F280="","",F279)</f>
        <v/>
      </c>
      <c r="G1001" s="0" t="n">
        <v>276</v>
      </c>
      <c r="H1001" s="0" t="n">
        <f aca="false">H279</f>
        <v>0</v>
      </c>
      <c r="K1001" s="0" t="n">
        <v>276</v>
      </c>
      <c r="L1001" s="0" t="str">
        <f aca="false">IF(L280="","",L279)</f>
        <v/>
      </c>
      <c r="M1001" s="0" t="n">
        <v>276</v>
      </c>
      <c r="N1001" s="0" t="n">
        <f aca="false">N279</f>
        <v>0</v>
      </c>
    </row>
    <row r="1002" customFormat="false" ht="15" hidden="false" customHeight="false" outlineLevel="0" collapsed="false">
      <c r="E1002" s="0" t="n">
        <v>277</v>
      </c>
      <c r="F1002" s="0" t="str">
        <f aca="false">IF(F281="","",F280)</f>
        <v/>
      </c>
      <c r="G1002" s="0" t="n">
        <v>277</v>
      </c>
      <c r="H1002" s="0" t="n">
        <f aca="false">H280</f>
        <v>0</v>
      </c>
      <c r="K1002" s="0" t="n">
        <v>277</v>
      </c>
      <c r="L1002" s="0" t="str">
        <f aca="false">IF(L281="","",L280)</f>
        <v/>
      </c>
      <c r="M1002" s="0" t="n">
        <v>277</v>
      </c>
      <c r="N1002" s="0" t="n">
        <f aca="false">N280</f>
        <v>0</v>
      </c>
    </row>
    <row r="1003" customFormat="false" ht="15" hidden="false" customHeight="false" outlineLevel="0" collapsed="false">
      <c r="E1003" s="0" t="n">
        <v>278</v>
      </c>
      <c r="F1003" s="0" t="str">
        <f aca="false">IF(F282="","",F281)</f>
        <v/>
      </c>
      <c r="G1003" s="0" t="n">
        <v>278</v>
      </c>
      <c r="H1003" s="0" t="n">
        <f aca="false">H281</f>
        <v>0</v>
      </c>
      <c r="K1003" s="0" t="n">
        <v>278</v>
      </c>
      <c r="L1003" s="0" t="str">
        <f aca="false">IF(L282="","",L281)</f>
        <v/>
      </c>
      <c r="M1003" s="0" t="n">
        <v>278</v>
      </c>
      <c r="N1003" s="0" t="n">
        <f aca="false">N281</f>
        <v>0</v>
      </c>
    </row>
    <row r="1004" customFormat="false" ht="15" hidden="false" customHeight="false" outlineLevel="0" collapsed="false">
      <c r="E1004" s="0" t="n">
        <v>279</v>
      </c>
      <c r="F1004" s="0" t="str">
        <f aca="false">IF(F283="","",F282)</f>
        <v/>
      </c>
      <c r="G1004" s="0" t="n">
        <v>279</v>
      </c>
      <c r="H1004" s="0" t="n">
        <f aca="false">H282</f>
        <v>0</v>
      </c>
      <c r="K1004" s="0" t="n">
        <v>279</v>
      </c>
      <c r="L1004" s="0" t="str">
        <f aca="false">IF(L283="","",L282)</f>
        <v/>
      </c>
      <c r="M1004" s="0" t="n">
        <v>279</v>
      </c>
      <c r="N1004" s="0" t="n">
        <f aca="false">N282</f>
        <v>0</v>
      </c>
    </row>
    <row r="1005" customFormat="false" ht="15" hidden="false" customHeight="false" outlineLevel="0" collapsed="false">
      <c r="E1005" s="0" t="n">
        <v>280</v>
      </c>
      <c r="F1005" s="0" t="str">
        <f aca="false">IF(F284="","",F283)</f>
        <v/>
      </c>
      <c r="G1005" s="0" t="n">
        <v>280</v>
      </c>
      <c r="H1005" s="0" t="n">
        <f aca="false">H283</f>
        <v>0</v>
      </c>
      <c r="K1005" s="0" t="n">
        <v>280</v>
      </c>
      <c r="L1005" s="0" t="str">
        <f aca="false">IF(L284="","",L283)</f>
        <v/>
      </c>
      <c r="M1005" s="0" t="n">
        <v>280</v>
      </c>
      <c r="N1005" s="0" t="n">
        <f aca="false">N283</f>
        <v>0</v>
      </c>
    </row>
    <row r="1006" customFormat="false" ht="15" hidden="false" customHeight="false" outlineLevel="0" collapsed="false">
      <c r="E1006" s="0" t="n">
        <v>281</v>
      </c>
      <c r="F1006" s="0" t="str">
        <f aca="false">IF(F285="","",F284)</f>
        <v/>
      </c>
      <c r="G1006" s="0" t="n">
        <v>281</v>
      </c>
      <c r="H1006" s="0" t="n">
        <f aca="false">H284</f>
        <v>0</v>
      </c>
      <c r="K1006" s="0" t="n">
        <v>281</v>
      </c>
      <c r="L1006" s="0" t="str">
        <f aca="false">IF(L285="","",L284)</f>
        <v/>
      </c>
      <c r="M1006" s="0" t="n">
        <v>281</v>
      </c>
      <c r="N1006" s="0" t="n">
        <f aca="false">N284</f>
        <v>0</v>
      </c>
    </row>
    <row r="1007" customFormat="false" ht="15" hidden="false" customHeight="false" outlineLevel="0" collapsed="false">
      <c r="E1007" s="0" t="n">
        <v>282</v>
      </c>
      <c r="F1007" s="0" t="str">
        <f aca="false">IF(F286="","",F285)</f>
        <v/>
      </c>
      <c r="G1007" s="0" t="n">
        <v>282</v>
      </c>
      <c r="H1007" s="0" t="n">
        <f aca="false">H285</f>
        <v>0</v>
      </c>
      <c r="K1007" s="0" t="n">
        <v>282</v>
      </c>
      <c r="L1007" s="0" t="str">
        <f aca="false">IF(L286="","",L285)</f>
        <v/>
      </c>
      <c r="M1007" s="0" t="n">
        <v>282</v>
      </c>
      <c r="N1007" s="0" t="n">
        <f aca="false">N285</f>
        <v>0</v>
      </c>
    </row>
    <row r="1008" customFormat="false" ht="15" hidden="false" customHeight="false" outlineLevel="0" collapsed="false">
      <c r="E1008" s="0" t="n">
        <v>283</v>
      </c>
      <c r="F1008" s="0" t="str">
        <f aca="false">IF(F287="","",F286)</f>
        <v/>
      </c>
      <c r="G1008" s="0" t="n">
        <v>283</v>
      </c>
      <c r="H1008" s="0" t="n">
        <f aca="false">H286</f>
        <v>0</v>
      </c>
      <c r="K1008" s="0" t="n">
        <v>283</v>
      </c>
      <c r="L1008" s="0" t="str">
        <f aca="false">IF(L287="","",L286)</f>
        <v/>
      </c>
      <c r="M1008" s="0" t="n">
        <v>283</v>
      </c>
      <c r="N1008" s="0" t="n">
        <f aca="false">N286</f>
        <v>0</v>
      </c>
    </row>
    <row r="1009" customFormat="false" ht="15" hidden="false" customHeight="false" outlineLevel="0" collapsed="false">
      <c r="E1009" s="0" t="n">
        <v>284</v>
      </c>
      <c r="F1009" s="0" t="str">
        <f aca="false">IF(F288="","",F287)</f>
        <v/>
      </c>
      <c r="G1009" s="0" t="n">
        <v>284</v>
      </c>
      <c r="H1009" s="0" t="n">
        <f aca="false">H287</f>
        <v>0</v>
      </c>
      <c r="K1009" s="0" t="n">
        <v>284</v>
      </c>
      <c r="L1009" s="0" t="str">
        <f aca="false">IF(L288="","",L287)</f>
        <v/>
      </c>
      <c r="M1009" s="0" t="n">
        <v>284</v>
      </c>
      <c r="N1009" s="0" t="n">
        <f aca="false">N287</f>
        <v>0</v>
      </c>
    </row>
    <row r="1010" customFormat="false" ht="15" hidden="false" customHeight="false" outlineLevel="0" collapsed="false">
      <c r="E1010" s="0" t="n">
        <v>285</v>
      </c>
      <c r="F1010" s="0" t="str">
        <f aca="false">IF(F289="","",F288)</f>
        <v/>
      </c>
      <c r="G1010" s="0" t="n">
        <v>285</v>
      </c>
      <c r="H1010" s="0" t="n">
        <f aca="false">H288</f>
        <v>0</v>
      </c>
      <c r="K1010" s="0" t="n">
        <v>285</v>
      </c>
      <c r="L1010" s="0" t="str">
        <f aca="false">IF(L289="","",L288)</f>
        <v/>
      </c>
      <c r="M1010" s="0" t="n">
        <v>285</v>
      </c>
      <c r="N1010" s="0" t="n">
        <f aca="false">N288</f>
        <v>0</v>
      </c>
    </row>
    <row r="1011" customFormat="false" ht="15" hidden="false" customHeight="false" outlineLevel="0" collapsed="false">
      <c r="E1011" s="0" t="n">
        <v>286</v>
      </c>
      <c r="F1011" s="0" t="str">
        <f aca="false">IF(F290="","",F289)</f>
        <v/>
      </c>
      <c r="G1011" s="0" t="n">
        <v>286</v>
      </c>
      <c r="H1011" s="0" t="n">
        <f aca="false">H289</f>
        <v>0</v>
      </c>
      <c r="K1011" s="0" t="n">
        <v>286</v>
      </c>
      <c r="L1011" s="0" t="str">
        <f aca="false">IF(L290="","",L289)</f>
        <v/>
      </c>
      <c r="M1011" s="0" t="n">
        <v>286</v>
      </c>
      <c r="N1011" s="0" t="n">
        <f aca="false">N289</f>
        <v>0</v>
      </c>
    </row>
    <row r="1012" customFormat="false" ht="15" hidden="false" customHeight="false" outlineLevel="0" collapsed="false">
      <c r="E1012" s="0" t="n">
        <v>287</v>
      </c>
      <c r="F1012" s="0" t="str">
        <f aca="false">IF(F291="","",F290)</f>
        <v/>
      </c>
      <c r="G1012" s="0" t="n">
        <v>287</v>
      </c>
      <c r="H1012" s="0" t="n">
        <f aca="false">H290</f>
        <v>0</v>
      </c>
      <c r="K1012" s="0" t="n">
        <v>287</v>
      </c>
      <c r="L1012" s="0" t="str">
        <f aca="false">IF(L291="","",L290)</f>
        <v/>
      </c>
      <c r="M1012" s="0" t="n">
        <v>287</v>
      </c>
      <c r="N1012" s="0" t="n">
        <f aca="false">N290</f>
        <v>0</v>
      </c>
    </row>
    <row r="1013" customFormat="false" ht="15" hidden="false" customHeight="false" outlineLevel="0" collapsed="false">
      <c r="E1013" s="0" t="n">
        <v>288</v>
      </c>
      <c r="F1013" s="0" t="str">
        <f aca="false">IF(F292="","",F291)</f>
        <v/>
      </c>
      <c r="G1013" s="0" t="n">
        <v>288</v>
      </c>
      <c r="H1013" s="0" t="n">
        <f aca="false">H291</f>
        <v>0</v>
      </c>
      <c r="K1013" s="0" t="n">
        <v>288</v>
      </c>
      <c r="L1013" s="0" t="str">
        <f aca="false">IF(L292="","",L291)</f>
        <v/>
      </c>
      <c r="M1013" s="0" t="n">
        <v>288</v>
      </c>
      <c r="N1013" s="0" t="n">
        <f aca="false">N291</f>
        <v>0</v>
      </c>
    </row>
    <row r="1014" customFormat="false" ht="15" hidden="false" customHeight="false" outlineLevel="0" collapsed="false">
      <c r="E1014" s="0" t="n">
        <v>289</v>
      </c>
      <c r="F1014" s="0" t="str">
        <f aca="false">IF(F293="","",F292)</f>
        <v/>
      </c>
      <c r="G1014" s="0" t="n">
        <v>289</v>
      </c>
      <c r="H1014" s="0" t="n">
        <f aca="false">H292</f>
        <v>0</v>
      </c>
      <c r="K1014" s="0" t="n">
        <v>289</v>
      </c>
      <c r="L1014" s="0" t="str">
        <f aca="false">IF(L293="","",L292)</f>
        <v/>
      </c>
      <c r="M1014" s="0" t="n">
        <v>289</v>
      </c>
      <c r="N1014" s="0" t="n">
        <f aca="false">N292</f>
        <v>0</v>
      </c>
    </row>
    <row r="1015" customFormat="false" ht="15" hidden="false" customHeight="false" outlineLevel="0" collapsed="false">
      <c r="E1015" s="0" t="n">
        <v>290</v>
      </c>
      <c r="F1015" s="0" t="str">
        <f aca="false">IF(F294="","",F293)</f>
        <v/>
      </c>
      <c r="G1015" s="0" t="n">
        <v>290</v>
      </c>
      <c r="H1015" s="0" t="n">
        <f aca="false">H293</f>
        <v>0</v>
      </c>
      <c r="K1015" s="0" t="n">
        <v>290</v>
      </c>
      <c r="L1015" s="0" t="str">
        <f aca="false">IF(L294="","",L293)</f>
        <v/>
      </c>
      <c r="M1015" s="0" t="n">
        <v>290</v>
      </c>
      <c r="N1015" s="0" t="n">
        <f aca="false">N293</f>
        <v>0</v>
      </c>
    </row>
    <row r="1016" customFormat="false" ht="15" hidden="false" customHeight="false" outlineLevel="0" collapsed="false">
      <c r="E1016" s="0" t="n">
        <v>291</v>
      </c>
      <c r="F1016" s="0" t="str">
        <f aca="false">IF(F295="","",F294)</f>
        <v/>
      </c>
      <c r="G1016" s="0" t="n">
        <v>291</v>
      </c>
      <c r="H1016" s="0" t="n">
        <f aca="false">H294</f>
        <v>0</v>
      </c>
      <c r="K1016" s="0" t="n">
        <v>291</v>
      </c>
      <c r="L1016" s="0" t="str">
        <f aca="false">IF(L295="","",L294)</f>
        <v/>
      </c>
      <c r="M1016" s="0" t="n">
        <v>291</v>
      </c>
      <c r="N1016" s="0" t="n">
        <f aca="false">N294</f>
        <v>0</v>
      </c>
    </row>
    <row r="1017" customFormat="false" ht="15" hidden="false" customHeight="false" outlineLevel="0" collapsed="false">
      <c r="E1017" s="0" t="n">
        <v>292</v>
      </c>
      <c r="F1017" s="0" t="str">
        <f aca="false">IF(F296="","",F295)</f>
        <v/>
      </c>
      <c r="G1017" s="0" t="n">
        <v>292</v>
      </c>
      <c r="H1017" s="0" t="n">
        <f aca="false">H295</f>
        <v>0</v>
      </c>
      <c r="K1017" s="0" t="n">
        <v>292</v>
      </c>
      <c r="L1017" s="0" t="str">
        <f aca="false">IF(L296="","",L295)</f>
        <v/>
      </c>
      <c r="M1017" s="0" t="n">
        <v>292</v>
      </c>
      <c r="N1017" s="0" t="n">
        <f aca="false">N295</f>
        <v>0</v>
      </c>
    </row>
    <row r="1018" customFormat="false" ht="15" hidden="false" customHeight="false" outlineLevel="0" collapsed="false">
      <c r="E1018" s="0" t="n">
        <v>293</v>
      </c>
      <c r="F1018" s="0" t="str">
        <f aca="false">IF(F297="","",F296)</f>
        <v/>
      </c>
      <c r="G1018" s="0" t="n">
        <v>293</v>
      </c>
      <c r="H1018" s="0" t="n">
        <f aca="false">H296</f>
        <v>0</v>
      </c>
      <c r="K1018" s="0" t="n">
        <v>293</v>
      </c>
      <c r="L1018" s="0" t="str">
        <f aca="false">IF(L297="","",L296)</f>
        <v/>
      </c>
      <c r="M1018" s="0" t="n">
        <v>293</v>
      </c>
      <c r="N1018" s="0" t="n">
        <f aca="false">N296</f>
        <v>0</v>
      </c>
    </row>
    <row r="1019" customFormat="false" ht="15" hidden="false" customHeight="false" outlineLevel="0" collapsed="false">
      <c r="E1019" s="0" t="n">
        <v>294</v>
      </c>
      <c r="F1019" s="0" t="str">
        <f aca="false">IF(F298="","",F297)</f>
        <v/>
      </c>
      <c r="G1019" s="0" t="n">
        <v>294</v>
      </c>
      <c r="H1019" s="0" t="n">
        <f aca="false">H297</f>
        <v>0</v>
      </c>
      <c r="K1019" s="0" t="n">
        <v>294</v>
      </c>
      <c r="L1019" s="0" t="str">
        <f aca="false">IF(L298="","",L297)</f>
        <v/>
      </c>
      <c r="M1019" s="0" t="n">
        <v>294</v>
      </c>
      <c r="N1019" s="0" t="n">
        <f aca="false">N297</f>
        <v>0</v>
      </c>
    </row>
    <row r="1020" customFormat="false" ht="15" hidden="false" customHeight="false" outlineLevel="0" collapsed="false">
      <c r="E1020" s="0" t="n">
        <v>295</v>
      </c>
      <c r="F1020" s="0" t="str">
        <f aca="false">IF(F299="","",F298)</f>
        <v/>
      </c>
      <c r="G1020" s="0" t="n">
        <v>295</v>
      </c>
      <c r="H1020" s="0" t="n">
        <f aca="false">H298</f>
        <v>0</v>
      </c>
      <c r="K1020" s="0" t="n">
        <v>295</v>
      </c>
      <c r="L1020" s="0" t="str">
        <f aca="false">IF(L299="","",L298)</f>
        <v/>
      </c>
      <c r="M1020" s="0" t="n">
        <v>295</v>
      </c>
      <c r="N1020" s="0" t="n">
        <f aca="false">N298</f>
        <v>0</v>
      </c>
    </row>
    <row r="1021" customFormat="false" ht="15" hidden="false" customHeight="false" outlineLevel="0" collapsed="false">
      <c r="E1021" s="0" t="n">
        <v>296</v>
      </c>
      <c r="F1021" s="0" t="str">
        <f aca="false">IF(F300="","",F299)</f>
        <v/>
      </c>
      <c r="G1021" s="0" t="n">
        <v>296</v>
      </c>
      <c r="H1021" s="0" t="n">
        <f aca="false">H299</f>
        <v>0</v>
      </c>
      <c r="K1021" s="0" t="n">
        <v>296</v>
      </c>
      <c r="L1021" s="0" t="str">
        <f aca="false">IF(L300="","",L299)</f>
        <v/>
      </c>
      <c r="M1021" s="0" t="n">
        <v>296</v>
      </c>
      <c r="N1021" s="0" t="n">
        <f aca="false">N299</f>
        <v>0</v>
      </c>
    </row>
    <row r="1022" customFormat="false" ht="15" hidden="false" customHeight="false" outlineLevel="0" collapsed="false">
      <c r="E1022" s="0" t="n">
        <v>297</v>
      </c>
      <c r="F1022" s="0" t="str">
        <f aca="false">IF(F301="","",F300)</f>
        <v/>
      </c>
      <c r="G1022" s="0" t="n">
        <v>297</v>
      </c>
      <c r="H1022" s="0" t="n">
        <f aca="false">H300</f>
        <v>0</v>
      </c>
      <c r="K1022" s="0" t="n">
        <v>297</v>
      </c>
      <c r="L1022" s="0" t="str">
        <f aca="false">IF(L301="","",L300)</f>
        <v/>
      </c>
      <c r="M1022" s="0" t="n">
        <v>297</v>
      </c>
      <c r="N1022" s="0" t="n">
        <f aca="false">N300</f>
        <v>0</v>
      </c>
    </row>
    <row r="1023" customFormat="false" ht="15" hidden="false" customHeight="false" outlineLevel="0" collapsed="false">
      <c r="E1023" s="0" t="n">
        <v>298</v>
      </c>
      <c r="F1023" s="0" t="str">
        <f aca="false">IF(F302="","",F301)</f>
        <v/>
      </c>
      <c r="G1023" s="0" t="n">
        <v>298</v>
      </c>
      <c r="H1023" s="0" t="n">
        <f aca="false">H301</f>
        <v>0</v>
      </c>
      <c r="K1023" s="0" t="n">
        <v>298</v>
      </c>
      <c r="L1023" s="0" t="str">
        <f aca="false">IF(L302="","",L301)</f>
        <v/>
      </c>
      <c r="M1023" s="0" t="n">
        <v>298</v>
      </c>
      <c r="N1023" s="0" t="n">
        <f aca="false">N301</f>
        <v>0</v>
      </c>
    </row>
    <row r="1024" customFormat="false" ht="15" hidden="false" customHeight="false" outlineLevel="0" collapsed="false">
      <c r="E1024" s="0" t="n">
        <v>299</v>
      </c>
      <c r="F1024" s="0" t="str">
        <f aca="false">IF(F303="","",F302)</f>
        <v/>
      </c>
      <c r="G1024" s="0" t="n">
        <v>299</v>
      </c>
      <c r="H1024" s="0" t="n">
        <f aca="false">H302</f>
        <v>0</v>
      </c>
      <c r="K1024" s="0" t="n">
        <v>299</v>
      </c>
      <c r="L1024" s="0" t="str">
        <f aca="false">IF(L303="","",L302)</f>
        <v/>
      </c>
      <c r="M1024" s="0" t="n">
        <v>299</v>
      </c>
      <c r="N1024" s="0" t="n">
        <f aca="false">N302</f>
        <v>0</v>
      </c>
    </row>
    <row r="1025" customFormat="false" ht="15" hidden="false" customHeight="false" outlineLevel="0" collapsed="false">
      <c r="E1025" s="0" t="n">
        <v>300</v>
      </c>
      <c r="F1025" s="0" t="str">
        <f aca="false">IF(F304="","",F303)</f>
        <v/>
      </c>
      <c r="G1025" s="0" t="n">
        <v>300</v>
      </c>
      <c r="H1025" s="0" t="n">
        <f aca="false">H303</f>
        <v>0</v>
      </c>
      <c r="K1025" s="0" t="n">
        <v>300</v>
      </c>
      <c r="L1025" s="0" t="str">
        <f aca="false">IF(L304="","",L303)</f>
        <v/>
      </c>
      <c r="M1025" s="0" t="n">
        <v>300</v>
      </c>
      <c r="N1025" s="0" t="n">
        <f aca="false">N303</f>
        <v>0</v>
      </c>
    </row>
    <row r="1026" customFormat="false" ht="15" hidden="false" customHeight="false" outlineLevel="0" collapsed="false">
      <c r="E1026" s="0" t="n">
        <v>301</v>
      </c>
      <c r="F1026" s="0" t="str">
        <f aca="false">IF(F305="","",F304)</f>
        <v/>
      </c>
      <c r="G1026" s="0" t="n">
        <v>301</v>
      </c>
      <c r="H1026" s="0" t="n">
        <f aca="false">H304</f>
        <v>0</v>
      </c>
      <c r="K1026" s="0" t="n">
        <v>301</v>
      </c>
      <c r="L1026" s="0" t="str">
        <f aca="false">IF(L305="","",L304)</f>
        <v/>
      </c>
      <c r="M1026" s="0" t="n">
        <v>301</v>
      </c>
      <c r="N1026" s="0" t="n">
        <f aca="false">N304</f>
        <v>0</v>
      </c>
    </row>
    <row r="1027" customFormat="false" ht="15" hidden="false" customHeight="false" outlineLevel="0" collapsed="false">
      <c r="E1027" s="0" t="n">
        <v>302</v>
      </c>
      <c r="F1027" s="0" t="str">
        <f aca="false">IF(F306="","",F305)</f>
        <v/>
      </c>
      <c r="G1027" s="0" t="n">
        <v>302</v>
      </c>
      <c r="H1027" s="0" t="n">
        <f aca="false">H305</f>
        <v>0</v>
      </c>
      <c r="K1027" s="0" t="n">
        <v>302</v>
      </c>
      <c r="L1027" s="0" t="str">
        <f aca="false">IF(L306="","",L305)</f>
        <v/>
      </c>
      <c r="M1027" s="0" t="n">
        <v>302</v>
      </c>
      <c r="N1027" s="0" t="n">
        <f aca="false">N305</f>
        <v>0</v>
      </c>
    </row>
    <row r="1028" customFormat="false" ht="15" hidden="false" customHeight="false" outlineLevel="0" collapsed="false">
      <c r="E1028" s="0" t="n">
        <v>303</v>
      </c>
      <c r="F1028" s="0" t="str">
        <f aca="false">IF(F307="","",F306)</f>
        <v/>
      </c>
      <c r="G1028" s="0" t="n">
        <v>303</v>
      </c>
      <c r="H1028" s="0" t="n">
        <f aca="false">H306</f>
        <v>0</v>
      </c>
      <c r="K1028" s="0" t="n">
        <v>303</v>
      </c>
      <c r="L1028" s="0" t="str">
        <f aca="false">IF(L307="","",L306)</f>
        <v/>
      </c>
      <c r="M1028" s="0" t="n">
        <v>303</v>
      </c>
      <c r="N1028" s="0" t="n">
        <f aca="false">N306</f>
        <v>0</v>
      </c>
    </row>
    <row r="1029" customFormat="false" ht="15" hidden="false" customHeight="false" outlineLevel="0" collapsed="false">
      <c r="E1029" s="0" t="n">
        <v>304</v>
      </c>
      <c r="F1029" s="0" t="str">
        <f aca="false">IF(F308="","",F307)</f>
        <v/>
      </c>
      <c r="G1029" s="0" t="n">
        <v>304</v>
      </c>
      <c r="H1029" s="0" t="n">
        <f aca="false">H307</f>
        <v>0</v>
      </c>
      <c r="K1029" s="0" t="n">
        <v>304</v>
      </c>
      <c r="L1029" s="0" t="str">
        <f aca="false">IF(L308="","",L307)</f>
        <v/>
      </c>
      <c r="M1029" s="0" t="n">
        <v>304</v>
      </c>
      <c r="N1029" s="0" t="n">
        <f aca="false">N307</f>
        <v>0</v>
      </c>
    </row>
    <row r="1030" customFormat="false" ht="15" hidden="false" customHeight="false" outlineLevel="0" collapsed="false">
      <c r="E1030" s="0" t="n">
        <v>305</v>
      </c>
      <c r="F1030" s="0" t="str">
        <f aca="false">IF(F309="","",F308)</f>
        <v/>
      </c>
      <c r="G1030" s="0" t="n">
        <v>305</v>
      </c>
      <c r="H1030" s="0" t="n">
        <f aca="false">H308</f>
        <v>0</v>
      </c>
      <c r="K1030" s="0" t="n">
        <v>305</v>
      </c>
      <c r="L1030" s="0" t="str">
        <f aca="false">IF(L309="","",L308)</f>
        <v/>
      </c>
      <c r="M1030" s="0" t="n">
        <v>305</v>
      </c>
      <c r="N1030" s="0" t="n">
        <f aca="false">N308</f>
        <v>0</v>
      </c>
    </row>
    <row r="1031" customFormat="false" ht="15" hidden="false" customHeight="false" outlineLevel="0" collapsed="false">
      <c r="E1031" s="0" t="n">
        <v>306</v>
      </c>
      <c r="F1031" s="0" t="str">
        <f aca="false">IF(F310="","",F309)</f>
        <v/>
      </c>
      <c r="G1031" s="0" t="n">
        <v>306</v>
      </c>
      <c r="H1031" s="0" t="n">
        <f aca="false">H309</f>
        <v>0</v>
      </c>
      <c r="K1031" s="0" t="n">
        <v>306</v>
      </c>
      <c r="L1031" s="0" t="str">
        <f aca="false">IF(L310="","",L309)</f>
        <v/>
      </c>
      <c r="M1031" s="0" t="n">
        <v>306</v>
      </c>
      <c r="N1031" s="0" t="n">
        <f aca="false">N309</f>
        <v>0</v>
      </c>
    </row>
    <row r="1032" customFormat="false" ht="15" hidden="false" customHeight="false" outlineLevel="0" collapsed="false">
      <c r="E1032" s="0" t="n">
        <v>307</v>
      </c>
      <c r="F1032" s="0" t="str">
        <f aca="false">IF(F311="","",F310)</f>
        <v/>
      </c>
      <c r="G1032" s="0" t="n">
        <v>307</v>
      </c>
      <c r="H1032" s="0" t="n">
        <f aca="false">H310</f>
        <v>0</v>
      </c>
      <c r="K1032" s="0" t="n">
        <v>307</v>
      </c>
      <c r="L1032" s="0" t="str">
        <f aca="false">IF(L311="","",L310)</f>
        <v/>
      </c>
      <c r="M1032" s="0" t="n">
        <v>307</v>
      </c>
      <c r="N1032" s="0" t="n">
        <f aca="false">N310</f>
        <v>0</v>
      </c>
    </row>
    <row r="1033" customFormat="false" ht="15" hidden="false" customHeight="false" outlineLevel="0" collapsed="false">
      <c r="E1033" s="0" t="n">
        <v>308</v>
      </c>
      <c r="F1033" s="0" t="str">
        <f aca="false">IF(F312="","",F311)</f>
        <v/>
      </c>
      <c r="G1033" s="0" t="n">
        <v>308</v>
      </c>
      <c r="H1033" s="0" t="n">
        <f aca="false">H311</f>
        <v>0</v>
      </c>
      <c r="K1033" s="0" t="n">
        <v>308</v>
      </c>
      <c r="L1033" s="0" t="str">
        <f aca="false">IF(L312="","",L311)</f>
        <v/>
      </c>
      <c r="M1033" s="0" t="n">
        <v>308</v>
      </c>
      <c r="N1033" s="0" t="n">
        <f aca="false">N311</f>
        <v>0</v>
      </c>
    </row>
    <row r="1034" customFormat="false" ht="15" hidden="false" customHeight="false" outlineLevel="0" collapsed="false">
      <c r="E1034" s="0" t="n">
        <v>309</v>
      </c>
      <c r="F1034" s="0" t="str">
        <f aca="false">IF(F313="","",F312)</f>
        <v/>
      </c>
      <c r="G1034" s="0" t="n">
        <v>309</v>
      </c>
      <c r="H1034" s="0" t="n">
        <f aca="false">H312</f>
        <v>0</v>
      </c>
      <c r="K1034" s="0" t="n">
        <v>309</v>
      </c>
      <c r="L1034" s="0" t="str">
        <f aca="false">IF(L313="","",L312)</f>
        <v/>
      </c>
      <c r="M1034" s="0" t="n">
        <v>309</v>
      </c>
      <c r="N1034" s="0" t="n">
        <f aca="false">N312</f>
        <v>0</v>
      </c>
    </row>
    <row r="1035" customFormat="false" ht="15" hidden="false" customHeight="false" outlineLevel="0" collapsed="false">
      <c r="E1035" s="0" t="n">
        <v>310</v>
      </c>
      <c r="F1035" s="0" t="str">
        <f aca="false">IF(F314="","",F313)</f>
        <v/>
      </c>
      <c r="G1035" s="0" t="n">
        <v>310</v>
      </c>
      <c r="H1035" s="0" t="n">
        <f aca="false">H313</f>
        <v>0</v>
      </c>
      <c r="K1035" s="0" t="n">
        <v>310</v>
      </c>
      <c r="L1035" s="0" t="str">
        <f aca="false">IF(L314="","",L313)</f>
        <v/>
      </c>
      <c r="M1035" s="0" t="n">
        <v>310</v>
      </c>
      <c r="N1035" s="0" t="n">
        <f aca="false">N313</f>
        <v>0</v>
      </c>
    </row>
    <row r="1036" customFormat="false" ht="15" hidden="false" customHeight="false" outlineLevel="0" collapsed="false">
      <c r="E1036" s="0" t="n">
        <v>311</v>
      </c>
      <c r="F1036" s="0" t="str">
        <f aca="false">IF(F315="","",F314)</f>
        <v/>
      </c>
      <c r="G1036" s="0" t="n">
        <v>311</v>
      </c>
      <c r="H1036" s="0" t="n">
        <f aca="false">H314</f>
        <v>0</v>
      </c>
      <c r="K1036" s="0" t="n">
        <v>311</v>
      </c>
      <c r="L1036" s="0" t="str">
        <f aca="false">IF(L315="","",L314)</f>
        <v/>
      </c>
      <c r="M1036" s="0" t="n">
        <v>311</v>
      </c>
      <c r="N1036" s="0" t="n">
        <f aca="false">N314</f>
        <v>0</v>
      </c>
    </row>
    <row r="1037" customFormat="false" ht="15" hidden="false" customHeight="false" outlineLevel="0" collapsed="false">
      <c r="E1037" s="0" t="n">
        <v>312</v>
      </c>
      <c r="F1037" s="0" t="str">
        <f aca="false">IF(F316="","",F315)</f>
        <v/>
      </c>
      <c r="G1037" s="0" t="n">
        <v>312</v>
      </c>
      <c r="H1037" s="0" t="n">
        <f aca="false">H315</f>
        <v>0</v>
      </c>
      <c r="K1037" s="0" t="n">
        <v>312</v>
      </c>
      <c r="L1037" s="0" t="str">
        <f aca="false">IF(L316="","",L315)</f>
        <v/>
      </c>
      <c r="M1037" s="0" t="n">
        <v>312</v>
      </c>
      <c r="N1037" s="0" t="n">
        <f aca="false">N315</f>
        <v>0</v>
      </c>
    </row>
    <row r="1038" customFormat="false" ht="15" hidden="false" customHeight="false" outlineLevel="0" collapsed="false">
      <c r="E1038" s="0" t="n">
        <v>313</v>
      </c>
      <c r="F1038" s="0" t="str">
        <f aca="false">IF(F317="","",F316)</f>
        <v/>
      </c>
      <c r="G1038" s="0" t="n">
        <v>313</v>
      </c>
      <c r="H1038" s="0" t="n">
        <f aca="false">H316</f>
        <v>0</v>
      </c>
      <c r="K1038" s="0" t="n">
        <v>313</v>
      </c>
      <c r="L1038" s="0" t="str">
        <f aca="false">IF(L317="","",L316)</f>
        <v/>
      </c>
      <c r="M1038" s="0" t="n">
        <v>313</v>
      </c>
      <c r="N1038" s="0" t="n">
        <f aca="false">N316</f>
        <v>0</v>
      </c>
    </row>
    <row r="1039" customFormat="false" ht="15" hidden="false" customHeight="false" outlineLevel="0" collapsed="false">
      <c r="E1039" s="0" t="n">
        <v>314</v>
      </c>
      <c r="F1039" s="0" t="str">
        <f aca="false">IF(F318="","",F317)</f>
        <v/>
      </c>
      <c r="G1039" s="0" t="n">
        <v>314</v>
      </c>
      <c r="H1039" s="0" t="n">
        <f aca="false">H317</f>
        <v>0</v>
      </c>
      <c r="K1039" s="0" t="n">
        <v>314</v>
      </c>
      <c r="L1039" s="0" t="str">
        <f aca="false">IF(L318="","",L317)</f>
        <v/>
      </c>
      <c r="M1039" s="0" t="n">
        <v>314</v>
      </c>
      <c r="N1039" s="0" t="n">
        <f aca="false">N317</f>
        <v>0</v>
      </c>
    </row>
    <row r="1040" customFormat="false" ht="15" hidden="false" customHeight="false" outlineLevel="0" collapsed="false">
      <c r="E1040" s="0" t="n">
        <v>315</v>
      </c>
      <c r="F1040" s="0" t="str">
        <f aca="false">IF(F319="","",F318)</f>
        <v/>
      </c>
      <c r="G1040" s="0" t="n">
        <v>315</v>
      </c>
      <c r="H1040" s="0" t="n">
        <f aca="false">H318</f>
        <v>0</v>
      </c>
      <c r="K1040" s="0" t="n">
        <v>315</v>
      </c>
      <c r="L1040" s="0" t="str">
        <f aca="false">IF(L319="","",L318)</f>
        <v/>
      </c>
      <c r="M1040" s="0" t="n">
        <v>315</v>
      </c>
      <c r="N1040" s="0" t="n">
        <f aca="false">N318</f>
        <v>0</v>
      </c>
    </row>
    <row r="1041" customFormat="false" ht="15" hidden="false" customHeight="false" outlineLevel="0" collapsed="false">
      <c r="E1041" s="0" t="n">
        <v>316</v>
      </c>
      <c r="F1041" s="0" t="str">
        <f aca="false">IF(F320="","",F319)</f>
        <v/>
      </c>
      <c r="G1041" s="0" t="n">
        <v>316</v>
      </c>
      <c r="H1041" s="0" t="n">
        <f aca="false">H319</f>
        <v>0</v>
      </c>
      <c r="K1041" s="0" t="n">
        <v>316</v>
      </c>
      <c r="L1041" s="0" t="str">
        <f aca="false">IF(L320="","",L319)</f>
        <v/>
      </c>
      <c r="M1041" s="0" t="n">
        <v>316</v>
      </c>
      <c r="N1041" s="0" t="n">
        <f aca="false">N319</f>
        <v>0</v>
      </c>
    </row>
    <row r="1042" customFormat="false" ht="15" hidden="false" customHeight="false" outlineLevel="0" collapsed="false">
      <c r="E1042" s="0" t="n">
        <v>317</v>
      </c>
      <c r="F1042" s="0" t="str">
        <f aca="false">IF(F321="","",F320)</f>
        <v/>
      </c>
      <c r="G1042" s="0" t="n">
        <v>317</v>
      </c>
      <c r="H1042" s="0" t="n">
        <f aca="false">H320</f>
        <v>0</v>
      </c>
      <c r="K1042" s="0" t="n">
        <v>317</v>
      </c>
      <c r="L1042" s="0" t="str">
        <f aca="false">IF(L321="","",L320)</f>
        <v/>
      </c>
      <c r="M1042" s="0" t="n">
        <v>317</v>
      </c>
      <c r="N1042" s="0" t="n">
        <f aca="false">N320</f>
        <v>0</v>
      </c>
    </row>
    <row r="1043" customFormat="false" ht="15" hidden="false" customHeight="false" outlineLevel="0" collapsed="false">
      <c r="E1043" s="0" t="n">
        <v>318</v>
      </c>
      <c r="F1043" s="0" t="str">
        <f aca="false">IF(F322="","",F321)</f>
        <v/>
      </c>
      <c r="G1043" s="0" t="n">
        <v>318</v>
      </c>
      <c r="H1043" s="0" t="n">
        <f aca="false">H321</f>
        <v>0</v>
      </c>
      <c r="K1043" s="0" t="n">
        <v>318</v>
      </c>
      <c r="L1043" s="0" t="str">
        <f aca="false">IF(L322="","",L321)</f>
        <v/>
      </c>
      <c r="M1043" s="0" t="n">
        <v>318</v>
      </c>
      <c r="N1043" s="0" t="n">
        <f aca="false">N321</f>
        <v>0</v>
      </c>
    </row>
    <row r="1044" customFormat="false" ht="15" hidden="false" customHeight="false" outlineLevel="0" collapsed="false">
      <c r="E1044" s="0" t="n">
        <v>319</v>
      </c>
      <c r="F1044" s="0" t="str">
        <f aca="false">IF(F323="","",F322)</f>
        <v/>
      </c>
      <c r="G1044" s="0" t="n">
        <v>319</v>
      </c>
      <c r="H1044" s="0" t="n">
        <f aca="false">H322</f>
        <v>0</v>
      </c>
      <c r="K1044" s="0" t="n">
        <v>319</v>
      </c>
      <c r="L1044" s="0" t="str">
        <f aca="false">IF(L323="","",L322)</f>
        <v/>
      </c>
      <c r="M1044" s="0" t="n">
        <v>319</v>
      </c>
      <c r="N1044" s="0" t="n">
        <f aca="false">N322</f>
        <v>0</v>
      </c>
    </row>
    <row r="1045" customFormat="false" ht="15" hidden="false" customHeight="false" outlineLevel="0" collapsed="false">
      <c r="E1045" s="0" t="n">
        <v>320</v>
      </c>
      <c r="F1045" s="0" t="str">
        <f aca="false">IF(F324="","",F323)</f>
        <v/>
      </c>
      <c r="G1045" s="0" t="n">
        <v>320</v>
      </c>
      <c r="H1045" s="0" t="n">
        <f aca="false">H323</f>
        <v>0</v>
      </c>
      <c r="K1045" s="0" t="n">
        <v>320</v>
      </c>
      <c r="L1045" s="0" t="str">
        <f aca="false">IF(L324="","",L323)</f>
        <v/>
      </c>
      <c r="M1045" s="0" t="n">
        <v>320</v>
      </c>
      <c r="N1045" s="0" t="n">
        <f aca="false">N323</f>
        <v>0</v>
      </c>
    </row>
    <row r="1046" customFormat="false" ht="15" hidden="false" customHeight="false" outlineLevel="0" collapsed="false">
      <c r="E1046" s="0" t="n">
        <v>321</v>
      </c>
      <c r="F1046" s="0" t="str">
        <f aca="false">IF(F325="","",F324)</f>
        <v/>
      </c>
      <c r="G1046" s="0" t="n">
        <v>321</v>
      </c>
      <c r="H1046" s="0" t="n">
        <f aca="false">H324</f>
        <v>0</v>
      </c>
      <c r="K1046" s="0" t="n">
        <v>321</v>
      </c>
      <c r="L1046" s="0" t="str">
        <f aca="false">IF(L325="","",L324)</f>
        <v/>
      </c>
      <c r="M1046" s="0" t="n">
        <v>321</v>
      </c>
      <c r="N1046" s="0" t="n">
        <f aca="false">N324</f>
        <v>0</v>
      </c>
    </row>
    <row r="1047" customFormat="false" ht="15" hidden="false" customHeight="false" outlineLevel="0" collapsed="false">
      <c r="E1047" s="0" t="n">
        <v>322</v>
      </c>
      <c r="F1047" s="0" t="str">
        <f aca="false">IF(F326="","",F325)</f>
        <v/>
      </c>
      <c r="G1047" s="0" t="n">
        <v>322</v>
      </c>
      <c r="H1047" s="0" t="n">
        <f aca="false">H325</f>
        <v>0</v>
      </c>
      <c r="K1047" s="0" t="n">
        <v>322</v>
      </c>
      <c r="L1047" s="0" t="str">
        <f aca="false">IF(L326="","",L325)</f>
        <v/>
      </c>
      <c r="M1047" s="0" t="n">
        <v>322</v>
      </c>
      <c r="N1047" s="0" t="n">
        <f aca="false">N325</f>
        <v>0</v>
      </c>
    </row>
    <row r="1048" customFormat="false" ht="15" hidden="false" customHeight="false" outlineLevel="0" collapsed="false">
      <c r="E1048" s="0" t="n">
        <v>323</v>
      </c>
      <c r="F1048" s="0" t="str">
        <f aca="false">IF(F327="","",F326)</f>
        <v/>
      </c>
      <c r="G1048" s="0" t="n">
        <v>323</v>
      </c>
      <c r="H1048" s="0" t="n">
        <f aca="false">H326</f>
        <v>0</v>
      </c>
      <c r="K1048" s="0" t="n">
        <v>323</v>
      </c>
      <c r="L1048" s="0" t="str">
        <f aca="false">IF(L327="","",L326)</f>
        <v/>
      </c>
      <c r="M1048" s="0" t="n">
        <v>323</v>
      </c>
      <c r="N1048" s="0" t="n">
        <f aca="false">N326</f>
        <v>0</v>
      </c>
    </row>
    <row r="1049" customFormat="false" ht="15" hidden="false" customHeight="false" outlineLevel="0" collapsed="false">
      <c r="E1049" s="0" t="n">
        <v>324</v>
      </c>
      <c r="F1049" s="0" t="str">
        <f aca="false">IF(F328="","",F327)</f>
        <v/>
      </c>
      <c r="G1049" s="0" t="n">
        <v>324</v>
      </c>
      <c r="H1049" s="0" t="n">
        <f aca="false">H327</f>
        <v>0</v>
      </c>
      <c r="K1049" s="0" t="n">
        <v>324</v>
      </c>
      <c r="L1049" s="0" t="str">
        <f aca="false">IF(L328="","",L327)</f>
        <v/>
      </c>
      <c r="M1049" s="0" t="n">
        <v>324</v>
      </c>
      <c r="N1049" s="0" t="n">
        <f aca="false">N327</f>
        <v>0</v>
      </c>
    </row>
    <row r="1050" customFormat="false" ht="15" hidden="false" customHeight="false" outlineLevel="0" collapsed="false">
      <c r="E1050" s="0" t="n">
        <v>325</v>
      </c>
      <c r="F1050" s="0" t="str">
        <f aca="false">IF(F329="","",F328)</f>
        <v/>
      </c>
      <c r="G1050" s="0" t="n">
        <v>325</v>
      </c>
      <c r="H1050" s="0" t="n">
        <f aca="false">H328</f>
        <v>0</v>
      </c>
      <c r="K1050" s="0" t="n">
        <v>325</v>
      </c>
      <c r="L1050" s="0" t="str">
        <f aca="false">IF(L329="","",L328)</f>
        <v/>
      </c>
      <c r="M1050" s="0" t="n">
        <v>325</v>
      </c>
      <c r="N1050" s="0" t="n">
        <f aca="false">N328</f>
        <v>0</v>
      </c>
    </row>
    <row r="1051" customFormat="false" ht="15" hidden="false" customHeight="false" outlineLevel="0" collapsed="false">
      <c r="E1051" s="0" t="n">
        <v>326</v>
      </c>
      <c r="F1051" s="0" t="str">
        <f aca="false">IF(F330="","",F329)</f>
        <v/>
      </c>
      <c r="G1051" s="0" t="n">
        <v>326</v>
      </c>
      <c r="H1051" s="0" t="n">
        <f aca="false">H329</f>
        <v>0</v>
      </c>
      <c r="K1051" s="0" t="n">
        <v>326</v>
      </c>
      <c r="L1051" s="0" t="str">
        <f aca="false">IF(L330="","",L329)</f>
        <v/>
      </c>
      <c r="M1051" s="0" t="n">
        <v>326</v>
      </c>
      <c r="N1051" s="0" t="n">
        <f aca="false">N329</f>
        <v>0</v>
      </c>
    </row>
    <row r="1052" customFormat="false" ht="15" hidden="false" customHeight="false" outlineLevel="0" collapsed="false">
      <c r="E1052" s="0" t="n">
        <v>327</v>
      </c>
      <c r="F1052" s="0" t="str">
        <f aca="false">IF(F331="","",F330)</f>
        <v/>
      </c>
      <c r="G1052" s="0" t="n">
        <v>327</v>
      </c>
      <c r="H1052" s="0" t="n">
        <f aca="false">H330</f>
        <v>0</v>
      </c>
      <c r="K1052" s="0" t="n">
        <v>327</v>
      </c>
      <c r="L1052" s="0" t="str">
        <f aca="false">IF(L331="","",L330)</f>
        <v/>
      </c>
      <c r="M1052" s="0" t="n">
        <v>327</v>
      </c>
      <c r="N1052" s="0" t="n">
        <f aca="false">N330</f>
        <v>0</v>
      </c>
    </row>
    <row r="1053" customFormat="false" ht="15" hidden="false" customHeight="false" outlineLevel="0" collapsed="false">
      <c r="E1053" s="0" t="n">
        <v>328</v>
      </c>
      <c r="F1053" s="0" t="str">
        <f aca="false">IF(F332="","",F331)</f>
        <v/>
      </c>
      <c r="G1053" s="0" t="n">
        <v>328</v>
      </c>
      <c r="H1053" s="0" t="n">
        <f aca="false">H331</f>
        <v>0</v>
      </c>
      <c r="K1053" s="0" t="n">
        <v>328</v>
      </c>
      <c r="L1053" s="0" t="str">
        <f aca="false">IF(L332="","",L331)</f>
        <v/>
      </c>
      <c r="M1053" s="0" t="n">
        <v>328</v>
      </c>
      <c r="N1053" s="0" t="n">
        <f aca="false">N331</f>
        <v>0</v>
      </c>
    </row>
    <row r="1054" customFormat="false" ht="15" hidden="false" customHeight="false" outlineLevel="0" collapsed="false">
      <c r="E1054" s="0" t="n">
        <v>329</v>
      </c>
      <c r="F1054" s="0" t="str">
        <f aca="false">IF(F333="","",F332)</f>
        <v/>
      </c>
      <c r="G1054" s="0" t="n">
        <v>329</v>
      </c>
      <c r="H1054" s="0" t="n">
        <f aca="false">H332</f>
        <v>0</v>
      </c>
      <c r="K1054" s="0" t="n">
        <v>329</v>
      </c>
      <c r="L1054" s="0" t="str">
        <f aca="false">IF(L333="","",L332)</f>
        <v/>
      </c>
      <c r="M1054" s="0" t="n">
        <v>329</v>
      </c>
      <c r="N1054" s="0" t="n">
        <f aca="false">N332</f>
        <v>0</v>
      </c>
    </row>
    <row r="1055" customFormat="false" ht="15" hidden="false" customHeight="false" outlineLevel="0" collapsed="false">
      <c r="E1055" s="0" t="n">
        <v>330</v>
      </c>
      <c r="F1055" s="0" t="str">
        <f aca="false">IF(F334="","",F333)</f>
        <v/>
      </c>
      <c r="G1055" s="0" t="n">
        <v>330</v>
      </c>
      <c r="H1055" s="0" t="n">
        <f aca="false">H333</f>
        <v>0</v>
      </c>
      <c r="K1055" s="0" t="n">
        <v>330</v>
      </c>
      <c r="L1055" s="0" t="str">
        <f aca="false">IF(L334="","",L333)</f>
        <v/>
      </c>
      <c r="M1055" s="0" t="n">
        <v>330</v>
      </c>
      <c r="N1055" s="0" t="n">
        <f aca="false">N333</f>
        <v>0</v>
      </c>
    </row>
    <row r="1056" customFormat="false" ht="15" hidden="false" customHeight="false" outlineLevel="0" collapsed="false">
      <c r="E1056" s="0" t="n">
        <v>331</v>
      </c>
      <c r="F1056" s="0" t="str">
        <f aca="false">IF(F335="","",F334)</f>
        <v/>
      </c>
      <c r="G1056" s="0" t="n">
        <v>331</v>
      </c>
      <c r="H1056" s="0" t="n">
        <f aca="false">H334</f>
        <v>0</v>
      </c>
      <c r="K1056" s="0" t="n">
        <v>331</v>
      </c>
      <c r="L1056" s="0" t="str">
        <f aca="false">IF(L335="","",L334)</f>
        <v/>
      </c>
      <c r="M1056" s="0" t="n">
        <v>331</v>
      </c>
      <c r="N1056" s="0" t="n">
        <f aca="false">N334</f>
        <v>0</v>
      </c>
    </row>
    <row r="1057" customFormat="false" ht="15" hidden="false" customHeight="false" outlineLevel="0" collapsed="false">
      <c r="E1057" s="0" t="n">
        <v>332</v>
      </c>
      <c r="F1057" s="0" t="str">
        <f aca="false">IF(F336="","",F335)</f>
        <v/>
      </c>
      <c r="G1057" s="0" t="n">
        <v>332</v>
      </c>
      <c r="H1057" s="0" t="n">
        <f aca="false">H335</f>
        <v>0</v>
      </c>
      <c r="K1057" s="0" t="n">
        <v>332</v>
      </c>
      <c r="L1057" s="0" t="str">
        <f aca="false">IF(L336="","",L335)</f>
        <v/>
      </c>
      <c r="M1057" s="0" t="n">
        <v>332</v>
      </c>
      <c r="N1057" s="0" t="n">
        <f aca="false">N335</f>
        <v>0</v>
      </c>
    </row>
    <row r="1058" customFormat="false" ht="15" hidden="false" customHeight="false" outlineLevel="0" collapsed="false">
      <c r="E1058" s="0" t="n">
        <v>333</v>
      </c>
      <c r="F1058" s="0" t="str">
        <f aca="false">IF(F337="","",F336)</f>
        <v/>
      </c>
      <c r="G1058" s="0" t="n">
        <v>333</v>
      </c>
      <c r="H1058" s="0" t="n">
        <f aca="false">H336</f>
        <v>0</v>
      </c>
      <c r="K1058" s="0" t="n">
        <v>333</v>
      </c>
      <c r="L1058" s="0" t="str">
        <f aca="false">IF(L337="","",L336)</f>
        <v/>
      </c>
      <c r="M1058" s="0" t="n">
        <v>333</v>
      </c>
      <c r="N1058" s="0" t="n">
        <f aca="false">N336</f>
        <v>0</v>
      </c>
    </row>
    <row r="1059" customFormat="false" ht="15" hidden="false" customHeight="false" outlineLevel="0" collapsed="false">
      <c r="E1059" s="0" t="n">
        <v>334</v>
      </c>
      <c r="F1059" s="0" t="str">
        <f aca="false">IF(F338="","",F337)</f>
        <v/>
      </c>
      <c r="G1059" s="0" t="n">
        <v>334</v>
      </c>
      <c r="H1059" s="0" t="n">
        <f aca="false">H337</f>
        <v>0</v>
      </c>
      <c r="K1059" s="0" t="n">
        <v>334</v>
      </c>
      <c r="L1059" s="0" t="str">
        <f aca="false">IF(L338="","",L337)</f>
        <v/>
      </c>
      <c r="M1059" s="0" t="n">
        <v>334</v>
      </c>
      <c r="N1059" s="0" t="n">
        <f aca="false">N337</f>
        <v>0</v>
      </c>
    </row>
    <row r="1060" customFormat="false" ht="15" hidden="false" customHeight="false" outlineLevel="0" collapsed="false">
      <c r="E1060" s="0" t="n">
        <v>335</v>
      </c>
      <c r="F1060" s="0" t="str">
        <f aca="false">IF(F339="","",F338)</f>
        <v/>
      </c>
      <c r="G1060" s="0" t="n">
        <v>335</v>
      </c>
      <c r="H1060" s="0" t="n">
        <f aca="false">H338</f>
        <v>0</v>
      </c>
      <c r="K1060" s="0" t="n">
        <v>335</v>
      </c>
      <c r="L1060" s="0" t="str">
        <f aca="false">IF(L339="","",L338)</f>
        <v/>
      </c>
      <c r="M1060" s="0" t="n">
        <v>335</v>
      </c>
      <c r="N1060" s="0" t="n">
        <f aca="false">N338</f>
        <v>0</v>
      </c>
    </row>
    <row r="1061" customFormat="false" ht="15" hidden="false" customHeight="false" outlineLevel="0" collapsed="false">
      <c r="E1061" s="0" t="n">
        <v>336</v>
      </c>
      <c r="F1061" s="0" t="str">
        <f aca="false">IF(F340="","",F339)</f>
        <v/>
      </c>
      <c r="G1061" s="0" t="n">
        <v>336</v>
      </c>
      <c r="H1061" s="0" t="n">
        <f aca="false">H339</f>
        <v>0</v>
      </c>
      <c r="K1061" s="0" t="n">
        <v>336</v>
      </c>
      <c r="L1061" s="0" t="str">
        <f aca="false">IF(L340="","",L339)</f>
        <v/>
      </c>
      <c r="M1061" s="0" t="n">
        <v>336</v>
      </c>
      <c r="N1061" s="0" t="n">
        <f aca="false">N339</f>
        <v>0</v>
      </c>
    </row>
    <row r="1062" customFormat="false" ht="15" hidden="false" customHeight="false" outlineLevel="0" collapsed="false">
      <c r="E1062" s="0" t="n">
        <v>337</v>
      </c>
      <c r="F1062" s="0" t="str">
        <f aca="false">IF(F341="","",F340)</f>
        <v/>
      </c>
      <c r="G1062" s="0" t="n">
        <v>337</v>
      </c>
      <c r="H1062" s="0" t="n">
        <f aca="false">H340</f>
        <v>0</v>
      </c>
      <c r="K1062" s="0" t="n">
        <v>337</v>
      </c>
      <c r="L1062" s="0" t="str">
        <f aca="false">IF(L341="","",L340)</f>
        <v/>
      </c>
      <c r="M1062" s="0" t="n">
        <v>337</v>
      </c>
      <c r="N1062" s="0" t="n">
        <f aca="false">N340</f>
        <v>0</v>
      </c>
    </row>
    <row r="1063" customFormat="false" ht="15" hidden="false" customHeight="false" outlineLevel="0" collapsed="false">
      <c r="E1063" s="0" t="n">
        <v>338</v>
      </c>
      <c r="F1063" s="0" t="str">
        <f aca="false">IF(F342="","",F341)</f>
        <v/>
      </c>
      <c r="G1063" s="0" t="n">
        <v>338</v>
      </c>
      <c r="H1063" s="0" t="n">
        <f aca="false">H341</f>
        <v>0</v>
      </c>
      <c r="K1063" s="0" t="n">
        <v>338</v>
      </c>
      <c r="L1063" s="0" t="str">
        <f aca="false">IF(L342="","",L341)</f>
        <v/>
      </c>
      <c r="M1063" s="0" t="n">
        <v>338</v>
      </c>
      <c r="N1063" s="0" t="n">
        <f aca="false">N341</f>
        <v>0</v>
      </c>
    </row>
    <row r="1064" customFormat="false" ht="15" hidden="false" customHeight="false" outlineLevel="0" collapsed="false">
      <c r="E1064" s="0" t="n">
        <v>339</v>
      </c>
      <c r="F1064" s="0" t="str">
        <f aca="false">IF(F343="","",F342)</f>
        <v/>
      </c>
      <c r="G1064" s="0" t="n">
        <v>339</v>
      </c>
      <c r="H1064" s="0" t="n">
        <f aca="false">H342</f>
        <v>0</v>
      </c>
      <c r="K1064" s="0" t="n">
        <v>339</v>
      </c>
      <c r="L1064" s="0" t="str">
        <f aca="false">IF(L343="","",L342)</f>
        <v/>
      </c>
      <c r="M1064" s="0" t="n">
        <v>339</v>
      </c>
      <c r="N1064" s="0" t="n">
        <f aca="false">N342</f>
        <v>0</v>
      </c>
    </row>
    <row r="1065" customFormat="false" ht="15" hidden="false" customHeight="false" outlineLevel="0" collapsed="false">
      <c r="E1065" s="0" t="n">
        <v>340</v>
      </c>
      <c r="F1065" s="0" t="str">
        <f aca="false">IF(F344="","",F343)</f>
        <v/>
      </c>
      <c r="G1065" s="0" t="n">
        <v>340</v>
      </c>
      <c r="H1065" s="0" t="n">
        <f aca="false">H343</f>
        <v>0</v>
      </c>
      <c r="K1065" s="0" t="n">
        <v>340</v>
      </c>
      <c r="L1065" s="0" t="str">
        <f aca="false">IF(L344="","",L343)</f>
        <v/>
      </c>
      <c r="M1065" s="0" t="n">
        <v>340</v>
      </c>
      <c r="N1065" s="0" t="n">
        <f aca="false">N343</f>
        <v>0</v>
      </c>
    </row>
    <row r="1066" customFormat="false" ht="15" hidden="false" customHeight="false" outlineLevel="0" collapsed="false">
      <c r="E1066" s="0" t="n">
        <v>341</v>
      </c>
      <c r="F1066" s="0" t="str">
        <f aca="false">IF(F345="","",F344)</f>
        <v/>
      </c>
      <c r="G1066" s="0" t="n">
        <v>341</v>
      </c>
      <c r="H1066" s="0" t="n">
        <f aca="false">H344</f>
        <v>0</v>
      </c>
      <c r="K1066" s="0" t="n">
        <v>341</v>
      </c>
      <c r="L1066" s="0" t="str">
        <f aca="false">IF(L345="","",L344)</f>
        <v/>
      </c>
      <c r="M1066" s="0" t="n">
        <v>341</v>
      </c>
      <c r="N1066" s="0" t="n">
        <f aca="false">N344</f>
        <v>0</v>
      </c>
    </row>
    <row r="1067" customFormat="false" ht="15" hidden="false" customHeight="false" outlineLevel="0" collapsed="false">
      <c r="E1067" s="0" t="n">
        <v>342</v>
      </c>
      <c r="F1067" s="0" t="str">
        <f aca="false">IF(F346="","",F345)</f>
        <v/>
      </c>
      <c r="G1067" s="0" t="n">
        <v>342</v>
      </c>
      <c r="H1067" s="0" t="n">
        <f aca="false">H345</f>
        <v>0</v>
      </c>
      <c r="K1067" s="0" t="n">
        <v>342</v>
      </c>
      <c r="L1067" s="0" t="str">
        <f aca="false">IF(L346="","",L345)</f>
        <v/>
      </c>
      <c r="M1067" s="0" t="n">
        <v>342</v>
      </c>
      <c r="N1067" s="0" t="n">
        <f aca="false">N345</f>
        <v>0</v>
      </c>
    </row>
    <row r="1068" customFormat="false" ht="15" hidden="false" customHeight="false" outlineLevel="0" collapsed="false">
      <c r="E1068" s="0" t="n">
        <v>343</v>
      </c>
      <c r="F1068" s="0" t="str">
        <f aca="false">IF(F347="","",F346)</f>
        <v/>
      </c>
      <c r="G1068" s="0" t="n">
        <v>343</v>
      </c>
      <c r="H1068" s="0" t="n">
        <f aca="false">H346</f>
        <v>0</v>
      </c>
      <c r="K1068" s="0" t="n">
        <v>343</v>
      </c>
      <c r="L1068" s="0" t="str">
        <f aca="false">IF(L347="","",L346)</f>
        <v/>
      </c>
      <c r="M1068" s="0" t="n">
        <v>343</v>
      </c>
      <c r="N1068" s="0" t="n">
        <f aca="false">N346</f>
        <v>0</v>
      </c>
    </row>
    <row r="1069" customFormat="false" ht="15" hidden="false" customHeight="false" outlineLevel="0" collapsed="false">
      <c r="E1069" s="0" t="n">
        <v>344</v>
      </c>
      <c r="F1069" s="0" t="str">
        <f aca="false">IF(F348="","",F347)</f>
        <v/>
      </c>
      <c r="G1069" s="0" t="n">
        <v>344</v>
      </c>
      <c r="H1069" s="0" t="n">
        <f aca="false">H347</f>
        <v>0</v>
      </c>
      <c r="K1069" s="0" t="n">
        <v>344</v>
      </c>
      <c r="L1069" s="0" t="str">
        <f aca="false">IF(L348="","",L347)</f>
        <v/>
      </c>
      <c r="M1069" s="0" t="n">
        <v>344</v>
      </c>
      <c r="N1069" s="0" t="n">
        <f aca="false">N347</f>
        <v>0</v>
      </c>
    </row>
    <row r="1070" customFormat="false" ht="15" hidden="false" customHeight="false" outlineLevel="0" collapsed="false">
      <c r="E1070" s="0" t="n">
        <v>345</v>
      </c>
      <c r="F1070" s="0" t="str">
        <f aca="false">IF(F349="","",F348)</f>
        <v/>
      </c>
      <c r="G1070" s="0" t="n">
        <v>345</v>
      </c>
      <c r="H1070" s="0" t="n">
        <f aca="false">H348</f>
        <v>0</v>
      </c>
      <c r="K1070" s="0" t="n">
        <v>345</v>
      </c>
      <c r="L1070" s="0" t="str">
        <f aca="false">IF(L349="","",L348)</f>
        <v/>
      </c>
      <c r="M1070" s="0" t="n">
        <v>345</v>
      </c>
      <c r="N1070" s="0" t="n">
        <f aca="false">N348</f>
        <v>0</v>
      </c>
    </row>
    <row r="1071" customFormat="false" ht="15" hidden="false" customHeight="false" outlineLevel="0" collapsed="false">
      <c r="E1071" s="0" t="n">
        <v>346</v>
      </c>
      <c r="F1071" s="0" t="str">
        <f aca="false">IF(F350="","",F349)</f>
        <v/>
      </c>
      <c r="G1071" s="0" t="n">
        <v>346</v>
      </c>
      <c r="H1071" s="0" t="n">
        <f aca="false">H349</f>
        <v>0</v>
      </c>
      <c r="K1071" s="0" t="n">
        <v>346</v>
      </c>
      <c r="L1071" s="0" t="str">
        <f aca="false">IF(L350="","",L349)</f>
        <v/>
      </c>
      <c r="M1071" s="0" t="n">
        <v>346</v>
      </c>
      <c r="N1071" s="0" t="n">
        <f aca="false">N349</f>
        <v>0</v>
      </c>
    </row>
    <row r="1072" customFormat="false" ht="15" hidden="false" customHeight="false" outlineLevel="0" collapsed="false">
      <c r="E1072" s="0" t="n">
        <v>347</v>
      </c>
      <c r="F1072" s="0" t="str">
        <f aca="false">IF(F351="","",F350)</f>
        <v/>
      </c>
      <c r="G1072" s="0" t="n">
        <v>347</v>
      </c>
      <c r="H1072" s="0" t="n">
        <f aca="false">H350</f>
        <v>0</v>
      </c>
      <c r="K1072" s="0" t="n">
        <v>347</v>
      </c>
      <c r="L1072" s="0" t="str">
        <f aca="false">IF(L351="","",L350)</f>
        <v/>
      </c>
      <c r="M1072" s="0" t="n">
        <v>347</v>
      </c>
      <c r="N1072" s="0" t="n">
        <f aca="false">N350</f>
        <v>0</v>
      </c>
    </row>
    <row r="1073" customFormat="false" ht="15" hidden="false" customHeight="false" outlineLevel="0" collapsed="false">
      <c r="E1073" s="0" t="n">
        <v>348</v>
      </c>
      <c r="F1073" s="0" t="str">
        <f aca="false">IF(F352="","",F351)</f>
        <v/>
      </c>
      <c r="G1073" s="0" t="n">
        <v>348</v>
      </c>
      <c r="H1073" s="0" t="n">
        <f aca="false">H351</f>
        <v>0</v>
      </c>
      <c r="K1073" s="0" t="n">
        <v>348</v>
      </c>
      <c r="L1073" s="0" t="str">
        <f aca="false">IF(L352="","",L351)</f>
        <v/>
      </c>
      <c r="M1073" s="0" t="n">
        <v>348</v>
      </c>
      <c r="N1073" s="0" t="n">
        <f aca="false">N351</f>
        <v>0</v>
      </c>
    </row>
    <row r="1074" customFormat="false" ht="15" hidden="false" customHeight="false" outlineLevel="0" collapsed="false">
      <c r="E1074" s="0" t="n">
        <v>349</v>
      </c>
      <c r="F1074" s="0" t="str">
        <f aca="false">IF(F353="","",F352)</f>
        <v/>
      </c>
      <c r="G1074" s="0" t="n">
        <v>349</v>
      </c>
      <c r="H1074" s="0" t="n">
        <f aca="false">H352</f>
        <v>0</v>
      </c>
      <c r="K1074" s="0" t="n">
        <v>349</v>
      </c>
      <c r="L1074" s="0" t="str">
        <f aca="false">IF(L353="","",L352)</f>
        <v/>
      </c>
      <c r="M1074" s="0" t="n">
        <v>349</v>
      </c>
      <c r="N1074" s="0" t="n">
        <f aca="false">N352</f>
        <v>0</v>
      </c>
    </row>
    <row r="1075" customFormat="false" ht="15" hidden="false" customHeight="false" outlineLevel="0" collapsed="false">
      <c r="E1075" s="0" t="n">
        <v>350</v>
      </c>
      <c r="F1075" s="0" t="str">
        <f aca="false">IF(F354="","",F353)</f>
        <v/>
      </c>
      <c r="G1075" s="0" t="n">
        <v>350</v>
      </c>
      <c r="H1075" s="0" t="n">
        <f aca="false">H353</f>
        <v>0</v>
      </c>
      <c r="K1075" s="0" t="n">
        <v>350</v>
      </c>
      <c r="L1075" s="0" t="str">
        <f aca="false">IF(L354="","",L353)</f>
        <v/>
      </c>
      <c r="M1075" s="0" t="n">
        <v>350</v>
      </c>
      <c r="N1075" s="0" t="n">
        <f aca="false">N353</f>
        <v>0</v>
      </c>
    </row>
    <row r="1076" customFormat="false" ht="15" hidden="false" customHeight="false" outlineLevel="0" collapsed="false">
      <c r="E1076" s="0" t="n">
        <v>351</v>
      </c>
      <c r="F1076" s="0" t="str">
        <f aca="false">IF(F355="","",F354)</f>
        <v/>
      </c>
      <c r="G1076" s="0" t="n">
        <v>351</v>
      </c>
      <c r="H1076" s="0" t="n">
        <f aca="false">H354</f>
        <v>0</v>
      </c>
      <c r="K1076" s="0" t="n">
        <v>351</v>
      </c>
      <c r="L1076" s="0" t="str">
        <f aca="false">IF(L355="","",L354)</f>
        <v/>
      </c>
      <c r="M1076" s="0" t="n">
        <v>351</v>
      </c>
      <c r="N1076" s="0" t="n">
        <f aca="false">N354</f>
        <v>0</v>
      </c>
    </row>
    <row r="1077" customFormat="false" ht="15" hidden="false" customHeight="false" outlineLevel="0" collapsed="false">
      <c r="E1077" s="0" t="n">
        <v>352</v>
      </c>
      <c r="F1077" s="0" t="str">
        <f aca="false">IF(F356="","",F355)</f>
        <v/>
      </c>
      <c r="G1077" s="0" t="n">
        <v>352</v>
      </c>
      <c r="H1077" s="0" t="n">
        <f aca="false">H355</f>
        <v>0</v>
      </c>
      <c r="K1077" s="0" t="n">
        <v>352</v>
      </c>
      <c r="L1077" s="0" t="str">
        <f aca="false">IF(L356="","",L355)</f>
        <v/>
      </c>
      <c r="M1077" s="0" t="n">
        <v>352</v>
      </c>
      <c r="N1077" s="0" t="n">
        <f aca="false">N355</f>
        <v>0</v>
      </c>
    </row>
    <row r="1078" customFormat="false" ht="15" hidden="false" customHeight="false" outlineLevel="0" collapsed="false">
      <c r="E1078" s="0" t="n">
        <v>353</v>
      </c>
      <c r="F1078" s="0" t="str">
        <f aca="false">IF(F357="","",F356)</f>
        <v/>
      </c>
      <c r="G1078" s="0" t="n">
        <v>353</v>
      </c>
      <c r="H1078" s="0" t="n">
        <f aca="false">H356</f>
        <v>0</v>
      </c>
      <c r="K1078" s="0" t="n">
        <v>353</v>
      </c>
      <c r="L1078" s="0" t="str">
        <f aca="false">IF(L357="","",L356)</f>
        <v/>
      </c>
      <c r="M1078" s="0" t="n">
        <v>353</v>
      </c>
      <c r="N1078" s="0" t="n">
        <f aca="false">N356</f>
        <v>0</v>
      </c>
    </row>
    <row r="1079" customFormat="false" ht="15" hidden="false" customHeight="false" outlineLevel="0" collapsed="false">
      <c r="E1079" s="0" t="n">
        <v>354</v>
      </c>
      <c r="F1079" s="0" t="str">
        <f aca="false">IF(F358="","",F357)</f>
        <v/>
      </c>
      <c r="G1079" s="0" t="n">
        <v>354</v>
      </c>
      <c r="H1079" s="0" t="n">
        <f aca="false">H357</f>
        <v>0</v>
      </c>
      <c r="K1079" s="0" t="n">
        <v>354</v>
      </c>
      <c r="L1079" s="0" t="str">
        <f aca="false">IF(L358="","",L357)</f>
        <v/>
      </c>
      <c r="M1079" s="0" t="n">
        <v>354</v>
      </c>
      <c r="N1079" s="0" t="n">
        <f aca="false">N357</f>
        <v>0</v>
      </c>
    </row>
    <row r="1080" customFormat="false" ht="15" hidden="false" customHeight="false" outlineLevel="0" collapsed="false">
      <c r="E1080" s="0" t="n">
        <v>355</v>
      </c>
      <c r="F1080" s="0" t="str">
        <f aca="false">IF(F359="","",F358)</f>
        <v/>
      </c>
      <c r="G1080" s="0" t="n">
        <v>355</v>
      </c>
      <c r="H1080" s="0" t="n">
        <f aca="false">H358</f>
        <v>0</v>
      </c>
      <c r="K1080" s="0" t="n">
        <v>355</v>
      </c>
      <c r="L1080" s="0" t="str">
        <f aca="false">IF(L359="","",L358)</f>
        <v/>
      </c>
      <c r="M1080" s="0" t="n">
        <v>355</v>
      </c>
      <c r="N1080" s="0" t="n">
        <f aca="false">N358</f>
        <v>0</v>
      </c>
    </row>
    <row r="1081" customFormat="false" ht="15" hidden="false" customHeight="false" outlineLevel="0" collapsed="false">
      <c r="E1081" s="0" t="n">
        <v>356</v>
      </c>
      <c r="F1081" s="0" t="str">
        <f aca="false">IF(F360="","",F359)</f>
        <v/>
      </c>
      <c r="G1081" s="0" t="n">
        <v>356</v>
      </c>
      <c r="H1081" s="0" t="n">
        <f aca="false">H359</f>
        <v>0</v>
      </c>
      <c r="K1081" s="0" t="n">
        <v>356</v>
      </c>
      <c r="L1081" s="0" t="str">
        <f aca="false">IF(L360="","",L359)</f>
        <v/>
      </c>
      <c r="M1081" s="0" t="n">
        <v>356</v>
      </c>
      <c r="N1081" s="0" t="n">
        <f aca="false">N359</f>
        <v>0</v>
      </c>
    </row>
    <row r="1082" customFormat="false" ht="15" hidden="false" customHeight="false" outlineLevel="0" collapsed="false">
      <c r="E1082" s="0" t="n">
        <v>357</v>
      </c>
      <c r="F1082" s="0" t="str">
        <f aca="false">IF(F361="","",F360)</f>
        <v/>
      </c>
      <c r="G1082" s="0" t="n">
        <v>357</v>
      </c>
      <c r="H1082" s="0" t="n">
        <f aca="false">H360</f>
        <v>0</v>
      </c>
      <c r="K1082" s="0" t="n">
        <v>357</v>
      </c>
      <c r="L1082" s="0" t="str">
        <f aca="false">IF(L361="","",L360)</f>
        <v/>
      </c>
      <c r="M1082" s="0" t="n">
        <v>357</v>
      </c>
      <c r="N1082" s="0" t="n">
        <f aca="false">N360</f>
        <v>0</v>
      </c>
    </row>
    <row r="1083" customFormat="false" ht="15" hidden="false" customHeight="false" outlineLevel="0" collapsed="false">
      <c r="E1083" s="0" t="n">
        <v>358</v>
      </c>
      <c r="F1083" s="0" t="str">
        <f aca="false">IF(F362="","",F361)</f>
        <v/>
      </c>
      <c r="G1083" s="0" t="n">
        <v>358</v>
      </c>
      <c r="H1083" s="0" t="n">
        <f aca="false">H361</f>
        <v>0</v>
      </c>
      <c r="K1083" s="0" t="n">
        <v>358</v>
      </c>
      <c r="L1083" s="0" t="str">
        <f aca="false">IF(L362="","",L361)</f>
        <v/>
      </c>
      <c r="M1083" s="0" t="n">
        <v>358</v>
      </c>
      <c r="N1083" s="0" t="n">
        <f aca="false">N361</f>
        <v>0</v>
      </c>
    </row>
    <row r="1084" customFormat="false" ht="15" hidden="false" customHeight="false" outlineLevel="0" collapsed="false">
      <c r="E1084" s="0" t="n">
        <v>359</v>
      </c>
      <c r="F1084" s="0" t="str">
        <f aca="false">IF(F363="","",F362)</f>
        <v/>
      </c>
      <c r="G1084" s="0" t="n">
        <v>359</v>
      </c>
      <c r="H1084" s="0" t="n">
        <f aca="false">H362</f>
        <v>0</v>
      </c>
      <c r="K1084" s="0" t="n">
        <v>359</v>
      </c>
      <c r="L1084" s="0" t="str">
        <f aca="false">IF(L363="","",L362)</f>
        <v/>
      </c>
      <c r="M1084" s="0" t="n">
        <v>359</v>
      </c>
      <c r="N1084" s="0" t="n">
        <f aca="false">N362</f>
        <v>0</v>
      </c>
    </row>
    <row r="1085" customFormat="false" ht="15" hidden="false" customHeight="false" outlineLevel="0" collapsed="false">
      <c r="E1085" s="0" t="n">
        <v>360</v>
      </c>
      <c r="F1085" s="0" t="str">
        <f aca="false">IF(F364="","",F363)</f>
        <v/>
      </c>
      <c r="G1085" s="0" t="n">
        <v>360</v>
      </c>
      <c r="H1085" s="0" t="n">
        <f aca="false">H363</f>
        <v>0</v>
      </c>
      <c r="K1085" s="0" t="n">
        <v>360</v>
      </c>
      <c r="L1085" s="0" t="str">
        <f aca="false">IF(L364="","",L363)</f>
        <v/>
      </c>
      <c r="M1085" s="0" t="n">
        <v>360</v>
      </c>
      <c r="N1085" s="0" t="n">
        <f aca="false">N363</f>
        <v>0</v>
      </c>
    </row>
    <row r="1086" customFormat="false" ht="15" hidden="false" customHeight="false" outlineLevel="0" collapsed="false">
      <c r="E1086" s="0" t="n">
        <v>0</v>
      </c>
      <c r="F1086" s="0" t="n">
        <v>0</v>
      </c>
      <c r="G1086" s="0" t="n">
        <v>0</v>
      </c>
      <c r="H1086" s="0" t="n">
        <v>0</v>
      </c>
      <c r="K1086" s="0" t="n">
        <v>0</v>
      </c>
      <c r="L1086" s="0" t="n">
        <v>0</v>
      </c>
      <c r="M1086" s="0" t="n">
        <v>0</v>
      </c>
      <c r="N1086" s="0" t="n">
        <v>0</v>
      </c>
    </row>
    <row r="1087" customFormat="false" ht="15" hidden="false" customHeight="false" outlineLevel="0" collapsed="false">
      <c r="E1087" s="0" t="n">
        <v>1</v>
      </c>
      <c r="F1087" s="0" t="n">
        <v>0</v>
      </c>
      <c r="G1087" s="0" t="n">
        <v>1</v>
      </c>
      <c r="H1087" s="0" t="n">
        <v>0</v>
      </c>
      <c r="K1087" s="0" t="n">
        <v>1</v>
      </c>
      <c r="L1087" s="0" t="n">
        <v>0</v>
      </c>
      <c r="M1087" s="0" t="n">
        <v>1</v>
      </c>
      <c r="N1087" s="0" t="n">
        <v>0</v>
      </c>
    </row>
    <row r="1089" customFormat="false" ht="15" hidden="false" customHeight="false" outlineLevel="0" collapsed="false">
      <c r="D1089" s="0" t="s">
        <v>409</v>
      </c>
      <c r="E1089" s="0" t="s">
        <v>403</v>
      </c>
      <c r="F1089" s="0" t="s">
        <v>405</v>
      </c>
      <c r="G1089" s="0" t="s">
        <v>403</v>
      </c>
      <c r="H1089" s="0" t="s">
        <v>406</v>
      </c>
      <c r="J1089" s="0" t="s">
        <v>409</v>
      </c>
      <c r="K1089" s="0" t="s">
        <v>403</v>
      </c>
      <c r="L1089" s="0" t="s">
        <v>405</v>
      </c>
      <c r="M1089" s="0" t="s">
        <v>403</v>
      </c>
      <c r="N1089" s="0" t="s">
        <v>406</v>
      </c>
    </row>
    <row r="1090" customFormat="false" ht="15" hidden="false" customHeight="false" outlineLevel="0" collapsed="false">
      <c r="E1090" s="0" t="n">
        <f aca="false">IFERROR(SMALL(E367:E1087,ROW()-ROW($E$1090)+1),"")</f>
        <v>0</v>
      </c>
      <c r="F1090" s="0" t="n">
        <f aca="false">IFERROR(SMALL(F367:F1087,ROW()-ROW($F$1090)+1),"")</f>
        <v>0</v>
      </c>
      <c r="G1090" s="0" t="n">
        <f aca="false">IFERROR(SMALL(G367:G1087,ROW()-ROW($G$1090)+1),"")</f>
        <v>0</v>
      </c>
      <c r="H1090" s="0" t="n">
        <f aca="false">IFERROR(SMALL(H367:H1087,ROW()-ROW($H$1090)+1),"")</f>
        <v>0</v>
      </c>
      <c r="K1090" s="0" t="n">
        <f aca="false">IFERROR(SMALL(K367:K1087,ROW()-ROW($K$1090)+1),"")</f>
        <v>0</v>
      </c>
      <c r="L1090" s="0" t="n">
        <f aca="false">IFERROR(SMALL(L367:L1087,ROW()-ROW($L$1090)+1),"")</f>
        <v>0</v>
      </c>
      <c r="M1090" s="0" t="n">
        <f aca="false">IFERROR(SMALL(M367:M1087,ROW()-ROW($M$1090)+1),"")</f>
        <v>0</v>
      </c>
      <c r="N1090" s="0" t="n">
        <f aca="false">IFERROR(SMALL(N367:N1087,ROW()-ROW($N$1090)+1),"")</f>
        <v>0</v>
      </c>
    </row>
    <row r="1091" customFormat="false" ht="15" hidden="false" customHeight="false" outlineLevel="0" collapsed="false">
      <c r="E1091" s="0" t="n">
        <f aca="false">IFERROR(SMALL(E367:E1087,ROW()-ROW($E$1090)+1),"")</f>
        <v>0</v>
      </c>
      <c r="F1091" s="0" t="n">
        <f aca="false">IFERROR(SMALL(F367:F1087,ROW()-ROW($F$1090)+1),"")</f>
        <v>0</v>
      </c>
      <c r="G1091" s="0" t="n">
        <f aca="false">IFERROR(SMALL(G367:G1087,ROW()-ROW($G$1090)+1),"")</f>
        <v>0</v>
      </c>
      <c r="H1091" s="0" t="n">
        <f aca="false">IFERROR(SMALL(H367:H1087,ROW()-ROW($H$1090)+1),"")</f>
        <v>0</v>
      </c>
      <c r="K1091" s="0" t="n">
        <f aca="false">IFERROR(SMALL(K367:K1087,ROW()-ROW($K$1090)+1),"")</f>
        <v>0</v>
      </c>
      <c r="L1091" s="0" t="n">
        <f aca="false">IFERROR(SMALL(L367:L1087,ROW()-ROW($L$1090)+1),"")</f>
        <v>0</v>
      </c>
      <c r="M1091" s="0" t="n">
        <f aca="false">IFERROR(SMALL(M367:M1087,ROW()-ROW($M$1090)+1),"")</f>
        <v>0</v>
      </c>
      <c r="N1091" s="0" t="n">
        <f aca="false">IFERROR(SMALL(N367:N1087,ROW()-ROW($N$1090)+1),"")</f>
        <v>0</v>
      </c>
    </row>
    <row r="1092" customFormat="false" ht="15" hidden="false" customHeight="false" outlineLevel="0" collapsed="false">
      <c r="E1092" s="0" t="n">
        <f aca="false">IFERROR(SMALL(E367:E1087,ROW()-ROW($E$1090)+1),"")</f>
        <v>0</v>
      </c>
      <c r="F1092" s="0" t="str">
        <f aca="false">IFERROR(SMALL(F367:F1087,ROW()-ROW($F$1090)+1),"")</f>
        <v/>
      </c>
      <c r="G1092" s="0" t="n">
        <f aca="false">IFERROR(SMALL(G367:G1087,ROW()-ROW($G$1090)+1),"")</f>
        <v>0</v>
      </c>
      <c r="H1092" s="0" t="n">
        <f aca="false">IFERROR(SMALL(H367:H1087,ROW()-ROW($H$1090)+1),"")</f>
        <v>0</v>
      </c>
      <c r="K1092" s="0" t="n">
        <f aca="false">IFERROR(SMALL(K367:K1087,ROW()-ROW($K$1090)+1),"")</f>
        <v>0</v>
      </c>
      <c r="L1092" s="0" t="str">
        <f aca="false">IFERROR(SMALL(L367:L1087,ROW()-ROW($L$1090)+1),"")</f>
        <v/>
      </c>
      <c r="M1092" s="0" t="n">
        <f aca="false">IFERROR(SMALL(M367:M1087,ROW()-ROW($M$1090)+1),"")</f>
        <v>0</v>
      </c>
      <c r="N1092" s="0" t="n">
        <f aca="false">IFERROR(SMALL(N367:N1087,ROW()-ROW($N$1090)+1),"")</f>
        <v>0</v>
      </c>
    </row>
    <row r="1093" customFormat="false" ht="15" hidden="false" customHeight="false" outlineLevel="0" collapsed="false">
      <c r="E1093" s="0" t="n">
        <f aca="false">IFERROR(SMALL(E367:E1087,ROW()-ROW($E$1090)+1),"")</f>
        <v>0</v>
      </c>
      <c r="F1093" s="0" t="str">
        <f aca="false">IFERROR(SMALL(F367:F1087,ROW()-ROW($F$1090)+1),"")</f>
        <v/>
      </c>
      <c r="G1093" s="0" t="n">
        <f aca="false">IFERROR(SMALL(G367:G1087,ROW()-ROW($G$1090)+1),"")</f>
        <v>0</v>
      </c>
      <c r="H1093" s="0" t="n">
        <f aca="false">IFERROR(SMALL(H367:H1087,ROW()-ROW($H$1090)+1),"")</f>
        <v>0</v>
      </c>
      <c r="K1093" s="0" t="n">
        <f aca="false">IFERROR(SMALL(K367:K1087,ROW()-ROW($K$1090)+1),"")</f>
        <v>0</v>
      </c>
      <c r="L1093" s="0" t="str">
        <f aca="false">IFERROR(SMALL(L367:L1087,ROW()-ROW($L$1090)+1),"")</f>
        <v/>
      </c>
      <c r="M1093" s="0" t="n">
        <f aca="false">IFERROR(SMALL(M367:M1087,ROW()-ROW($M$1090)+1),"")</f>
        <v>0</v>
      </c>
      <c r="N1093" s="0" t="n">
        <f aca="false">IFERROR(SMALL(N367:N1087,ROW()-ROW($N$1090)+1),"")</f>
        <v>0</v>
      </c>
    </row>
    <row r="1094" customFormat="false" ht="15" hidden="false" customHeight="false" outlineLevel="0" collapsed="false">
      <c r="E1094" s="0" t="n">
        <f aca="false">IFERROR(SMALL(E367:E1087,ROW()-ROW($E$1090)+1),"")</f>
        <v>0</v>
      </c>
      <c r="F1094" s="0" t="str">
        <f aca="false">IFERROR(SMALL(F367:F1087,ROW()-ROW($F$1090)+1),"")</f>
        <v/>
      </c>
      <c r="G1094" s="0" t="n">
        <f aca="false">IFERROR(SMALL(G367:G1087,ROW()-ROW($G$1090)+1),"")</f>
        <v>0</v>
      </c>
      <c r="H1094" s="0" t="n">
        <f aca="false">IFERROR(SMALL(H367:H1087,ROW()-ROW($H$1090)+1),"")</f>
        <v>0</v>
      </c>
      <c r="K1094" s="0" t="n">
        <f aca="false">IFERROR(SMALL(K367:K1087,ROW()-ROW($K$1090)+1),"")</f>
        <v>0</v>
      </c>
      <c r="L1094" s="0" t="str">
        <f aca="false">IFERROR(SMALL(L367:L1087,ROW()-ROW($L$1090)+1),"")</f>
        <v/>
      </c>
      <c r="M1094" s="0" t="n">
        <f aca="false">IFERROR(SMALL(M367:M1087,ROW()-ROW($M$1090)+1),"")</f>
        <v>0</v>
      </c>
      <c r="N1094" s="0" t="n">
        <f aca="false">IFERROR(SMALL(N367:N1087,ROW()-ROW($N$1090)+1),"")</f>
        <v>0</v>
      </c>
    </row>
    <row r="1095" customFormat="false" ht="15" hidden="false" customHeight="false" outlineLevel="0" collapsed="false">
      <c r="E1095" s="0" t="n">
        <f aca="false">IFERROR(SMALL(E367:E1087,ROW()-ROW($E$1090)+1),"")</f>
        <v>0</v>
      </c>
      <c r="F1095" s="0" t="str">
        <f aca="false">IFERROR(SMALL(F367:F1087,ROW()-ROW($F$1090)+1),"")</f>
        <v/>
      </c>
      <c r="G1095" s="0" t="n">
        <f aca="false">IFERROR(SMALL(G367:G1087,ROW()-ROW($G$1090)+1),"")</f>
        <v>0</v>
      </c>
      <c r="H1095" s="0" t="n">
        <f aca="false">IFERROR(SMALL(H367:H1087,ROW()-ROW($H$1090)+1),"")</f>
        <v>0</v>
      </c>
      <c r="K1095" s="0" t="n">
        <f aca="false">IFERROR(SMALL(K367:K1087,ROW()-ROW($K$1090)+1),"")</f>
        <v>0</v>
      </c>
      <c r="L1095" s="0" t="str">
        <f aca="false">IFERROR(SMALL(L367:L1087,ROW()-ROW($L$1090)+1),"")</f>
        <v/>
      </c>
      <c r="M1095" s="0" t="n">
        <f aca="false">IFERROR(SMALL(M367:M1087,ROW()-ROW($M$1090)+1),"")</f>
        <v>0</v>
      </c>
      <c r="N1095" s="0" t="n">
        <f aca="false">IFERROR(SMALL(N367:N1087,ROW()-ROW($N$1090)+1),"")</f>
        <v>0</v>
      </c>
    </row>
    <row r="1096" customFormat="false" ht="15" hidden="false" customHeight="false" outlineLevel="0" collapsed="false">
      <c r="E1096" s="0" t="n">
        <f aca="false">IFERROR(SMALL(E367:E1087,ROW()-ROW($E$1090)+1),"")</f>
        <v>0</v>
      </c>
      <c r="F1096" s="0" t="str">
        <f aca="false">IFERROR(SMALL(F367:F1087,ROW()-ROW($F$1090)+1),"")</f>
        <v/>
      </c>
      <c r="G1096" s="0" t="n">
        <f aca="false">IFERROR(SMALL(G367:G1087,ROW()-ROW($G$1090)+1),"")</f>
        <v>0</v>
      </c>
      <c r="H1096" s="0" t="n">
        <f aca="false">IFERROR(SMALL(H367:H1087,ROW()-ROW($H$1090)+1),"")</f>
        <v>0</v>
      </c>
      <c r="K1096" s="0" t="n">
        <f aca="false">IFERROR(SMALL(K367:K1087,ROW()-ROW($K$1090)+1),"")</f>
        <v>0</v>
      </c>
      <c r="L1096" s="0" t="str">
        <f aca="false">IFERROR(SMALL(L367:L1087,ROW()-ROW($L$1090)+1),"")</f>
        <v/>
      </c>
      <c r="M1096" s="0" t="n">
        <f aca="false">IFERROR(SMALL(M367:M1087,ROW()-ROW($M$1090)+1),"")</f>
        <v>0</v>
      </c>
      <c r="N1096" s="0" t="n">
        <f aca="false">IFERROR(SMALL(N367:N1087,ROW()-ROW($N$1090)+1),"")</f>
        <v>0</v>
      </c>
    </row>
    <row r="1097" customFormat="false" ht="15" hidden="false" customHeight="false" outlineLevel="0" collapsed="false">
      <c r="E1097" s="0" t="n">
        <f aca="false">IFERROR(SMALL(E367:E1087,ROW()-ROW($E$1090)+1),"")</f>
        <v>0</v>
      </c>
      <c r="F1097" s="0" t="str">
        <f aca="false">IFERROR(SMALL(F367:F1087,ROW()-ROW($F$1090)+1),"")</f>
        <v/>
      </c>
      <c r="G1097" s="0" t="n">
        <f aca="false">IFERROR(SMALL(G367:G1087,ROW()-ROW($G$1090)+1),"")</f>
        <v>0</v>
      </c>
      <c r="H1097" s="0" t="n">
        <f aca="false">IFERROR(SMALL(H367:H1087,ROW()-ROW($H$1090)+1),"")</f>
        <v>0</v>
      </c>
      <c r="K1097" s="0" t="n">
        <f aca="false">IFERROR(SMALL(K367:K1087,ROW()-ROW($K$1090)+1),"")</f>
        <v>0</v>
      </c>
      <c r="L1097" s="0" t="str">
        <f aca="false">IFERROR(SMALL(L367:L1087,ROW()-ROW($L$1090)+1),"")</f>
        <v/>
      </c>
      <c r="M1097" s="0" t="n">
        <f aca="false">IFERROR(SMALL(M367:M1087,ROW()-ROW($M$1090)+1),"")</f>
        <v>0</v>
      </c>
      <c r="N1097" s="0" t="n">
        <f aca="false">IFERROR(SMALL(N367:N1087,ROW()-ROW($N$1090)+1),"")</f>
        <v>0</v>
      </c>
    </row>
    <row r="1098" customFormat="false" ht="15" hidden="false" customHeight="false" outlineLevel="0" collapsed="false">
      <c r="E1098" s="0" t="n">
        <f aca="false">IFERROR(SMALL(E367:E1087,ROW()-ROW($E$1090)+1),"")</f>
        <v>0</v>
      </c>
      <c r="F1098" s="0" t="str">
        <f aca="false">IFERROR(SMALL(F367:F1087,ROW()-ROW($F$1090)+1),"")</f>
        <v/>
      </c>
      <c r="G1098" s="0" t="n">
        <f aca="false">IFERROR(SMALL(G367:G1087,ROW()-ROW($G$1090)+1),"")</f>
        <v>0</v>
      </c>
      <c r="H1098" s="0" t="n">
        <f aca="false">IFERROR(SMALL(H367:H1087,ROW()-ROW($H$1090)+1),"")</f>
        <v>0</v>
      </c>
      <c r="K1098" s="0" t="n">
        <f aca="false">IFERROR(SMALL(K367:K1087,ROW()-ROW($K$1090)+1),"")</f>
        <v>0</v>
      </c>
      <c r="L1098" s="0" t="str">
        <f aca="false">IFERROR(SMALL(L367:L1087,ROW()-ROW($L$1090)+1),"")</f>
        <v/>
      </c>
      <c r="M1098" s="0" t="n">
        <f aca="false">IFERROR(SMALL(M367:M1087,ROW()-ROW($M$1090)+1),"")</f>
        <v>0</v>
      </c>
      <c r="N1098" s="0" t="n">
        <f aca="false">IFERROR(SMALL(N367:N1087,ROW()-ROW($N$1090)+1),"")</f>
        <v>0</v>
      </c>
    </row>
    <row r="1099" customFormat="false" ht="15" hidden="false" customHeight="false" outlineLevel="0" collapsed="false">
      <c r="E1099" s="0" t="n">
        <f aca="false">IFERROR(SMALL(E367:E1087,ROW()-ROW($E$1090)+1),"")</f>
        <v>0</v>
      </c>
      <c r="F1099" s="0" t="str">
        <f aca="false">IFERROR(SMALL(F367:F1087,ROW()-ROW($F$1090)+1),"")</f>
        <v/>
      </c>
      <c r="G1099" s="0" t="n">
        <f aca="false">IFERROR(SMALL(G367:G1087,ROW()-ROW($G$1090)+1),"")</f>
        <v>0</v>
      </c>
      <c r="H1099" s="0" t="n">
        <f aca="false">IFERROR(SMALL(H367:H1087,ROW()-ROW($H$1090)+1),"")</f>
        <v>0</v>
      </c>
      <c r="K1099" s="0" t="n">
        <f aca="false">IFERROR(SMALL(K367:K1087,ROW()-ROW($K$1090)+1),"")</f>
        <v>0</v>
      </c>
      <c r="L1099" s="0" t="str">
        <f aca="false">IFERROR(SMALL(L367:L1087,ROW()-ROW($L$1090)+1),"")</f>
        <v/>
      </c>
      <c r="M1099" s="0" t="n">
        <f aca="false">IFERROR(SMALL(M367:M1087,ROW()-ROW($M$1090)+1),"")</f>
        <v>0</v>
      </c>
      <c r="N1099" s="0" t="n">
        <f aca="false">IFERROR(SMALL(N367:N1087,ROW()-ROW($N$1090)+1),"")</f>
        <v>0</v>
      </c>
    </row>
    <row r="1100" customFormat="false" ht="15" hidden="false" customHeight="false" outlineLevel="0" collapsed="false">
      <c r="E1100" s="0" t="n">
        <f aca="false">IFERROR(SMALL(E367:E1087,ROW()-ROW($E$1090)+1),"")</f>
        <v>0</v>
      </c>
      <c r="F1100" s="0" t="str">
        <f aca="false">IFERROR(SMALL(F367:F1087,ROW()-ROW($F$1090)+1),"")</f>
        <v/>
      </c>
      <c r="G1100" s="0" t="n">
        <f aca="false">IFERROR(SMALL(G367:G1087,ROW()-ROW($G$1090)+1),"")</f>
        <v>0</v>
      </c>
      <c r="H1100" s="0" t="n">
        <f aca="false">IFERROR(SMALL(H367:H1087,ROW()-ROW($H$1090)+1),"")</f>
        <v>0</v>
      </c>
      <c r="K1100" s="0" t="n">
        <f aca="false">IFERROR(SMALL(K367:K1087,ROW()-ROW($K$1090)+1),"")</f>
        <v>0</v>
      </c>
      <c r="L1100" s="0" t="str">
        <f aca="false">IFERROR(SMALL(L367:L1087,ROW()-ROW($L$1090)+1),"")</f>
        <v/>
      </c>
      <c r="M1100" s="0" t="n">
        <f aca="false">IFERROR(SMALL(M367:M1087,ROW()-ROW($M$1090)+1),"")</f>
        <v>0</v>
      </c>
      <c r="N1100" s="0" t="n">
        <f aca="false">IFERROR(SMALL(N367:N1087,ROW()-ROW($N$1090)+1),"")</f>
        <v>0</v>
      </c>
    </row>
    <row r="1101" customFormat="false" ht="15" hidden="false" customHeight="false" outlineLevel="0" collapsed="false">
      <c r="E1101" s="0" t="n">
        <f aca="false">IFERROR(SMALL(E367:E1087,ROW()-ROW($E$1090)+1),"")</f>
        <v>0</v>
      </c>
      <c r="F1101" s="0" t="str">
        <f aca="false">IFERROR(SMALL(F367:F1087,ROW()-ROW($F$1090)+1),"")</f>
        <v/>
      </c>
      <c r="G1101" s="0" t="n">
        <f aca="false">IFERROR(SMALL(G367:G1087,ROW()-ROW($G$1090)+1),"")</f>
        <v>0</v>
      </c>
      <c r="H1101" s="0" t="n">
        <f aca="false">IFERROR(SMALL(H367:H1087,ROW()-ROW($H$1090)+1),"")</f>
        <v>0</v>
      </c>
      <c r="K1101" s="0" t="n">
        <f aca="false">IFERROR(SMALL(K367:K1087,ROW()-ROW($K$1090)+1),"")</f>
        <v>0</v>
      </c>
      <c r="L1101" s="0" t="str">
        <f aca="false">IFERROR(SMALL(L367:L1087,ROW()-ROW($L$1090)+1),"")</f>
        <v/>
      </c>
      <c r="M1101" s="0" t="n">
        <f aca="false">IFERROR(SMALL(M367:M1087,ROW()-ROW($M$1090)+1),"")</f>
        <v>0</v>
      </c>
      <c r="N1101" s="0" t="n">
        <f aca="false">IFERROR(SMALL(N367:N1087,ROW()-ROW($N$1090)+1),"")</f>
        <v>0</v>
      </c>
    </row>
    <row r="1102" customFormat="false" ht="15" hidden="false" customHeight="false" outlineLevel="0" collapsed="false">
      <c r="E1102" s="0" t="n">
        <f aca="false">IFERROR(SMALL(E367:E1087,ROW()-ROW($E$1090)+1),"")</f>
        <v>0</v>
      </c>
      <c r="F1102" s="0" t="str">
        <f aca="false">IFERROR(SMALL(F367:F1087,ROW()-ROW($F$1090)+1),"")</f>
        <v/>
      </c>
      <c r="G1102" s="0" t="n">
        <f aca="false">IFERROR(SMALL(G367:G1087,ROW()-ROW($G$1090)+1),"")</f>
        <v>0</v>
      </c>
      <c r="H1102" s="0" t="n">
        <f aca="false">IFERROR(SMALL(H367:H1087,ROW()-ROW($H$1090)+1),"")</f>
        <v>0</v>
      </c>
      <c r="K1102" s="0" t="n">
        <f aca="false">IFERROR(SMALL(K367:K1087,ROW()-ROW($K$1090)+1),"")</f>
        <v>0</v>
      </c>
      <c r="L1102" s="0" t="str">
        <f aca="false">IFERROR(SMALL(L367:L1087,ROW()-ROW($L$1090)+1),"")</f>
        <v/>
      </c>
      <c r="M1102" s="0" t="n">
        <f aca="false">IFERROR(SMALL(M367:M1087,ROW()-ROW($M$1090)+1),"")</f>
        <v>0</v>
      </c>
      <c r="N1102" s="0" t="n">
        <f aca="false">IFERROR(SMALL(N367:N1087,ROW()-ROW($N$1090)+1),"")</f>
        <v>0</v>
      </c>
    </row>
    <row r="1103" customFormat="false" ht="15" hidden="false" customHeight="false" outlineLevel="0" collapsed="false">
      <c r="E1103" s="0" t="n">
        <f aca="false">IFERROR(SMALL(E367:E1087,ROW()-ROW($E$1090)+1),"")</f>
        <v>0</v>
      </c>
      <c r="F1103" s="0" t="str">
        <f aca="false">IFERROR(SMALL(F367:F1087,ROW()-ROW($F$1090)+1),"")</f>
        <v/>
      </c>
      <c r="G1103" s="0" t="n">
        <f aca="false">IFERROR(SMALL(G367:G1087,ROW()-ROW($G$1090)+1),"")</f>
        <v>0</v>
      </c>
      <c r="H1103" s="0" t="n">
        <f aca="false">IFERROR(SMALL(H367:H1087,ROW()-ROW($H$1090)+1),"")</f>
        <v>0</v>
      </c>
      <c r="K1103" s="0" t="n">
        <f aca="false">IFERROR(SMALL(K367:K1087,ROW()-ROW($K$1090)+1),"")</f>
        <v>0</v>
      </c>
      <c r="L1103" s="0" t="str">
        <f aca="false">IFERROR(SMALL(L367:L1087,ROW()-ROW($L$1090)+1),"")</f>
        <v/>
      </c>
      <c r="M1103" s="0" t="n">
        <f aca="false">IFERROR(SMALL(M367:M1087,ROW()-ROW($M$1090)+1),"")</f>
        <v>0</v>
      </c>
      <c r="N1103" s="0" t="n">
        <f aca="false">IFERROR(SMALL(N367:N1087,ROW()-ROW($N$1090)+1),"")</f>
        <v>0</v>
      </c>
    </row>
    <row r="1104" customFormat="false" ht="15" hidden="false" customHeight="false" outlineLevel="0" collapsed="false">
      <c r="E1104" s="0" t="n">
        <f aca="false">IFERROR(SMALL(E367:E1087,ROW()-ROW($E$1090)+1),"")</f>
        <v>0</v>
      </c>
      <c r="F1104" s="0" t="str">
        <f aca="false">IFERROR(SMALL(F367:F1087,ROW()-ROW($F$1090)+1),"")</f>
        <v/>
      </c>
      <c r="G1104" s="0" t="n">
        <f aca="false">IFERROR(SMALL(G367:G1087,ROW()-ROW($G$1090)+1),"")</f>
        <v>0</v>
      </c>
      <c r="H1104" s="0" t="n">
        <f aca="false">IFERROR(SMALL(H367:H1087,ROW()-ROW($H$1090)+1),"")</f>
        <v>0</v>
      </c>
      <c r="K1104" s="0" t="n">
        <f aca="false">IFERROR(SMALL(K367:K1087,ROW()-ROW($K$1090)+1),"")</f>
        <v>0</v>
      </c>
      <c r="L1104" s="0" t="str">
        <f aca="false">IFERROR(SMALL(L367:L1087,ROW()-ROW($L$1090)+1),"")</f>
        <v/>
      </c>
      <c r="M1104" s="0" t="n">
        <f aca="false">IFERROR(SMALL(M367:M1087,ROW()-ROW($M$1090)+1),"")</f>
        <v>0</v>
      </c>
      <c r="N1104" s="0" t="n">
        <f aca="false">IFERROR(SMALL(N367:N1087,ROW()-ROW($N$1090)+1),"")</f>
        <v>0</v>
      </c>
    </row>
    <row r="1105" customFormat="false" ht="15" hidden="false" customHeight="false" outlineLevel="0" collapsed="false">
      <c r="E1105" s="0" t="n">
        <f aca="false">IFERROR(SMALL(E367:E1087,ROW()-ROW($E$1090)+1),"")</f>
        <v>0</v>
      </c>
      <c r="F1105" s="0" t="str">
        <f aca="false">IFERROR(SMALL(F367:F1087,ROW()-ROW($F$1090)+1),"")</f>
        <v/>
      </c>
      <c r="G1105" s="0" t="n">
        <f aca="false">IFERROR(SMALL(G367:G1087,ROW()-ROW($G$1090)+1),"")</f>
        <v>0</v>
      </c>
      <c r="H1105" s="0" t="n">
        <f aca="false">IFERROR(SMALL(H367:H1087,ROW()-ROW($H$1090)+1),"")</f>
        <v>0</v>
      </c>
      <c r="K1105" s="0" t="n">
        <f aca="false">IFERROR(SMALL(K367:K1087,ROW()-ROW($K$1090)+1),"")</f>
        <v>0</v>
      </c>
      <c r="L1105" s="0" t="str">
        <f aca="false">IFERROR(SMALL(L367:L1087,ROW()-ROW($L$1090)+1),"")</f>
        <v/>
      </c>
      <c r="M1105" s="0" t="n">
        <f aca="false">IFERROR(SMALL(M367:M1087,ROW()-ROW($M$1090)+1),"")</f>
        <v>0</v>
      </c>
      <c r="N1105" s="0" t="n">
        <f aca="false">IFERROR(SMALL(N367:N1087,ROW()-ROW($N$1090)+1),"")</f>
        <v>0</v>
      </c>
    </row>
    <row r="1106" customFormat="false" ht="15" hidden="false" customHeight="false" outlineLevel="0" collapsed="false">
      <c r="E1106" s="0" t="n">
        <f aca="false">IFERROR(SMALL(E367:E1087,ROW()-ROW($E$1090)+1),"")</f>
        <v>0</v>
      </c>
      <c r="F1106" s="0" t="str">
        <f aca="false">IFERROR(SMALL(F367:F1087,ROW()-ROW($F$1090)+1),"")</f>
        <v/>
      </c>
      <c r="G1106" s="0" t="n">
        <f aca="false">IFERROR(SMALL(G367:G1087,ROW()-ROW($G$1090)+1),"")</f>
        <v>0</v>
      </c>
      <c r="H1106" s="0" t="n">
        <f aca="false">IFERROR(SMALL(H367:H1087,ROW()-ROW($H$1090)+1),"")</f>
        <v>0</v>
      </c>
      <c r="K1106" s="0" t="n">
        <f aca="false">IFERROR(SMALL(K367:K1087,ROW()-ROW($K$1090)+1),"")</f>
        <v>0</v>
      </c>
      <c r="L1106" s="0" t="str">
        <f aca="false">IFERROR(SMALL(L367:L1087,ROW()-ROW($L$1090)+1),"")</f>
        <v/>
      </c>
      <c r="M1106" s="0" t="n">
        <f aca="false">IFERROR(SMALL(M367:M1087,ROW()-ROW($M$1090)+1),"")</f>
        <v>0</v>
      </c>
      <c r="N1106" s="0" t="n">
        <f aca="false">IFERROR(SMALL(N367:N1087,ROW()-ROW($N$1090)+1),"")</f>
        <v>0</v>
      </c>
    </row>
    <row r="1107" customFormat="false" ht="15" hidden="false" customHeight="false" outlineLevel="0" collapsed="false">
      <c r="E1107" s="0" t="n">
        <f aca="false">IFERROR(SMALL(E367:E1087,ROW()-ROW($E$1090)+1),"")</f>
        <v>0</v>
      </c>
      <c r="F1107" s="0" t="str">
        <f aca="false">IFERROR(SMALL(F367:F1087,ROW()-ROW($F$1090)+1),"")</f>
        <v/>
      </c>
      <c r="G1107" s="0" t="n">
        <f aca="false">IFERROR(SMALL(G367:G1087,ROW()-ROW($G$1090)+1),"")</f>
        <v>0</v>
      </c>
      <c r="H1107" s="0" t="n">
        <f aca="false">IFERROR(SMALL(H367:H1087,ROW()-ROW($H$1090)+1),"")</f>
        <v>0</v>
      </c>
      <c r="K1107" s="0" t="n">
        <f aca="false">IFERROR(SMALL(K367:K1087,ROW()-ROW($K$1090)+1),"")</f>
        <v>0</v>
      </c>
      <c r="L1107" s="0" t="str">
        <f aca="false">IFERROR(SMALL(L367:L1087,ROW()-ROW($L$1090)+1),"")</f>
        <v/>
      </c>
      <c r="M1107" s="0" t="n">
        <f aca="false">IFERROR(SMALL(M367:M1087,ROW()-ROW($M$1090)+1),"")</f>
        <v>0</v>
      </c>
      <c r="N1107" s="0" t="n">
        <f aca="false">IFERROR(SMALL(N367:N1087,ROW()-ROW($N$1090)+1),"")</f>
        <v>0</v>
      </c>
    </row>
    <row r="1108" customFormat="false" ht="15" hidden="false" customHeight="false" outlineLevel="0" collapsed="false">
      <c r="E1108" s="0" t="n">
        <f aca="false">IFERROR(SMALL(E367:E1087,ROW()-ROW($E$1090)+1),"")</f>
        <v>0</v>
      </c>
      <c r="F1108" s="0" t="str">
        <f aca="false">IFERROR(SMALL(F367:F1087,ROW()-ROW($F$1090)+1),"")</f>
        <v/>
      </c>
      <c r="G1108" s="0" t="n">
        <f aca="false">IFERROR(SMALL(G367:G1087,ROW()-ROW($G$1090)+1),"")</f>
        <v>0</v>
      </c>
      <c r="H1108" s="0" t="n">
        <f aca="false">IFERROR(SMALL(H367:H1087,ROW()-ROW($H$1090)+1),"")</f>
        <v>0</v>
      </c>
      <c r="K1108" s="0" t="n">
        <f aca="false">IFERROR(SMALL(K367:K1087,ROW()-ROW($K$1090)+1),"")</f>
        <v>0</v>
      </c>
      <c r="L1108" s="0" t="str">
        <f aca="false">IFERROR(SMALL(L367:L1087,ROW()-ROW($L$1090)+1),"")</f>
        <v/>
      </c>
      <c r="M1108" s="0" t="n">
        <f aca="false">IFERROR(SMALL(M367:M1087,ROW()-ROW($M$1090)+1),"")</f>
        <v>0</v>
      </c>
      <c r="N1108" s="0" t="n">
        <f aca="false">IFERROR(SMALL(N367:N1087,ROW()-ROW($N$1090)+1),"")</f>
        <v>0</v>
      </c>
    </row>
    <row r="1109" customFormat="false" ht="15" hidden="false" customHeight="false" outlineLevel="0" collapsed="false">
      <c r="E1109" s="0" t="n">
        <f aca="false">IFERROR(SMALL(E367:E1087,ROW()-ROW($E$1090)+1),"")</f>
        <v>0</v>
      </c>
      <c r="F1109" s="0" t="str">
        <f aca="false">IFERROR(SMALL(F367:F1087,ROW()-ROW($F$1090)+1),"")</f>
        <v/>
      </c>
      <c r="G1109" s="0" t="n">
        <f aca="false">IFERROR(SMALL(G367:G1087,ROW()-ROW($G$1090)+1),"")</f>
        <v>0</v>
      </c>
      <c r="H1109" s="0" t="n">
        <f aca="false">IFERROR(SMALL(H367:H1087,ROW()-ROW($H$1090)+1),"")</f>
        <v>0</v>
      </c>
      <c r="K1109" s="0" t="n">
        <f aca="false">IFERROR(SMALL(K367:K1087,ROW()-ROW($K$1090)+1),"")</f>
        <v>0</v>
      </c>
      <c r="L1109" s="0" t="str">
        <f aca="false">IFERROR(SMALL(L367:L1087,ROW()-ROW($L$1090)+1),"")</f>
        <v/>
      </c>
      <c r="M1109" s="0" t="n">
        <f aca="false">IFERROR(SMALL(M367:M1087,ROW()-ROW($M$1090)+1),"")</f>
        <v>0</v>
      </c>
      <c r="N1109" s="0" t="n">
        <f aca="false">IFERROR(SMALL(N367:N1087,ROW()-ROW($N$1090)+1),"")</f>
        <v>0</v>
      </c>
    </row>
    <row r="1110" customFormat="false" ht="15" hidden="false" customHeight="false" outlineLevel="0" collapsed="false">
      <c r="E1110" s="0" t="n">
        <f aca="false">IFERROR(SMALL(E367:E1087,ROW()-ROW($E$1090)+1),"")</f>
        <v>0</v>
      </c>
      <c r="F1110" s="0" t="str">
        <f aca="false">IFERROR(SMALL(F367:F1087,ROW()-ROW($F$1090)+1),"")</f>
        <v/>
      </c>
      <c r="G1110" s="0" t="n">
        <f aca="false">IFERROR(SMALL(G367:G1087,ROW()-ROW($G$1090)+1),"")</f>
        <v>0</v>
      </c>
      <c r="H1110" s="0" t="n">
        <f aca="false">IFERROR(SMALL(H367:H1087,ROW()-ROW($H$1090)+1),"")</f>
        <v>0</v>
      </c>
      <c r="K1110" s="0" t="n">
        <f aca="false">IFERROR(SMALL(K367:K1087,ROW()-ROW($K$1090)+1),"")</f>
        <v>0</v>
      </c>
      <c r="L1110" s="0" t="str">
        <f aca="false">IFERROR(SMALL(L367:L1087,ROW()-ROW($L$1090)+1),"")</f>
        <v/>
      </c>
      <c r="M1110" s="0" t="n">
        <f aca="false">IFERROR(SMALL(M367:M1087,ROW()-ROW($M$1090)+1),"")</f>
        <v>0</v>
      </c>
      <c r="N1110" s="0" t="n">
        <f aca="false">IFERROR(SMALL(N367:N1087,ROW()-ROW($N$1090)+1),"")</f>
        <v>0</v>
      </c>
    </row>
    <row r="1111" customFormat="false" ht="15" hidden="false" customHeight="false" outlineLevel="0" collapsed="false">
      <c r="E1111" s="0" t="n">
        <f aca="false">IFERROR(SMALL(E367:E1087,ROW()-ROW($E$1090)+1),"")</f>
        <v>0</v>
      </c>
      <c r="F1111" s="0" t="str">
        <f aca="false">IFERROR(SMALL(F367:F1087,ROW()-ROW($F$1090)+1),"")</f>
        <v/>
      </c>
      <c r="G1111" s="0" t="n">
        <f aca="false">IFERROR(SMALL(G367:G1087,ROW()-ROW($G$1090)+1),"")</f>
        <v>0</v>
      </c>
      <c r="H1111" s="0" t="n">
        <f aca="false">IFERROR(SMALL(H367:H1087,ROW()-ROW($H$1090)+1),"")</f>
        <v>0</v>
      </c>
      <c r="K1111" s="0" t="n">
        <f aca="false">IFERROR(SMALL(K367:K1087,ROW()-ROW($K$1090)+1),"")</f>
        <v>0</v>
      </c>
      <c r="L1111" s="0" t="str">
        <f aca="false">IFERROR(SMALL(L367:L1087,ROW()-ROW($L$1090)+1),"")</f>
        <v/>
      </c>
      <c r="M1111" s="0" t="n">
        <f aca="false">IFERROR(SMALL(M367:M1087,ROW()-ROW($M$1090)+1),"")</f>
        <v>0</v>
      </c>
      <c r="N1111" s="0" t="n">
        <f aca="false">IFERROR(SMALL(N367:N1087,ROW()-ROW($N$1090)+1),"")</f>
        <v>0</v>
      </c>
    </row>
    <row r="1112" customFormat="false" ht="15" hidden="false" customHeight="false" outlineLevel="0" collapsed="false">
      <c r="E1112" s="0" t="n">
        <f aca="false">IFERROR(SMALL(E367:E1087,ROW()-ROW($E$1090)+1),"")</f>
        <v>0</v>
      </c>
      <c r="F1112" s="0" t="str">
        <f aca="false">IFERROR(SMALL(F367:F1087,ROW()-ROW($F$1090)+1),"")</f>
        <v/>
      </c>
      <c r="G1112" s="0" t="n">
        <f aca="false">IFERROR(SMALL(G367:G1087,ROW()-ROW($G$1090)+1),"")</f>
        <v>0</v>
      </c>
      <c r="H1112" s="0" t="n">
        <f aca="false">IFERROR(SMALL(H367:H1087,ROW()-ROW($H$1090)+1),"")</f>
        <v>0</v>
      </c>
      <c r="K1112" s="0" t="n">
        <f aca="false">IFERROR(SMALL(K367:K1087,ROW()-ROW($K$1090)+1),"")</f>
        <v>0</v>
      </c>
      <c r="L1112" s="0" t="str">
        <f aca="false">IFERROR(SMALL(L367:L1087,ROW()-ROW($L$1090)+1),"")</f>
        <v/>
      </c>
      <c r="M1112" s="0" t="n">
        <f aca="false">IFERROR(SMALL(M367:M1087,ROW()-ROW($M$1090)+1),"")</f>
        <v>0</v>
      </c>
      <c r="N1112" s="0" t="n">
        <f aca="false">IFERROR(SMALL(N367:N1087,ROW()-ROW($N$1090)+1),"")</f>
        <v>0</v>
      </c>
    </row>
    <row r="1113" customFormat="false" ht="15" hidden="false" customHeight="false" outlineLevel="0" collapsed="false">
      <c r="E1113" s="0" t="n">
        <f aca="false">IFERROR(SMALL(E367:E1087,ROW()-ROW($E$1090)+1),"")</f>
        <v>0</v>
      </c>
      <c r="F1113" s="0" t="str">
        <f aca="false">IFERROR(SMALL(F367:F1087,ROW()-ROW($F$1090)+1),"")</f>
        <v/>
      </c>
      <c r="G1113" s="0" t="n">
        <f aca="false">IFERROR(SMALL(G367:G1087,ROW()-ROW($G$1090)+1),"")</f>
        <v>0</v>
      </c>
      <c r="H1113" s="0" t="n">
        <f aca="false">IFERROR(SMALL(H367:H1087,ROW()-ROW($H$1090)+1),"")</f>
        <v>0</v>
      </c>
      <c r="K1113" s="0" t="n">
        <f aca="false">IFERROR(SMALL(K367:K1087,ROW()-ROW($K$1090)+1),"")</f>
        <v>0</v>
      </c>
      <c r="L1113" s="0" t="str">
        <f aca="false">IFERROR(SMALL(L367:L1087,ROW()-ROW($L$1090)+1),"")</f>
        <v/>
      </c>
      <c r="M1113" s="0" t="n">
        <f aca="false">IFERROR(SMALL(M367:M1087,ROW()-ROW($M$1090)+1),"")</f>
        <v>0</v>
      </c>
      <c r="N1113" s="0" t="n">
        <f aca="false">IFERROR(SMALL(N367:N1087,ROW()-ROW($N$1090)+1),"")</f>
        <v>0</v>
      </c>
    </row>
    <row r="1114" customFormat="false" ht="15" hidden="false" customHeight="false" outlineLevel="0" collapsed="false">
      <c r="E1114" s="0" t="n">
        <f aca="false">IFERROR(SMALL(E367:E1087,ROW()-ROW($E$1090)+1),"")</f>
        <v>0</v>
      </c>
      <c r="F1114" s="0" t="str">
        <f aca="false">IFERROR(SMALL(F367:F1087,ROW()-ROW($F$1090)+1),"")</f>
        <v/>
      </c>
      <c r="G1114" s="0" t="n">
        <f aca="false">IFERROR(SMALL(G367:G1087,ROW()-ROW($G$1090)+1),"")</f>
        <v>0</v>
      </c>
      <c r="H1114" s="0" t="n">
        <f aca="false">IFERROR(SMALL(H367:H1087,ROW()-ROW($H$1090)+1),"")</f>
        <v>0</v>
      </c>
      <c r="K1114" s="0" t="n">
        <f aca="false">IFERROR(SMALL(K367:K1087,ROW()-ROW($K$1090)+1),"")</f>
        <v>0</v>
      </c>
      <c r="L1114" s="0" t="str">
        <f aca="false">IFERROR(SMALL(L367:L1087,ROW()-ROW($L$1090)+1),"")</f>
        <v/>
      </c>
      <c r="M1114" s="0" t="n">
        <f aca="false">IFERROR(SMALL(M367:M1087,ROW()-ROW($M$1090)+1),"")</f>
        <v>0</v>
      </c>
      <c r="N1114" s="0" t="n">
        <f aca="false">IFERROR(SMALL(N367:N1087,ROW()-ROW($N$1090)+1),"")</f>
        <v>0</v>
      </c>
    </row>
    <row r="1115" customFormat="false" ht="15" hidden="false" customHeight="false" outlineLevel="0" collapsed="false">
      <c r="E1115" s="0" t="n">
        <f aca="false">IFERROR(SMALL(E367:E1087,ROW()-ROW($E$1090)+1),"")</f>
        <v>0</v>
      </c>
      <c r="F1115" s="0" t="str">
        <f aca="false">IFERROR(SMALL(F367:F1087,ROW()-ROW($F$1090)+1),"")</f>
        <v/>
      </c>
      <c r="G1115" s="0" t="n">
        <f aca="false">IFERROR(SMALL(G367:G1087,ROW()-ROW($G$1090)+1),"")</f>
        <v>0</v>
      </c>
      <c r="H1115" s="0" t="n">
        <f aca="false">IFERROR(SMALL(H367:H1087,ROW()-ROW($H$1090)+1),"")</f>
        <v>0</v>
      </c>
      <c r="K1115" s="0" t="n">
        <f aca="false">IFERROR(SMALL(K367:K1087,ROW()-ROW($K$1090)+1),"")</f>
        <v>0</v>
      </c>
      <c r="L1115" s="0" t="str">
        <f aca="false">IFERROR(SMALL(L367:L1087,ROW()-ROW($L$1090)+1),"")</f>
        <v/>
      </c>
      <c r="M1115" s="0" t="n">
        <f aca="false">IFERROR(SMALL(M367:M1087,ROW()-ROW($M$1090)+1),"")</f>
        <v>0</v>
      </c>
      <c r="N1115" s="0" t="n">
        <f aca="false">IFERROR(SMALL(N367:N1087,ROW()-ROW($N$1090)+1),"")</f>
        <v>0</v>
      </c>
    </row>
    <row r="1116" customFormat="false" ht="15" hidden="false" customHeight="false" outlineLevel="0" collapsed="false">
      <c r="E1116" s="0" t="n">
        <f aca="false">IFERROR(SMALL(E367:E1087,ROW()-ROW($E$1090)+1),"")</f>
        <v>0</v>
      </c>
      <c r="F1116" s="0" t="str">
        <f aca="false">IFERROR(SMALL(F367:F1087,ROW()-ROW($F$1090)+1),"")</f>
        <v/>
      </c>
      <c r="G1116" s="0" t="n">
        <f aca="false">IFERROR(SMALL(G367:G1087,ROW()-ROW($G$1090)+1),"")</f>
        <v>0</v>
      </c>
      <c r="H1116" s="0" t="n">
        <f aca="false">IFERROR(SMALL(H367:H1087,ROW()-ROW($H$1090)+1),"")</f>
        <v>0</v>
      </c>
      <c r="K1116" s="0" t="n">
        <f aca="false">IFERROR(SMALL(K367:K1087,ROW()-ROW($K$1090)+1),"")</f>
        <v>0</v>
      </c>
      <c r="L1116" s="0" t="str">
        <f aca="false">IFERROR(SMALL(L367:L1087,ROW()-ROW($L$1090)+1),"")</f>
        <v/>
      </c>
      <c r="M1116" s="0" t="n">
        <f aca="false">IFERROR(SMALL(M367:M1087,ROW()-ROW($M$1090)+1),"")</f>
        <v>0</v>
      </c>
      <c r="N1116" s="0" t="n">
        <f aca="false">IFERROR(SMALL(N367:N1087,ROW()-ROW($N$1090)+1),"")</f>
        <v>0</v>
      </c>
    </row>
    <row r="1117" customFormat="false" ht="15" hidden="false" customHeight="false" outlineLevel="0" collapsed="false">
      <c r="E1117" s="0" t="n">
        <f aca="false">IFERROR(SMALL(E367:E1087,ROW()-ROW($E$1090)+1),"")</f>
        <v>0</v>
      </c>
      <c r="F1117" s="0" t="str">
        <f aca="false">IFERROR(SMALL(F367:F1087,ROW()-ROW($F$1090)+1),"")</f>
        <v/>
      </c>
      <c r="G1117" s="0" t="n">
        <f aca="false">IFERROR(SMALL(G367:G1087,ROW()-ROW($G$1090)+1),"")</f>
        <v>0</v>
      </c>
      <c r="H1117" s="0" t="n">
        <f aca="false">IFERROR(SMALL(H367:H1087,ROW()-ROW($H$1090)+1),"")</f>
        <v>0</v>
      </c>
      <c r="K1117" s="0" t="n">
        <f aca="false">IFERROR(SMALL(K367:K1087,ROW()-ROW($K$1090)+1),"")</f>
        <v>0</v>
      </c>
      <c r="L1117" s="0" t="str">
        <f aca="false">IFERROR(SMALL(L367:L1087,ROW()-ROW($L$1090)+1),"")</f>
        <v/>
      </c>
      <c r="M1117" s="0" t="n">
        <f aca="false">IFERROR(SMALL(M367:M1087,ROW()-ROW($M$1090)+1),"")</f>
        <v>0</v>
      </c>
      <c r="N1117" s="0" t="n">
        <f aca="false">IFERROR(SMALL(N367:N1087,ROW()-ROW($N$1090)+1),"")</f>
        <v>0</v>
      </c>
    </row>
    <row r="1118" customFormat="false" ht="15" hidden="false" customHeight="false" outlineLevel="0" collapsed="false">
      <c r="E1118" s="0" t="n">
        <f aca="false">IFERROR(SMALL(E367:E1087,ROW()-ROW($E$1090)+1),"")</f>
        <v>0</v>
      </c>
      <c r="F1118" s="0" t="str">
        <f aca="false">IFERROR(SMALL(F367:F1087,ROW()-ROW($F$1090)+1),"")</f>
        <v/>
      </c>
      <c r="G1118" s="0" t="n">
        <f aca="false">IFERROR(SMALL(G367:G1087,ROW()-ROW($G$1090)+1),"")</f>
        <v>0</v>
      </c>
      <c r="H1118" s="0" t="n">
        <f aca="false">IFERROR(SMALL(H367:H1087,ROW()-ROW($H$1090)+1),"")</f>
        <v>0</v>
      </c>
      <c r="K1118" s="0" t="n">
        <f aca="false">IFERROR(SMALL(K367:K1087,ROW()-ROW($K$1090)+1),"")</f>
        <v>0</v>
      </c>
      <c r="L1118" s="0" t="str">
        <f aca="false">IFERROR(SMALL(L367:L1087,ROW()-ROW($L$1090)+1),"")</f>
        <v/>
      </c>
      <c r="M1118" s="0" t="n">
        <f aca="false">IFERROR(SMALL(M367:M1087,ROW()-ROW($M$1090)+1),"")</f>
        <v>0</v>
      </c>
      <c r="N1118" s="0" t="n">
        <f aca="false">IFERROR(SMALL(N367:N1087,ROW()-ROW($N$1090)+1),"")</f>
        <v>0</v>
      </c>
    </row>
    <row r="1119" customFormat="false" ht="15" hidden="false" customHeight="false" outlineLevel="0" collapsed="false">
      <c r="E1119" s="0" t="n">
        <f aca="false">IFERROR(SMALL(E367:E1087,ROW()-ROW($E$1090)+1),"")</f>
        <v>0</v>
      </c>
      <c r="F1119" s="0" t="str">
        <f aca="false">IFERROR(SMALL(F367:F1087,ROW()-ROW($F$1090)+1),"")</f>
        <v/>
      </c>
      <c r="G1119" s="0" t="n">
        <f aca="false">IFERROR(SMALL(G367:G1087,ROW()-ROW($G$1090)+1),"")</f>
        <v>0</v>
      </c>
      <c r="H1119" s="0" t="n">
        <f aca="false">IFERROR(SMALL(H367:H1087,ROW()-ROW($H$1090)+1),"")</f>
        <v>0</v>
      </c>
      <c r="K1119" s="0" t="n">
        <f aca="false">IFERROR(SMALL(K367:K1087,ROW()-ROW($K$1090)+1),"")</f>
        <v>0</v>
      </c>
      <c r="L1119" s="0" t="str">
        <f aca="false">IFERROR(SMALL(L367:L1087,ROW()-ROW($L$1090)+1),"")</f>
        <v/>
      </c>
      <c r="M1119" s="0" t="n">
        <f aca="false">IFERROR(SMALL(M367:M1087,ROW()-ROW($M$1090)+1),"")</f>
        <v>0</v>
      </c>
      <c r="N1119" s="0" t="n">
        <f aca="false">IFERROR(SMALL(N367:N1087,ROW()-ROW($N$1090)+1),"")</f>
        <v>0</v>
      </c>
    </row>
    <row r="1120" customFormat="false" ht="15" hidden="false" customHeight="false" outlineLevel="0" collapsed="false">
      <c r="E1120" s="0" t="n">
        <f aca="false">IFERROR(SMALL(E367:E1087,ROW()-ROW($E$1090)+1),"")</f>
        <v>0</v>
      </c>
      <c r="F1120" s="0" t="str">
        <f aca="false">IFERROR(SMALL(F367:F1087,ROW()-ROW($F$1090)+1),"")</f>
        <v/>
      </c>
      <c r="G1120" s="0" t="n">
        <f aca="false">IFERROR(SMALL(G367:G1087,ROW()-ROW($G$1090)+1),"")</f>
        <v>0</v>
      </c>
      <c r="H1120" s="0" t="n">
        <f aca="false">IFERROR(SMALL(H367:H1087,ROW()-ROW($H$1090)+1),"")</f>
        <v>0</v>
      </c>
      <c r="K1120" s="0" t="n">
        <f aca="false">IFERROR(SMALL(K367:K1087,ROW()-ROW($K$1090)+1),"")</f>
        <v>0</v>
      </c>
      <c r="L1120" s="0" t="str">
        <f aca="false">IFERROR(SMALL(L367:L1087,ROW()-ROW($L$1090)+1),"")</f>
        <v/>
      </c>
      <c r="M1120" s="0" t="n">
        <f aca="false">IFERROR(SMALL(M367:M1087,ROW()-ROW($M$1090)+1),"")</f>
        <v>0</v>
      </c>
      <c r="N1120" s="0" t="n">
        <f aca="false">IFERROR(SMALL(N367:N1087,ROW()-ROW($N$1090)+1),"")</f>
        <v>0</v>
      </c>
    </row>
    <row r="1121" customFormat="false" ht="15" hidden="false" customHeight="false" outlineLevel="0" collapsed="false">
      <c r="E1121" s="0" t="n">
        <f aca="false">IFERROR(SMALL(E367:E1087,ROW()-ROW($E$1090)+1),"")</f>
        <v>0</v>
      </c>
      <c r="F1121" s="0" t="str">
        <f aca="false">IFERROR(SMALL(F367:F1087,ROW()-ROW($F$1090)+1),"")</f>
        <v/>
      </c>
      <c r="G1121" s="0" t="n">
        <f aca="false">IFERROR(SMALL(G367:G1087,ROW()-ROW($G$1090)+1),"")</f>
        <v>0</v>
      </c>
      <c r="H1121" s="0" t="n">
        <f aca="false">IFERROR(SMALL(H367:H1087,ROW()-ROW($H$1090)+1),"")</f>
        <v>0</v>
      </c>
      <c r="K1121" s="0" t="n">
        <f aca="false">IFERROR(SMALL(K367:K1087,ROW()-ROW($K$1090)+1),"")</f>
        <v>0</v>
      </c>
      <c r="L1121" s="0" t="str">
        <f aca="false">IFERROR(SMALL(L367:L1087,ROW()-ROW($L$1090)+1),"")</f>
        <v/>
      </c>
      <c r="M1121" s="0" t="n">
        <f aca="false">IFERROR(SMALL(M367:M1087,ROW()-ROW($M$1090)+1),"")</f>
        <v>0</v>
      </c>
      <c r="N1121" s="0" t="n">
        <f aca="false">IFERROR(SMALL(N367:N1087,ROW()-ROW($N$1090)+1),"")</f>
        <v>0</v>
      </c>
    </row>
    <row r="1122" customFormat="false" ht="15" hidden="false" customHeight="false" outlineLevel="0" collapsed="false">
      <c r="E1122" s="0" t="n">
        <f aca="false">IFERROR(SMALL(E367:E1087,ROW()-ROW($E$1090)+1),"")</f>
        <v>0</v>
      </c>
      <c r="F1122" s="0" t="str">
        <f aca="false">IFERROR(SMALL(F367:F1087,ROW()-ROW($F$1090)+1),"")</f>
        <v/>
      </c>
      <c r="G1122" s="0" t="n">
        <f aca="false">IFERROR(SMALL(G367:G1087,ROW()-ROW($G$1090)+1),"")</f>
        <v>0</v>
      </c>
      <c r="H1122" s="0" t="n">
        <f aca="false">IFERROR(SMALL(H367:H1087,ROW()-ROW($H$1090)+1),"")</f>
        <v>0</v>
      </c>
      <c r="K1122" s="0" t="n">
        <f aca="false">IFERROR(SMALL(K367:K1087,ROW()-ROW($K$1090)+1),"")</f>
        <v>0</v>
      </c>
      <c r="L1122" s="0" t="str">
        <f aca="false">IFERROR(SMALL(L367:L1087,ROW()-ROW($L$1090)+1),"")</f>
        <v/>
      </c>
      <c r="M1122" s="0" t="n">
        <f aca="false">IFERROR(SMALL(M367:M1087,ROW()-ROW($M$1090)+1),"")</f>
        <v>0</v>
      </c>
      <c r="N1122" s="0" t="n">
        <f aca="false">IFERROR(SMALL(N367:N1087,ROW()-ROW($N$1090)+1),"")</f>
        <v>0</v>
      </c>
    </row>
    <row r="1123" customFormat="false" ht="15" hidden="false" customHeight="false" outlineLevel="0" collapsed="false">
      <c r="E1123" s="0" t="n">
        <f aca="false">IFERROR(SMALL(E367:E1087,ROW()-ROW($E$1090)+1),"")</f>
        <v>0</v>
      </c>
      <c r="F1123" s="0" t="str">
        <f aca="false">IFERROR(SMALL(F367:F1087,ROW()-ROW($F$1090)+1),"")</f>
        <v/>
      </c>
      <c r="G1123" s="0" t="n">
        <f aca="false">IFERROR(SMALL(G367:G1087,ROW()-ROW($G$1090)+1),"")</f>
        <v>0</v>
      </c>
      <c r="H1123" s="0" t="n">
        <f aca="false">IFERROR(SMALL(H367:H1087,ROW()-ROW($H$1090)+1),"")</f>
        <v>0</v>
      </c>
      <c r="K1123" s="0" t="n">
        <f aca="false">IFERROR(SMALL(K367:K1087,ROW()-ROW($K$1090)+1),"")</f>
        <v>0</v>
      </c>
      <c r="L1123" s="0" t="str">
        <f aca="false">IFERROR(SMALL(L367:L1087,ROW()-ROW($L$1090)+1),"")</f>
        <v/>
      </c>
      <c r="M1123" s="0" t="n">
        <f aca="false">IFERROR(SMALL(M367:M1087,ROW()-ROW($M$1090)+1),"")</f>
        <v>0</v>
      </c>
      <c r="N1123" s="0" t="n">
        <f aca="false">IFERROR(SMALL(N367:N1087,ROW()-ROW($N$1090)+1),"")</f>
        <v>0</v>
      </c>
    </row>
    <row r="1124" customFormat="false" ht="15" hidden="false" customHeight="false" outlineLevel="0" collapsed="false">
      <c r="E1124" s="0" t="n">
        <f aca="false">IFERROR(SMALL(E367:E1087,ROW()-ROW($E$1090)+1),"")</f>
        <v>0</v>
      </c>
      <c r="F1124" s="0" t="str">
        <f aca="false">IFERROR(SMALL(F367:F1087,ROW()-ROW($F$1090)+1),"")</f>
        <v/>
      </c>
      <c r="G1124" s="0" t="n">
        <f aca="false">IFERROR(SMALL(G367:G1087,ROW()-ROW($G$1090)+1),"")</f>
        <v>0</v>
      </c>
      <c r="H1124" s="0" t="n">
        <f aca="false">IFERROR(SMALL(H367:H1087,ROW()-ROW($H$1090)+1),"")</f>
        <v>0</v>
      </c>
      <c r="K1124" s="0" t="n">
        <f aca="false">IFERROR(SMALL(K367:K1087,ROW()-ROW($K$1090)+1),"")</f>
        <v>0</v>
      </c>
      <c r="L1124" s="0" t="str">
        <f aca="false">IFERROR(SMALL(L367:L1087,ROW()-ROW($L$1090)+1),"")</f>
        <v/>
      </c>
      <c r="M1124" s="0" t="n">
        <f aca="false">IFERROR(SMALL(M367:M1087,ROW()-ROW($M$1090)+1),"")</f>
        <v>0</v>
      </c>
      <c r="N1124" s="0" t="n">
        <f aca="false">IFERROR(SMALL(N367:N1087,ROW()-ROW($N$1090)+1),"")</f>
        <v>0</v>
      </c>
    </row>
    <row r="1125" customFormat="false" ht="15" hidden="false" customHeight="false" outlineLevel="0" collapsed="false">
      <c r="E1125" s="0" t="n">
        <f aca="false">IFERROR(SMALL(E367:E1087,ROW()-ROW($E$1090)+1),"")</f>
        <v>0</v>
      </c>
      <c r="F1125" s="0" t="str">
        <f aca="false">IFERROR(SMALL(F367:F1087,ROW()-ROW($F$1090)+1),"")</f>
        <v/>
      </c>
      <c r="G1125" s="0" t="n">
        <f aca="false">IFERROR(SMALL(G367:G1087,ROW()-ROW($G$1090)+1),"")</f>
        <v>0</v>
      </c>
      <c r="H1125" s="0" t="n">
        <f aca="false">IFERROR(SMALL(H367:H1087,ROW()-ROW($H$1090)+1),"")</f>
        <v>0</v>
      </c>
      <c r="K1125" s="0" t="n">
        <f aca="false">IFERROR(SMALL(K367:K1087,ROW()-ROW($K$1090)+1),"")</f>
        <v>0</v>
      </c>
      <c r="L1125" s="0" t="str">
        <f aca="false">IFERROR(SMALL(L367:L1087,ROW()-ROW($L$1090)+1),"")</f>
        <v/>
      </c>
      <c r="M1125" s="0" t="n">
        <f aca="false">IFERROR(SMALL(M367:M1087,ROW()-ROW($M$1090)+1),"")</f>
        <v>0</v>
      </c>
      <c r="N1125" s="0" t="n">
        <f aca="false">IFERROR(SMALL(N367:N1087,ROW()-ROW($N$1090)+1),"")</f>
        <v>0</v>
      </c>
    </row>
    <row r="1126" customFormat="false" ht="15" hidden="false" customHeight="false" outlineLevel="0" collapsed="false">
      <c r="E1126" s="0" t="n">
        <f aca="false">IFERROR(SMALL(E367:E1087,ROW()-ROW($E$1090)+1),"")</f>
        <v>0</v>
      </c>
      <c r="F1126" s="0" t="str">
        <f aca="false">IFERROR(SMALL(F367:F1087,ROW()-ROW($F$1090)+1),"")</f>
        <v/>
      </c>
      <c r="G1126" s="0" t="n">
        <f aca="false">IFERROR(SMALL(G367:G1087,ROW()-ROW($G$1090)+1),"")</f>
        <v>0</v>
      </c>
      <c r="H1126" s="0" t="n">
        <f aca="false">IFERROR(SMALL(H367:H1087,ROW()-ROW($H$1090)+1),"")</f>
        <v>0</v>
      </c>
      <c r="K1126" s="0" t="n">
        <f aca="false">IFERROR(SMALL(K367:K1087,ROW()-ROW($K$1090)+1),"")</f>
        <v>0</v>
      </c>
      <c r="L1126" s="0" t="str">
        <f aca="false">IFERROR(SMALL(L367:L1087,ROW()-ROW($L$1090)+1),"")</f>
        <v/>
      </c>
      <c r="M1126" s="0" t="n">
        <f aca="false">IFERROR(SMALL(M367:M1087,ROW()-ROW($M$1090)+1),"")</f>
        <v>0</v>
      </c>
      <c r="N1126" s="0" t="n">
        <f aca="false">IFERROR(SMALL(N367:N1087,ROW()-ROW($N$1090)+1),"")</f>
        <v>0</v>
      </c>
    </row>
    <row r="1127" customFormat="false" ht="15" hidden="false" customHeight="false" outlineLevel="0" collapsed="false">
      <c r="E1127" s="0" t="n">
        <f aca="false">IFERROR(SMALL(E367:E1087,ROW()-ROW($E$1090)+1),"")</f>
        <v>0</v>
      </c>
      <c r="F1127" s="0" t="str">
        <f aca="false">IFERROR(SMALL(F367:F1087,ROW()-ROW($F$1090)+1),"")</f>
        <v/>
      </c>
      <c r="G1127" s="0" t="n">
        <f aca="false">IFERROR(SMALL(G367:G1087,ROW()-ROW($G$1090)+1),"")</f>
        <v>0</v>
      </c>
      <c r="H1127" s="0" t="n">
        <f aca="false">IFERROR(SMALL(H367:H1087,ROW()-ROW($H$1090)+1),"")</f>
        <v>0</v>
      </c>
      <c r="K1127" s="0" t="n">
        <f aca="false">IFERROR(SMALL(K367:K1087,ROW()-ROW($K$1090)+1),"")</f>
        <v>0</v>
      </c>
      <c r="L1127" s="0" t="str">
        <f aca="false">IFERROR(SMALL(L367:L1087,ROW()-ROW($L$1090)+1),"")</f>
        <v/>
      </c>
      <c r="M1127" s="0" t="n">
        <f aca="false">IFERROR(SMALL(M367:M1087,ROW()-ROW($M$1090)+1),"")</f>
        <v>0</v>
      </c>
      <c r="N1127" s="0" t="n">
        <f aca="false">IFERROR(SMALL(N367:N1087,ROW()-ROW($N$1090)+1),"")</f>
        <v>0</v>
      </c>
    </row>
    <row r="1128" customFormat="false" ht="15" hidden="false" customHeight="false" outlineLevel="0" collapsed="false">
      <c r="E1128" s="0" t="n">
        <f aca="false">IFERROR(SMALL(E367:E1087,ROW()-ROW($E$1090)+1),"")</f>
        <v>0</v>
      </c>
      <c r="F1128" s="0" t="str">
        <f aca="false">IFERROR(SMALL(F367:F1087,ROW()-ROW($F$1090)+1),"")</f>
        <v/>
      </c>
      <c r="G1128" s="0" t="n">
        <f aca="false">IFERROR(SMALL(G367:G1087,ROW()-ROW($G$1090)+1),"")</f>
        <v>0</v>
      </c>
      <c r="H1128" s="0" t="n">
        <f aca="false">IFERROR(SMALL(H367:H1087,ROW()-ROW($H$1090)+1),"")</f>
        <v>0</v>
      </c>
      <c r="K1128" s="0" t="n">
        <f aca="false">IFERROR(SMALL(K367:K1087,ROW()-ROW($K$1090)+1),"")</f>
        <v>0</v>
      </c>
      <c r="L1128" s="0" t="str">
        <f aca="false">IFERROR(SMALL(L367:L1087,ROW()-ROW($L$1090)+1),"")</f>
        <v/>
      </c>
      <c r="M1128" s="0" t="n">
        <f aca="false">IFERROR(SMALL(M367:M1087,ROW()-ROW($M$1090)+1),"")</f>
        <v>0</v>
      </c>
      <c r="N1128" s="0" t="n">
        <f aca="false">IFERROR(SMALL(N367:N1087,ROW()-ROW($N$1090)+1),"")</f>
        <v>0</v>
      </c>
    </row>
    <row r="1129" customFormat="false" ht="15" hidden="false" customHeight="false" outlineLevel="0" collapsed="false">
      <c r="E1129" s="0" t="n">
        <f aca="false">IFERROR(SMALL(E367:E1087,ROW()-ROW($E$1090)+1),"")</f>
        <v>0</v>
      </c>
      <c r="F1129" s="0" t="str">
        <f aca="false">IFERROR(SMALL(F367:F1087,ROW()-ROW($F$1090)+1),"")</f>
        <v/>
      </c>
      <c r="G1129" s="0" t="n">
        <f aca="false">IFERROR(SMALL(G367:G1087,ROW()-ROW($G$1090)+1),"")</f>
        <v>0</v>
      </c>
      <c r="H1129" s="0" t="n">
        <f aca="false">IFERROR(SMALL(H367:H1087,ROW()-ROW($H$1090)+1),"")</f>
        <v>0</v>
      </c>
      <c r="K1129" s="0" t="n">
        <f aca="false">IFERROR(SMALL(K367:K1087,ROW()-ROW($K$1090)+1),"")</f>
        <v>0</v>
      </c>
      <c r="L1129" s="0" t="str">
        <f aca="false">IFERROR(SMALL(L367:L1087,ROW()-ROW($L$1090)+1),"")</f>
        <v/>
      </c>
      <c r="M1129" s="0" t="n">
        <f aca="false">IFERROR(SMALL(M367:M1087,ROW()-ROW($M$1090)+1),"")</f>
        <v>0</v>
      </c>
      <c r="N1129" s="0" t="n">
        <f aca="false">IFERROR(SMALL(N367:N1087,ROW()-ROW($N$1090)+1),"")</f>
        <v>0</v>
      </c>
    </row>
    <row r="1130" customFormat="false" ht="15" hidden="false" customHeight="false" outlineLevel="0" collapsed="false">
      <c r="E1130" s="0" t="n">
        <f aca="false">IFERROR(SMALL(E367:E1087,ROW()-ROW($E$1090)+1),"")</f>
        <v>0</v>
      </c>
      <c r="F1130" s="0" t="str">
        <f aca="false">IFERROR(SMALL(F367:F1087,ROW()-ROW($F$1090)+1),"")</f>
        <v/>
      </c>
      <c r="G1130" s="0" t="n">
        <f aca="false">IFERROR(SMALL(G367:G1087,ROW()-ROW($G$1090)+1),"")</f>
        <v>0</v>
      </c>
      <c r="H1130" s="0" t="n">
        <f aca="false">IFERROR(SMALL(H367:H1087,ROW()-ROW($H$1090)+1),"")</f>
        <v>0</v>
      </c>
      <c r="K1130" s="0" t="n">
        <f aca="false">IFERROR(SMALL(K367:K1087,ROW()-ROW($K$1090)+1),"")</f>
        <v>0</v>
      </c>
      <c r="L1130" s="0" t="str">
        <f aca="false">IFERROR(SMALL(L367:L1087,ROW()-ROW($L$1090)+1),"")</f>
        <v/>
      </c>
      <c r="M1130" s="0" t="n">
        <f aca="false">IFERROR(SMALL(M367:M1087,ROW()-ROW($M$1090)+1),"")</f>
        <v>0</v>
      </c>
      <c r="N1130" s="0" t="n">
        <f aca="false">IFERROR(SMALL(N367:N1087,ROW()-ROW($N$1090)+1),"")</f>
        <v>0</v>
      </c>
    </row>
    <row r="1131" customFormat="false" ht="15" hidden="false" customHeight="false" outlineLevel="0" collapsed="false">
      <c r="E1131" s="0" t="n">
        <f aca="false">IFERROR(SMALL(E367:E1087,ROW()-ROW($E$1090)+1),"")</f>
        <v>0</v>
      </c>
      <c r="F1131" s="0" t="str">
        <f aca="false">IFERROR(SMALL(F367:F1087,ROW()-ROW($F$1090)+1),"")</f>
        <v/>
      </c>
      <c r="G1131" s="0" t="n">
        <f aca="false">IFERROR(SMALL(G367:G1087,ROW()-ROW($G$1090)+1),"")</f>
        <v>0</v>
      </c>
      <c r="H1131" s="0" t="n">
        <f aca="false">IFERROR(SMALL(H367:H1087,ROW()-ROW($H$1090)+1),"")</f>
        <v>0</v>
      </c>
      <c r="K1131" s="0" t="n">
        <f aca="false">IFERROR(SMALL(K367:K1087,ROW()-ROW($K$1090)+1),"")</f>
        <v>0</v>
      </c>
      <c r="L1131" s="0" t="str">
        <f aca="false">IFERROR(SMALL(L367:L1087,ROW()-ROW($L$1090)+1),"")</f>
        <v/>
      </c>
      <c r="M1131" s="0" t="n">
        <f aca="false">IFERROR(SMALL(M367:M1087,ROW()-ROW($M$1090)+1),"")</f>
        <v>0</v>
      </c>
      <c r="N1131" s="0" t="n">
        <f aca="false">IFERROR(SMALL(N367:N1087,ROW()-ROW($N$1090)+1),"")</f>
        <v>0</v>
      </c>
    </row>
    <row r="1132" customFormat="false" ht="15" hidden="false" customHeight="false" outlineLevel="0" collapsed="false">
      <c r="E1132" s="0" t="n">
        <f aca="false">IFERROR(SMALL(E367:E1087,ROW()-ROW($E$1090)+1),"")</f>
        <v>0</v>
      </c>
      <c r="F1132" s="0" t="str">
        <f aca="false">IFERROR(SMALL(F367:F1087,ROW()-ROW($F$1090)+1),"")</f>
        <v/>
      </c>
      <c r="G1132" s="0" t="n">
        <f aca="false">IFERROR(SMALL(G367:G1087,ROW()-ROW($G$1090)+1),"")</f>
        <v>0</v>
      </c>
      <c r="H1132" s="0" t="n">
        <f aca="false">IFERROR(SMALL(H367:H1087,ROW()-ROW($H$1090)+1),"")</f>
        <v>0</v>
      </c>
      <c r="K1132" s="0" t="n">
        <f aca="false">IFERROR(SMALL(K367:K1087,ROW()-ROW($K$1090)+1),"")</f>
        <v>0</v>
      </c>
      <c r="L1132" s="0" t="str">
        <f aca="false">IFERROR(SMALL(L367:L1087,ROW()-ROW($L$1090)+1),"")</f>
        <v/>
      </c>
      <c r="M1132" s="0" t="n">
        <f aca="false">IFERROR(SMALL(M367:M1087,ROW()-ROW($M$1090)+1),"")</f>
        <v>0</v>
      </c>
      <c r="N1132" s="0" t="n">
        <f aca="false">IFERROR(SMALL(N367:N1087,ROW()-ROW($N$1090)+1),"")</f>
        <v>0</v>
      </c>
    </row>
    <row r="1133" customFormat="false" ht="15" hidden="false" customHeight="false" outlineLevel="0" collapsed="false">
      <c r="E1133" s="0" t="n">
        <f aca="false">IFERROR(SMALL(E367:E1087,ROW()-ROW($E$1090)+1),"")</f>
        <v>0</v>
      </c>
      <c r="F1133" s="0" t="str">
        <f aca="false">IFERROR(SMALL(F367:F1087,ROW()-ROW($F$1090)+1),"")</f>
        <v/>
      </c>
      <c r="G1133" s="0" t="n">
        <f aca="false">IFERROR(SMALL(G367:G1087,ROW()-ROW($G$1090)+1),"")</f>
        <v>0</v>
      </c>
      <c r="H1133" s="0" t="n">
        <f aca="false">IFERROR(SMALL(H367:H1087,ROW()-ROW($H$1090)+1),"")</f>
        <v>0</v>
      </c>
      <c r="K1133" s="0" t="n">
        <f aca="false">IFERROR(SMALL(K367:K1087,ROW()-ROW($K$1090)+1),"")</f>
        <v>0</v>
      </c>
      <c r="L1133" s="0" t="str">
        <f aca="false">IFERROR(SMALL(L367:L1087,ROW()-ROW($L$1090)+1),"")</f>
        <v/>
      </c>
      <c r="M1133" s="0" t="n">
        <f aca="false">IFERROR(SMALL(M367:M1087,ROW()-ROW($M$1090)+1),"")</f>
        <v>0</v>
      </c>
      <c r="N1133" s="0" t="n">
        <f aca="false">IFERROR(SMALL(N367:N1087,ROW()-ROW($N$1090)+1),"")</f>
        <v>0</v>
      </c>
    </row>
    <row r="1134" customFormat="false" ht="15" hidden="false" customHeight="false" outlineLevel="0" collapsed="false">
      <c r="E1134" s="0" t="n">
        <f aca="false">IFERROR(SMALL(E367:E1087,ROW()-ROW($E$1090)+1),"")</f>
        <v>0</v>
      </c>
      <c r="F1134" s="0" t="str">
        <f aca="false">IFERROR(SMALL(F367:F1087,ROW()-ROW($F$1090)+1),"")</f>
        <v/>
      </c>
      <c r="G1134" s="0" t="n">
        <f aca="false">IFERROR(SMALL(G367:G1087,ROW()-ROW($G$1090)+1),"")</f>
        <v>0</v>
      </c>
      <c r="H1134" s="0" t="n">
        <f aca="false">IFERROR(SMALL(H367:H1087,ROW()-ROW($H$1090)+1),"")</f>
        <v>0</v>
      </c>
      <c r="K1134" s="0" t="n">
        <f aca="false">IFERROR(SMALL(K367:K1087,ROW()-ROW($K$1090)+1),"")</f>
        <v>0</v>
      </c>
      <c r="L1134" s="0" t="str">
        <f aca="false">IFERROR(SMALL(L367:L1087,ROW()-ROW($L$1090)+1),"")</f>
        <v/>
      </c>
      <c r="M1134" s="0" t="n">
        <f aca="false">IFERROR(SMALL(M367:M1087,ROW()-ROW($M$1090)+1),"")</f>
        <v>0</v>
      </c>
      <c r="N1134" s="0" t="n">
        <f aca="false">IFERROR(SMALL(N367:N1087,ROW()-ROW($N$1090)+1),"")</f>
        <v>0</v>
      </c>
    </row>
    <row r="1135" customFormat="false" ht="15" hidden="false" customHeight="false" outlineLevel="0" collapsed="false">
      <c r="E1135" s="0" t="n">
        <f aca="false">IFERROR(SMALL(E367:E1087,ROW()-ROW($E$1090)+1),"")</f>
        <v>0</v>
      </c>
      <c r="F1135" s="0" t="str">
        <f aca="false">IFERROR(SMALL(F367:F1087,ROW()-ROW($F$1090)+1),"")</f>
        <v/>
      </c>
      <c r="G1135" s="0" t="n">
        <f aca="false">IFERROR(SMALL(G367:G1087,ROW()-ROW($G$1090)+1),"")</f>
        <v>0</v>
      </c>
      <c r="H1135" s="0" t="n">
        <f aca="false">IFERROR(SMALL(H367:H1087,ROW()-ROW($H$1090)+1),"")</f>
        <v>0</v>
      </c>
      <c r="K1135" s="0" t="n">
        <f aca="false">IFERROR(SMALL(K367:K1087,ROW()-ROW($K$1090)+1),"")</f>
        <v>0</v>
      </c>
      <c r="L1135" s="0" t="str">
        <f aca="false">IFERROR(SMALL(L367:L1087,ROW()-ROW($L$1090)+1),"")</f>
        <v/>
      </c>
      <c r="M1135" s="0" t="n">
        <f aca="false">IFERROR(SMALL(M367:M1087,ROW()-ROW($M$1090)+1),"")</f>
        <v>0</v>
      </c>
      <c r="N1135" s="0" t="n">
        <f aca="false">IFERROR(SMALL(N367:N1087,ROW()-ROW($N$1090)+1),"")</f>
        <v>0</v>
      </c>
    </row>
    <row r="1136" customFormat="false" ht="15" hidden="false" customHeight="false" outlineLevel="0" collapsed="false">
      <c r="E1136" s="0" t="n">
        <f aca="false">IFERROR(SMALL(E367:E1087,ROW()-ROW($E$1090)+1),"")</f>
        <v>0</v>
      </c>
      <c r="F1136" s="0" t="str">
        <f aca="false">IFERROR(SMALL(F367:F1087,ROW()-ROW($F$1090)+1),"")</f>
        <v/>
      </c>
      <c r="G1136" s="0" t="n">
        <f aca="false">IFERROR(SMALL(G367:G1087,ROW()-ROW($G$1090)+1),"")</f>
        <v>0</v>
      </c>
      <c r="H1136" s="0" t="n">
        <f aca="false">IFERROR(SMALL(H367:H1087,ROW()-ROW($H$1090)+1),"")</f>
        <v>0</v>
      </c>
      <c r="K1136" s="0" t="n">
        <f aca="false">IFERROR(SMALL(K367:K1087,ROW()-ROW($K$1090)+1),"")</f>
        <v>0</v>
      </c>
      <c r="L1136" s="0" t="str">
        <f aca="false">IFERROR(SMALL(L367:L1087,ROW()-ROW($L$1090)+1),"")</f>
        <v/>
      </c>
      <c r="M1136" s="0" t="n">
        <f aca="false">IFERROR(SMALL(M367:M1087,ROW()-ROW($M$1090)+1),"")</f>
        <v>0</v>
      </c>
      <c r="N1136" s="0" t="n">
        <f aca="false">IFERROR(SMALL(N367:N1087,ROW()-ROW($N$1090)+1),"")</f>
        <v>0</v>
      </c>
    </row>
    <row r="1137" customFormat="false" ht="15" hidden="false" customHeight="false" outlineLevel="0" collapsed="false">
      <c r="E1137" s="0" t="n">
        <f aca="false">IFERROR(SMALL(E367:E1087,ROW()-ROW($E$1090)+1),"")</f>
        <v>0</v>
      </c>
      <c r="F1137" s="0" t="str">
        <f aca="false">IFERROR(SMALL(F367:F1087,ROW()-ROW($F$1090)+1),"")</f>
        <v/>
      </c>
      <c r="G1137" s="0" t="n">
        <f aca="false">IFERROR(SMALL(G367:G1087,ROW()-ROW($G$1090)+1),"")</f>
        <v>0</v>
      </c>
      <c r="H1137" s="0" t="n">
        <f aca="false">IFERROR(SMALL(H367:H1087,ROW()-ROW($H$1090)+1),"")</f>
        <v>0</v>
      </c>
      <c r="K1137" s="0" t="n">
        <f aca="false">IFERROR(SMALL(K367:K1087,ROW()-ROW($K$1090)+1),"")</f>
        <v>0</v>
      </c>
      <c r="L1137" s="0" t="str">
        <f aca="false">IFERROR(SMALL(L367:L1087,ROW()-ROW($L$1090)+1),"")</f>
        <v/>
      </c>
      <c r="M1137" s="0" t="n">
        <f aca="false">IFERROR(SMALL(M367:M1087,ROW()-ROW($M$1090)+1),"")</f>
        <v>0</v>
      </c>
      <c r="N1137" s="0" t="n">
        <f aca="false">IFERROR(SMALL(N367:N1087,ROW()-ROW($N$1090)+1),"")</f>
        <v>0</v>
      </c>
    </row>
    <row r="1138" customFormat="false" ht="15" hidden="false" customHeight="false" outlineLevel="0" collapsed="false">
      <c r="E1138" s="0" t="n">
        <f aca="false">IFERROR(SMALL(E367:E1087,ROW()-ROW($E$1090)+1),"")</f>
        <v>0</v>
      </c>
      <c r="F1138" s="0" t="str">
        <f aca="false">IFERROR(SMALL(F367:F1087,ROW()-ROW($F$1090)+1),"")</f>
        <v/>
      </c>
      <c r="G1138" s="0" t="n">
        <f aca="false">IFERROR(SMALL(G367:G1087,ROW()-ROW($G$1090)+1),"")</f>
        <v>0</v>
      </c>
      <c r="H1138" s="0" t="n">
        <f aca="false">IFERROR(SMALL(H367:H1087,ROW()-ROW($H$1090)+1),"")</f>
        <v>0</v>
      </c>
      <c r="K1138" s="0" t="n">
        <f aca="false">IFERROR(SMALL(K367:K1087,ROW()-ROW($K$1090)+1),"")</f>
        <v>0</v>
      </c>
      <c r="L1138" s="0" t="str">
        <f aca="false">IFERROR(SMALL(L367:L1087,ROW()-ROW($L$1090)+1),"")</f>
        <v/>
      </c>
      <c r="M1138" s="0" t="n">
        <f aca="false">IFERROR(SMALL(M367:M1087,ROW()-ROW($M$1090)+1),"")</f>
        <v>0</v>
      </c>
      <c r="N1138" s="0" t="n">
        <f aca="false">IFERROR(SMALL(N367:N1087,ROW()-ROW($N$1090)+1),"")</f>
        <v>0</v>
      </c>
    </row>
    <row r="1139" customFormat="false" ht="15" hidden="false" customHeight="false" outlineLevel="0" collapsed="false">
      <c r="E1139" s="0" t="n">
        <f aca="false">IFERROR(SMALL(E367:E1087,ROW()-ROW($E$1090)+1),"")</f>
        <v>0</v>
      </c>
      <c r="F1139" s="0" t="str">
        <f aca="false">IFERROR(SMALL(F367:F1087,ROW()-ROW($F$1090)+1),"")</f>
        <v/>
      </c>
      <c r="G1139" s="0" t="n">
        <f aca="false">IFERROR(SMALL(G367:G1087,ROW()-ROW($G$1090)+1),"")</f>
        <v>0</v>
      </c>
      <c r="H1139" s="0" t="n">
        <f aca="false">IFERROR(SMALL(H367:H1087,ROW()-ROW($H$1090)+1),"")</f>
        <v>0</v>
      </c>
      <c r="K1139" s="0" t="n">
        <f aca="false">IFERROR(SMALL(K367:K1087,ROW()-ROW($K$1090)+1),"")</f>
        <v>0</v>
      </c>
      <c r="L1139" s="0" t="str">
        <f aca="false">IFERROR(SMALL(L367:L1087,ROW()-ROW($L$1090)+1),"")</f>
        <v/>
      </c>
      <c r="M1139" s="0" t="n">
        <f aca="false">IFERROR(SMALL(M367:M1087,ROW()-ROW($M$1090)+1),"")</f>
        <v>0</v>
      </c>
      <c r="N1139" s="0" t="n">
        <f aca="false">IFERROR(SMALL(N367:N1087,ROW()-ROW($N$1090)+1),"")</f>
        <v>0</v>
      </c>
    </row>
    <row r="1140" customFormat="false" ht="15" hidden="false" customHeight="false" outlineLevel="0" collapsed="false">
      <c r="E1140" s="0" t="n">
        <f aca="false">IFERROR(SMALL(E367:E1087,ROW()-ROW($E$1090)+1),"")</f>
        <v>0</v>
      </c>
      <c r="F1140" s="0" t="str">
        <f aca="false">IFERROR(SMALL(F367:F1087,ROW()-ROW($F$1090)+1),"")</f>
        <v/>
      </c>
      <c r="G1140" s="0" t="n">
        <f aca="false">IFERROR(SMALL(G367:G1087,ROW()-ROW($G$1090)+1),"")</f>
        <v>0</v>
      </c>
      <c r="H1140" s="0" t="n">
        <f aca="false">IFERROR(SMALL(H367:H1087,ROW()-ROW($H$1090)+1),"")</f>
        <v>0</v>
      </c>
      <c r="K1140" s="0" t="n">
        <f aca="false">IFERROR(SMALL(K367:K1087,ROW()-ROW($K$1090)+1),"")</f>
        <v>0</v>
      </c>
      <c r="L1140" s="0" t="str">
        <f aca="false">IFERROR(SMALL(L367:L1087,ROW()-ROW($L$1090)+1),"")</f>
        <v/>
      </c>
      <c r="M1140" s="0" t="n">
        <f aca="false">IFERROR(SMALL(M367:M1087,ROW()-ROW($M$1090)+1),"")</f>
        <v>0</v>
      </c>
      <c r="N1140" s="0" t="n">
        <f aca="false">IFERROR(SMALL(N367:N1087,ROW()-ROW($N$1090)+1),"")</f>
        <v>0</v>
      </c>
    </row>
    <row r="1141" customFormat="false" ht="15" hidden="false" customHeight="false" outlineLevel="0" collapsed="false">
      <c r="E1141" s="0" t="n">
        <f aca="false">IFERROR(SMALL(E367:E1087,ROW()-ROW($E$1090)+1),"")</f>
        <v>0</v>
      </c>
      <c r="F1141" s="0" t="str">
        <f aca="false">IFERROR(SMALL(F367:F1087,ROW()-ROW($F$1090)+1),"")</f>
        <v/>
      </c>
      <c r="G1141" s="0" t="n">
        <f aca="false">IFERROR(SMALL(G367:G1087,ROW()-ROW($G$1090)+1),"")</f>
        <v>0</v>
      </c>
      <c r="H1141" s="0" t="n">
        <f aca="false">IFERROR(SMALL(H367:H1087,ROW()-ROW($H$1090)+1),"")</f>
        <v>0</v>
      </c>
      <c r="K1141" s="0" t="n">
        <f aca="false">IFERROR(SMALL(K367:K1087,ROW()-ROW($K$1090)+1),"")</f>
        <v>0</v>
      </c>
      <c r="L1141" s="0" t="str">
        <f aca="false">IFERROR(SMALL(L367:L1087,ROW()-ROW($L$1090)+1),"")</f>
        <v/>
      </c>
      <c r="M1141" s="0" t="n">
        <f aca="false">IFERROR(SMALL(M367:M1087,ROW()-ROW($M$1090)+1),"")</f>
        <v>0</v>
      </c>
      <c r="N1141" s="0" t="n">
        <f aca="false">IFERROR(SMALL(N367:N1087,ROW()-ROW($N$1090)+1),"")</f>
        <v>0</v>
      </c>
    </row>
    <row r="1142" customFormat="false" ht="15" hidden="false" customHeight="false" outlineLevel="0" collapsed="false">
      <c r="E1142" s="0" t="n">
        <f aca="false">IFERROR(SMALL(E367:E1087,ROW()-ROW($E$1090)+1),"")</f>
        <v>0</v>
      </c>
      <c r="F1142" s="0" t="str">
        <f aca="false">IFERROR(SMALL(F367:F1087,ROW()-ROW($F$1090)+1),"")</f>
        <v/>
      </c>
      <c r="G1142" s="0" t="n">
        <f aca="false">IFERROR(SMALL(G367:G1087,ROW()-ROW($G$1090)+1),"")</f>
        <v>0</v>
      </c>
      <c r="H1142" s="0" t="n">
        <f aca="false">IFERROR(SMALL(H367:H1087,ROW()-ROW($H$1090)+1),"")</f>
        <v>0</v>
      </c>
      <c r="K1142" s="0" t="n">
        <f aca="false">IFERROR(SMALL(K367:K1087,ROW()-ROW($K$1090)+1),"")</f>
        <v>0</v>
      </c>
      <c r="L1142" s="0" t="str">
        <f aca="false">IFERROR(SMALL(L367:L1087,ROW()-ROW($L$1090)+1),"")</f>
        <v/>
      </c>
      <c r="M1142" s="0" t="n">
        <f aca="false">IFERROR(SMALL(M367:M1087,ROW()-ROW($M$1090)+1),"")</f>
        <v>0</v>
      </c>
      <c r="N1142" s="0" t="n">
        <f aca="false">IFERROR(SMALL(N367:N1087,ROW()-ROW($N$1090)+1),"")</f>
        <v>0</v>
      </c>
    </row>
    <row r="1143" customFormat="false" ht="15" hidden="false" customHeight="false" outlineLevel="0" collapsed="false">
      <c r="E1143" s="0" t="n">
        <f aca="false">IFERROR(SMALL(E367:E1087,ROW()-ROW($E$1090)+1),"")</f>
        <v>0</v>
      </c>
      <c r="F1143" s="0" t="str">
        <f aca="false">IFERROR(SMALL(F367:F1087,ROW()-ROW($F$1090)+1),"")</f>
        <v/>
      </c>
      <c r="G1143" s="0" t="n">
        <f aca="false">IFERROR(SMALL(G367:G1087,ROW()-ROW($G$1090)+1),"")</f>
        <v>0</v>
      </c>
      <c r="H1143" s="0" t="n">
        <f aca="false">IFERROR(SMALL(H367:H1087,ROW()-ROW($H$1090)+1),"")</f>
        <v>0</v>
      </c>
      <c r="K1143" s="0" t="n">
        <f aca="false">IFERROR(SMALL(K367:K1087,ROW()-ROW($K$1090)+1),"")</f>
        <v>0</v>
      </c>
      <c r="L1143" s="0" t="str">
        <f aca="false">IFERROR(SMALL(L367:L1087,ROW()-ROW($L$1090)+1),"")</f>
        <v/>
      </c>
      <c r="M1143" s="0" t="n">
        <f aca="false">IFERROR(SMALL(M367:M1087,ROW()-ROW($M$1090)+1),"")</f>
        <v>0</v>
      </c>
      <c r="N1143" s="0" t="n">
        <f aca="false">IFERROR(SMALL(N367:N1087,ROW()-ROW($N$1090)+1),"")</f>
        <v>0</v>
      </c>
    </row>
    <row r="1144" customFormat="false" ht="15" hidden="false" customHeight="false" outlineLevel="0" collapsed="false">
      <c r="E1144" s="0" t="n">
        <f aca="false">IFERROR(SMALL(E367:E1087,ROW()-ROW($E$1090)+1),"")</f>
        <v>0</v>
      </c>
      <c r="F1144" s="0" t="str">
        <f aca="false">IFERROR(SMALL(F367:F1087,ROW()-ROW($F$1090)+1),"")</f>
        <v/>
      </c>
      <c r="G1144" s="0" t="n">
        <f aca="false">IFERROR(SMALL(G367:G1087,ROW()-ROW($G$1090)+1),"")</f>
        <v>0</v>
      </c>
      <c r="H1144" s="0" t="n">
        <f aca="false">IFERROR(SMALL(H367:H1087,ROW()-ROW($H$1090)+1),"")</f>
        <v>0</v>
      </c>
      <c r="K1144" s="0" t="n">
        <f aca="false">IFERROR(SMALL(K367:K1087,ROW()-ROW($K$1090)+1),"")</f>
        <v>0</v>
      </c>
      <c r="L1144" s="0" t="str">
        <f aca="false">IFERROR(SMALL(L367:L1087,ROW()-ROW($L$1090)+1),"")</f>
        <v/>
      </c>
      <c r="M1144" s="0" t="n">
        <f aca="false">IFERROR(SMALL(M367:M1087,ROW()-ROW($M$1090)+1),"")</f>
        <v>0</v>
      </c>
      <c r="N1144" s="0" t="n">
        <f aca="false">IFERROR(SMALL(N367:N1087,ROW()-ROW($N$1090)+1),"")</f>
        <v>0</v>
      </c>
    </row>
    <row r="1145" customFormat="false" ht="15" hidden="false" customHeight="false" outlineLevel="0" collapsed="false">
      <c r="E1145" s="0" t="n">
        <f aca="false">IFERROR(SMALL(E367:E1087,ROW()-ROW($E$1090)+1),"")</f>
        <v>0</v>
      </c>
      <c r="F1145" s="0" t="str">
        <f aca="false">IFERROR(SMALL(F367:F1087,ROW()-ROW($F$1090)+1),"")</f>
        <v/>
      </c>
      <c r="G1145" s="0" t="n">
        <f aca="false">IFERROR(SMALL(G367:G1087,ROW()-ROW($G$1090)+1),"")</f>
        <v>0</v>
      </c>
      <c r="H1145" s="0" t="n">
        <f aca="false">IFERROR(SMALL(H367:H1087,ROW()-ROW($H$1090)+1),"")</f>
        <v>0</v>
      </c>
      <c r="K1145" s="0" t="n">
        <f aca="false">IFERROR(SMALL(K367:K1087,ROW()-ROW($K$1090)+1),"")</f>
        <v>0</v>
      </c>
      <c r="L1145" s="0" t="str">
        <f aca="false">IFERROR(SMALL(L367:L1087,ROW()-ROW($L$1090)+1),"")</f>
        <v/>
      </c>
      <c r="M1145" s="0" t="n">
        <f aca="false">IFERROR(SMALL(M367:M1087,ROW()-ROW($M$1090)+1),"")</f>
        <v>0</v>
      </c>
      <c r="N1145" s="0" t="n">
        <f aca="false">IFERROR(SMALL(N367:N1087,ROW()-ROW($N$1090)+1),"")</f>
        <v>0</v>
      </c>
    </row>
    <row r="1146" customFormat="false" ht="15" hidden="false" customHeight="false" outlineLevel="0" collapsed="false">
      <c r="E1146" s="0" t="n">
        <f aca="false">IFERROR(SMALL(E367:E1087,ROW()-ROW($E$1090)+1),"")</f>
        <v>0</v>
      </c>
      <c r="F1146" s="0" t="str">
        <f aca="false">IFERROR(SMALL(F367:F1087,ROW()-ROW($F$1090)+1),"")</f>
        <v/>
      </c>
      <c r="G1146" s="0" t="n">
        <f aca="false">IFERROR(SMALL(G367:G1087,ROW()-ROW($G$1090)+1),"")</f>
        <v>0</v>
      </c>
      <c r="H1146" s="0" t="n">
        <f aca="false">IFERROR(SMALL(H367:H1087,ROW()-ROW($H$1090)+1),"")</f>
        <v>0</v>
      </c>
      <c r="K1146" s="0" t="n">
        <f aca="false">IFERROR(SMALL(K367:K1087,ROW()-ROW($K$1090)+1),"")</f>
        <v>0</v>
      </c>
      <c r="L1146" s="0" t="str">
        <f aca="false">IFERROR(SMALL(L367:L1087,ROW()-ROW($L$1090)+1),"")</f>
        <v/>
      </c>
      <c r="M1146" s="0" t="n">
        <f aca="false">IFERROR(SMALL(M367:M1087,ROW()-ROW($M$1090)+1),"")</f>
        <v>0</v>
      </c>
      <c r="N1146" s="0" t="n">
        <f aca="false">IFERROR(SMALL(N367:N1087,ROW()-ROW($N$1090)+1),"")</f>
        <v>0</v>
      </c>
    </row>
    <row r="1147" customFormat="false" ht="15" hidden="false" customHeight="false" outlineLevel="0" collapsed="false">
      <c r="E1147" s="0" t="n">
        <f aca="false">IFERROR(SMALL(E367:E1087,ROW()-ROW($E$1090)+1),"")</f>
        <v>0</v>
      </c>
      <c r="F1147" s="0" t="str">
        <f aca="false">IFERROR(SMALL(F367:F1087,ROW()-ROW($F$1090)+1),"")</f>
        <v/>
      </c>
      <c r="G1147" s="0" t="n">
        <f aca="false">IFERROR(SMALL(G367:G1087,ROW()-ROW($G$1090)+1),"")</f>
        <v>0</v>
      </c>
      <c r="H1147" s="0" t="n">
        <f aca="false">IFERROR(SMALL(H367:H1087,ROW()-ROW($H$1090)+1),"")</f>
        <v>0</v>
      </c>
      <c r="K1147" s="0" t="n">
        <f aca="false">IFERROR(SMALL(K367:K1087,ROW()-ROW($K$1090)+1),"")</f>
        <v>0</v>
      </c>
      <c r="L1147" s="0" t="str">
        <f aca="false">IFERROR(SMALL(L367:L1087,ROW()-ROW($L$1090)+1),"")</f>
        <v/>
      </c>
      <c r="M1147" s="0" t="n">
        <f aca="false">IFERROR(SMALL(M367:M1087,ROW()-ROW($M$1090)+1),"")</f>
        <v>0</v>
      </c>
      <c r="N1147" s="0" t="n">
        <f aca="false">IFERROR(SMALL(N367:N1087,ROW()-ROW($N$1090)+1),"")</f>
        <v>0</v>
      </c>
    </row>
    <row r="1148" customFormat="false" ht="15" hidden="false" customHeight="false" outlineLevel="0" collapsed="false">
      <c r="E1148" s="0" t="n">
        <f aca="false">IFERROR(SMALL(E367:E1087,ROW()-ROW($E$1090)+1),"")</f>
        <v>0</v>
      </c>
      <c r="F1148" s="0" t="str">
        <f aca="false">IFERROR(SMALL(F367:F1087,ROW()-ROW($F$1090)+1),"")</f>
        <v/>
      </c>
      <c r="G1148" s="0" t="n">
        <f aca="false">IFERROR(SMALL(G367:G1087,ROW()-ROW($G$1090)+1),"")</f>
        <v>0</v>
      </c>
      <c r="H1148" s="0" t="n">
        <f aca="false">IFERROR(SMALL(H367:H1087,ROW()-ROW($H$1090)+1),"")</f>
        <v>0</v>
      </c>
      <c r="K1148" s="0" t="n">
        <f aca="false">IFERROR(SMALL(K367:K1087,ROW()-ROW($K$1090)+1),"")</f>
        <v>0</v>
      </c>
      <c r="L1148" s="0" t="str">
        <f aca="false">IFERROR(SMALL(L367:L1087,ROW()-ROW($L$1090)+1),"")</f>
        <v/>
      </c>
      <c r="M1148" s="0" t="n">
        <f aca="false">IFERROR(SMALL(M367:M1087,ROW()-ROW($M$1090)+1),"")</f>
        <v>0</v>
      </c>
      <c r="N1148" s="0" t="n">
        <f aca="false">IFERROR(SMALL(N367:N1087,ROW()-ROW($N$1090)+1),"")</f>
        <v>0</v>
      </c>
    </row>
    <row r="1149" customFormat="false" ht="15" hidden="false" customHeight="false" outlineLevel="0" collapsed="false">
      <c r="E1149" s="0" t="n">
        <f aca="false">IFERROR(SMALL(E367:E1087,ROW()-ROW($E$1090)+1),"")</f>
        <v>0</v>
      </c>
      <c r="F1149" s="0" t="str">
        <f aca="false">IFERROR(SMALL(F367:F1087,ROW()-ROW($F$1090)+1),"")</f>
        <v/>
      </c>
      <c r="G1149" s="0" t="n">
        <f aca="false">IFERROR(SMALL(G367:G1087,ROW()-ROW($G$1090)+1),"")</f>
        <v>0</v>
      </c>
      <c r="H1149" s="0" t="n">
        <f aca="false">IFERROR(SMALL(H367:H1087,ROW()-ROW($H$1090)+1),"")</f>
        <v>0</v>
      </c>
      <c r="K1149" s="0" t="n">
        <f aca="false">IFERROR(SMALL(K367:K1087,ROW()-ROW($K$1090)+1),"")</f>
        <v>0</v>
      </c>
      <c r="L1149" s="0" t="str">
        <f aca="false">IFERROR(SMALL(L367:L1087,ROW()-ROW($L$1090)+1),"")</f>
        <v/>
      </c>
      <c r="M1149" s="0" t="n">
        <f aca="false">IFERROR(SMALL(M367:M1087,ROW()-ROW($M$1090)+1),"")</f>
        <v>0</v>
      </c>
      <c r="N1149" s="0" t="n">
        <f aca="false">IFERROR(SMALL(N367:N1087,ROW()-ROW($N$1090)+1),"")</f>
        <v>0</v>
      </c>
    </row>
    <row r="1150" customFormat="false" ht="15" hidden="false" customHeight="false" outlineLevel="0" collapsed="false">
      <c r="E1150" s="0" t="n">
        <f aca="false">IFERROR(SMALL(E367:E1087,ROW()-ROW($E$1090)+1),"")</f>
        <v>0</v>
      </c>
      <c r="F1150" s="0" t="str">
        <f aca="false">IFERROR(SMALL(F367:F1087,ROW()-ROW($F$1090)+1),"")</f>
        <v/>
      </c>
      <c r="G1150" s="0" t="n">
        <f aca="false">IFERROR(SMALL(G367:G1087,ROW()-ROW($G$1090)+1),"")</f>
        <v>0</v>
      </c>
      <c r="H1150" s="0" t="n">
        <f aca="false">IFERROR(SMALL(H367:H1087,ROW()-ROW($H$1090)+1),"")</f>
        <v>0</v>
      </c>
      <c r="K1150" s="0" t="n">
        <f aca="false">IFERROR(SMALL(K367:K1087,ROW()-ROW($K$1090)+1),"")</f>
        <v>0</v>
      </c>
      <c r="L1150" s="0" t="str">
        <f aca="false">IFERROR(SMALL(L367:L1087,ROW()-ROW($L$1090)+1),"")</f>
        <v/>
      </c>
      <c r="M1150" s="0" t="n">
        <f aca="false">IFERROR(SMALL(M367:M1087,ROW()-ROW($M$1090)+1),"")</f>
        <v>0</v>
      </c>
      <c r="N1150" s="0" t="n">
        <f aca="false">IFERROR(SMALL(N367:N1087,ROW()-ROW($N$1090)+1),"")</f>
        <v>0</v>
      </c>
    </row>
    <row r="1151" customFormat="false" ht="15" hidden="false" customHeight="false" outlineLevel="0" collapsed="false">
      <c r="E1151" s="0" t="n">
        <f aca="false">IFERROR(SMALL(E367:E1087,ROW()-ROW($E$1090)+1),"")</f>
        <v>0</v>
      </c>
      <c r="F1151" s="0" t="str">
        <f aca="false">IFERROR(SMALL(F367:F1087,ROW()-ROW($F$1090)+1),"")</f>
        <v/>
      </c>
      <c r="G1151" s="0" t="n">
        <f aca="false">IFERROR(SMALL(G367:G1087,ROW()-ROW($G$1090)+1),"")</f>
        <v>0</v>
      </c>
      <c r="H1151" s="0" t="n">
        <f aca="false">IFERROR(SMALL(H367:H1087,ROW()-ROW($H$1090)+1),"")</f>
        <v>0</v>
      </c>
      <c r="K1151" s="0" t="n">
        <f aca="false">IFERROR(SMALL(K367:K1087,ROW()-ROW($K$1090)+1),"")</f>
        <v>0</v>
      </c>
      <c r="L1151" s="0" t="str">
        <f aca="false">IFERROR(SMALL(L367:L1087,ROW()-ROW($L$1090)+1),"")</f>
        <v/>
      </c>
      <c r="M1151" s="0" t="n">
        <f aca="false">IFERROR(SMALL(M367:M1087,ROW()-ROW($M$1090)+1),"")</f>
        <v>0</v>
      </c>
      <c r="N1151" s="0" t="n">
        <f aca="false">IFERROR(SMALL(N367:N1087,ROW()-ROW($N$1090)+1),"")</f>
        <v>0</v>
      </c>
    </row>
    <row r="1152" customFormat="false" ht="15" hidden="false" customHeight="false" outlineLevel="0" collapsed="false">
      <c r="E1152" s="0" t="n">
        <f aca="false">IFERROR(SMALL(E367:E1087,ROW()-ROW($E$1090)+1),"")</f>
        <v>0</v>
      </c>
      <c r="F1152" s="0" t="str">
        <f aca="false">IFERROR(SMALL(F367:F1087,ROW()-ROW($F$1090)+1),"")</f>
        <v/>
      </c>
      <c r="G1152" s="0" t="n">
        <f aca="false">IFERROR(SMALL(G367:G1087,ROW()-ROW($G$1090)+1),"")</f>
        <v>0</v>
      </c>
      <c r="H1152" s="0" t="n">
        <f aca="false">IFERROR(SMALL(H367:H1087,ROW()-ROW($H$1090)+1),"")</f>
        <v>0</v>
      </c>
      <c r="K1152" s="0" t="n">
        <f aca="false">IFERROR(SMALL(K367:K1087,ROW()-ROW($K$1090)+1),"")</f>
        <v>0</v>
      </c>
      <c r="L1152" s="0" t="str">
        <f aca="false">IFERROR(SMALL(L367:L1087,ROW()-ROW($L$1090)+1),"")</f>
        <v/>
      </c>
      <c r="M1152" s="0" t="n">
        <f aca="false">IFERROR(SMALL(M367:M1087,ROW()-ROW($M$1090)+1),"")</f>
        <v>0</v>
      </c>
      <c r="N1152" s="0" t="n">
        <f aca="false">IFERROR(SMALL(N367:N1087,ROW()-ROW($N$1090)+1),"")</f>
        <v>0</v>
      </c>
    </row>
    <row r="1153" customFormat="false" ht="15" hidden="false" customHeight="false" outlineLevel="0" collapsed="false">
      <c r="E1153" s="0" t="n">
        <f aca="false">IFERROR(SMALL(E367:E1087,ROW()-ROW($E$1090)+1),"")</f>
        <v>0</v>
      </c>
      <c r="F1153" s="0" t="str">
        <f aca="false">IFERROR(SMALL(F367:F1087,ROW()-ROW($F$1090)+1),"")</f>
        <v/>
      </c>
      <c r="G1153" s="0" t="n">
        <f aca="false">IFERROR(SMALL(G367:G1087,ROW()-ROW($G$1090)+1),"")</f>
        <v>0</v>
      </c>
      <c r="H1153" s="0" t="n">
        <f aca="false">IFERROR(SMALL(H367:H1087,ROW()-ROW($H$1090)+1),"")</f>
        <v>0</v>
      </c>
      <c r="K1153" s="0" t="n">
        <f aca="false">IFERROR(SMALL(K367:K1087,ROW()-ROW($K$1090)+1),"")</f>
        <v>0</v>
      </c>
      <c r="L1153" s="0" t="str">
        <f aca="false">IFERROR(SMALL(L367:L1087,ROW()-ROW($L$1090)+1),"")</f>
        <v/>
      </c>
      <c r="M1153" s="0" t="n">
        <f aca="false">IFERROR(SMALL(M367:M1087,ROW()-ROW($M$1090)+1),"")</f>
        <v>0</v>
      </c>
      <c r="N1153" s="0" t="n">
        <f aca="false">IFERROR(SMALL(N367:N1087,ROW()-ROW($N$1090)+1),"")</f>
        <v>0</v>
      </c>
    </row>
    <row r="1154" customFormat="false" ht="15" hidden="false" customHeight="false" outlineLevel="0" collapsed="false">
      <c r="E1154" s="0" t="n">
        <f aca="false">IFERROR(SMALL(E367:E1087,ROW()-ROW($E$1090)+1),"")</f>
        <v>0</v>
      </c>
      <c r="F1154" s="0" t="str">
        <f aca="false">IFERROR(SMALL(F367:F1087,ROW()-ROW($F$1090)+1),"")</f>
        <v/>
      </c>
      <c r="G1154" s="0" t="n">
        <f aca="false">IFERROR(SMALL(G367:G1087,ROW()-ROW($G$1090)+1),"")</f>
        <v>0</v>
      </c>
      <c r="H1154" s="0" t="n">
        <f aca="false">IFERROR(SMALL(H367:H1087,ROW()-ROW($H$1090)+1),"")</f>
        <v>0</v>
      </c>
      <c r="K1154" s="0" t="n">
        <f aca="false">IFERROR(SMALL(K367:K1087,ROW()-ROW($K$1090)+1),"")</f>
        <v>0</v>
      </c>
      <c r="L1154" s="0" t="str">
        <f aca="false">IFERROR(SMALL(L367:L1087,ROW()-ROW($L$1090)+1),"")</f>
        <v/>
      </c>
      <c r="M1154" s="0" t="n">
        <f aca="false">IFERROR(SMALL(M367:M1087,ROW()-ROW($M$1090)+1),"")</f>
        <v>0</v>
      </c>
      <c r="N1154" s="0" t="n">
        <f aca="false">IFERROR(SMALL(N367:N1087,ROW()-ROW($N$1090)+1),"")</f>
        <v>0</v>
      </c>
    </row>
    <row r="1155" customFormat="false" ht="15" hidden="false" customHeight="false" outlineLevel="0" collapsed="false">
      <c r="E1155" s="0" t="n">
        <f aca="false">IFERROR(SMALL(E367:E1087,ROW()-ROW($E$1090)+1),"")</f>
        <v>0</v>
      </c>
      <c r="F1155" s="0" t="str">
        <f aca="false">IFERROR(SMALL(F367:F1087,ROW()-ROW($F$1090)+1),"")</f>
        <v/>
      </c>
      <c r="G1155" s="0" t="n">
        <f aca="false">IFERROR(SMALL(G367:G1087,ROW()-ROW($G$1090)+1),"")</f>
        <v>0</v>
      </c>
      <c r="H1155" s="0" t="n">
        <f aca="false">IFERROR(SMALL(H367:H1087,ROW()-ROW($H$1090)+1),"")</f>
        <v>0</v>
      </c>
      <c r="K1155" s="0" t="n">
        <f aca="false">IFERROR(SMALL(K367:K1087,ROW()-ROW($K$1090)+1),"")</f>
        <v>0</v>
      </c>
      <c r="L1155" s="0" t="str">
        <f aca="false">IFERROR(SMALL(L367:L1087,ROW()-ROW($L$1090)+1),"")</f>
        <v/>
      </c>
      <c r="M1155" s="0" t="n">
        <f aca="false">IFERROR(SMALL(M367:M1087,ROW()-ROW($M$1090)+1),"")</f>
        <v>0</v>
      </c>
      <c r="N1155" s="0" t="n">
        <f aca="false">IFERROR(SMALL(N367:N1087,ROW()-ROW($N$1090)+1),"")</f>
        <v>0</v>
      </c>
    </row>
    <row r="1156" customFormat="false" ht="15" hidden="false" customHeight="false" outlineLevel="0" collapsed="false">
      <c r="E1156" s="0" t="n">
        <f aca="false">IFERROR(SMALL(E367:E1087,ROW()-ROW($E$1090)+1),"")</f>
        <v>0</v>
      </c>
      <c r="F1156" s="0" t="str">
        <f aca="false">IFERROR(SMALL(F367:F1087,ROW()-ROW($F$1090)+1),"")</f>
        <v/>
      </c>
      <c r="G1156" s="0" t="n">
        <f aca="false">IFERROR(SMALL(G367:G1087,ROW()-ROW($G$1090)+1),"")</f>
        <v>0</v>
      </c>
      <c r="H1156" s="0" t="n">
        <f aca="false">IFERROR(SMALL(H367:H1087,ROW()-ROW($H$1090)+1),"")</f>
        <v>0</v>
      </c>
      <c r="K1156" s="0" t="n">
        <f aca="false">IFERROR(SMALL(K367:K1087,ROW()-ROW($K$1090)+1),"")</f>
        <v>0</v>
      </c>
      <c r="L1156" s="0" t="str">
        <f aca="false">IFERROR(SMALL(L367:L1087,ROW()-ROW($L$1090)+1),"")</f>
        <v/>
      </c>
      <c r="M1156" s="0" t="n">
        <f aca="false">IFERROR(SMALL(M367:M1087,ROW()-ROW($M$1090)+1),"")</f>
        <v>0</v>
      </c>
      <c r="N1156" s="0" t="n">
        <f aca="false">IFERROR(SMALL(N367:N1087,ROW()-ROW($N$1090)+1),"")</f>
        <v>0</v>
      </c>
    </row>
    <row r="1157" customFormat="false" ht="15" hidden="false" customHeight="false" outlineLevel="0" collapsed="false">
      <c r="E1157" s="0" t="n">
        <f aca="false">IFERROR(SMALL(E367:E1087,ROW()-ROW($E$1090)+1),"")</f>
        <v>0</v>
      </c>
      <c r="F1157" s="0" t="str">
        <f aca="false">IFERROR(SMALL(F367:F1087,ROW()-ROW($F$1090)+1),"")</f>
        <v/>
      </c>
      <c r="G1157" s="0" t="n">
        <f aca="false">IFERROR(SMALL(G367:G1087,ROW()-ROW($G$1090)+1),"")</f>
        <v>0</v>
      </c>
      <c r="H1157" s="0" t="n">
        <f aca="false">IFERROR(SMALL(H367:H1087,ROW()-ROW($H$1090)+1),"")</f>
        <v>0</v>
      </c>
      <c r="K1157" s="0" t="n">
        <f aca="false">IFERROR(SMALL(K367:K1087,ROW()-ROW($K$1090)+1),"")</f>
        <v>0</v>
      </c>
      <c r="L1157" s="0" t="str">
        <f aca="false">IFERROR(SMALL(L367:L1087,ROW()-ROW($L$1090)+1),"")</f>
        <v/>
      </c>
      <c r="M1157" s="0" t="n">
        <f aca="false">IFERROR(SMALL(M367:M1087,ROW()-ROW($M$1090)+1),"")</f>
        <v>0</v>
      </c>
      <c r="N1157" s="0" t="n">
        <f aca="false">IFERROR(SMALL(N367:N1087,ROW()-ROW($N$1090)+1),"")</f>
        <v>0</v>
      </c>
    </row>
    <row r="1158" customFormat="false" ht="15" hidden="false" customHeight="false" outlineLevel="0" collapsed="false">
      <c r="E1158" s="0" t="n">
        <f aca="false">IFERROR(SMALL(E367:E1087,ROW()-ROW($E$1090)+1),"")</f>
        <v>0</v>
      </c>
      <c r="F1158" s="0" t="str">
        <f aca="false">IFERROR(SMALL(F367:F1087,ROW()-ROW($F$1090)+1),"")</f>
        <v/>
      </c>
      <c r="G1158" s="0" t="n">
        <f aca="false">IFERROR(SMALL(G367:G1087,ROW()-ROW($G$1090)+1),"")</f>
        <v>0</v>
      </c>
      <c r="H1158" s="0" t="n">
        <f aca="false">IFERROR(SMALL(H367:H1087,ROW()-ROW($H$1090)+1),"")</f>
        <v>0</v>
      </c>
      <c r="K1158" s="0" t="n">
        <f aca="false">IFERROR(SMALL(K367:K1087,ROW()-ROW($K$1090)+1),"")</f>
        <v>0</v>
      </c>
      <c r="L1158" s="0" t="str">
        <f aca="false">IFERROR(SMALL(L367:L1087,ROW()-ROW($L$1090)+1),"")</f>
        <v/>
      </c>
      <c r="M1158" s="0" t="n">
        <f aca="false">IFERROR(SMALL(M367:M1087,ROW()-ROW($M$1090)+1),"")</f>
        <v>0</v>
      </c>
      <c r="N1158" s="0" t="n">
        <f aca="false">IFERROR(SMALL(N367:N1087,ROW()-ROW($N$1090)+1),"")</f>
        <v>0</v>
      </c>
    </row>
    <row r="1159" customFormat="false" ht="15" hidden="false" customHeight="false" outlineLevel="0" collapsed="false">
      <c r="E1159" s="0" t="n">
        <f aca="false">IFERROR(SMALL(E367:E1087,ROW()-ROW($E$1090)+1),"")</f>
        <v>0</v>
      </c>
      <c r="F1159" s="0" t="str">
        <f aca="false">IFERROR(SMALL(F367:F1087,ROW()-ROW($F$1090)+1),"")</f>
        <v/>
      </c>
      <c r="G1159" s="0" t="n">
        <f aca="false">IFERROR(SMALL(G367:G1087,ROW()-ROW($G$1090)+1),"")</f>
        <v>0</v>
      </c>
      <c r="H1159" s="0" t="n">
        <f aca="false">IFERROR(SMALL(H367:H1087,ROW()-ROW($H$1090)+1),"")</f>
        <v>0</v>
      </c>
      <c r="K1159" s="0" t="n">
        <f aca="false">IFERROR(SMALL(K367:K1087,ROW()-ROW($K$1090)+1),"")</f>
        <v>0</v>
      </c>
      <c r="L1159" s="0" t="str">
        <f aca="false">IFERROR(SMALL(L367:L1087,ROW()-ROW($L$1090)+1),"")</f>
        <v/>
      </c>
      <c r="M1159" s="0" t="n">
        <f aca="false">IFERROR(SMALL(M367:M1087,ROW()-ROW($M$1090)+1),"")</f>
        <v>0</v>
      </c>
      <c r="N1159" s="0" t="n">
        <f aca="false">IFERROR(SMALL(N367:N1087,ROW()-ROW($N$1090)+1),"")</f>
        <v>0</v>
      </c>
    </row>
    <row r="1160" customFormat="false" ht="15" hidden="false" customHeight="false" outlineLevel="0" collapsed="false">
      <c r="E1160" s="0" t="n">
        <f aca="false">IFERROR(SMALL(E367:E1087,ROW()-ROW($E$1090)+1),"")</f>
        <v>0</v>
      </c>
      <c r="F1160" s="0" t="str">
        <f aca="false">IFERROR(SMALL(F367:F1087,ROW()-ROW($F$1090)+1),"")</f>
        <v/>
      </c>
      <c r="G1160" s="0" t="n">
        <f aca="false">IFERROR(SMALL(G367:G1087,ROW()-ROW($G$1090)+1),"")</f>
        <v>0</v>
      </c>
      <c r="H1160" s="0" t="n">
        <f aca="false">IFERROR(SMALL(H367:H1087,ROW()-ROW($H$1090)+1),"")</f>
        <v>0</v>
      </c>
      <c r="K1160" s="0" t="n">
        <f aca="false">IFERROR(SMALL(K367:K1087,ROW()-ROW($K$1090)+1),"")</f>
        <v>0</v>
      </c>
      <c r="L1160" s="0" t="str">
        <f aca="false">IFERROR(SMALL(L367:L1087,ROW()-ROW($L$1090)+1),"")</f>
        <v/>
      </c>
      <c r="M1160" s="0" t="n">
        <f aca="false">IFERROR(SMALL(M367:M1087,ROW()-ROW($M$1090)+1),"")</f>
        <v>0</v>
      </c>
      <c r="N1160" s="0" t="n">
        <f aca="false">IFERROR(SMALL(N367:N1087,ROW()-ROW($N$1090)+1),"")</f>
        <v>0</v>
      </c>
    </row>
    <row r="1161" customFormat="false" ht="15" hidden="false" customHeight="false" outlineLevel="0" collapsed="false">
      <c r="E1161" s="0" t="n">
        <f aca="false">IFERROR(SMALL(E367:E1087,ROW()-ROW($E$1090)+1),"")</f>
        <v>0</v>
      </c>
      <c r="F1161" s="0" t="str">
        <f aca="false">IFERROR(SMALL(F367:F1087,ROW()-ROW($F$1090)+1),"")</f>
        <v/>
      </c>
      <c r="G1161" s="0" t="n">
        <f aca="false">IFERROR(SMALL(G367:G1087,ROW()-ROW($G$1090)+1),"")</f>
        <v>0</v>
      </c>
      <c r="H1161" s="0" t="n">
        <f aca="false">IFERROR(SMALL(H367:H1087,ROW()-ROW($H$1090)+1),"")</f>
        <v>0</v>
      </c>
      <c r="K1161" s="0" t="n">
        <f aca="false">IFERROR(SMALL(K367:K1087,ROW()-ROW($K$1090)+1),"")</f>
        <v>0</v>
      </c>
      <c r="L1161" s="0" t="str">
        <f aca="false">IFERROR(SMALL(L367:L1087,ROW()-ROW($L$1090)+1),"")</f>
        <v/>
      </c>
      <c r="M1161" s="0" t="n">
        <f aca="false">IFERROR(SMALL(M367:M1087,ROW()-ROW($M$1090)+1),"")</f>
        <v>0</v>
      </c>
      <c r="N1161" s="0" t="n">
        <f aca="false">IFERROR(SMALL(N367:N1087,ROW()-ROW($N$1090)+1),"")</f>
        <v>0</v>
      </c>
    </row>
    <row r="1162" customFormat="false" ht="15" hidden="false" customHeight="false" outlineLevel="0" collapsed="false">
      <c r="E1162" s="0" t="n">
        <f aca="false">IFERROR(SMALL(E367:E1087,ROW()-ROW($E$1090)+1),"")</f>
        <v>0</v>
      </c>
      <c r="F1162" s="0" t="str">
        <f aca="false">IFERROR(SMALL(F367:F1087,ROW()-ROW($F$1090)+1),"")</f>
        <v/>
      </c>
      <c r="G1162" s="0" t="n">
        <f aca="false">IFERROR(SMALL(G367:G1087,ROW()-ROW($G$1090)+1),"")</f>
        <v>0</v>
      </c>
      <c r="H1162" s="0" t="n">
        <f aca="false">IFERROR(SMALL(H367:H1087,ROW()-ROW($H$1090)+1),"")</f>
        <v>0</v>
      </c>
      <c r="K1162" s="0" t="n">
        <f aca="false">IFERROR(SMALL(K367:K1087,ROW()-ROW($K$1090)+1),"")</f>
        <v>0</v>
      </c>
      <c r="L1162" s="0" t="str">
        <f aca="false">IFERROR(SMALL(L367:L1087,ROW()-ROW($L$1090)+1),"")</f>
        <v/>
      </c>
      <c r="M1162" s="0" t="n">
        <f aca="false">IFERROR(SMALL(M367:M1087,ROW()-ROW($M$1090)+1),"")</f>
        <v>0</v>
      </c>
      <c r="N1162" s="0" t="n">
        <f aca="false">IFERROR(SMALL(N367:N1087,ROW()-ROW($N$1090)+1),"")</f>
        <v>0</v>
      </c>
    </row>
    <row r="1163" customFormat="false" ht="15" hidden="false" customHeight="false" outlineLevel="0" collapsed="false">
      <c r="E1163" s="0" t="n">
        <f aca="false">IFERROR(SMALL(E367:E1087,ROW()-ROW($E$1090)+1),"")</f>
        <v>0</v>
      </c>
      <c r="F1163" s="0" t="str">
        <f aca="false">IFERROR(SMALL(F367:F1087,ROW()-ROW($F$1090)+1),"")</f>
        <v/>
      </c>
      <c r="G1163" s="0" t="n">
        <f aca="false">IFERROR(SMALL(G367:G1087,ROW()-ROW($G$1090)+1),"")</f>
        <v>0</v>
      </c>
      <c r="H1163" s="0" t="n">
        <f aca="false">IFERROR(SMALL(H367:H1087,ROW()-ROW($H$1090)+1),"")</f>
        <v>0</v>
      </c>
      <c r="K1163" s="0" t="n">
        <f aca="false">IFERROR(SMALL(K367:K1087,ROW()-ROW($K$1090)+1),"")</f>
        <v>0</v>
      </c>
      <c r="L1163" s="0" t="str">
        <f aca="false">IFERROR(SMALL(L367:L1087,ROW()-ROW($L$1090)+1),"")</f>
        <v/>
      </c>
      <c r="M1163" s="0" t="n">
        <f aca="false">IFERROR(SMALL(M367:M1087,ROW()-ROW($M$1090)+1),"")</f>
        <v>0</v>
      </c>
      <c r="N1163" s="0" t="n">
        <f aca="false">IFERROR(SMALL(N367:N1087,ROW()-ROW($N$1090)+1),"")</f>
        <v>0</v>
      </c>
    </row>
    <row r="1164" customFormat="false" ht="15" hidden="false" customHeight="false" outlineLevel="0" collapsed="false">
      <c r="E1164" s="0" t="n">
        <f aca="false">IFERROR(SMALL(E367:E1087,ROW()-ROW($E$1090)+1),"")</f>
        <v>0</v>
      </c>
      <c r="F1164" s="0" t="str">
        <f aca="false">IFERROR(SMALL(F367:F1087,ROW()-ROW($F$1090)+1),"")</f>
        <v/>
      </c>
      <c r="G1164" s="0" t="n">
        <f aca="false">IFERROR(SMALL(G367:G1087,ROW()-ROW($G$1090)+1),"")</f>
        <v>0</v>
      </c>
      <c r="H1164" s="0" t="n">
        <f aca="false">IFERROR(SMALL(H367:H1087,ROW()-ROW($H$1090)+1),"")</f>
        <v>0</v>
      </c>
      <c r="K1164" s="0" t="n">
        <f aca="false">IFERROR(SMALL(K367:K1087,ROW()-ROW($K$1090)+1),"")</f>
        <v>0</v>
      </c>
      <c r="L1164" s="0" t="str">
        <f aca="false">IFERROR(SMALL(L367:L1087,ROW()-ROW($L$1090)+1),"")</f>
        <v/>
      </c>
      <c r="M1164" s="0" t="n">
        <f aca="false">IFERROR(SMALL(M367:M1087,ROW()-ROW($M$1090)+1),"")</f>
        <v>0</v>
      </c>
      <c r="N1164" s="0" t="n">
        <f aca="false">IFERROR(SMALL(N367:N1087,ROW()-ROW($N$1090)+1),"")</f>
        <v>0</v>
      </c>
    </row>
    <row r="1165" customFormat="false" ht="15" hidden="false" customHeight="false" outlineLevel="0" collapsed="false">
      <c r="E1165" s="0" t="n">
        <f aca="false">IFERROR(SMALL(E367:E1087,ROW()-ROW($E$1090)+1),"")</f>
        <v>0</v>
      </c>
      <c r="F1165" s="0" t="str">
        <f aca="false">IFERROR(SMALL(F367:F1087,ROW()-ROW($F$1090)+1),"")</f>
        <v/>
      </c>
      <c r="G1165" s="0" t="n">
        <f aca="false">IFERROR(SMALL(G367:G1087,ROW()-ROW($G$1090)+1),"")</f>
        <v>0</v>
      </c>
      <c r="H1165" s="0" t="n">
        <f aca="false">IFERROR(SMALL(H367:H1087,ROW()-ROW($H$1090)+1),"")</f>
        <v>0</v>
      </c>
      <c r="K1165" s="0" t="n">
        <f aca="false">IFERROR(SMALL(K367:K1087,ROW()-ROW($K$1090)+1),"")</f>
        <v>0</v>
      </c>
      <c r="L1165" s="0" t="str">
        <f aca="false">IFERROR(SMALL(L367:L1087,ROW()-ROW($L$1090)+1),"")</f>
        <v/>
      </c>
      <c r="M1165" s="0" t="n">
        <f aca="false">IFERROR(SMALL(M367:M1087,ROW()-ROW($M$1090)+1),"")</f>
        <v>0</v>
      </c>
      <c r="N1165" s="0" t="n">
        <f aca="false">IFERROR(SMALL(N367:N1087,ROW()-ROW($N$1090)+1),"")</f>
        <v>0</v>
      </c>
    </row>
    <row r="1166" customFormat="false" ht="15" hidden="false" customHeight="false" outlineLevel="0" collapsed="false">
      <c r="E1166" s="0" t="n">
        <f aca="false">IFERROR(SMALL(E367:E1087,ROW()-ROW($E$1090)+1),"")</f>
        <v>0</v>
      </c>
      <c r="F1166" s="0" t="str">
        <f aca="false">IFERROR(SMALL(F367:F1087,ROW()-ROW($F$1090)+1),"")</f>
        <v/>
      </c>
      <c r="G1166" s="0" t="n">
        <f aca="false">IFERROR(SMALL(G367:G1087,ROW()-ROW($G$1090)+1),"")</f>
        <v>0</v>
      </c>
      <c r="H1166" s="0" t="n">
        <f aca="false">IFERROR(SMALL(H367:H1087,ROW()-ROW($H$1090)+1),"")</f>
        <v>0</v>
      </c>
      <c r="K1166" s="0" t="n">
        <f aca="false">IFERROR(SMALL(K367:K1087,ROW()-ROW($K$1090)+1),"")</f>
        <v>0</v>
      </c>
      <c r="L1166" s="0" t="str">
        <f aca="false">IFERROR(SMALL(L367:L1087,ROW()-ROW($L$1090)+1),"")</f>
        <v/>
      </c>
      <c r="M1166" s="0" t="n">
        <f aca="false">IFERROR(SMALL(M367:M1087,ROW()-ROW($M$1090)+1),"")</f>
        <v>0</v>
      </c>
      <c r="N1166" s="0" t="n">
        <f aca="false">IFERROR(SMALL(N367:N1087,ROW()-ROW($N$1090)+1),"")</f>
        <v>0</v>
      </c>
    </row>
    <row r="1167" customFormat="false" ht="15" hidden="false" customHeight="false" outlineLevel="0" collapsed="false">
      <c r="E1167" s="0" t="n">
        <f aca="false">IFERROR(SMALL(E367:E1087,ROW()-ROW($E$1090)+1),"")</f>
        <v>0</v>
      </c>
      <c r="F1167" s="0" t="str">
        <f aca="false">IFERROR(SMALL(F367:F1087,ROW()-ROW($F$1090)+1),"")</f>
        <v/>
      </c>
      <c r="G1167" s="0" t="n">
        <f aca="false">IFERROR(SMALL(G367:G1087,ROW()-ROW($G$1090)+1),"")</f>
        <v>0</v>
      </c>
      <c r="H1167" s="0" t="n">
        <f aca="false">IFERROR(SMALL(H367:H1087,ROW()-ROW($H$1090)+1),"")</f>
        <v>0</v>
      </c>
      <c r="K1167" s="0" t="n">
        <f aca="false">IFERROR(SMALL(K367:K1087,ROW()-ROW($K$1090)+1),"")</f>
        <v>0</v>
      </c>
      <c r="L1167" s="0" t="str">
        <f aca="false">IFERROR(SMALL(L367:L1087,ROW()-ROW($L$1090)+1),"")</f>
        <v/>
      </c>
      <c r="M1167" s="0" t="n">
        <f aca="false">IFERROR(SMALL(M367:M1087,ROW()-ROW($M$1090)+1),"")</f>
        <v>0</v>
      </c>
      <c r="N1167" s="0" t="n">
        <f aca="false">IFERROR(SMALL(N367:N1087,ROW()-ROW($N$1090)+1),"")</f>
        <v>0</v>
      </c>
    </row>
    <row r="1168" customFormat="false" ht="15" hidden="false" customHeight="false" outlineLevel="0" collapsed="false">
      <c r="E1168" s="0" t="n">
        <f aca="false">IFERROR(SMALL(E367:E1087,ROW()-ROW($E$1090)+1),"")</f>
        <v>0</v>
      </c>
      <c r="F1168" s="0" t="str">
        <f aca="false">IFERROR(SMALL(F367:F1087,ROW()-ROW($F$1090)+1),"")</f>
        <v/>
      </c>
      <c r="G1168" s="0" t="n">
        <f aca="false">IFERROR(SMALL(G367:G1087,ROW()-ROW($G$1090)+1),"")</f>
        <v>0</v>
      </c>
      <c r="H1168" s="0" t="n">
        <f aca="false">IFERROR(SMALL(H367:H1087,ROW()-ROW($H$1090)+1),"")</f>
        <v>0</v>
      </c>
      <c r="K1168" s="0" t="n">
        <f aca="false">IFERROR(SMALL(K367:K1087,ROW()-ROW($K$1090)+1),"")</f>
        <v>0</v>
      </c>
      <c r="L1168" s="0" t="str">
        <f aca="false">IFERROR(SMALL(L367:L1087,ROW()-ROW($L$1090)+1),"")</f>
        <v/>
      </c>
      <c r="M1168" s="0" t="n">
        <f aca="false">IFERROR(SMALL(M367:M1087,ROW()-ROW($M$1090)+1),"")</f>
        <v>0</v>
      </c>
      <c r="N1168" s="0" t="n">
        <f aca="false">IFERROR(SMALL(N367:N1087,ROW()-ROW($N$1090)+1),"")</f>
        <v>0</v>
      </c>
    </row>
    <row r="1169" customFormat="false" ht="15" hidden="false" customHeight="false" outlineLevel="0" collapsed="false">
      <c r="E1169" s="0" t="n">
        <f aca="false">IFERROR(SMALL(E367:E1087,ROW()-ROW($E$1090)+1),"")</f>
        <v>0</v>
      </c>
      <c r="F1169" s="0" t="str">
        <f aca="false">IFERROR(SMALL(F367:F1087,ROW()-ROW($F$1090)+1),"")</f>
        <v/>
      </c>
      <c r="G1169" s="0" t="n">
        <f aca="false">IFERROR(SMALL(G367:G1087,ROW()-ROW($G$1090)+1),"")</f>
        <v>0</v>
      </c>
      <c r="H1169" s="0" t="n">
        <f aca="false">IFERROR(SMALL(H367:H1087,ROW()-ROW($H$1090)+1),"")</f>
        <v>0</v>
      </c>
      <c r="K1169" s="0" t="n">
        <f aca="false">IFERROR(SMALL(K367:K1087,ROW()-ROW($K$1090)+1),"")</f>
        <v>0</v>
      </c>
      <c r="L1169" s="0" t="str">
        <f aca="false">IFERROR(SMALL(L367:L1087,ROW()-ROW($L$1090)+1),"")</f>
        <v/>
      </c>
      <c r="M1169" s="0" t="n">
        <f aca="false">IFERROR(SMALL(M367:M1087,ROW()-ROW($M$1090)+1),"")</f>
        <v>0</v>
      </c>
      <c r="N1169" s="0" t="n">
        <f aca="false">IFERROR(SMALL(N367:N1087,ROW()-ROW($N$1090)+1),"")</f>
        <v>0</v>
      </c>
    </row>
    <row r="1170" customFormat="false" ht="15" hidden="false" customHeight="false" outlineLevel="0" collapsed="false">
      <c r="E1170" s="0" t="n">
        <f aca="false">IFERROR(SMALL(E367:E1087,ROW()-ROW($E$1090)+1),"")</f>
        <v>0</v>
      </c>
      <c r="F1170" s="0" t="str">
        <f aca="false">IFERROR(SMALL(F367:F1087,ROW()-ROW($F$1090)+1),"")</f>
        <v/>
      </c>
      <c r="G1170" s="0" t="n">
        <f aca="false">IFERROR(SMALL(G367:G1087,ROW()-ROW($G$1090)+1),"")</f>
        <v>0</v>
      </c>
      <c r="H1170" s="0" t="n">
        <f aca="false">IFERROR(SMALL(H367:H1087,ROW()-ROW($H$1090)+1),"")</f>
        <v>0</v>
      </c>
      <c r="K1170" s="0" t="n">
        <f aca="false">IFERROR(SMALL(K367:K1087,ROW()-ROW($K$1090)+1),"")</f>
        <v>0</v>
      </c>
      <c r="L1170" s="0" t="str">
        <f aca="false">IFERROR(SMALL(L367:L1087,ROW()-ROW($L$1090)+1),"")</f>
        <v/>
      </c>
      <c r="M1170" s="0" t="n">
        <f aca="false">IFERROR(SMALL(M367:M1087,ROW()-ROW($M$1090)+1),"")</f>
        <v>0</v>
      </c>
      <c r="N1170" s="0" t="n">
        <f aca="false">IFERROR(SMALL(N367:N1087,ROW()-ROW($N$1090)+1),"")</f>
        <v>0</v>
      </c>
    </row>
    <row r="1171" customFormat="false" ht="15" hidden="false" customHeight="false" outlineLevel="0" collapsed="false">
      <c r="E1171" s="0" t="n">
        <f aca="false">IFERROR(SMALL(E367:E1087,ROW()-ROW($E$1090)+1),"")</f>
        <v>0</v>
      </c>
      <c r="F1171" s="0" t="str">
        <f aca="false">IFERROR(SMALL(F367:F1087,ROW()-ROW($F$1090)+1),"")</f>
        <v/>
      </c>
      <c r="G1171" s="0" t="n">
        <f aca="false">IFERROR(SMALL(G367:G1087,ROW()-ROW($G$1090)+1),"")</f>
        <v>0</v>
      </c>
      <c r="H1171" s="0" t="n">
        <f aca="false">IFERROR(SMALL(H367:H1087,ROW()-ROW($H$1090)+1),"")</f>
        <v>0</v>
      </c>
      <c r="K1171" s="0" t="n">
        <f aca="false">IFERROR(SMALL(K367:K1087,ROW()-ROW($K$1090)+1),"")</f>
        <v>0</v>
      </c>
      <c r="L1171" s="0" t="str">
        <f aca="false">IFERROR(SMALL(L367:L1087,ROW()-ROW($L$1090)+1),"")</f>
        <v/>
      </c>
      <c r="M1171" s="0" t="n">
        <f aca="false">IFERROR(SMALL(M367:M1087,ROW()-ROW($M$1090)+1),"")</f>
        <v>0</v>
      </c>
      <c r="N1171" s="0" t="n">
        <f aca="false">IFERROR(SMALL(N367:N1087,ROW()-ROW($N$1090)+1),"")</f>
        <v>0</v>
      </c>
    </row>
    <row r="1172" customFormat="false" ht="15" hidden="false" customHeight="false" outlineLevel="0" collapsed="false">
      <c r="E1172" s="0" t="n">
        <f aca="false">IFERROR(SMALL(E367:E1087,ROW()-ROW($E$1090)+1),"")</f>
        <v>0</v>
      </c>
      <c r="F1172" s="0" t="str">
        <f aca="false">IFERROR(SMALL(F367:F1087,ROW()-ROW($F$1090)+1),"")</f>
        <v/>
      </c>
      <c r="G1172" s="0" t="n">
        <f aca="false">IFERROR(SMALL(G367:G1087,ROW()-ROW($G$1090)+1),"")</f>
        <v>0</v>
      </c>
      <c r="H1172" s="0" t="n">
        <f aca="false">IFERROR(SMALL(H367:H1087,ROW()-ROW($H$1090)+1),"")</f>
        <v>0</v>
      </c>
      <c r="K1172" s="0" t="n">
        <f aca="false">IFERROR(SMALL(K367:K1087,ROW()-ROW($K$1090)+1),"")</f>
        <v>0</v>
      </c>
      <c r="L1172" s="0" t="str">
        <f aca="false">IFERROR(SMALL(L367:L1087,ROW()-ROW($L$1090)+1),"")</f>
        <v/>
      </c>
      <c r="M1172" s="0" t="n">
        <f aca="false">IFERROR(SMALL(M367:M1087,ROW()-ROW($M$1090)+1),"")</f>
        <v>0</v>
      </c>
      <c r="N1172" s="0" t="n">
        <f aca="false">IFERROR(SMALL(N367:N1087,ROW()-ROW($N$1090)+1),"")</f>
        <v>0</v>
      </c>
    </row>
    <row r="1173" customFormat="false" ht="15" hidden="false" customHeight="false" outlineLevel="0" collapsed="false">
      <c r="E1173" s="0" t="n">
        <f aca="false">IFERROR(SMALL(E367:E1087,ROW()-ROW($E$1090)+1),"")</f>
        <v>0</v>
      </c>
      <c r="F1173" s="0" t="str">
        <f aca="false">IFERROR(SMALL(F367:F1087,ROW()-ROW($F$1090)+1),"")</f>
        <v/>
      </c>
      <c r="G1173" s="0" t="n">
        <f aca="false">IFERROR(SMALL(G367:G1087,ROW()-ROW($G$1090)+1),"")</f>
        <v>0</v>
      </c>
      <c r="H1173" s="0" t="n">
        <f aca="false">IFERROR(SMALL(H367:H1087,ROW()-ROW($H$1090)+1),"")</f>
        <v>0</v>
      </c>
      <c r="K1173" s="0" t="n">
        <f aca="false">IFERROR(SMALL(K367:K1087,ROW()-ROW($K$1090)+1),"")</f>
        <v>0</v>
      </c>
      <c r="L1173" s="0" t="str">
        <f aca="false">IFERROR(SMALL(L367:L1087,ROW()-ROW($L$1090)+1),"")</f>
        <v/>
      </c>
      <c r="M1173" s="0" t="n">
        <f aca="false">IFERROR(SMALL(M367:M1087,ROW()-ROW($M$1090)+1),"")</f>
        <v>0</v>
      </c>
      <c r="N1173" s="0" t="n">
        <f aca="false">IFERROR(SMALL(N367:N1087,ROW()-ROW($N$1090)+1),"")</f>
        <v>0</v>
      </c>
    </row>
    <row r="1174" customFormat="false" ht="15" hidden="false" customHeight="false" outlineLevel="0" collapsed="false">
      <c r="E1174" s="0" t="n">
        <f aca="false">IFERROR(SMALL(E367:E1087,ROW()-ROW($E$1090)+1),"")</f>
        <v>0</v>
      </c>
      <c r="F1174" s="0" t="str">
        <f aca="false">IFERROR(SMALL(F367:F1087,ROW()-ROW($F$1090)+1),"")</f>
        <v/>
      </c>
      <c r="G1174" s="0" t="n">
        <f aca="false">IFERROR(SMALL(G367:G1087,ROW()-ROW($G$1090)+1),"")</f>
        <v>0</v>
      </c>
      <c r="H1174" s="0" t="n">
        <f aca="false">IFERROR(SMALL(H367:H1087,ROW()-ROW($H$1090)+1),"")</f>
        <v>0</v>
      </c>
      <c r="K1174" s="0" t="n">
        <f aca="false">IFERROR(SMALL(K367:K1087,ROW()-ROW($K$1090)+1),"")</f>
        <v>0</v>
      </c>
      <c r="L1174" s="0" t="str">
        <f aca="false">IFERROR(SMALL(L367:L1087,ROW()-ROW($L$1090)+1),"")</f>
        <v/>
      </c>
      <c r="M1174" s="0" t="n">
        <f aca="false">IFERROR(SMALL(M367:M1087,ROW()-ROW($M$1090)+1),"")</f>
        <v>0</v>
      </c>
      <c r="N1174" s="0" t="n">
        <f aca="false">IFERROR(SMALL(N367:N1087,ROW()-ROW($N$1090)+1),"")</f>
        <v>0</v>
      </c>
    </row>
    <row r="1175" customFormat="false" ht="15" hidden="false" customHeight="false" outlineLevel="0" collapsed="false">
      <c r="E1175" s="0" t="n">
        <f aca="false">IFERROR(SMALL(E367:E1087,ROW()-ROW($E$1090)+1),"")</f>
        <v>0</v>
      </c>
      <c r="F1175" s="0" t="str">
        <f aca="false">IFERROR(SMALL(F367:F1087,ROW()-ROW($F$1090)+1),"")</f>
        <v/>
      </c>
      <c r="G1175" s="0" t="n">
        <f aca="false">IFERROR(SMALL(G367:G1087,ROW()-ROW($G$1090)+1),"")</f>
        <v>0</v>
      </c>
      <c r="H1175" s="0" t="n">
        <f aca="false">IFERROR(SMALL(H367:H1087,ROW()-ROW($H$1090)+1),"")</f>
        <v>0</v>
      </c>
      <c r="K1175" s="0" t="n">
        <f aca="false">IFERROR(SMALL(K367:K1087,ROW()-ROW($K$1090)+1),"")</f>
        <v>0</v>
      </c>
      <c r="L1175" s="0" t="str">
        <f aca="false">IFERROR(SMALL(L367:L1087,ROW()-ROW($L$1090)+1),"")</f>
        <v/>
      </c>
      <c r="M1175" s="0" t="n">
        <f aca="false">IFERROR(SMALL(M367:M1087,ROW()-ROW($M$1090)+1),"")</f>
        <v>0</v>
      </c>
      <c r="N1175" s="0" t="n">
        <f aca="false">IFERROR(SMALL(N367:N1087,ROW()-ROW($N$1090)+1),"")</f>
        <v>0</v>
      </c>
    </row>
    <row r="1176" customFormat="false" ht="15" hidden="false" customHeight="false" outlineLevel="0" collapsed="false">
      <c r="E1176" s="0" t="n">
        <f aca="false">IFERROR(SMALL(E367:E1087,ROW()-ROW($E$1090)+1),"")</f>
        <v>0</v>
      </c>
      <c r="F1176" s="0" t="str">
        <f aca="false">IFERROR(SMALL(F367:F1087,ROW()-ROW($F$1090)+1),"")</f>
        <v/>
      </c>
      <c r="G1176" s="0" t="n">
        <f aca="false">IFERROR(SMALL(G367:G1087,ROW()-ROW($G$1090)+1),"")</f>
        <v>0</v>
      </c>
      <c r="H1176" s="0" t="n">
        <f aca="false">IFERROR(SMALL(H367:H1087,ROW()-ROW($H$1090)+1),"")</f>
        <v>0</v>
      </c>
      <c r="K1176" s="0" t="n">
        <f aca="false">IFERROR(SMALL(K367:K1087,ROW()-ROW($K$1090)+1),"")</f>
        <v>0</v>
      </c>
      <c r="L1176" s="0" t="str">
        <f aca="false">IFERROR(SMALL(L367:L1087,ROW()-ROW($L$1090)+1),"")</f>
        <v/>
      </c>
      <c r="M1176" s="0" t="n">
        <f aca="false">IFERROR(SMALL(M367:M1087,ROW()-ROW($M$1090)+1),"")</f>
        <v>0</v>
      </c>
      <c r="N1176" s="0" t="n">
        <f aca="false">IFERROR(SMALL(N367:N1087,ROW()-ROW($N$1090)+1),"")</f>
        <v>0</v>
      </c>
    </row>
    <row r="1177" customFormat="false" ht="15" hidden="false" customHeight="false" outlineLevel="0" collapsed="false">
      <c r="E1177" s="0" t="n">
        <f aca="false">IFERROR(SMALL(E367:E1087,ROW()-ROW($E$1090)+1),"")</f>
        <v>0</v>
      </c>
      <c r="F1177" s="0" t="str">
        <f aca="false">IFERROR(SMALL(F367:F1087,ROW()-ROW($F$1090)+1),"")</f>
        <v/>
      </c>
      <c r="G1177" s="0" t="n">
        <f aca="false">IFERROR(SMALL(G367:G1087,ROW()-ROW($G$1090)+1),"")</f>
        <v>0</v>
      </c>
      <c r="H1177" s="0" t="n">
        <f aca="false">IFERROR(SMALL(H367:H1087,ROW()-ROW($H$1090)+1),"")</f>
        <v>0</v>
      </c>
      <c r="K1177" s="0" t="n">
        <f aca="false">IFERROR(SMALL(K367:K1087,ROW()-ROW($K$1090)+1),"")</f>
        <v>0</v>
      </c>
      <c r="L1177" s="0" t="str">
        <f aca="false">IFERROR(SMALL(L367:L1087,ROW()-ROW($L$1090)+1),"")</f>
        <v/>
      </c>
      <c r="M1177" s="0" t="n">
        <f aca="false">IFERROR(SMALL(M367:M1087,ROW()-ROW($M$1090)+1),"")</f>
        <v>0</v>
      </c>
      <c r="N1177" s="0" t="n">
        <f aca="false">IFERROR(SMALL(N367:N1087,ROW()-ROW($N$1090)+1),"")</f>
        <v>0</v>
      </c>
    </row>
    <row r="1178" customFormat="false" ht="15" hidden="false" customHeight="false" outlineLevel="0" collapsed="false">
      <c r="E1178" s="0" t="n">
        <f aca="false">IFERROR(SMALL(E367:E1087,ROW()-ROW($E$1090)+1),"")</f>
        <v>0</v>
      </c>
      <c r="F1178" s="0" t="str">
        <f aca="false">IFERROR(SMALL(F367:F1087,ROW()-ROW($F$1090)+1),"")</f>
        <v/>
      </c>
      <c r="G1178" s="0" t="n">
        <f aca="false">IFERROR(SMALL(G367:G1087,ROW()-ROW($G$1090)+1),"")</f>
        <v>0</v>
      </c>
      <c r="H1178" s="0" t="n">
        <f aca="false">IFERROR(SMALL(H367:H1087,ROW()-ROW($H$1090)+1),"")</f>
        <v>0</v>
      </c>
      <c r="K1178" s="0" t="n">
        <f aca="false">IFERROR(SMALL(K367:K1087,ROW()-ROW($K$1090)+1),"")</f>
        <v>0</v>
      </c>
      <c r="L1178" s="0" t="str">
        <f aca="false">IFERROR(SMALL(L367:L1087,ROW()-ROW($L$1090)+1),"")</f>
        <v/>
      </c>
      <c r="M1178" s="0" t="n">
        <f aca="false">IFERROR(SMALL(M367:M1087,ROW()-ROW($M$1090)+1),"")</f>
        <v>0</v>
      </c>
      <c r="N1178" s="0" t="n">
        <f aca="false">IFERROR(SMALL(N367:N1087,ROW()-ROW($N$1090)+1),"")</f>
        <v>0</v>
      </c>
    </row>
    <row r="1179" customFormat="false" ht="15" hidden="false" customHeight="false" outlineLevel="0" collapsed="false">
      <c r="E1179" s="0" t="n">
        <f aca="false">IFERROR(SMALL(E367:E1087,ROW()-ROW($E$1090)+1),"")</f>
        <v>0</v>
      </c>
      <c r="F1179" s="0" t="str">
        <f aca="false">IFERROR(SMALL(F367:F1087,ROW()-ROW($F$1090)+1),"")</f>
        <v/>
      </c>
      <c r="G1179" s="0" t="n">
        <f aca="false">IFERROR(SMALL(G367:G1087,ROW()-ROW($G$1090)+1),"")</f>
        <v>0</v>
      </c>
      <c r="H1179" s="0" t="n">
        <f aca="false">IFERROR(SMALL(H367:H1087,ROW()-ROW($H$1090)+1),"")</f>
        <v>0</v>
      </c>
      <c r="K1179" s="0" t="n">
        <f aca="false">IFERROR(SMALL(K367:K1087,ROW()-ROW($K$1090)+1),"")</f>
        <v>0</v>
      </c>
      <c r="L1179" s="0" t="str">
        <f aca="false">IFERROR(SMALL(L367:L1087,ROW()-ROW($L$1090)+1),"")</f>
        <v/>
      </c>
      <c r="M1179" s="0" t="n">
        <f aca="false">IFERROR(SMALL(M367:M1087,ROW()-ROW($M$1090)+1),"")</f>
        <v>0</v>
      </c>
      <c r="N1179" s="0" t="n">
        <f aca="false">IFERROR(SMALL(N367:N1087,ROW()-ROW($N$1090)+1),"")</f>
        <v>0</v>
      </c>
    </row>
    <row r="1180" customFormat="false" ht="15" hidden="false" customHeight="false" outlineLevel="0" collapsed="false">
      <c r="E1180" s="0" t="n">
        <f aca="false">IFERROR(SMALL(E367:E1087,ROW()-ROW($E$1090)+1),"")</f>
        <v>0</v>
      </c>
      <c r="F1180" s="0" t="str">
        <f aca="false">IFERROR(SMALL(F367:F1087,ROW()-ROW($F$1090)+1),"")</f>
        <v/>
      </c>
      <c r="G1180" s="0" t="n">
        <f aca="false">IFERROR(SMALL(G367:G1087,ROW()-ROW($G$1090)+1),"")</f>
        <v>0</v>
      </c>
      <c r="H1180" s="0" t="n">
        <f aca="false">IFERROR(SMALL(H367:H1087,ROW()-ROW($H$1090)+1),"")</f>
        <v>0</v>
      </c>
      <c r="K1180" s="0" t="n">
        <f aca="false">IFERROR(SMALL(K367:K1087,ROW()-ROW($K$1090)+1),"")</f>
        <v>0</v>
      </c>
      <c r="L1180" s="0" t="str">
        <f aca="false">IFERROR(SMALL(L367:L1087,ROW()-ROW($L$1090)+1),"")</f>
        <v/>
      </c>
      <c r="M1180" s="0" t="n">
        <f aca="false">IFERROR(SMALL(M367:M1087,ROW()-ROW($M$1090)+1),"")</f>
        <v>0</v>
      </c>
      <c r="N1180" s="0" t="n">
        <f aca="false">IFERROR(SMALL(N367:N1087,ROW()-ROW($N$1090)+1),"")</f>
        <v>0</v>
      </c>
    </row>
    <row r="1181" customFormat="false" ht="15" hidden="false" customHeight="false" outlineLevel="0" collapsed="false">
      <c r="E1181" s="0" t="n">
        <f aca="false">IFERROR(SMALL(E367:E1087,ROW()-ROW($E$1090)+1),"")</f>
        <v>0</v>
      </c>
      <c r="F1181" s="0" t="str">
        <f aca="false">IFERROR(SMALL(F367:F1087,ROW()-ROW($F$1090)+1),"")</f>
        <v/>
      </c>
      <c r="G1181" s="0" t="n">
        <f aca="false">IFERROR(SMALL(G367:G1087,ROW()-ROW($G$1090)+1),"")</f>
        <v>0</v>
      </c>
      <c r="H1181" s="0" t="n">
        <f aca="false">IFERROR(SMALL(H367:H1087,ROW()-ROW($H$1090)+1),"")</f>
        <v>0</v>
      </c>
      <c r="K1181" s="0" t="n">
        <f aca="false">IFERROR(SMALL(K367:K1087,ROW()-ROW($K$1090)+1),"")</f>
        <v>0</v>
      </c>
      <c r="L1181" s="0" t="str">
        <f aca="false">IFERROR(SMALL(L367:L1087,ROW()-ROW($L$1090)+1),"")</f>
        <v/>
      </c>
      <c r="M1181" s="0" t="n">
        <f aca="false">IFERROR(SMALL(M367:M1087,ROW()-ROW($M$1090)+1),"")</f>
        <v>0</v>
      </c>
      <c r="N1181" s="0" t="n">
        <f aca="false">IFERROR(SMALL(N367:N1087,ROW()-ROW($N$1090)+1),"")</f>
        <v>0</v>
      </c>
    </row>
    <row r="1182" customFormat="false" ht="15" hidden="false" customHeight="false" outlineLevel="0" collapsed="false">
      <c r="E1182" s="0" t="n">
        <f aca="false">IFERROR(SMALL(E367:E1087,ROW()-ROW($E$1090)+1),"")</f>
        <v>0</v>
      </c>
      <c r="F1182" s="0" t="str">
        <f aca="false">IFERROR(SMALL(F367:F1087,ROW()-ROW($F$1090)+1),"")</f>
        <v/>
      </c>
      <c r="G1182" s="0" t="n">
        <f aca="false">IFERROR(SMALL(G367:G1087,ROW()-ROW($G$1090)+1),"")</f>
        <v>0</v>
      </c>
      <c r="H1182" s="0" t="n">
        <f aca="false">IFERROR(SMALL(H367:H1087,ROW()-ROW($H$1090)+1),"")</f>
        <v>0</v>
      </c>
      <c r="K1182" s="0" t="n">
        <f aca="false">IFERROR(SMALL(K367:K1087,ROW()-ROW($K$1090)+1),"")</f>
        <v>0</v>
      </c>
      <c r="L1182" s="0" t="str">
        <f aca="false">IFERROR(SMALL(L367:L1087,ROW()-ROW($L$1090)+1),"")</f>
        <v/>
      </c>
      <c r="M1182" s="0" t="n">
        <f aca="false">IFERROR(SMALL(M367:M1087,ROW()-ROW($M$1090)+1),"")</f>
        <v>0</v>
      </c>
      <c r="N1182" s="0" t="n">
        <f aca="false">IFERROR(SMALL(N367:N1087,ROW()-ROW($N$1090)+1),"")</f>
        <v>0</v>
      </c>
    </row>
    <row r="1183" customFormat="false" ht="15" hidden="false" customHeight="false" outlineLevel="0" collapsed="false">
      <c r="E1183" s="0" t="n">
        <f aca="false">IFERROR(SMALL(E367:E1087,ROW()-ROW($E$1090)+1),"")</f>
        <v>0</v>
      </c>
      <c r="F1183" s="0" t="str">
        <f aca="false">IFERROR(SMALL(F367:F1087,ROW()-ROW($F$1090)+1),"")</f>
        <v/>
      </c>
      <c r="G1183" s="0" t="n">
        <f aca="false">IFERROR(SMALL(G367:G1087,ROW()-ROW($G$1090)+1),"")</f>
        <v>0</v>
      </c>
      <c r="H1183" s="0" t="n">
        <f aca="false">IFERROR(SMALL(H367:H1087,ROW()-ROW($H$1090)+1),"")</f>
        <v>0</v>
      </c>
      <c r="K1183" s="0" t="n">
        <f aca="false">IFERROR(SMALL(K367:K1087,ROW()-ROW($K$1090)+1),"")</f>
        <v>0</v>
      </c>
      <c r="L1183" s="0" t="str">
        <f aca="false">IFERROR(SMALL(L367:L1087,ROW()-ROW($L$1090)+1),"")</f>
        <v/>
      </c>
      <c r="M1183" s="0" t="n">
        <f aca="false">IFERROR(SMALL(M367:M1087,ROW()-ROW($M$1090)+1),"")</f>
        <v>0</v>
      </c>
      <c r="N1183" s="0" t="n">
        <f aca="false">IFERROR(SMALL(N367:N1087,ROW()-ROW($N$1090)+1),"")</f>
        <v>0</v>
      </c>
    </row>
    <row r="1184" customFormat="false" ht="15" hidden="false" customHeight="false" outlineLevel="0" collapsed="false">
      <c r="E1184" s="0" t="n">
        <f aca="false">IFERROR(SMALL(E367:E1087,ROW()-ROW($E$1090)+1),"")</f>
        <v>0</v>
      </c>
      <c r="F1184" s="0" t="str">
        <f aca="false">IFERROR(SMALL(F367:F1087,ROW()-ROW($F$1090)+1),"")</f>
        <v/>
      </c>
      <c r="G1184" s="0" t="n">
        <f aca="false">IFERROR(SMALL(G367:G1087,ROW()-ROW($G$1090)+1),"")</f>
        <v>0</v>
      </c>
      <c r="H1184" s="0" t="n">
        <f aca="false">IFERROR(SMALL(H367:H1087,ROW()-ROW($H$1090)+1),"")</f>
        <v>0</v>
      </c>
      <c r="K1184" s="0" t="n">
        <f aca="false">IFERROR(SMALL(K367:K1087,ROW()-ROW($K$1090)+1),"")</f>
        <v>0</v>
      </c>
      <c r="L1184" s="0" t="str">
        <f aca="false">IFERROR(SMALL(L367:L1087,ROW()-ROW($L$1090)+1),"")</f>
        <v/>
      </c>
      <c r="M1184" s="0" t="n">
        <f aca="false">IFERROR(SMALL(M367:M1087,ROW()-ROW($M$1090)+1),"")</f>
        <v>0</v>
      </c>
      <c r="N1184" s="0" t="n">
        <f aca="false">IFERROR(SMALL(N367:N1087,ROW()-ROW($N$1090)+1),"")</f>
        <v>0</v>
      </c>
    </row>
    <row r="1185" customFormat="false" ht="15" hidden="false" customHeight="false" outlineLevel="0" collapsed="false">
      <c r="E1185" s="0" t="n">
        <f aca="false">IFERROR(SMALL(E367:E1087,ROW()-ROW($E$1090)+1),"")</f>
        <v>0</v>
      </c>
      <c r="F1185" s="0" t="str">
        <f aca="false">IFERROR(SMALL(F367:F1087,ROW()-ROW($F$1090)+1),"")</f>
        <v/>
      </c>
      <c r="G1185" s="0" t="n">
        <f aca="false">IFERROR(SMALL(G367:G1087,ROW()-ROW($G$1090)+1),"")</f>
        <v>0</v>
      </c>
      <c r="H1185" s="0" t="n">
        <f aca="false">IFERROR(SMALL(H367:H1087,ROW()-ROW($H$1090)+1),"")</f>
        <v>0</v>
      </c>
      <c r="K1185" s="0" t="n">
        <f aca="false">IFERROR(SMALL(K367:K1087,ROW()-ROW($K$1090)+1),"")</f>
        <v>0</v>
      </c>
      <c r="L1185" s="0" t="str">
        <f aca="false">IFERROR(SMALL(L367:L1087,ROW()-ROW($L$1090)+1),"")</f>
        <v/>
      </c>
      <c r="M1185" s="0" t="n">
        <f aca="false">IFERROR(SMALL(M367:M1087,ROW()-ROW($M$1090)+1),"")</f>
        <v>0</v>
      </c>
      <c r="N1185" s="0" t="n">
        <f aca="false">IFERROR(SMALL(N367:N1087,ROW()-ROW($N$1090)+1),"")</f>
        <v>0</v>
      </c>
    </row>
    <row r="1186" customFormat="false" ht="15" hidden="false" customHeight="false" outlineLevel="0" collapsed="false">
      <c r="E1186" s="0" t="n">
        <f aca="false">IFERROR(SMALL(E367:E1087,ROW()-ROW($E$1090)+1),"")</f>
        <v>0</v>
      </c>
      <c r="F1186" s="0" t="str">
        <f aca="false">IFERROR(SMALL(F367:F1087,ROW()-ROW($F$1090)+1),"")</f>
        <v/>
      </c>
      <c r="G1186" s="0" t="n">
        <f aca="false">IFERROR(SMALL(G367:G1087,ROW()-ROW($G$1090)+1),"")</f>
        <v>0</v>
      </c>
      <c r="H1186" s="0" t="n">
        <f aca="false">IFERROR(SMALL(H367:H1087,ROW()-ROW($H$1090)+1),"")</f>
        <v>0</v>
      </c>
      <c r="K1186" s="0" t="n">
        <f aca="false">IFERROR(SMALL(K367:K1087,ROW()-ROW($K$1090)+1),"")</f>
        <v>0</v>
      </c>
      <c r="L1186" s="0" t="str">
        <f aca="false">IFERROR(SMALL(L367:L1087,ROW()-ROW($L$1090)+1),"")</f>
        <v/>
      </c>
      <c r="M1186" s="0" t="n">
        <f aca="false">IFERROR(SMALL(M367:M1087,ROW()-ROW($M$1090)+1),"")</f>
        <v>0</v>
      </c>
      <c r="N1186" s="0" t="n">
        <f aca="false">IFERROR(SMALL(N367:N1087,ROW()-ROW($N$1090)+1),"")</f>
        <v>0</v>
      </c>
    </row>
    <row r="1187" customFormat="false" ht="15" hidden="false" customHeight="false" outlineLevel="0" collapsed="false">
      <c r="E1187" s="0" t="n">
        <f aca="false">IFERROR(SMALL(E367:E1087,ROW()-ROW($E$1090)+1),"")</f>
        <v>0</v>
      </c>
      <c r="F1187" s="0" t="str">
        <f aca="false">IFERROR(SMALL(F367:F1087,ROW()-ROW($F$1090)+1),"")</f>
        <v/>
      </c>
      <c r="G1187" s="0" t="n">
        <f aca="false">IFERROR(SMALL(G367:G1087,ROW()-ROW($G$1090)+1),"")</f>
        <v>0</v>
      </c>
      <c r="H1187" s="0" t="n">
        <f aca="false">IFERROR(SMALL(H367:H1087,ROW()-ROW($H$1090)+1),"")</f>
        <v>0</v>
      </c>
      <c r="K1187" s="0" t="n">
        <f aca="false">IFERROR(SMALL(K367:K1087,ROW()-ROW($K$1090)+1),"")</f>
        <v>0</v>
      </c>
      <c r="L1187" s="0" t="str">
        <f aca="false">IFERROR(SMALL(L367:L1087,ROW()-ROW($L$1090)+1),"")</f>
        <v/>
      </c>
      <c r="M1187" s="0" t="n">
        <f aca="false">IFERROR(SMALL(M367:M1087,ROW()-ROW($M$1090)+1),"")</f>
        <v>0</v>
      </c>
      <c r="N1187" s="0" t="n">
        <f aca="false">IFERROR(SMALL(N367:N1087,ROW()-ROW($N$1090)+1),"")</f>
        <v>0</v>
      </c>
    </row>
    <row r="1188" customFormat="false" ht="15" hidden="false" customHeight="false" outlineLevel="0" collapsed="false">
      <c r="E1188" s="0" t="n">
        <f aca="false">IFERROR(SMALL(E367:E1087,ROW()-ROW($E$1090)+1),"")</f>
        <v>0</v>
      </c>
      <c r="F1188" s="0" t="str">
        <f aca="false">IFERROR(SMALL(F367:F1087,ROW()-ROW($F$1090)+1),"")</f>
        <v/>
      </c>
      <c r="G1188" s="0" t="n">
        <f aca="false">IFERROR(SMALL(G367:G1087,ROW()-ROW($G$1090)+1),"")</f>
        <v>0</v>
      </c>
      <c r="H1188" s="0" t="n">
        <f aca="false">IFERROR(SMALL(H367:H1087,ROW()-ROW($H$1090)+1),"")</f>
        <v>0</v>
      </c>
      <c r="K1188" s="0" t="n">
        <f aca="false">IFERROR(SMALL(K367:K1087,ROW()-ROW($K$1090)+1),"")</f>
        <v>0</v>
      </c>
      <c r="L1188" s="0" t="str">
        <f aca="false">IFERROR(SMALL(L367:L1087,ROW()-ROW($L$1090)+1),"")</f>
        <v/>
      </c>
      <c r="M1188" s="0" t="n">
        <f aca="false">IFERROR(SMALL(M367:M1087,ROW()-ROW($M$1090)+1),"")</f>
        <v>0</v>
      </c>
      <c r="N1188" s="0" t="n">
        <f aca="false">IFERROR(SMALL(N367:N1087,ROW()-ROW($N$1090)+1),"")</f>
        <v>0</v>
      </c>
    </row>
    <row r="1189" customFormat="false" ht="15" hidden="false" customHeight="false" outlineLevel="0" collapsed="false">
      <c r="E1189" s="0" t="n">
        <f aca="false">IFERROR(SMALL(E367:E1087,ROW()-ROW($E$1090)+1),"")</f>
        <v>0</v>
      </c>
      <c r="F1189" s="0" t="str">
        <f aca="false">IFERROR(SMALL(F367:F1087,ROW()-ROW($F$1090)+1),"")</f>
        <v/>
      </c>
      <c r="G1189" s="0" t="n">
        <f aca="false">IFERROR(SMALL(G367:G1087,ROW()-ROW($G$1090)+1),"")</f>
        <v>0</v>
      </c>
      <c r="H1189" s="0" t="n">
        <f aca="false">IFERROR(SMALL(H367:H1087,ROW()-ROW($H$1090)+1),"")</f>
        <v>0</v>
      </c>
      <c r="K1189" s="0" t="n">
        <f aca="false">IFERROR(SMALL(K367:K1087,ROW()-ROW($K$1090)+1),"")</f>
        <v>0</v>
      </c>
      <c r="L1189" s="0" t="str">
        <f aca="false">IFERROR(SMALL(L367:L1087,ROW()-ROW($L$1090)+1),"")</f>
        <v/>
      </c>
      <c r="M1189" s="0" t="n">
        <f aca="false">IFERROR(SMALL(M367:M1087,ROW()-ROW($M$1090)+1),"")</f>
        <v>0</v>
      </c>
      <c r="N1189" s="0" t="n">
        <f aca="false">IFERROR(SMALL(N367:N1087,ROW()-ROW($N$1090)+1),"")</f>
        <v>0</v>
      </c>
    </row>
    <row r="1190" customFormat="false" ht="15" hidden="false" customHeight="false" outlineLevel="0" collapsed="false">
      <c r="E1190" s="0" t="n">
        <f aca="false">IFERROR(SMALL(E367:E1087,ROW()-ROW($E$1090)+1),"")</f>
        <v>0</v>
      </c>
      <c r="F1190" s="0" t="str">
        <f aca="false">IFERROR(SMALL(F367:F1087,ROW()-ROW($F$1090)+1),"")</f>
        <v/>
      </c>
      <c r="G1190" s="0" t="n">
        <f aca="false">IFERROR(SMALL(G367:G1087,ROW()-ROW($G$1090)+1),"")</f>
        <v>0</v>
      </c>
      <c r="H1190" s="0" t="n">
        <f aca="false">IFERROR(SMALL(H367:H1087,ROW()-ROW($H$1090)+1),"")</f>
        <v>0</v>
      </c>
      <c r="K1190" s="0" t="n">
        <f aca="false">IFERROR(SMALL(K367:K1087,ROW()-ROW($K$1090)+1),"")</f>
        <v>0</v>
      </c>
      <c r="L1190" s="0" t="str">
        <f aca="false">IFERROR(SMALL(L367:L1087,ROW()-ROW($L$1090)+1),"")</f>
        <v/>
      </c>
      <c r="M1190" s="0" t="n">
        <f aca="false">IFERROR(SMALL(M367:M1087,ROW()-ROW($M$1090)+1),"")</f>
        <v>0</v>
      </c>
      <c r="N1190" s="0" t="n">
        <f aca="false">IFERROR(SMALL(N367:N1087,ROW()-ROW($N$1090)+1),"")</f>
        <v>0</v>
      </c>
    </row>
    <row r="1191" customFormat="false" ht="15" hidden="false" customHeight="false" outlineLevel="0" collapsed="false">
      <c r="E1191" s="0" t="n">
        <f aca="false">IFERROR(SMALL(E367:E1087,ROW()-ROW($E$1090)+1),"")</f>
        <v>0</v>
      </c>
      <c r="F1191" s="0" t="str">
        <f aca="false">IFERROR(SMALL(F367:F1087,ROW()-ROW($F$1090)+1),"")</f>
        <v/>
      </c>
      <c r="G1191" s="0" t="n">
        <f aca="false">IFERROR(SMALL(G367:G1087,ROW()-ROW($G$1090)+1),"")</f>
        <v>0</v>
      </c>
      <c r="H1191" s="0" t="n">
        <f aca="false">IFERROR(SMALL(H367:H1087,ROW()-ROW($H$1090)+1),"")</f>
        <v>0</v>
      </c>
      <c r="K1191" s="0" t="n">
        <f aca="false">IFERROR(SMALL(K367:K1087,ROW()-ROW($K$1090)+1),"")</f>
        <v>0</v>
      </c>
      <c r="L1191" s="0" t="str">
        <f aca="false">IFERROR(SMALL(L367:L1087,ROW()-ROW($L$1090)+1),"")</f>
        <v/>
      </c>
      <c r="M1191" s="0" t="n">
        <f aca="false">IFERROR(SMALL(M367:M1087,ROW()-ROW($M$1090)+1),"")</f>
        <v>0</v>
      </c>
      <c r="N1191" s="0" t="n">
        <f aca="false">IFERROR(SMALL(N367:N1087,ROW()-ROW($N$1090)+1),"")</f>
        <v>0</v>
      </c>
    </row>
    <row r="1192" customFormat="false" ht="15" hidden="false" customHeight="false" outlineLevel="0" collapsed="false">
      <c r="E1192" s="0" t="n">
        <f aca="false">IFERROR(SMALL(E367:E1087,ROW()-ROW($E$1090)+1),"")</f>
        <v>0</v>
      </c>
      <c r="F1192" s="0" t="str">
        <f aca="false">IFERROR(SMALL(F367:F1087,ROW()-ROW($F$1090)+1),"")</f>
        <v/>
      </c>
      <c r="G1192" s="0" t="n">
        <f aca="false">IFERROR(SMALL(G367:G1087,ROW()-ROW($G$1090)+1),"")</f>
        <v>0</v>
      </c>
      <c r="H1192" s="0" t="n">
        <f aca="false">IFERROR(SMALL(H367:H1087,ROW()-ROW($H$1090)+1),"")</f>
        <v>0</v>
      </c>
      <c r="K1192" s="0" t="n">
        <f aca="false">IFERROR(SMALL(K367:K1087,ROW()-ROW($K$1090)+1),"")</f>
        <v>0</v>
      </c>
      <c r="L1192" s="0" t="str">
        <f aca="false">IFERROR(SMALL(L367:L1087,ROW()-ROW($L$1090)+1),"")</f>
        <v/>
      </c>
      <c r="M1192" s="0" t="n">
        <f aca="false">IFERROR(SMALL(M367:M1087,ROW()-ROW($M$1090)+1),"")</f>
        <v>0</v>
      </c>
      <c r="N1192" s="0" t="n">
        <f aca="false">IFERROR(SMALL(N367:N1087,ROW()-ROW($N$1090)+1),"")</f>
        <v>0</v>
      </c>
    </row>
    <row r="1193" customFormat="false" ht="15" hidden="false" customHeight="false" outlineLevel="0" collapsed="false">
      <c r="E1193" s="0" t="n">
        <f aca="false">IFERROR(SMALL(E367:E1087,ROW()-ROW($E$1090)+1),"")</f>
        <v>0</v>
      </c>
      <c r="F1193" s="0" t="str">
        <f aca="false">IFERROR(SMALL(F367:F1087,ROW()-ROW($F$1090)+1),"")</f>
        <v/>
      </c>
      <c r="G1193" s="0" t="n">
        <f aca="false">IFERROR(SMALL(G367:G1087,ROW()-ROW($G$1090)+1),"")</f>
        <v>0</v>
      </c>
      <c r="H1193" s="0" t="n">
        <f aca="false">IFERROR(SMALL(H367:H1087,ROW()-ROW($H$1090)+1),"")</f>
        <v>0</v>
      </c>
      <c r="K1193" s="0" t="n">
        <f aca="false">IFERROR(SMALL(K367:K1087,ROW()-ROW($K$1090)+1),"")</f>
        <v>0</v>
      </c>
      <c r="L1193" s="0" t="str">
        <f aca="false">IFERROR(SMALL(L367:L1087,ROW()-ROW($L$1090)+1),"")</f>
        <v/>
      </c>
      <c r="M1193" s="0" t="n">
        <f aca="false">IFERROR(SMALL(M367:M1087,ROW()-ROW($M$1090)+1),"")</f>
        <v>0</v>
      </c>
      <c r="N1193" s="0" t="n">
        <f aca="false">IFERROR(SMALL(N367:N1087,ROW()-ROW($N$1090)+1),"")</f>
        <v>0</v>
      </c>
    </row>
    <row r="1194" customFormat="false" ht="15" hidden="false" customHeight="false" outlineLevel="0" collapsed="false">
      <c r="E1194" s="0" t="n">
        <f aca="false">IFERROR(SMALL(E367:E1087,ROW()-ROW($E$1090)+1),"")</f>
        <v>0</v>
      </c>
      <c r="F1194" s="0" t="str">
        <f aca="false">IFERROR(SMALL(F367:F1087,ROW()-ROW($F$1090)+1),"")</f>
        <v/>
      </c>
      <c r="G1194" s="0" t="n">
        <f aca="false">IFERROR(SMALL(G367:G1087,ROW()-ROW($G$1090)+1),"")</f>
        <v>0</v>
      </c>
      <c r="H1194" s="0" t="n">
        <f aca="false">IFERROR(SMALL(H367:H1087,ROW()-ROW($H$1090)+1),"")</f>
        <v>0</v>
      </c>
      <c r="K1194" s="0" t="n">
        <f aca="false">IFERROR(SMALL(K367:K1087,ROW()-ROW($K$1090)+1),"")</f>
        <v>0</v>
      </c>
      <c r="L1194" s="0" t="str">
        <f aca="false">IFERROR(SMALL(L367:L1087,ROW()-ROW($L$1090)+1),"")</f>
        <v/>
      </c>
      <c r="M1194" s="0" t="n">
        <f aca="false">IFERROR(SMALL(M367:M1087,ROW()-ROW($M$1090)+1),"")</f>
        <v>0</v>
      </c>
      <c r="N1194" s="0" t="n">
        <f aca="false">IFERROR(SMALL(N367:N1087,ROW()-ROW($N$1090)+1),"")</f>
        <v>0</v>
      </c>
    </row>
    <row r="1195" customFormat="false" ht="15" hidden="false" customHeight="false" outlineLevel="0" collapsed="false">
      <c r="E1195" s="0" t="n">
        <f aca="false">IFERROR(SMALL(E367:E1087,ROW()-ROW($E$1090)+1),"")</f>
        <v>0</v>
      </c>
      <c r="F1195" s="0" t="str">
        <f aca="false">IFERROR(SMALL(F367:F1087,ROW()-ROW($F$1090)+1),"")</f>
        <v/>
      </c>
      <c r="G1195" s="0" t="n">
        <f aca="false">IFERROR(SMALL(G367:G1087,ROW()-ROW($G$1090)+1),"")</f>
        <v>0</v>
      </c>
      <c r="H1195" s="0" t="n">
        <f aca="false">IFERROR(SMALL(H367:H1087,ROW()-ROW($H$1090)+1),"")</f>
        <v>0</v>
      </c>
      <c r="K1195" s="0" t="n">
        <f aca="false">IFERROR(SMALL(K367:K1087,ROW()-ROW($K$1090)+1),"")</f>
        <v>0</v>
      </c>
      <c r="L1195" s="0" t="str">
        <f aca="false">IFERROR(SMALL(L367:L1087,ROW()-ROW($L$1090)+1),"")</f>
        <v/>
      </c>
      <c r="M1195" s="0" t="n">
        <f aca="false">IFERROR(SMALL(M367:M1087,ROW()-ROW($M$1090)+1),"")</f>
        <v>0</v>
      </c>
      <c r="N1195" s="0" t="n">
        <f aca="false">IFERROR(SMALL(N367:N1087,ROW()-ROW($N$1090)+1),"")</f>
        <v>0</v>
      </c>
    </row>
    <row r="1196" customFormat="false" ht="15" hidden="false" customHeight="false" outlineLevel="0" collapsed="false">
      <c r="E1196" s="0" t="n">
        <f aca="false">IFERROR(SMALL(E367:E1087,ROW()-ROW($E$1090)+1),"")</f>
        <v>0</v>
      </c>
      <c r="F1196" s="0" t="str">
        <f aca="false">IFERROR(SMALL(F367:F1087,ROW()-ROW($F$1090)+1),"")</f>
        <v/>
      </c>
      <c r="G1196" s="0" t="n">
        <f aca="false">IFERROR(SMALL(G367:G1087,ROW()-ROW($G$1090)+1),"")</f>
        <v>0</v>
      </c>
      <c r="H1196" s="0" t="n">
        <f aca="false">IFERROR(SMALL(H367:H1087,ROW()-ROW($H$1090)+1),"")</f>
        <v>0</v>
      </c>
      <c r="K1196" s="0" t="n">
        <f aca="false">IFERROR(SMALL(K367:K1087,ROW()-ROW($K$1090)+1),"")</f>
        <v>0</v>
      </c>
      <c r="L1196" s="0" t="str">
        <f aca="false">IFERROR(SMALL(L367:L1087,ROW()-ROW($L$1090)+1),"")</f>
        <v/>
      </c>
      <c r="M1196" s="0" t="n">
        <f aca="false">IFERROR(SMALL(M367:M1087,ROW()-ROW($M$1090)+1),"")</f>
        <v>0</v>
      </c>
      <c r="N1196" s="0" t="n">
        <f aca="false">IFERROR(SMALL(N367:N1087,ROW()-ROW($N$1090)+1),"")</f>
        <v>0</v>
      </c>
    </row>
    <row r="1197" customFormat="false" ht="15" hidden="false" customHeight="false" outlineLevel="0" collapsed="false">
      <c r="E1197" s="0" t="n">
        <f aca="false">IFERROR(SMALL(E367:E1087,ROW()-ROW($E$1090)+1),"")</f>
        <v>0</v>
      </c>
      <c r="F1197" s="0" t="str">
        <f aca="false">IFERROR(SMALL(F367:F1087,ROW()-ROW($F$1090)+1),"")</f>
        <v/>
      </c>
      <c r="G1197" s="0" t="n">
        <f aca="false">IFERROR(SMALL(G367:G1087,ROW()-ROW($G$1090)+1),"")</f>
        <v>0</v>
      </c>
      <c r="H1197" s="0" t="n">
        <f aca="false">IFERROR(SMALL(H367:H1087,ROW()-ROW($H$1090)+1),"")</f>
        <v>0</v>
      </c>
      <c r="K1197" s="0" t="n">
        <f aca="false">IFERROR(SMALL(K367:K1087,ROW()-ROW($K$1090)+1),"")</f>
        <v>0</v>
      </c>
      <c r="L1197" s="0" t="str">
        <f aca="false">IFERROR(SMALL(L367:L1087,ROW()-ROW($L$1090)+1),"")</f>
        <v/>
      </c>
      <c r="M1197" s="0" t="n">
        <f aca="false">IFERROR(SMALL(M367:M1087,ROW()-ROW($M$1090)+1),"")</f>
        <v>0</v>
      </c>
      <c r="N1197" s="0" t="n">
        <f aca="false">IFERROR(SMALL(N367:N1087,ROW()-ROW($N$1090)+1),"")</f>
        <v>0</v>
      </c>
    </row>
    <row r="1198" customFormat="false" ht="15" hidden="false" customHeight="false" outlineLevel="0" collapsed="false">
      <c r="E1198" s="0" t="n">
        <f aca="false">IFERROR(SMALL(E367:E1087,ROW()-ROW($E$1090)+1),"")</f>
        <v>0</v>
      </c>
      <c r="F1198" s="0" t="str">
        <f aca="false">IFERROR(SMALL(F367:F1087,ROW()-ROW($F$1090)+1),"")</f>
        <v/>
      </c>
      <c r="G1198" s="0" t="n">
        <f aca="false">IFERROR(SMALL(G367:G1087,ROW()-ROW($G$1090)+1),"")</f>
        <v>0</v>
      </c>
      <c r="H1198" s="0" t="n">
        <f aca="false">IFERROR(SMALL(H367:H1087,ROW()-ROW($H$1090)+1),"")</f>
        <v>0</v>
      </c>
      <c r="K1198" s="0" t="n">
        <f aca="false">IFERROR(SMALL(K367:K1087,ROW()-ROW($K$1090)+1),"")</f>
        <v>0</v>
      </c>
      <c r="L1198" s="0" t="str">
        <f aca="false">IFERROR(SMALL(L367:L1087,ROW()-ROW($L$1090)+1),"")</f>
        <v/>
      </c>
      <c r="M1198" s="0" t="n">
        <f aca="false">IFERROR(SMALL(M367:M1087,ROW()-ROW($M$1090)+1),"")</f>
        <v>0</v>
      </c>
      <c r="N1198" s="0" t="n">
        <f aca="false">IFERROR(SMALL(N367:N1087,ROW()-ROW($N$1090)+1),"")</f>
        <v>0</v>
      </c>
    </row>
    <row r="1199" customFormat="false" ht="15" hidden="false" customHeight="false" outlineLevel="0" collapsed="false">
      <c r="E1199" s="0" t="n">
        <f aca="false">IFERROR(SMALL(E367:E1087,ROW()-ROW($E$1090)+1),"")</f>
        <v>0</v>
      </c>
      <c r="F1199" s="0" t="str">
        <f aca="false">IFERROR(SMALL(F367:F1087,ROW()-ROW($F$1090)+1),"")</f>
        <v/>
      </c>
      <c r="G1199" s="0" t="n">
        <f aca="false">IFERROR(SMALL(G367:G1087,ROW()-ROW($G$1090)+1),"")</f>
        <v>0</v>
      </c>
      <c r="H1199" s="0" t="n">
        <f aca="false">IFERROR(SMALL(H367:H1087,ROW()-ROW($H$1090)+1),"")</f>
        <v>0</v>
      </c>
      <c r="K1199" s="0" t="n">
        <f aca="false">IFERROR(SMALL(K367:K1087,ROW()-ROW($K$1090)+1),"")</f>
        <v>0</v>
      </c>
      <c r="L1199" s="0" t="str">
        <f aca="false">IFERROR(SMALL(L367:L1087,ROW()-ROW($L$1090)+1),"")</f>
        <v/>
      </c>
      <c r="M1199" s="0" t="n">
        <f aca="false">IFERROR(SMALL(M367:M1087,ROW()-ROW($M$1090)+1),"")</f>
        <v>0</v>
      </c>
      <c r="N1199" s="0" t="n">
        <f aca="false">IFERROR(SMALL(N367:N1087,ROW()-ROW($N$1090)+1),"")</f>
        <v>0</v>
      </c>
    </row>
    <row r="1200" customFormat="false" ht="15" hidden="false" customHeight="false" outlineLevel="0" collapsed="false">
      <c r="E1200" s="0" t="n">
        <f aca="false">IFERROR(SMALL(E367:E1087,ROW()-ROW($E$1090)+1),"")</f>
        <v>0</v>
      </c>
      <c r="F1200" s="0" t="str">
        <f aca="false">IFERROR(SMALL(F367:F1087,ROW()-ROW($F$1090)+1),"")</f>
        <v/>
      </c>
      <c r="G1200" s="0" t="n">
        <f aca="false">IFERROR(SMALL(G367:G1087,ROW()-ROW($G$1090)+1),"")</f>
        <v>0</v>
      </c>
      <c r="H1200" s="0" t="n">
        <f aca="false">IFERROR(SMALL(H367:H1087,ROW()-ROW($H$1090)+1),"")</f>
        <v>0</v>
      </c>
      <c r="K1200" s="0" t="n">
        <f aca="false">IFERROR(SMALL(K367:K1087,ROW()-ROW($K$1090)+1),"")</f>
        <v>0</v>
      </c>
      <c r="L1200" s="0" t="str">
        <f aca="false">IFERROR(SMALL(L367:L1087,ROW()-ROW($L$1090)+1),"")</f>
        <v/>
      </c>
      <c r="M1200" s="0" t="n">
        <f aca="false">IFERROR(SMALL(M367:M1087,ROW()-ROW($M$1090)+1),"")</f>
        <v>0</v>
      </c>
      <c r="N1200" s="0" t="n">
        <f aca="false">IFERROR(SMALL(N367:N1087,ROW()-ROW($N$1090)+1),"")</f>
        <v>0</v>
      </c>
    </row>
    <row r="1201" customFormat="false" ht="15" hidden="false" customHeight="false" outlineLevel="0" collapsed="false">
      <c r="E1201" s="0" t="n">
        <f aca="false">IFERROR(SMALL(E367:E1087,ROW()-ROW($E$1090)+1),"")</f>
        <v>0</v>
      </c>
      <c r="F1201" s="0" t="str">
        <f aca="false">IFERROR(SMALL(F367:F1087,ROW()-ROW($F$1090)+1),"")</f>
        <v/>
      </c>
      <c r="G1201" s="0" t="n">
        <f aca="false">IFERROR(SMALL(G367:G1087,ROW()-ROW($G$1090)+1),"")</f>
        <v>0</v>
      </c>
      <c r="H1201" s="0" t="n">
        <f aca="false">IFERROR(SMALL(H367:H1087,ROW()-ROW($H$1090)+1),"")</f>
        <v>0</v>
      </c>
      <c r="K1201" s="0" t="n">
        <f aca="false">IFERROR(SMALL(K367:K1087,ROW()-ROW($K$1090)+1),"")</f>
        <v>0</v>
      </c>
      <c r="L1201" s="0" t="str">
        <f aca="false">IFERROR(SMALL(L367:L1087,ROW()-ROW($L$1090)+1),"")</f>
        <v/>
      </c>
      <c r="M1201" s="0" t="n">
        <f aca="false">IFERROR(SMALL(M367:M1087,ROW()-ROW($M$1090)+1),"")</f>
        <v>0</v>
      </c>
      <c r="N1201" s="0" t="n">
        <f aca="false">IFERROR(SMALL(N367:N1087,ROW()-ROW($N$1090)+1),"")</f>
        <v>0</v>
      </c>
    </row>
    <row r="1202" customFormat="false" ht="15" hidden="false" customHeight="false" outlineLevel="0" collapsed="false">
      <c r="E1202" s="0" t="n">
        <f aca="false">IFERROR(SMALL(E367:E1087,ROW()-ROW($E$1090)+1),"")</f>
        <v>0</v>
      </c>
      <c r="F1202" s="0" t="str">
        <f aca="false">IFERROR(SMALL(F367:F1087,ROW()-ROW($F$1090)+1),"")</f>
        <v/>
      </c>
      <c r="G1202" s="0" t="n">
        <f aca="false">IFERROR(SMALL(G367:G1087,ROW()-ROW($G$1090)+1),"")</f>
        <v>0</v>
      </c>
      <c r="H1202" s="0" t="n">
        <f aca="false">IFERROR(SMALL(H367:H1087,ROW()-ROW($H$1090)+1),"")</f>
        <v>0</v>
      </c>
      <c r="K1202" s="0" t="n">
        <f aca="false">IFERROR(SMALL(K367:K1087,ROW()-ROW($K$1090)+1),"")</f>
        <v>0</v>
      </c>
      <c r="L1202" s="0" t="str">
        <f aca="false">IFERROR(SMALL(L367:L1087,ROW()-ROW($L$1090)+1),"")</f>
        <v/>
      </c>
      <c r="M1202" s="0" t="n">
        <f aca="false">IFERROR(SMALL(M367:M1087,ROW()-ROW($M$1090)+1),"")</f>
        <v>0</v>
      </c>
      <c r="N1202" s="0" t="n">
        <f aca="false">IFERROR(SMALL(N367:N1087,ROW()-ROW($N$1090)+1),"")</f>
        <v>0</v>
      </c>
    </row>
    <row r="1203" customFormat="false" ht="15" hidden="false" customHeight="false" outlineLevel="0" collapsed="false">
      <c r="E1203" s="0" t="n">
        <f aca="false">IFERROR(SMALL(E367:E1087,ROW()-ROW($E$1090)+1),"")</f>
        <v>0</v>
      </c>
      <c r="F1203" s="0" t="str">
        <f aca="false">IFERROR(SMALL(F367:F1087,ROW()-ROW($F$1090)+1),"")</f>
        <v/>
      </c>
      <c r="G1203" s="0" t="n">
        <f aca="false">IFERROR(SMALL(G367:G1087,ROW()-ROW($G$1090)+1),"")</f>
        <v>0</v>
      </c>
      <c r="H1203" s="0" t="n">
        <f aca="false">IFERROR(SMALL(H367:H1087,ROW()-ROW($H$1090)+1),"")</f>
        <v>0</v>
      </c>
      <c r="K1203" s="0" t="n">
        <f aca="false">IFERROR(SMALL(K367:K1087,ROW()-ROW($K$1090)+1),"")</f>
        <v>0</v>
      </c>
      <c r="L1203" s="0" t="str">
        <f aca="false">IFERROR(SMALL(L367:L1087,ROW()-ROW($L$1090)+1),"")</f>
        <v/>
      </c>
      <c r="M1203" s="0" t="n">
        <f aca="false">IFERROR(SMALL(M367:M1087,ROW()-ROW($M$1090)+1),"")</f>
        <v>0</v>
      </c>
      <c r="N1203" s="0" t="n">
        <f aca="false">IFERROR(SMALL(N367:N1087,ROW()-ROW($N$1090)+1),"")</f>
        <v>0</v>
      </c>
    </row>
    <row r="1204" customFormat="false" ht="15" hidden="false" customHeight="false" outlineLevel="0" collapsed="false">
      <c r="E1204" s="0" t="n">
        <f aca="false">IFERROR(SMALL(E367:E1087,ROW()-ROW($E$1090)+1),"")</f>
        <v>0</v>
      </c>
      <c r="F1204" s="0" t="str">
        <f aca="false">IFERROR(SMALL(F367:F1087,ROW()-ROW($F$1090)+1),"")</f>
        <v/>
      </c>
      <c r="G1204" s="0" t="n">
        <f aca="false">IFERROR(SMALL(G367:G1087,ROW()-ROW($G$1090)+1),"")</f>
        <v>0</v>
      </c>
      <c r="H1204" s="0" t="n">
        <f aca="false">IFERROR(SMALL(H367:H1087,ROW()-ROW($H$1090)+1),"")</f>
        <v>0</v>
      </c>
      <c r="K1204" s="0" t="n">
        <f aca="false">IFERROR(SMALL(K367:K1087,ROW()-ROW($K$1090)+1),"")</f>
        <v>0</v>
      </c>
      <c r="L1204" s="0" t="str">
        <f aca="false">IFERROR(SMALL(L367:L1087,ROW()-ROW($L$1090)+1),"")</f>
        <v/>
      </c>
      <c r="M1204" s="0" t="n">
        <f aca="false">IFERROR(SMALL(M367:M1087,ROW()-ROW($M$1090)+1),"")</f>
        <v>0</v>
      </c>
      <c r="N1204" s="0" t="n">
        <f aca="false">IFERROR(SMALL(N367:N1087,ROW()-ROW($N$1090)+1),"")</f>
        <v>0</v>
      </c>
    </row>
    <row r="1205" customFormat="false" ht="15" hidden="false" customHeight="false" outlineLevel="0" collapsed="false">
      <c r="E1205" s="0" t="n">
        <f aca="false">IFERROR(SMALL(E367:E1087,ROW()-ROW($E$1090)+1),"")</f>
        <v>0</v>
      </c>
      <c r="F1205" s="0" t="str">
        <f aca="false">IFERROR(SMALL(F367:F1087,ROW()-ROW($F$1090)+1),"")</f>
        <v/>
      </c>
      <c r="G1205" s="0" t="n">
        <f aca="false">IFERROR(SMALL(G367:G1087,ROW()-ROW($G$1090)+1),"")</f>
        <v>0</v>
      </c>
      <c r="H1205" s="0" t="n">
        <f aca="false">IFERROR(SMALL(H367:H1087,ROW()-ROW($H$1090)+1),"")</f>
        <v>0</v>
      </c>
      <c r="K1205" s="0" t="n">
        <f aca="false">IFERROR(SMALL(K367:K1087,ROW()-ROW($K$1090)+1),"")</f>
        <v>0</v>
      </c>
      <c r="L1205" s="0" t="str">
        <f aca="false">IFERROR(SMALL(L367:L1087,ROW()-ROW($L$1090)+1),"")</f>
        <v/>
      </c>
      <c r="M1205" s="0" t="n">
        <f aca="false">IFERROR(SMALL(M367:M1087,ROW()-ROW($M$1090)+1),"")</f>
        <v>0</v>
      </c>
      <c r="N1205" s="0" t="n">
        <f aca="false">IFERROR(SMALL(N367:N1087,ROW()-ROW($N$1090)+1),"")</f>
        <v>0</v>
      </c>
    </row>
    <row r="1206" customFormat="false" ht="15" hidden="false" customHeight="false" outlineLevel="0" collapsed="false">
      <c r="E1206" s="0" t="n">
        <f aca="false">IFERROR(SMALL(E367:E1087,ROW()-ROW($E$1090)+1),"")</f>
        <v>0</v>
      </c>
      <c r="F1206" s="0" t="str">
        <f aca="false">IFERROR(SMALL(F367:F1087,ROW()-ROW($F$1090)+1),"")</f>
        <v/>
      </c>
      <c r="G1206" s="0" t="n">
        <f aca="false">IFERROR(SMALL(G367:G1087,ROW()-ROW($G$1090)+1),"")</f>
        <v>0</v>
      </c>
      <c r="H1206" s="0" t="n">
        <f aca="false">IFERROR(SMALL(H367:H1087,ROW()-ROW($H$1090)+1),"")</f>
        <v>0</v>
      </c>
      <c r="K1206" s="0" t="n">
        <f aca="false">IFERROR(SMALL(K367:K1087,ROW()-ROW($K$1090)+1),"")</f>
        <v>0</v>
      </c>
      <c r="L1206" s="0" t="str">
        <f aca="false">IFERROR(SMALL(L367:L1087,ROW()-ROW($L$1090)+1),"")</f>
        <v/>
      </c>
      <c r="M1206" s="0" t="n">
        <f aca="false">IFERROR(SMALL(M367:M1087,ROW()-ROW($M$1090)+1),"")</f>
        <v>0</v>
      </c>
      <c r="N1206" s="0" t="n">
        <f aca="false">IFERROR(SMALL(N367:N1087,ROW()-ROW($N$1090)+1),"")</f>
        <v>0</v>
      </c>
    </row>
    <row r="1207" customFormat="false" ht="15" hidden="false" customHeight="false" outlineLevel="0" collapsed="false">
      <c r="E1207" s="0" t="n">
        <f aca="false">IFERROR(SMALL(E367:E1087,ROW()-ROW($E$1090)+1),"")</f>
        <v>0</v>
      </c>
      <c r="F1207" s="0" t="str">
        <f aca="false">IFERROR(SMALL(F367:F1087,ROW()-ROW($F$1090)+1),"")</f>
        <v/>
      </c>
      <c r="G1207" s="0" t="n">
        <f aca="false">IFERROR(SMALL(G367:G1087,ROW()-ROW($G$1090)+1),"")</f>
        <v>0</v>
      </c>
      <c r="H1207" s="0" t="n">
        <f aca="false">IFERROR(SMALL(H367:H1087,ROW()-ROW($H$1090)+1),"")</f>
        <v>0</v>
      </c>
      <c r="K1207" s="0" t="n">
        <f aca="false">IFERROR(SMALL(K367:K1087,ROW()-ROW($K$1090)+1),"")</f>
        <v>0</v>
      </c>
      <c r="L1207" s="0" t="str">
        <f aca="false">IFERROR(SMALL(L367:L1087,ROW()-ROW($L$1090)+1),"")</f>
        <v/>
      </c>
      <c r="M1207" s="0" t="n">
        <f aca="false">IFERROR(SMALL(M367:M1087,ROW()-ROW($M$1090)+1),"")</f>
        <v>0</v>
      </c>
      <c r="N1207" s="0" t="n">
        <f aca="false">IFERROR(SMALL(N367:N1087,ROW()-ROW($N$1090)+1),"")</f>
        <v>0</v>
      </c>
    </row>
    <row r="1208" customFormat="false" ht="15" hidden="false" customHeight="false" outlineLevel="0" collapsed="false">
      <c r="E1208" s="0" t="n">
        <f aca="false">IFERROR(SMALL(E367:E1087,ROW()-ROW($E$1090)+1),"")</f>
        <v>0</v>
      </c>
      <c r="F1208" s="0" t="str">
        <f aca="false">IFERROR(SMALL(F367:F1087,ROW()-ROW($F$1090)+1),"")</f>
        <v/>
      </c>
      <c r="G1208" s="0" t="n">
        <f aca="false">IFERROR(SMALL(G367:G1087,ROW()-ROW($G$1090)+1),"")</f>
        <v>0</v>
      </c>
      <c r="H1208" s="0" t="n">
        <f aca="false">IFERROR(SMALL(H367:H1087,ROW()-ROW($H$1090)+1),"")</f>
        <v>0</v>
      </c>
      <c r="K1208" s="0" t="n">
        <f aca="false">IFERROR(SMALL(K367:K1087,ROW()-ROW($K$1090)+1),"")</f>
        <v>0</v>
      </c>
      <c r="L1208" s="0" t="str">
        <f aca="false">IFERROR(SMALL(L367:L1087,ROW()-ROW($L$1090)+1),"")</f>
        <v/>
      </c>
      <c r="M1208" s="0" t="n">
        <f aca="false">IFERROR(SMALL(M367:M1087,ROW()-ROW($M$1090)+1),"")</f>
        <v>0</v>
      </c>
      <c r="N1208" s="0" t="n">
        <f aca="false">IFERROR(SMALL(N367:N1087,ROW()-ROW($N$1090)+1),"")</f>
        <v>0</v>
      </c>
    </row>
    <row r="1209" customFormat="false" ht="15" hidden="false" customHeight="false" outlineLevel="0" collapsed="false">
      <c r="E1209" s="0" t="n">
        <f aca="false">IFERROR(SMALL(E367:E1087,ROW()-ROW($E$1090)+1),"")</f>
        <v>0</v>
      </c>
      <c r="F1209" s="0" t="str">
        <f aca="false">IFERROR(SMALL(F367:F1087,ROW()-ROW($F$1090)+1),"")</f>
        <v/>
      </c>
      <c r="G1209" s="0" t="n">
        <f aca="false">IFERROR(SMALL(G367:G1087,ROW()-ROW($G$1090)+1),"")</f>
        <v>0</v>
      </c>
      <c r="H1209" s="0" t="n">
        <f aca="false">IFERROR(SMALL(H367:H1087,ROW()-ROW($H$1090)+1),"")</f>
        <v>0</v>
      </c>
      <c r="K1209" s="0" t="n">
        <f aca="false">IFERROR(SMALL(K367:K1087,ROW()-ROW($K$1090)+1),"")</f>
        <v>0</v>
      </c>
      <c r="L1209" s="0" t="str">
        <f aca="false">IFERROR(SMALL(L367:L1087,ROW()-ROW($L$1090)+1),"")</f>
        <v/>
      </c>
      <c r="M1209" s="0" t="n">
        <f aca="false">IFERROR(SMALL(M367:M1087,ROW()-ROW($M$1090)+1),"")</f>
        <v>0</v>
      </c>
      <c r="N1209" s="0" t="n">
        <f aca="false">IFERROR(SMALL(N367:N1087,ROW()-ROW($N$1090)+1),"")</f>
        <v>0</v>
      </c>
    </row>
    <row r="1210" customFormat="false" ht="15" hidden="false" customHeight="false" outlineLevel="0" collapsed="false">
      <c r="E1210" s="0" t="n">
        <f aca="false">IFERROR(SMALL(E367:E1087,ROW()-ROW($E$1090)+1),"")</f>
        <v>0</v>
      </c>
      <c r="F1210" s="0" t="str">
        <f aca="false">IFERROR(SMALL(F367:F1087,ROW()-ROW($F$1090)+1),"")</f>
        <v/>
      </c>
      <c r="G1210" s="0" t="n">
        <f aca="false">IFERROR(SMALL(G367:G1087,ROW()-ROW($G$1090)+1),"")</f>
        <v>0</v>
      </c>
      <c r="H1210" s="0" t="n">
        <f aca="false">IFERROR(SMALL(H367:H1087,ROW()-ROW($H$1090)+1),"")</f>
        <v>0</v>
      </c>
      <c r="K1210" s="0" t="n">
        <f aca="false">IFERROR(SMALL(K367:K1087,ROW()-ROW($K$1090)+1),"")</f>
        <v>0</v>
      </c>
      <c r="L1210" s="0" t="str">
        <f aca="false">IFERROR(SMALL(L367:L1087,ROW()-ROW($L$1090)+1),"")</f>
        <v/>
      </c>
      <c r="M1210" s="0" t="n">
        <f aca="false">IFERROR(SMALL(M367:M1087,ROW()-ROW($M$1090)+1),"")</f>
        <v>0</v>
      </c>
      <c r="N1210" s="0" t="n">
        <f aca="false">IFERROR(SMALL(N367:N1087,ROW()-ROW($N$1090)+1),"")</f>
        <v>0</v>
      </c>
    </row>
    <row r="1211" customFormat="false" ht="15" hidden="false" customHeight="false" outlineLevel="0" collapsed="false">
      <c r="E1211" s="0" t="n">
        <f aca="false">IFERROR(SMALL(E367:E1087,ROW()-ROW($E$1090)+1),"")</f>
        <v>0</v>
      </c>
      <c r="F1211" s="0" t="str">
        <f aca="false">IFERROR(SMALL(F367:F1087,ROW()-ROW($F$1090)+1),"")</f>
        <v/>
      </c>
      <c r="G1211" s="0" t="n">
        <f aca="false">IFERROR(SMALL(G367:G1087,ROW()-ROW($G$1090)+1),"")</f>
        <v>0</v>
      </c>
      <c r="H1211" s="0" t="n">
        <f aca="false">IFERROR(SMALL(H367:H1087,ROW()-ROW($H$1090)+1),"")</f>
        <v>0</v>
      </c>
      <c r="K1211" s="0" t="n">
        <f aca="false">IFERROR(SMALL(K367:K1087,ROW()-ROW($K$1090)+1),"")</f>
        <v>0</v>
      </c>
      <c r="L1211" s="0" t="str">
        <f aca="false">IFERROR(SMALL(L367:L1087,ROW()-ROW($L$1090)+1),"")</f>
        <v/>
      </c>
      <c r="M1211" s="0" t="n">
        <f aca="false">IFERROR(SMALL(M367:M1087,ROW()-ROW($M$1090)+1),"")</f>
        <v>0</v>
      </c>
      <c r="N1211" s="0" t="n">
        <f aca="false">IFERROR(SMALL(N367:N1087,ROW()-ROW($N$1090)+1),"")</f>
        <v>0</v>
      </c>
    </row>
    <row r="1212" customFormat="false" ht="15" hidden="false" customHeight="false" outlineLevel="0" collapsed="false">
      <c r="E1212" s="0" t="n">
        <f aca="false">IFERROR(SMALL(E367:E1087,ROW()-ROW($E$1090)+1),"")</f>
        <v>0</v>
      </c>
      <c r="F1212" s="0" t="str">
        <f aca="false">IFERROR(SMALL(F367:F1087,ROW()-ROW($F$1090)+1),"")</f>
        <v/>
      </c>
      <c r="G1212" s="0" t="n">
        <f aca="false">IFERROR(SMALL(G367:G1087,ROW()-ROW($G$1090)+1),"")</f>
        <v>0</v>
      </c>
      <c r="H1212" s="0" t="n">
        <f aca="false">IFERROR(SMALL(H367:H1087,ROW()-ROW($H$1090)+1),"")</f>
        <v>0</v>
      </c>
      <c r="K1212" s="0" t="n">
        <f aca="false">IFERROR(SMALL(K367:K1087,ROW()-ROW($K$1090)+1),"")</f>
        <v>0</v>
      </c>
      <c r="L1212" s="0" t="str">
        <f aca="false">IFERROR(SMALL(L367:L1087,ROW()-ROW($L$1090)+1),"")</f>
        <v/>
      </c>
      <c r="M1212" s="0" t="n">
        <f aca="false">IFERROR(SMALL(M367:M1087,ROW()-ROW($M$1090)+1),"")</f>
        <v>0</v>
      </c>
      <c r="N1212" s="0" t="n">
        <f aca="false">IFERROR(SMALL(N367:N1087,ROW()-ROW($N$1090)+1),"")</f>
        <v>0</v>
      </c>
    </row>
    <row r="1213" customFormat="false" ht="15" hidden="false" customHeight="false" outlineLevel="0" collapsed="false">
      <c r="E1213" s="0" t="n">
        <f aca="false">IFERROR(SMALL(E367:E1087,ROW()-ROW($E$1090)+1),"")</f>
        <v>0</v>
      </c>
      <c r="F1213" s="0" t="str">
        <f aca="false">IFERROR(SMALL(F367:F1087,ROW()-ROW($F$1090)+1),"")</f>
        <v/>
      </c>
      <c r="G1213" s="0" t="n">
        <f aca="false">IFERROR(SMALL(G367:G1087,ROW()-ROW($G$1090)+1),"")</f>
        <v>0</v>
      </c>
      <c r="H1213" s="0" t="n">
        <f aca="false">IFERROR(SMALL(H367:H1087,ROW()-ROW($H$1090)+1),"")</f>
        <v>0</v>
      </c>
      <c r="K1213" s="0" t="n">
        <f aca="false">IFERROR(SMALL(K367:K1087,ROW()-ROW($K$1090)+1),"")</f>
        <v>0</v>
      </c>
      <c r="L1213" s="0" t="str">
        <f aca="false">IFERROR(SMALL(L367:L1087,ROW()-ROW($L$1090)+1),"")</f>
        <v/>
      </c>
      <c r="M1213" s="0" t="n">
        <f aca="false">IFERROR(SMALL(M367:M1087,ROW()-ROW($M$1090)+1),"")</f>
        <v>0</v>
      </c>
      <c r="N1213" s="0" t="n">
        <f aca="false">IFERROR(SMALL(N367:N1087,ROW()-ROW($N$1090)+1),"")</f>
        <v>0</v>
      </c>
    </row>
    <row r="1214" customFormat="false" ht="15" hidden="false" customHeight="false" outlineLevel="0" collapsed="false">
      <c r="E1214" s="0" t="n">
        <f aca="false">IFERROR(SMALL(E367:E1087,ROW()-ROW($E$1090)+1),"")</f>
        <v>0</v>
      </c>
      <c r="F1214" s="0" t="str">
        <f aca="false">IFERROR(SMALL(F367:F1087,ROW()-ROW($F$1090)+1),"")</f>
        <v/>
      </c>
      <c r="G1214" s="0" t="n">
        <f aca="false">IFERROR(SMALL(G367:G1087,ROW()-ROW($G$1090)+1),"")</f>
        <v>0</v>
      </c>
      <c r="H1214" s="0" t="n">
        <f aca="false">IFERROR(SMALL(H367:H1087,ROW()-ROW($H$1090)+1),"")</f>
        <v>0</v>
      </c>
      <c r="K1214" s="0" t="n">
        <f aca="false">IFERROR(SMALL(K367:K1087,ROW()-ROW($K$1090)+1),"")</f>
        <v>0</v>
      </c>
      <c r="L1214" s="0" t="str">
        <f aca="false">IFERROR(SMALL(L367:L1087,ROW()-ROW($L$1090)+1),"")</f>
        <v/>
      </c>
      <c r="M1214" s="0" t="n">
        <f aca="false">IFERROR(SMALL(M367:M1087,ROW()-ROW($M$1090)+1),"")</f>
        <v>0</v>
      </c>
      <c r="N1214" s="0" t="n">
        <f aca="false">IFERROR(SMALL(N367:N1087,ROW()-ROW($N$1090)+1),"")</f>
        <v>0</v>
      </c>
    </row>
    <row r="1215" customFormat="false" ht="15" hidden="false" customHeight="false" outlineLevel="0" collapsed="false">
      <c r="E1215" s="0" t="n">
        <f aca="false">IFERROR(SMALL(E367:E1087,ROW()-ROW($E$1090)+1),"")</f>
        <v>0</v>
      </c>
      <c r="F1215" s="0" t="str">
        <f aca="false">IFERROR(SMALL(F367:F1087,ROW()-ROW($F$1090)+1),"")</f>
        <v/>
      </c>
      <c r="G1215" s="0" t="n">
        <f aca="false">IFERROR(SMALL(G367:G1087,ROW()-ROW($G$1090)+1),"")</f>
        <v>0</v>
      </c>
      <c r="H1215" s="0" t="n">
        <f aca="false">IFERROR(SMALL(H367:H1087,ROW()-ROW($H$1090)+1),"")</f>
        <v>0</v>
      </c>
      <c r="K1215" s="0" t="n">
        <f aca="false">IFERROR(SMALL(K367:K1087,ROW()-ROW($K$1090)+1),"")</f>
        <v>0</v>
      </c>
      <c r="L1215" s="0" t="str">
        <f aca="false">IFERROR(SMALL(L367:L1087,ROW()-ROW($L$1090)+1),"")</f>
        <v/>
      </c>
      <c r="M1215" s="0" t="n">
        <f aca="false">IFERROR(SMALL(M367:M1087,ROW()-ROW($M$1090)+1),"")</f>
        <v>0</v>
      </c>
      <c r="N1215" s="0" t="n">
        <f aca="false">IFERROR(SMALL(N367:N1087,ROW()-ROW($N$1090)+1),"")</f>
        <v>0</v>
      </c>
    </row>
    <row r="1216" customFormat="false" ht="15" hidden="false" customHeight="false" outlineLevel="0" collapsed="false">
      <c r="E1216" s="0" t="n">
        <f aca="false">IFERROR(SMALL(E367:E1087,ROW()-ROW($E$1090)+1),"")</f>
        <v>0</v>
      </c>
      <c r="F1216" s="0" t="str">
        <f aca="false">IFERROR(SMALL(F367:F1087,ROW()-ROW($F$1090)+1),"")</f>
        <v/>
      </c>
      <c r="G1216" s="0" t="n">
        <f aca="false">IFERROR(SMALL(G367:G1087,ROW()-ROW($G$1090)+1),"")</f>
        <v>0</v>
      </c>
      <c r="H1216" s="0" t="n">
        <f aca="false">IFERROR(SMALL(H367:H1087,ROW()-ROW($H$1090)+1),"")</f>
        <v>0</v>
      </c>
      <c r="K1216" s="0" t="n">
        <f aca="false">IFERROR(SMALL(K367:K1087,ROW()-ROW($K$1090)+1),"")</f>
        <v>0</v>
      </c>
      <c r="L1216" s="0" t="str">
        <f aca="false">IFERROR(SMALL(L367:L1087,ROW()-ROW($L$1090)+1),"")</f>
        <v/>
      </c>
      <c r="M1216" s="0" t="n">
        <f aca="false">IFERROR(SMALL(M367:M1087,ROW()-ROW($M$1090)+1),"")</f>
        <v>0</v>
      </c>
      <c r="N1216" s="0" t="n">
        <f aca="false">IFERROR(SMALL(N367:N1087,ROW()-ROW($N$1090)+1),"")</f>
        <v>0</v>
      </c>
    </row>
    <row r="1217" customFormat="false" ht="15" hidden="false" customHeight="false" outlineLevel="0" collapsed="false">
      <c r="E1217" s="0" t="n">
        <f aca="false">IFERROR(SMALL(E367:E1087,ROW()-ROW($E$1090)+1),"")</f>
        <v>0</v>
      </c>
      <c r="F1217" s="0" t="str">
        <f aca="false">IFERROR(SMALL(F367:F1087,ROW()-ROW($F$1090)+1),"")</f>
        <v/>
      </c>
      <c r="G1217" s="0" t="n">
        <f aca="false">IFERROR(SMALL(G367:G1087,ROW()-ROW($G$1090)+1),"")</f>
        <v>0</v>
      </c>
      <c r="H1217" s="0" t="n">
        <f aca="false">IFERROR(SMALL(H367:H1087,ROW()-ROW($H$1090)+1),"")</f>
        <v>0</v>
      </c>
      <c r="K1217" s="0" t="n">
        <f aca="false">IFERROR(SMALL(K367:K1087,ROW()-ROW($K$1090)+1),"")</f>
        <v>0</v>
      </c>
      <c r="L1217" s="0" t="str">
        <f aca="false">IFERROR(SMALL(L367:L1087,ROW()-ROW($L$1090)+1),"")</f>
        <v/>
      </c>
      <c r="M1217" s="0" t="n">
        <f aca="false">IFERROR(SMALL(M367:M1087,ROW()-ROW($M$1090)+1),"")</f>
        <v>0</v>
      </c>
      <c r="N1217" s="0" t="n">
        <f aca="false">IFERROR(SMALL(N367:N1087,ROW()-ROW($N$1090)+1),"")</f>
        <v>0</v>
      </c>
    </row>
    <row r="1218" customFormat="false" ht="15" hidden="false" customHeight="false" outlineLevel="0" collapsed="false">
      <c r="E1218" s="0" t="n">
        <f aca="false">IFERROR(SMALL(E367:E1087,ROW()-ROW($E$1090)+1),"")</f>
        <v>0</v>
      </c>
      <c r="F1218" s="0" t="str">
        <f aca="false">IFERROR(SMALL(F367:F1087,ROW()-ROW($F$1090)+1),"")</f>
        <v/>
      </c>
      <c r="G1218" s="0" t="n">
        <f aca="false">IFERROR(SMALL(G367:G1087,ROW()-ROW($G$1090)+1),"")</f>
        <v>0</v>
      </c>
      <c r="H1218" s="0" t="n">
        <f aca="false">IFERROR(SMALL(H367:H1087,ROW()-ROW($H$1090)+1),"")</f>
        <v>0</v>
      </c>
      <c r="K1218" s="0" t="n">
        <f aca="false">IFERROR(SMALL(K367:K1087,ROW()-ROW($K$1090)+1),"")</f>
        <v>0</v>
      </c>
      <c r="L1218" s="0" t="str">
        <f aca="false">IFERROR(SMALL(L367:L1087,ROW()-ROW($L$1090)+1),"")</f>
        <v/>
      </c>
      <c r="M1218" s="0" t="n">
        <f aca="false">IFERROR(SMALL(M367:M1087,ROW()-ROW($M$1090)+1),"")</f>
        <v>0</v>
      </c>
      <c r="N1218" s="0" t="n">
        <f aca="false">IFERROR(SMALL(N367:N1087,ROW()-ROW($N$1090)+1),"")</f>
        <v>0</v>
      </c>
    </row>
    <row r="1219" customFormat="false" ht="15" hidden="false" customHeight="false" outlineLevel="0" collapsed="false">
      <c r="E1219" s="0" t="n">
        <f aca="false">IFERROR(SMALL(E367:E1087,ROW()-ROW($E$1090)+1),"")</f>
        <v>0</v>
      </c>
      <c r="F1219" s="0" t="str">
        <f aca="false">IFERROR(SMALL(F367:F1087,ROW()-ROW($F$1090)+1),"")</f>
        <v/>
      </c>
      <c r="G1219" s="0" t="n">
        <f aca="false">IFERROR(SMALL(G367:G1087,ROW()-ROW($G$1090)+1),"")</f>
        <v>0</v>
      </c>
      <c r="H1219" s="0" t="n">
        <f aca="false">IFERROR(SMALL(H367:H1087,ROW()-ROW($H$1090)+1),"")</f>
        <v>0</v>
      </c>
      <c r="K1219" s="0" t="n">
        <f aca="false">IFERROR(SMALL(K367:K1087,ROW()-ROW($K$1090)+1),"")</f>
        <v>0</v>
      </c>
      <c r="L1219" s="0" t="str">
        <f aca="false">IFERROR(SMALL(L367:L1087,ROW()-ROW($L$1090)+1),"")</f>
        <v/>
      </c>
      <c r="M1219" s="0" t="n">
        <f aca="false">IFERROR(SMALL(M367:M1087,ROW()-ROW($M$1090)+1),"")</f>
        <v>0</v>
      </c>
      <c r="N1219" s="0" t="n">
        <f aca="false">IFERROR(SMALL(N367:N1087,ROW()-ROW($N$1090)+1),"")</f>
        <v>0</v>
      </c>
    </row>
    <row r="1220" customFormat="false" ht="15" hidden="false" customHeight="false" outlineLevel="0" collapsed="false">
      <c r="E1220" s="0" t="n">
        <f aca="false">IFERROR(SMALL(E367:E1087,ROW()-ROW($E$1090)+1),"")</f>
        <v>0</v>
      </c>
      <c r="F1220" s="0" t="str">
        <f aca="false">IFERROR(SMALL(F367:F1087,ROW()-ROW($F$1090)+1),"")</f>
        <v/>
      </c>
      <c r="G1220" s="0" t="n">
        <f aca="false">IFERROR(SMALL(G367:G1087,ROW()-ROW($G$1090)+1),"")</f>
        <v>0</v>
      </c>
      <c r="H1220" s="0" t="n">
        <f aca="false">IFERROR(SMALL(H367:H1087,ROW()-ROW($H$1090)+1),"")</f>
        <v>0</v>
      </c>
      <c r="K1220" s="0" t="n">
        <f aca="false">IFERROR(SMALL(K367:K1087,ROW()-ROW($K$1090)+1),"")</f>
        <v>0</v>
      </c>
      <c r="L1220" s="0" t="str">
        <f aca="false">IFERROR(SMALL(L367:L1087,ROW()-ROW($L$1090)+1),"")</f>
        <v/>
      </c>
      <c r="M1220" s="0" t="n">
        <f aca="false">IFERROR(SMALL(M367:M1087,ROW()-ROW($M$1090)+1),"")</f>
        <v>0</v>
      </c>
      <c r="N1220" s="0" t="n">
        <f aca="false">IFERROR(SMALL(N367:N1087,ROW()-ROW($N$1090)+1),"")</f>
        <v>0</v>
      </c>
    </row>
    <row r="1221" customFormat="false" ht="15" hidden="false" customHeight="false" outlineLevel="0" collapsed="false">
      <c r="E1221" s="0" t="n">
        <f aca="false">IFERROR(SMALL(E367:E1087,ROW()-ROW($E$1090)+1),"")</f>
        <v>0</v>
      </c>
      <c r="F1221" s="0" t="str">
        <f aca="false">IFERROR(SMALL(F367:F1087,ROW()-ROW($F$1090)+1),"")</f>
        <v/>
      </c>
      <c r="G1221" s="0" t="n">
        <f aca="false">IFERROR(SMALL(G367:G1087,ROW()-ROW($G$1090)+1),"")</f>
        <v>0</v>
      </c>
      <c r="H1221" s="0" t="n">
        <f aca="false">IFERROR(SMALL(H367:H1087,ROW()-ROW($H$1090)+1),"")</f>
        <v>0</v>
      </c>
      <c r="K1221" s="0" t="n">
        <f aca="false">IFERROR(SMALL(K367:K1087,ROW()-ROW($K$1090)+1),"")</f>
        <v>0</v>
      </c>
      <c r="L1221" s="0" t="str">
        <f aca="false">IFERROR(SMALL(L367:L1087,ROW()-ROW($L$1090)+1),"")</f>
        <v/>
      </c>
      <c r="M1221" s="0" t="n">
        <f aca="false">IFERROR(SMALL(M367:M1087,ROW()-ROW($M$1090)+1),"")</f>
        <v>0</v>
      </c>
      <c r="N1221" s="0" t="n">
        <f aca="false">IFERROR(SMALL(N367:N1087,ROW()-ROW($N$1090)+1),"")</f>
        <v>0</v>
      </c>
    </row>
    <row r="1222" customFormat="false" ht="15" hidden="false" customHeight="false" outlineLevel="0" collapsed="false">
      <c r="E1222" s="0" t="n">
        <f aca="false">IFERROR(SMALL(E367:E1087,ROW()-ROW($E$1090)+1),"")</f>
        <v>0</v>
      </c>
      <c r="F1222" s="0" t="str">
        <f aca="false">IFERROR(SMALL(F367:F1087,ROW()-ROW($F$1090)+1),"")</f>
        <v/>
      </c>
      <c r="G1222" s="0" t="n">
        <f aca="false">IFERROR(SMALL(G367:G1087,ROW()-ROW($G$1090)+1),"")</f>
        <v>0</v>
      </c>
      <c r="H1222" s="0" t="n">
        <f aca="false">IFERROR(SMALL(H367:H1087,ROW()-ROW($H$1090)+1),"")</f>
        <v>0</v>
      </c>
      <c r="K1222" s="0" t="n">
        <f aca="false">IFERROR(SMALL(K367:K1087,ROW()-ROW($K$1090)+1),"")</f>
        <v>0</v>
      </c>
      <c r="L1222" s="0" t="str">
        <f aca="false">IFERROR(SMALL(L367:L1087,ROW()-ROW($L$1090)+1),"")</f>
        <v/>
      </c>
      <c r="M1222" s="0" t="n">
        <f aca="false">IFERROR(SMALL(M367:M1087,ROW()-ROW($M$1090)+1),"")</f>
        <v>0</v>
      </c>
      <c r="N1222" s="0" t="n">
        <f aca="false">IFERROR(SMALL(N367:N1087,ROW()-ROW($N$1090)+1),"")</f>
        <v>0</v>
      </c>
    </row>
    <row r="1223" customFormat="false" ht="15" hidden="false" customHeight="false" outlineLevel="0" collapsed="false">
      <c r="E1223" s="0" t="n">
        <f aca="false">IFERROR(SMALL(E367:E1087,ROW()-ROW($E$1090)+1),"")</f>
        <v>0</v>
      </c>
      <c r="F1223" s="0" t="str">
        <f aca="false">IFERROR(SMALL(F367:F1087,ROW()-ROW($F$1090)+1),"")</f>
        <v/>
      </c>
      <c r="G1223" s="0" t="n">
        <f aca="false">IFERROR(SMALL(G367:G1087,ROW()-ROW($G$1090)+1),"")</f>
        <v>0</v>
      </c>
      <c r="H1223" s="0" t="n">
        <f aca="false">IFERROR(SMALL(H367:H1087,ROW()-ROW($H$1090)+1),"")</f>
        <v>0</v>
      </c>
      <c r="K1223" s="0" t="n">
        <f aca="false">IFERROR(SMALL(K367:K1087,ROW()-ROW($K$1090)+1),"")</f>
        <v>0</v>
      </c>
      <c r="L1223" s="0" t="str">
        <f aca="false">IFERROR(SMALL(L367:L1087,ROW()-ROW($L$1090)+1),"")</f>
        <v/>
      </c>
      <c r="M1223" s="0" t="n">
        <f aca="false">IFERROR(SMALL(M367:M1087,ROW()-ROW($M$1090)+1),"")</f>
        <v>0</v>
      </c>
      <c r="N1223" s="0" t="n">
        <f aca="false">IFERROR(SMALL(N367:N1087,ROW()-ROW($N$1090)+1),"")</f>
        <v>0</v>
      </c>
    </row>
    <row r="1224" customFormat="false" ht="15" hidden="false" customHeight="false" outlineLevel="0" collapsed="false">
      <c r="E1224" s="0" t="n">
        <f aca="false">IFERROR(SMALL(E367:E1087,ROW()-ROW($E$1090)+1),"")</f>
        <v>0</v>
      </c>
      <c r="F1224" s="0" t="str">
        <f aca="false">IFERROR(SMALL(F367:F1087,ROW()-ROW($F$1090)+1),"")</f>
        <v/>
      </c>
      <c r="G1224" s="0" t="n">
        <f aca="false">IFERROR(SMALL(G367:G1087,ROW()-ROW($G$1090)+1),"")</f>
        <v>0</v>
      </c>
      <c r="H1224" s="0" t="n">
        <f aca="false">IFERROR(SMALL(H367:H1087,ROW()-ROW($H$1090)+1),"")</f>
        <v>0</v>
      </c>
      <c r="K1224" s="0" t="n">
        <f aca="false">IFERROR(SMALL(K367:K1087,ROW()-ROW($K$1090)+1),"")</f>
        <v>0</v>
      </c>
      <c r="L1224" s="0" t="str">
        <f aca="false">IFERROR(SMALL(L367:L1087,ROW()-ROW($L$1090)+1),"")</f>
        <v/>
      </c>
      <c r="M1224" s="0" t="n">
        <f aca="false">IFERROR(SMALL(M367:M1087,ROW()-ROW($M$1090)+1),"")</f>
        <v>0</v>
      </c>
      <c r="N1224" s="0" t="n">
        <f aca="false">IFERROR(SMALL(N367:N1087,ROW()-ROW($N$1090)+1),"")</f>
        <v>0</v>
      </c>
    </row>
    <row r="1225" customFormat="false" ht="15" hidden="false" customHeight="false" outlineLevel="0" collapsed="false">
      <c r="E1225" s="0" t="n">
        <f aca="false">IFERROR(SMALL(E367:E1087,ROW()-ROW($E$1090)+1),"")</f>
        <v>0</v>
      </c>
      <c r="F1225" s="0" t="str">
        <f aca="false">IFERROR(SMALL(F367:F1087,ROW()-ROW($F$1090)+1),"")</f>
        <v/>
      </c>
      <c r="G1225" s="0" t="n">
        <f aca="false">IFERROR(SMALL(G367:G1087,ROW()-ROW($G$1090)+1),"")</f>
        <v>0</v>
      </c>
      <c r="H1225" s="0" t="n">
        <f aca="false">IFERROR(SMALL(H367:H1087,ROW()-ROW($H$1090)+1),"")</f>
        <v>0</v>
      </c>
      <c r="K1225" s="0" t="n">
        <f aca="false">IFERROR(SMALL(K367:K1087,ROW()-ROW($K$1090)+1),"")</f>
        <v>0</v>
      </c>
      <c r="L1225" s="0" t="str">
        <f aca="false">IFERROR(SMALL(L367:L1087,ROW()-ROW($L$1090)+1),"")</f>
        <v/>
      </c>
      <c r="M1225" s="0" t="n">
        <f aca="false">IFERROR(SMALL(M367:M1087,ROW()-ROW($M$1090)+1),"")</f>
        <v>0</v>
      </c>
      <c r="N1225" s="0" t="n">
        <f aca="false">IFERROR(SMALL(N367:N1087,ROW()-ROW($N$1090)+1),"")</f>
        <v>0</v>
      </c>
    </row>
    <row r="1226" customFormat="false" ht="15" hidden="false" customHeight="false" outlineLevel="0" collapsed="false">
      <c r="E1226" s="0" t="n">
        <f aca="false">IFERROR(SMALL(E367:E1087,ROW()-ROW($E$1090)+1),"")</f>
        <v>0</v>
      </c>
      <c r="F1226" s="0" t="str">
        <f aca="false">IFERROR(SMALL(F367:F1087,ROW()-ROW($F$1090)+1),"")</f>
        <v/>
      </c>
      <c r="G1226" s="0" t="n">
        <f aca="false">IFERROR(SMALL(G367:G1087,ROW()-ROW($G$1090)+1),"")</f>
        <v>0</v>
      </c>
      <c r="H1226" s="0" t="n">
        <f aca="false">IFERROR(SMALL(H367:H1087,ROW()-ROW($H$1090)+1),"")</f>
        <v>0</v>
      </c>
      <c r="K1226" s="0" t="n">
        <f aca="false">IFERROR(SMALL(K367:K1087,ROW()-ROW($K$1090)+1),"")</f>
        <v>0</v>
      </c>
      <c r="L1226" s="0" t="str">
        <f aca="false">IFERROR(SMALL(L367:L1087,ROW()-ROW($L$1090)+1),"")</f>
        <v/>
      </c>
      <c r="M1226" s="0" t="n">
        <f aca="false">IFERROR(SMALL(M367:M1087,ROW()-ROW($M$1090)+1),"")</f>
        <v>0</v>
      </c>
      <c r="N1226" s="0" t="n">
        <f aca="false">IFERROR(SMALL(N367:N1087,ROW()-ROW($N$1090)+1),"")</f>
        <v>0</v>
      </c>
    </row>
    <row r="1227" customFormat="false" ht="15" hidden="false" customHeight="false" outlineLevel="0" collapsed="false">
      <c r="E1227" s="0" t="n">
        <f aca="false">IFERROR(SMALL(E367:E1087,ROW()-ROW($E$1090)+1),"")</f>
        <v>0</v>
      </c>
      <c r="F1227" s="0" t="str">
        <f aca="false">IFERROR(SMALL(F367:F1087,ROW()-ROW($F$1090)+1),"")</f>
        <v/>
      </c>
      <c r="G1227" s="0" t="n">
        <f aca="false">IFERROR(SMALL(G367:G1087,ROW()-ROW($G$1090)+1),"")</f>
        <v>0</v>
      </c>
      <c r="H1227" s="0" t="n">
        <f aca="false">IFERROR(SMALL(H367:H1087,ROW()-ROW($H$1090)+1),"")</f>
        <v>0</v>
      </c>
      <c r="K1227" s="0" t="n">
        <f aca="false">IFERROR(SMALL(K367:K1087,ROW()-ROW($K$1090)+1),"")</f>
        <v>0</v>
      </c>
      <c r="L1227" s="0" t="str">
        <f aca="false">IFERROR(SMALL(L367:L1087,ROW()-ROW($L$1090)+1),"")</f>
        <v/>
      </c>
      <c r="M1227" s="0" t="n">
        <f aca="false">IFERROR(SMALL(M367:M1087,ROW()-ROW($M$1090)+1),"")</f>
        <v>0</v>
      </c>
      <c r="N1227" s="0" t="n">
        <f aca="false">IFERROR(SMALL(N367:N1087,ROW()-ROW($N$1090)+1),"")</f>
        <v>0</v>
      </c>
    </row>
    <row r="1228" customFormat="false" ht="15" hidden="false" customHeight="false" outlineLevel="0" collapsed="false">
      <c r="E1228" s="0" t="n">
        <f aca="false">IFERROR(SMALL(E367:E1087,ROW()-ROW($E$1090)+1),"")</f>
        <v>0</v>
      </c>
      <c r="F1228" s="0" t="str">
        <f aca="false">IFERROR(SMALL(F367:F1087,ROW()-ROW($F$1090)+1),"")</f>
        <v/>
      </c>
      <c r="G1228" s="0" t="n">
        <f aca="false">IFERROR(SMALL(G367:G1087,ROW()-ROW($G$1090)+1),"")</f>
        <v>0</v>
      </c>
      <c r="H1228" s="0" t="n">
        <f aca="false">IFERROR(SMALL(H367:H1087,ROW()-ROW($H$1090)+1),"")</f>
        <v>0</v>
      </c>
      <c r="K1228" s="0" t="n">
        <f aca="false">IFERROR(SMALL(K367:K1087,ROW()-ROW($K$1090)+1),"")</f>
        <v>0</v>
      </c>
      <c r="L1228" s="0" t="str">
        <f aca="false">IFERROR(SMALL(L367:L1087,ROW()-ROW($L$1090)+1),"")</f>
        <v/>
      </c>
      <c r="M1228" s="0" t="n">
        <f aca="false">IFERROR(SMALL(M367:M1087,ROW()-ROW($M$1090)+1),"")</f>
        <v>0</v>
      </c>
      <c r="N1228" s="0" t="n">
        <f aca="false">IFERROR(SMALL(N367:N1087,ROW()-ROW($N$1090)+1),"")</f>
        <v>0</v>
      </c>
    </row>
    <row r="1229" customFormat="false" ht="15" hidden="false" customHeight="false" outlineLevel="0" collapsed="false">
      <c r="E1229" s="0" t="n">
        <f aca="false">IFERROR(SMALL(E367:E1087,ROW()-ROW($E$1090)+1),"")</f>
        <v>0</v>
      </c>
      <c r="F1229" s="0" t="str">
        <f aca="false">IFERROR(SMALL(F367:F1087,ROW()-ROW($F$1090)+1),"")</f>
        <v/>
      </c>
      <c r="G1229" s="0" t="n">
        <f aca="false">IFERROR(SMALL(G367:G1087,ROW()-ROW($G$1090)+1),"")</f>
        <v>0</v>
      </c>
      <c r="H1229" s="0" t="n">
        <f aca="false">IFERROR(SMALL(H367:H1087,ROW()-ROW($H$1090)+1),"")</f>
        <v>0</v>
      </c>
      <c r="K1229" s="0" t="n">
        <f aca="false">IFERROR(SMALL(K367:K1087,ROW()-ROW($K$1090)+1),"")</f>
        <v>0</v>
      </c>
      <c r="L1229" s="0" t="str">
        <f aca="false">IFERROR(SMALL(L367:L1087,ROW()-ROW($L$1090)+1),"")</f>
        <v/>
      </c>
      <c r="M1229" s="0" t="n">
        <f aca="false">IFERROR(SMALL(M367:M1087,ROW()-ROW($M$1090)+1),"")</f>
        <v>0</v>
      </c>
      <c r="N1229" s="0" t="n">
        <f aca="false">IFERROR(SMALL(N367:N1087,ROW()-ROW($N$1090)+1),"")</f>
        <v>0</v>
      </c>
    </row>
    <row r="1230" customFormat="false" ht="15" hidden="false" customHeight="false" outlineLevel="0" collapsed="false">
      <c r="E1230" s="0" t="n">
        <f aca="false">IFERROR(SMALL(E367:E1087,ROW()-ROW($E$1090)+1),"")</f>
        <v>0</v>
      </c>
      <c r="F1230" s="0" t="str">
        <f aca="false">IFERROR(SMALL(F367:F1087,ROW()-ROW($F$1090)+1),"")</f>
        <v/>
      </c>
      <c r="G1230" s="0" t="n">
        <f aca="false">IFERROR(SMALL(G367:G1087,ROW()-ROW($G$1090)+1),"")</f>
        <v>0</v>
      </c>
      <c r="H1230" s="0" t="n">
        <f aca="false">IFERROR(SMALL(H367:H1087,ROW()-ROW($H$1090)+1),"")</f>
        <v>0</v>
      </c>
      <c r="K1230" s="0" t="n">
        <f aca="false">IFERROR(SMALL(K367:K1087,ROW()-ROW($K$1090)+1),"")</f>
        <v>0</v>
      </c>
      <c r="L1230" s="0" t="str">
        <f aca="false">IFERROR(SMALL(L367:L1087,ROW()-ROW($L$1090)+1),"")</f>
        <v/>
      </c>
      <c r="M1230" s="0" t="n">
        <f aca="false">IFERROR(SMALL(M367:M1087,ROW()-ROW($M$1090)+1),"")</f>
        <v>0</v>
      </c>
      <c r="N1230" s="0" t="n">
        <f aca="false">IFERROR(SMALL(N367:N1087,ROW()-ROW($N$1090)+1),"")</f>
        <v>0</v>
      </c>
    </row>
    <row r="1231" customFormat="false" ht="15" hidden="false" customHeight="false" outlineLevel="0" collapsed="false">
      <c r="E1231" s="0" t="n">
        <f aca="false">IFERROR(SMALL(E367:E1087,ROW()-ROW($E$1090)+1),"")</f>
        <v>0</v>
      </c>
      <c r="F1231" s="0" t="str">
        <f aca="false">IFERROR(SMALL(F367:F1087,ROW()-ROW($F$1090)+1),"")</f>
        <v/>
      </c>
      <c r="G1231" s="0" t="n">
        <f aca="false">IFERROR(SMALL(G367:G1087,ROW()-ROW($G$1090)+1),"")</f>
        <v>0</v>
      </c>
      <c r="H1231" s="0" t="n">
        <f aca="false">IFERROR(SMALL(H367:H1087,ROW()-ROW($H$1090)+1),"")</f>
        <v>0</v>
      </c>
      <c r="K1231" s="0" t="n">
        <f aca="false">IFERROR(SMALL(K367:K1087,ROW()-ROW($K$1090)+1),"")</f>
        <v>0</v>
      </c>
      <c r="L1231" s="0" t="str">
        <f aca="false">IFERROR(SMALL(L367:L1087,ROW()-ROW($L$1090)+1),"")</f>
        <v/>
      </c>
      <c r="M1231" s="0" t="n">
        <f aca="false">IFERROR(SMALL(M367:M1087,ROW()-ROW($M$1090)+1),"")</f>
        <v>0</v>
      </c>
      <c r="N1231" s="0" t="n">
        <f aca="false">IFERROR(SMALL(N367:N1087,ROW()-ROW($N$1090)+1),"")</f>
        <v>0</v>
      </c>
    </row>
    <row r="1232" customFormat="false" ht="15" hidden="false" customHeight="false" outlineLevel="0" collapsed="false">
      <c r="E1232" s="0" t="n">
        <f aca="false">IFERROR(SMALL(E367:E1087,ROW()-ROW($E$1090)+1),"")</f>
        <v>0</v>
      </c>
      <c r="F1232" s="0" t="str">
        <f aca="false">IFERROR(SMALL(F367:F1087,ROW()-ROW($F$1090)+1),"")</f>
        <v/>
      </c>
      <c r="G1232" s="0" t="n">
        <f aca="false">IFERROR(SMALL(G367:G1087,ROW()-ROW($G$1090)+1),"")</f>
        <v>0</v>
      </c>
      <c r="H1232" s="0" t="n">
        <f aca="false">IFERROR(SMALL(H367:H1087,ROW()-ROW($H$1090)+1),"")</f>
        <v>0</v>
      </c>
      <c r="K1232" s="0" t="n">
        <f aca="false">IFERROR(SMALL(K367:K1087,ROW()-ROW($K$1090)+1),"")</f>
        <v>0</v>
      </c>
      <c r="L1232" s="0" t="str">
        <f aca="false">IFERROR(SMALL(L367:L1087,ROW()-ROW($L$1090)+1),"")</f>
        <v/>
      </c>
      <c r="M1232" s="0" t="n">
        <f aca="false">IFERROR(SMALL(M367:M1087,ROW()-ROW($M$1090)+1),"")</f>
        <v>0</v>
      </c>
      <c r="N1232" s="0" t="n">
        <f aca="false">IFERROR(SMALL(N367:N1087,ROW()-ROW($N$1090)+1),"")</f>
        <v>0</v>
      </c>
    </row>
    <row r="1233" customFormat="false" ht="15" hidden="false" customHeight="false" outlineLevel="0" collapsed="false">
      <c r="E1233" s="0" t="n">
        <f aca="false">IFERROR(SMALL(E367:E1087,ROW()-ROW($E$1090)+1),"")</f>
        <v>0</v>
      </c>
      <c r="F1233" s="0" t="str">
        <f aca="false">IFERROR(SMALL(F367:F1087,ROW()-ROW($F$1090)+1),"")</f>
        <v/>
      </c>
      <c r="G1233" s="0" t="n">
        <f aca="false">IFERROR(SMALL(G367:G1087,ROW()-ROW($G$1090)+1),"")</f>
        <v>0</v>
      </c>
      <c r="H1233" s="0" t="n">
        <f aca="false">IFERROR(SMALL(H367:H1087,ROW()-ROW($H$1090)+1),"")</f>
        <v>0</v>
      </c>
      <c r="K1233" s="0" t="n">
        <f aca="false">IFERROR(SMALL(K367:K1087,ROW()-ROW($K$1090)+1),"")</f>
        <v>0</v>
      </c>
      <c r="L1233" s="0" t="str">
        <f aca="false">IFERROR(SMALL(L367:L1087,ROW()-ROW($L$1090)+1),"")</f>
        <v/>
      </c>
      <c r="M1233" s="0" t="n">
        <f aca="false">IFERROR(SMALL(M367:M1087,ROW()-ROW($M$1090)+1),"")</f>
        <v>0</v>
      </c>
      <c r="N1233" s="0" t="n">
        <f aca="false">IFERROR(SMALL(N367:N1087,ROW()-ROW($N$1090)+1),"")</f>
        <v>0</v>
      </c>
    </row>
    <row r="1234" customFormat="false" ht="15" hidden="false" customHeight="false" outlineLevel="0" collapsed="false">
      <c r="E1234" s="0" t="n">
        <f aca="false">IFERROR(SMALL(E367:E1087,ROW()-ROW($E$1090)+1),"")</f>
        <v>0</v>
      </c>
      <c r="F1234" s="0" t="str">
        <f aca="false">IFERROR(SMALL(F367:F1087,ROW()-ROW($F$1090)+1),"")</f>
        <v/>
      </c>
      <c r="G1234" s="0" t="n">
        <f aca="false">IFERROR(SMALL(G367:G1087,ROW()-ROW($G$1090)+1),"")</f>
        <v>0</v>
      </c>
      <c r="H1234" s="0" t="n">
        <f aca="false">IFERROR(SMALL(H367:H1087,ROW()-ROW($H$1090)+1),"")</f>
        <v>0</v>
      </c>
      <c r="K1234" s="0" t="n">
        <f aca="false">IFERROR(SMALL(K367:K1087,ROW()-ROW($K$1090)+1),"")</f>
        <v>0</v>
      </c>
      <c r="L1234" s="0" t="str">
        <f aca="false">IFERROR(SMALL(L367:L1087,ROW()-ROW($L$1090)+1),"")</f>
        <v/>
      </c>
      <c r="M1234" s="0" t="n">
        <f aca="false">IFERROR(SMALL(M367:M1087,ROW()-ROW($M$1090)+1),"")</f>
        <v>0</v>
      </c>
      <c r="N1234" s="0" t="n">
        <f aca="false">IFERROR(SMALL(N367:N1087,ROW()-ROW($N$1090)+1),"")</f>
        <v>0</v>
      </c>
    </row>
    <row r="1235" customFormat="false" ht="15" hidden="false" customHeight="false" outlineLevel="0" collapsed="false">
      <c r="E1235" s="0" t="n">
        <f aca="false">IFERROR(SMALL(E367:E1087,ROW()-ROW($E$1090)+1),"")</f>
        <v>0</v>
      </c>
      <c r="F1235" s="0" t="str">
        <f aca="false">IFERROR(SMALL(F367:F1087,ROW()-ROW($F$1090)+1),"")</f>
        <v/>
      </c>
      <c r="G1235" s="0" t="n">
        <f aca="false">IFERROR(SMALL(G367:G1087,ROW()-ROW($G$1090)+1),"")</f>
        <v>0</v>
      </c>
      <c r="H1235" s="0" t="n">
        <f aca="false">IFERROR(SMALL(H367:H1087,ROW()-ROW($H$1090)+1),"")</f>
        <v>0</v>
      </c>
      <c r="K1235" s="0" t="n">
        <f aca="false">IFERROR(SMALL(K367:K1087,ROW()-ROW($K$1090)+1),"")</f>
        <v>0</v>
      </c>
      <c r="L1235" s="0" t="str">
        <f aca="false">IFERROR(SMALL(L367:L1087,ROW()-ROW($L$1090)+1),"")</f>
        <v/>
      </c>
      <c r="M1235" s="0" t="n">
        <f aca="false">IFERROR(SMALL(M367:M1087,ROW()-ROW($M$1090)+1),"")</f>
        <v>0</v>
      </c>
      <c r="N1235" s="0" t="n">
        <f aca="false">IFERROR(SMALL(N367:N1087,ROW()-ROW($N$1090)+1),"")</f>
        <v>0</v>
      </c>
    </row>
    <row r="1236" customFormat="false" ht="15" hidden="false" customHeight="false" outlineLevel="0" collapsed="false">
      <c r="E1236" s="0" t="n">
        <f aca="false">IFERROR(SMALL(E367:E1087,ROW()-ROW($E$1090)+1),"")</f>
        <v>0</v>
      </c>
      <c r="F1236" s="0" t="str">
        <f aca="false">IFERROR(SMALL(F367:F1087,ROW()-ROW($F$1090)+1),"")</f>
        <v/>
      </c>
      <c r="G1236" s="0" t="n">
        <f aca="false">IFERROR(SMALL(G367:G1087,ROW()-ROW($G$1090)+1),"")</f>
        <v>0</v>
      </c>
      <c r="H1236" s="0" t="n">
        <f aca="false">IFERROR(SMALL(H367:H1087,ROW()-ROW($H$1090)+1),"")</f>
        <v>0</v>
      </c>
      <c r="K1236" s="0" t="n">
        <f aca="false">IFERROR(SMALL(K367:K1087,ROW()-ROW($K$1090)+1),"")</f>
        <v>0</v>
      </c>
      <c r="L1236" s="0" t="str">
        <f aca="false">IFERROR(SMALL(L367:L1087,ROW()-ROW($L$1090)+1),"")</f>
        <v/>
      </c>
      <c r="M1236" s="0" t="n">
        <f aca="false">IFERROR(SMALL(M367:M1087,ROW()-ROW($M$1090)+1),"")</f>
        <v>0</v>
      </c>
      <c r="N1236" s="0" t="n">
        <f aca="false">IFERROR(SMALL(N367:N1087,ROW()-ROW($N$1090)+1),"")</f>
        <v>0</v>
      </c>
    </row>
    <row r="1237" customFormat="false" ht="15" hidden="false" customHeight="false" outlineLevel="0" collapsed="false">
      <c r="E1237" s="0" t="n">
        <f aca="false">IFERROR(SMALL(E367:E1087,ROW()-ROW($E$1090)+1),"")</f>
        <v>0</v>
      </c>
      <c r="F1237" s="0" t="str">
        <f aca="false">IFERROR(SMALL(F367:F1087,ROW()-ROW($F$1090)+1),"")</f>
        <v/>
      </c>
      <c r="G1237" s="0" t="n">
        <f aca="false">IFERROR(SMALL(G367:G1087,ROW()-ROW($G$1090)+1),"")</f>
        <v>0</v>
      </c>
      <c r="H1237" s="0" t="n">
        <f aca="false">IFERROR(SMALL(H367:H1087,ROW()-ROW($H$1090)+1),"")</f>
        <v>0</v>
      </c>
      <c r="K1237" s="0" t="n">
        <f aca="false">IFERROR(SMALL(K367:K1087,ROW()-ROW($K$1090)+1),"")</f>
        <v>0</v>
      </c>
      <c r="L1237" s="0" t="str">
        <f aca="false">IFERROR(SMALL(L367:L1087,ROW()-ROW($L$1090)+1),"")</f>
        <v/>
      </c>
      <c r="M1237" s="0" t="n">
        <f aca="false">IFERROR(SMALL(M367:M1087,ROW()-ROW($M$1090)+1),"")</f>
        <v>0</v>
      </c>
      <c r="N1237" s="0" t="n">
        <f aca="false">IFERROR(SMALL(N367:N1087,ROW()-ROW($N$1090)+1),"")</f>
        <v>0</v>
      </c>
    </row>
    <row r="1238" customFormat="false" ht="15" hidden="false" customHeight="false" outlineLevel="0" collapsed="false">
      <c r="E1238" s="0" t="n">
        <f aca="false">IFERROR(SMALL(E367:E1087,ROW()-ROW($E$1090)+1),"")</f>
        <v>0</v>
      </c>
      <c r="F1238" s="0" t="str">
        <f aca="false">IFERROR(SMALL(F367:F1087,ROW()-ROW($F$1090)+1),"")</f>
        <v/>
      </c>
      <c r="G1238" s="0" t="n">
        <f aca="false">IFERROR(SMALL(G367:G1087,ROW()-ROW($G$1090)+1),"")</f>
        <v>0</v>
      </c>
      <c r="H1238" s="0" t="n">
        <f aca="false">IFERROR(SMALL(H367:H1087,ROW()-ROW($H$1090)+1),"")</f>
        <v>0</v>
      </c>
      <c r="K1238" s="0" t="n">
        <f aca="false">IFERROR(SMALL(K367:K1087,ROW()-ROW($K$1090)+1),"")</f>
        <v>0</v>
      </c>
      <c r="L1238" s="0" t="str">
        <f aca="false">IFERROR(SMALL(L367:L1087,ROW()-ROW($L$1090)+1),"")</f>
        <v/>
      </c>
      <c r="M1238" s="0" t="n">
        <f aca="false">IFERROR(SMALL(M367:M1087,ROW()-ROW($M$1090)+1),"")</f>
        <v>0</v>
      </c>
      <c r="N1238" s="0" t="n">
        <f aca="false">IFERROR(SMALL(N367:N1087,ROW()-ROW($N$1090)+1),"")</f>
        <v>0</v>
      </c>
    </row>
    <row r="1239" customFormat="false" ht="15" hidden="false" customHeight="false" outlineLevel="0" collapsed="false">
      <c r="E1239" s="0" t="n">
        <f aca="false">IFERROR(SMALL(E367:E1087,ROW()-ROW($E$1090)+1),"")</f>
        <v>0</v>
      </c>
      <c r="F1239" s="0" t="str">
        <f aca="false">IFERROR(SMALL(F367:F1087,ROW()-ROW($F$1090)+1),"")</f>
        <v/>
      </c>
      <c r="G1239" s="0" t="n">
        <f aca="false">IFERROR(SMALL(G367:G1087,ROW()-ROW($G$1090)+1),"")</f>
        <v>0</v>
      </c>
      <c r="H1239" s="0" t="n">
        <f aca="false">IFERROR(SMALL(H367:H1087,ROW()-ROW($H$1090)+1),"")</f>
        <v>0</v>
      </c>
      <c r="K1239" s="0" t="n">
        <f aca="false">IFERROR(SMALL(K367:K1087,ROW()-ROW($K$1090)+1),"")</f>
        <v>0</v>
      </c>
      <c r="L1239" s="0" t="str">
        <f aca="false">IFERROR(SMALL(L367:L1087,ROW()-ROW($L$1090)+1),"")</f>
        <v/>
      </c>
      <c r="M1239" s="0" t="n">
        <f aca="false">IFERROR(SMALL(M367:M1087,ROW()-ROW($M$1090)+1),"")</f>
        <v>0</v>
      </c>
      <c r="N1239" s="0" t="n">
        <f aca="false">IFERROR(SMALL(N367:N1087,ROW()-ROW($N$1090)+1),"")</f>
        <v>0</v>
      </c>
    </row>
    <row r="1240" customFormat="false" ht="15" hidden="false" customHeight="false" outlineLevel="0" collapsed="false">
      <c r="E1240" s="0" t="n">
        <f aca="false">IFERROR(SMALL(E367:E1087,ROW()-ROW($E$1090)+1),"")</f>
        <v>0</v>
      </c>
      <c r="F1240" s="0" t="str">
        <f aca="false">IFERROR(SMALL(F367:F1087,ROW()-ROW($F$1090)+1),"")</f>
        <v/>
      </c>
      <c r="G1240" s="0" t="n">
        <f aca="false">IFERROR(SMALL(G367:G1087,ROW()-ROW($G$1090)+1),"")</f>
        <v>0</v>
      </c>
      <c r="H1240" s="0" t="n">
        <f aca="false">IFERROR(SMALL(H367:H1087,ROW()-ROW($H$1090)+1),"")</f>
        <v>0</v>
      </c>
      <c r="K1240" s="0" t="n">
        <f aca="false">IFERROR(SMALL(K367:K1087,ROW()-ROW($K$1090)+1),"")</f>
        <v>0</v>
      </c>
      <c r="L1240" s="0" t="str">
        <f aca="false">IFERROR(SMALL(L367:L1087,ROW()-ROW($L$1090)+1),"")</f>
        <v/>
      </c>
      <c r="M1240" s="0" t="n">
        <f aca="false">IFERROR(SMALL(M367:M1087,ROW()-ROW($M$1090)+1),"")</f>
        <v>0</v>
      </c>
      <c r="N1240" s="0" t="n">
        <f aca="false">IFERROR(SMALL(N367:N1087,ROW()-ROW($N$1090)+1),"")</f>
        <v>0</v>
      </c>
    </row>
    <row r="1241" customFormat="false" ht="15" hidden="false" customHeight="false" outlineLevel="0" collapsed="false">
      <c r="E1241" s="0" t="n">
        <f aca="false">IFERROR(SMALL(E367:E1087,ROW()-ROW($E$1090)+1),"")</f>
        <v>0</v>
      </c>
      <c r="F1241" s="0" t="str">
        <f aca="false">IFERROR(SMALL(F367:F1087,ROW()-ROW($F$1090)+1),"")</f>
        <v/>
      </c>
      <c r="G1241" s="0" t="n">
        <f aca="false">IFERROR(SMALL(G367:G1087,ROW()-ROW($G$1090)+1),"")</f>
        <v>0</v>
      </c>
      <c r="H1241" s="0" t="n">
        <f aca="false">IFERROR(SMALL(H367:H1087,ROW()-ROW($H$1090)+1),"")</f>
        <v>0</v>
      </c>
      <c r="K1241" s="0" t="n">
        <f aca="false">IFERROR(SMALL(K367:K1087,ROW()-ROW($K$1090)+1),"")</f>
        <v>0</v>
      </c>
      <c r="L1241" s="0" t="str">
        <f aca="false">IFERROR(SMALL(L367:L1087,ROW()-ROW($L$1090)+1),"")</f>
        <v/>
      </c>
      <c r="M1241" s="0" t="n">
        <f aca="false">IFERROR(SMALL(M367:M1087,ROW()-ROW($M$1090)+1),"")</f>
        <v>0</v>
      </c>
      <c r="N1241" s="0" t="n">
        <f aca="false">IFERROR(SMALL(N367:N1087,ROW()-ROW($N$1090)+1),"")</f>
        <v>0</v>
      </c>
    </row>
    <row r="1242" customFormat="false" ht="15" hidden="false" customHeight="false" outlineLevel="0" collapsed="false">
      <c r="E1242" s="0" t="n">
        <f aca="false">IFERROR(SMALL(E367:E1087,ROW()-ROW($E$1090)+1),"")</f>
        <v>0</v>
      </c>
      <c r="F1242" s="0" t="str">
        <f aca="false">IFERROR(SMALL(F367:F1087,ROW()-ROW($F$1090)+1),"")</f>
        <v/>
      </c>
      <c r="G1242" s="0" t="n">
        <f aca="false">IFERROR(SMALL(G367:G1087,ROW()-ROW($G$1090)+1),"")</f>
        <v>0</v>
      </c>
      <c r="H1242" s="0" t="n">
        <f aca="false">IFERROR(SMALL(H367:H1087,ROW()-ROW($H$1090)+1),"")</f>
        <v>0</v>
      </c>
      <c r="K1242" s="0" t="n">
        <f aca="false">IFERROR(SMALL(K367:K1087,ROW()-ROW($K$1090)+1),"")</f>
        <v>0</v>
      </c>
      <c r="L1242" s="0" t="str">
        <f aca="false">IFERROR(SMALL(L367:L1087,ROW()-ROW($L$1090)+1),"")</f>
        <v/>
      </c>
      <c r="M1242" s="0" t="n">
        <f aca="false">IFERROR(SMALL(M367:M1087,ROW()-ROW($M$1090)+1),"")</f>
        <v>0</v>
      </c>
      <c r="N1242" s="0" t="n">
        <f aca="false">IFERROR(SMALL(N367:N1087,ROW()-ROW($N$1090)+1),"")</f>
        <v>0</v>
      </c>
    </row>
    <row r="1243" customFormat="false" ht="15" hidden="false" customHeight="false" outlineLevel="0" collapsed="false">
      <c r="E1243" s="0" t="n">
        <f aca="false">IFERROR(SMALL(E367:E1087,ROW()-ROW($E$1090)+1),"")</f>
        <v>0</v>
      </c>
      <c r="F1243" s="0" t="str">
        <f aca="false">IFERROR(SMALL(F367:F1087,ROW()-ROW($F$1090)+1),"")</f>
        <v/>
      </c>
      <c r="G1243" s="0" t="n">
        <f aca="false">IFERROR(SMALL(G367:G1087,ROW()-ROW($G$1090)+1),"")</f>
        <v>0</v>
      </c>
      <c r="H1243" s="0" t="n">
        <f aca="false">IFERROR(SMALL(H367:H1087,ROW()-ROW($H$1090)+1),"")</f>
        <v>0</v>
      </c>
      <c r="K1243" s="0" t="n">
        <f aca="false">IFERROR(SMALL(K367:K1087,ROW()-ROW($K$1090)+1),"")</f>
        <v>0</v>
      </c>
      <c r="L1243" s="0" t="str">
        <f aca="false">IFERROR(SMALL(L367:L1087,ROW()-ROW($L$1090)+1),"")</f>
        <v/>
      </c>
      <c r="M1243" s="0" t="n">
        <f aca="false">IFERROR(SMALL(M367:M1087,ROW()-ROW($M$1090)+1),"")</f>
        <v>0</v>
      </c>
      <c r="N1243" s="0" t="n">
        <f aca="false">IFERROR(SMALL(N367:N1087,ROW()-ROW($N$1090)+1),"")</f>
        <v>0</v>
      </c>
    </row>
    <row r="1244" customFormat="false" ht="15" hidden="false" customHeight="false" outlineLevel="0" collapsed="false">
      <c r="E1244" s="0" t="n">
        <f aca="false">IFERROR(SMALL(E367:E1087,ROW()-ROW($E$1090)+1),"")</f>
        <v>0</v>
      </c>
      <c r="F1244" s="0" t="str">
        <f aca="false">IFERROR(SMALL(F367:F1087,ROW()-ROW($F$1090)+1),"")</f>
        <v/>
      </c>
      <c r="G1244" s="0" t="n">
        <f aca="false">IFERROR(SMALL(G367:G1087,ROW()-ROW($G$1090)+1),"")</f>
        <v>0</v>
      </c>
      <c r="H1244" s="0" t="n">
        <f aca="false">IFERROR(SMALL(H367:H1087,ROW()-ROW($H$1090)+1),"")</f>
        <v>0</v>
      </c>
      <c r="K1244" s="0" t="n">
        <f aca="false">IFERROR(SMALL(K367:K1087,ROW()-ROW($K$1090)+1),"")</f>
        <v>0</v>
      </c>
      <c r="L1244" s="0" t="str">
        <f aca="false">IFERROR(SMALL(L367:L1087,ROW()-ROW($L$1090)+1),"")</f>
        <v/>
      </c>
      <c r="M1244" s="0" t="n">
        <f aca="false">IFERROR(SMALL(M367:M1087,ROW()-ROW($M$1090)+1),"")</f>
        <v>0</v>
      </c>
      <c r="N1244" s="0" t="n">
        <f aca="false">IFERROR(SMALL(N367:N1087,ROW()-ROW($N$1090)+1),"")</f>
        <v>0</v>
      </c>
    </row>
    <row r="1245" customFormat="false" ht="15" hidden="false" customHeight="false" outlineLevel="0" collapsed="false">
      <c r="E1245" s="0" t="n">
        <f aca="false">IFERROR(SMALL(E367:E1087,ROW()-ROW($E$1090)+1),"")</f>
        <v>0</v>
      </c>
      <c r="F1245" s="0" t="str">
        <f aca="false">IFERROR(SMALL(F367:F1087,ROW()-ROW($F$1090)+1),"")</f>
        <v/>
      </c>
      <c r="G1245" s="0" t="n">
        <f aca="false">IFERROR(SMALL(G367:G1087,ROW()-ROW($G$1090)+1),"")</f>
        <v>0</v>
      </c>
      <c r="H1245" s="0" t="n">
        <f aca="false">IFERROR(SMALL(H367:H1087,ROW()-ROW($H$1090)+1),"")</f>
        <v>0</v>
      </c>
      <c r="K1245" s="0" t="n">
        <f aca="false">IFERROR(SMALL(K367:K1087,ROW()-ROW($K$1090)+1),"")</f>
        <v>0</v>
      </c>
      <c r="L1245" s="0" t="str">
        <f aca="false">IFERROR(SMALL(L367:L1087,ROW()-ROW($L$1090)+1),"")</f>
        <v/>
      </c>
      <c r="M1245" s="0" t="n">
        <f aca="false">IFERROR(SMALL(M367:M1087,ROW()-ROW($M$1090)+1),"")</f>
        <v>0</v>
      </c>
      <c r="N1245" s="0" t="n">
        <f aca="false">IFERROR(SMALL(N367:N1087,ROW()-ROW($N$1090)+1),"")</f>
        <v>0</v>
      </c>
    </row>
    <row r="1246" customFormat="false" ht="15" hidden="false" customHeight="false" outlineLevel="0" collapsed="false">
      <c r="E1246" s="0" t="n">
        <f aca="false">IFERROR(SMALL(E367:E1087,ROW()-ROW($E$1090)+1),"")</f>
        <v>0</v>
      </c>
      <c r="F1246" s="0" t="str">
        <f aca="false">IFERROR(SMALL(F367:F1087,ROW()-ROW($F$1090)+1),"")</f>
        <v/>
      </c>
      <c r="G1246" s="0" t="n">
        <f aca="false">IFERROR(SMALL(G367:G1087,ROW()-ROW($G$1090)+1),"")</f>
        <v>0</v>
      </c>
      <c r="H1246" s="0" t="n">
        <f aca="false">IFERROR(SMALL(H367:H1087,ROW()-ROW($H$1090)+1),"")</f>
        <v>0</v>
      </c>
      <c r="K1246" s="0" t="n">
        <f aca="false">IFERROR(SMALL(K367:K1087,ROW()-ROW($K$1090)+1),"")</f>
        <v>0</v>
      </c>
      <c r="L1246" s="0" t="str">
        <f aca="false">IFERROR(SMALL(L367:L1087,ROW()-ROW($L$1090)+1),"")</f>
        <v/>
      </c>
      <c r="M1246" s="0" t="n">
        <f aca="false">IFERROR(SMALL(M367:M1087,ROW()-ROW($M$1090)+1),"")</f>
        <v>0</v>
      </c>
      <c r="N1246" s="0" t="n">
        <f aca="false">IFERROR(SMALL(N367:N1087,ROW()-ROW($N$1090)+1),"")</f>
        <v>0</v>
      </c>
    </row>
    <row r="1247" customFormat="false" ht="15" hidden="false" customHeight="false" outlineLevel="0" collapsed="false">
      <c r="E1247" s="0" t="n">
        <f aca="false">IFERROR(SMALL(E367:E1087,ROW()-ROW($E$1090)+1),"")</f>
        <v>0</v>
      </c>
      <c r="F1247" s="0" t="str">
        <f aca="false">IFERROR(SMALL(F367:F1087,ROW()-ROW($F$1090)+1),"")</f>
        <v/>
      </c>
      <c r="G1247" s="0" t="n">
        <f aca="false">IFERROR(SMALL(G367:G1087,ROW()-ROW($G$1090)+1),"")</f>
        <v>0</v>
      </c>
      <c r="H1247" s="0" t="n">
        <f aca="false">IFERROR(SMALL(H367:H1087,ROW()-ROW($H$1090)+1),"")</f>
        <v>0</v>
      </c>
      <c r="K1247" s="0" t="n">
        <f aca="false">IFERROR(SMALL(K367:K1087,ROW()-ROW($K$1090)+1),"")</f>
        <v>0</v>
      </c>
      <c r="L1247" s="0" t="str">
        <f aca="false">IFERROR(SMALL(L367:L1087,ROW()-ROW($L$1090)+1),"")</f>
        <v/>
      </c>
      <c r="M1247" s="0" t="n">
        <f aca="false">IFERROR(SMALL(M367:M1087,ROW()-ROW($M$1090)+1),"")</f>
        <v>0</v>
      </c>
      <c r="N1247" s="0" t="n">
        <f aca="false">IFERROR(SMALL(N367:N1087,ROW()-ROW($N$1090)+1),"")</f>
        <v>0</v>
      </c>
    </row>
    <row r="1248" customFormat="false" ht="15" hidden="false" customHeight="false" outlineLevel="0" collapsed="false">
      <c r="E1248" s="0" t="n">
        <f aca="false">IFERROR(SMALL(E367:E1087,ROW()-ROW($E$1090)+1),"")</f>
        <v>0</v>
      </c>
      <c r="F1248" s="0" t="str">
        <f aca="false">IFERROR(SMALL(F367:F1087,ROW()-ROW($F$1090)+1),"")</f>
        <v/>
      </c>
      <c r="G1248" s="0" t="n">
        <f aca="false">IFERROR(SMALL(G367:G1087,ROW()-ROW($G$1090)+1),"")</f>
        <v>0</v>
      </c>
      <c r="H1248" s="0" t="n">
        <f aca="false">IFERROR(SMALL(H367:H1087,ROW()-ROW($H$1090)+1),"")</f>
        <v>0</v>
      </c>
      <c r="K1248" s="0" t="n">
        <f aca="false">IFERROR(SMALL(K367:K1087,ROW()-ROW($K$1090)+1),"")</f>
        <v>0</v>
      </c>
      <c r="L1248" s="0" t="str">
        <f aca="false">IFERROR(SMALL(L367:L1087,ROW()-ROW($L$1090)+1),"")</f>
        <v/>
      </c>
      <c r="M1248" s="0" t="n">
        <f aca="false">IFERROR(SMALL(M367:M1087,ROW()-ROW($M$1090)+1),"")</f>
        <v>0</v>
      </c>
      <c r="N1248" s="0" t="n">
        <f aca="false">IFERROR(SMALL(N367:N1087,ROW()-ROW($N$1090)+1),"")</f>
        <v>0</v>
      </c>
    </row>
    <row r="1249" customFormat="false" ht="15" hidden="false" customHeight="false" outlineLevel="0" collapsed="false">
      <c r="E1249" s="0" t="n">
        <f aca="false">IFERROR(SMALL(E367:E1087,ROW()-ROW($E$1090)+1),"")</f>
        <v>0</v>
      </c>
      <c r="F1249" s="0" t="str">
        <f aca="false">IFERROR(SMALL(F367:F1087,ROW()-ROW($F$1090)+1),"")</f>
        <v/>
      </c>
      <c r="G1249" s="0" t="n">
        <f aca="false">IFERROR(SMALL(G367:G1087,ROW()-ROW($G$1090)+1),"")</f>
        <v>0</v>
      </c>
      <c r="H1249" s="0" t="n">
        <f aca="false">IFERROR(SMALL(H367:H1087,ROW()-ROW($H$1090)+1),"")</f>
        <v>0</v>
      </c>
      <c r="K1249" s="0" t="n">
        <f aca="false">IFERROR(SMALL(K367:K1087,ROW()-ROW($K$1090)+1),"")</f>
        <v>0</v>
      </c>
      <c r="L1249" s="0" t="str">
        <f aca="false">IFERROR(SMALL(L367:L1087,ROW()-ROW($L$1090)+1),"")</f>
        <v/>
      </c>
      <c r="M1249" s="0" t="n">
        <f aca="false">IFERROR(SMALL(M367:M1087,ROW()-ROW($M$1090)+1),"")</f>
        <v>0</v>
      </c>
      <c r="N1249" s="0" t="n">
        <f aca="false">IFERROR(SMALL(N367:N1087,ROW()-ROW($N$1090)+1),"")</f>
        <v>0</v>
      </c>
    </row>
    <row r="1250" customFormat="false" ht="15" hidden="false" customHeight="false" outlineLevel="0" collapsed="false">
      <c r="E1250" s="0" t="n">
        <f aca="false">IFERROR(SMALL(E367:E1087,ROW()-ROW($E$1090)+1),"")</f>
        <v>0</v>
      </c>
      <c r="F1250" s="0" t="str">
        <f aca="false">IFERROR(SMALL(F367:F1087,ROW()-ROW($F$1090)+1),"")</f>
        <v/>
      </c>
      <c r="G1250" s="0" t="n">
        <f aca="false">IFERROR(SMALL(G367:G1087,ROW()-ROW($G$1090)+1),"")</f>
        <v>0</v>
      </c>
      <c r="H1250" s="0" t="n">
        <f aca="false">IFERROR(SMALL(H367:H1087,ROW()-ROW($H$1090)+1),"")</f>
        <v>0</v>
      </c>
      <c r="K1250" s="0" t="n">
        <f aca="false">IFERROR(SMALL(K367:K1087,ROW()-ROW($K$1090)+1),"")</f>
        <v>0</v>
      </c>
      <c r="L1250" s="0" t="str">
        <f aca="false">IFERROR(SMALL(L367:L1087,ROW()-ROW($L$1090)+1),"")</f>
        <v/>
      </c>
      <c r="M1250" s="0" t="n">
        <f aca="false">IFERROR(SMALL(M367:M1087,ROW()-ROW($M$1090)+1),"")</f>
        <v>0</v>
      </c>
      <c r="N1250" s="0" t="n">
        <f aca="false">IFERROR(SMALL(N367:N1087,ROW()-ROW($N$1090)+1),"")</f>
        <v>0</v>
      </c>
    </row>
    <row r="1251" customFormat="false" ht="15" hidden="false" customHeight="false" outlineLevel="0" collapsed="false">
      <c r="E1251" s="0" t="n">
        <f aca="false">IFERROR(SMALL(E367:E1087,ROW()-ROW($E$1090)+1),"")</f>
        <v>0</v>
      </c>
      <c r="F1251" s="0" t="str">
        <f aca="false">IFERROR(SMALL(F367:F1087,ROW()-ROW($F$1090)+1),"")</f>
        <v/>
      </c>
      <c r="G1251" s="0" t="n">
        <f aca="false">IFERROR(SMALL(G367:G1087,ROW()-ROW($G$1090)+1),"")</f>
        <v>0</v>
      </c>
      <c r="H1251" s="0" t="n">
        <f aca="false">IFERROR(SMALL(H367:H1087,ROW()-ROW($H$1090)+1),"")</f>
        <v>0</v>
      </c>
      <c r="K1251" s="0" t="n">
        <f aca="false">IFERROR(SMALL(K367:K1087,ROW()-ROW($K$1090)+1),"")</f>
        <v>0</v>
      </c>
      <c r="L1251" s="0" t="str">
        <f aca="false">IFERROR(SMALL(L367:L1087,ROW()-ROW($L$1090)+1),"")</f>
        <v/>
      </c>
      <c r="M1251" s="0" t="n">
        <f aca="false">IFERROR(SMALL(M367:M1087,ROW()-ROW($M$1090)+1),"")</f>
        <v>0</v>
      </c>
      <c r="N1251" s="0" t="n">
        <f aca="false">IFERROR(SMALL(N367:N1087,ROW()-ROW($N$1090)+1),"")</f>
        <v>0</v>
      </c>
    </row>
    <row r="1252" customFormat="false" ht="15" hidden="false" customHeight="false" outlineLevel="0" collapsed="false">
      <c r="E1252" s="0" t="n">
        <f aca="false">IFERROR(SMALL(E367:E1087,ROW()-ROW($E$1090)+1),"")</f>
        <v>0</v>
      </c>
      <c r="F1252" s="0" t="str">
        <f aca="false">IFERROR(SMALL(F367:F1087,ROW()-ROW($F$1090)+1),"")</f>
        <v/>
      </c>
      <c r="G1252" s="0" t="n">
        <f aca="false">IFERROR(SMALL(G367:G1087,ROW()-ROW($G$1090)+1),"")</f>
        <v>0</v>
      </c>
      <c r="H1252" s="0" t="n">
        <f aca="false">IFERROR(SMALL(H367:H1087,ROW()-ROW($H$1090)+1),"")</f>
        <v>0</v>
      </c>
      <c r="K1252" s="0" t="n">
        <f aca="false">IFERROR(SMALL(K367:K1087,ROW()-ROW($K$1090)+1),"")</f>
        <v>0</v>
      </c>
      <c r="L1252" s="0" t="str">
        <f aca="false">IFERROR(SMALL(L367:L1087,ROW()-ROW($L$1090)+1),"")</f>
        <v/>
      </c>
      <c r="M1252" s="0" t="n">
        <f aca="false">IFERROR(SMALL(M367:M1087,ROW()-ROW($M$1090)+1),"")</f>
        <v>0</v>
      </c>
      <c r="N1252" s="0" t="n">
        <f aca="false">IFERROR(SMALL(N367:N1087,ROW()-ROW($N$1090)+1),"")</f>
        <v>0</v>
      </c>
    </row>
    <row r="1253" customFormat="false" ht="15" hidden="false" customHeight="false" outlineLevel="0" collapsed="false">
      <c r="E1253" s="0" t="n">
        <f aca="false">IFERROR(SMALL(E367:E1087,ROW()-ROW($E$1090)+1),"")</f>
        <v>0</v>
      </c>
      <c r="F1253" s="0" t="str">
        <f aca="false">IFERROR(SMALL(F367:F1087,ROW()-ROW($F$1090)+1),"")</f>
        <v/>
      </c>
      <c r="G1253" s="0" t="n">
        <f aca="false">IFERROR(SMALL(G367:G1087,ROW()-ROW($G$1090)+1),"")</f>
        <v>0</v>
      </c>
      <c r="H1253" s="0" t="n">
        <f aca="false">IFERROR(SMALL(H367:H1087,ROW()-ROW($H$1090)+1),"")</f>
        <v>0</v>
      </c>
      <c r="K1253" s="0" t="n">
        <f aca="false">IFERROR(SMALL(K367:K1087,ROW()-ROW($K$1090)+1),"")</f>
        <v>0</v>
      </c>
      <c r="L1253" s="0" t="str">
        <f aca="false">IFERROR(SMALL(L367:L1087,ROW()-ROW($L$1090)+1),"")</f>
        <v/>
      </c>
      <c r="M1253" s="0" t="n">
        <f aca="false">IFERROR(SMALL(M367:M1087,ROW()-ROW($M$1090)+1),"")</f>
        <v>0</v>
      </c>
      <c r="N1253" s="0" t="n">
        <f aca="false">IFERROR(SMALL(N367:N1087,ROW()-ROW($N$1090)+1),"")</f>
        <v>0</v>
      </c>
    </row>
    <row r="1254" customFormat="false" ht="15" hidden="false" customHeight="false" outlineLevel="0" collapsed="false">
      <c r="E1254" s="0" t="n">
        <f aca="false">IFERROR(SMALL(E367:E1087,ROW()-ROW($E$1090)+1),"")</f>
        <v>0</v>
      </c>
      <c r="F1254" s="0" t="str">
        <f aca="false">IFERROR(SMALL(F367:F1087,ROW()-ROW($F$1090)+1),"")</f>
        <v/>
      </c>
      <c r="G1254" s="0" t="n">
        <f aca="false">IFERROR(SMALL(G367:G1087,ROW()-ROW($G$1090)+1),"")</f>
        <v>0</v>
      </c>
      <c r="H1254" s="0" t="n">
        <f aca="false">IFERROR(SMALL(H367:H1087,ROW()-ROW($H$1090)+1),"")</f>
        <v>0</v>
      </c>
      <c r="K1254" s="0" t="n">
        <f aca="false">IFERROR(SMALL(K367:K1087,ROW()-ROW($K$1090)+1),"")</f>
        <v>0</v>
      </c>
      <c r="L1254" s="0" t="str">
        <f aca="false">IFERROR(SMALL(L367:L1087,ROW()-ROW($L$1090)+1),"")</f>
        <v/>
      </c>
      <c r="M1254" s="0" t="n">
        <f aca="false">IFERROR(SMALL(M367:M1087,ROW()-ROW($M$1090)+1),"")</f>
        <v>0</v>
      </c>
      <c r="N1254" s="0" t="n">
        <f aca="false">IFERROR(SMALL(N367:N1087,ROW()-ROW($N$1090)+1),"")</f>
        <v>0</v>
      </c>
    </row>
    <row r="1255" customFormat="false" ht="15" hidden="false" customHeight="false" outlineLevel="0" collapsed="false">
      <c r="E1255" s="0" t="n">
        <f aca="false">IFERROR(SMALL(E367:E1087,ROW()-ROW($E$1090)+1),"")</f>
        <v>0</v>
      </c>
      <c r="F1255" s="0" t="str">
        <f aca="false">IFERROR(SMALL(F367:F1087,ROW()-ROW($F$1090)+1),"")</f>
        <v/>
      </c>
      <c r="G1255" s="0" t="n">
        <f aca="false">IFERROR(SMALL(G367:G1087,ROW()-ROW($G$1090)+1),"")</f>
        <v>0</v>
      </c>
      <c r="H1255" s="0" t="n">
        <f aca="false">IFERROR(SMALL(H367:H1087,ROW()-ROW($H$1090)+1),"")</f>
        <v>0</v>
      </c>
      <c r="K1255" s="0" t="n">
        <f aca="false">IFERROR(SMALL(K367:K1087,ROW()-ROW($K$1090)+1),"")</f>
        <v>0</v>
      </c>
      <c r="L1255" s="0" t="str">
        <f aca="false">IFERROR(SMALL(L367:L1087,ROW()-ROW($L$1090)+1),"")</f>
        <v/>
      </c>
      <c r="M1255" s="0" t="n">
        <f aca="false">IFERROR(SMALL(M367:M1087,ROW()-ROW($M$1090)+1),"")</f>
        <v>0</v>
      </c>
      <c r="N1255" s="0" t="n">
        <f aca="false">IFERROR(SMALL(N367:N1087,ROW()-ROW($N$1090)+1),"")</f>
        <v>0</v>
      </c>
    </row>
    <row r="1256" customFormat="false" ht="15" hidden="false" customHeight="false" outlineLevel="0" collapsed="false">
      <c r="E1256" s="0" t="n">
        <f aca="false">IFERROR(SMALL(E367:E1087,ROW()-ROW($E$1090)+1),"")</f>
        <v>0</v>
      </c>
      <c r="F1256" s="0" t="str">
        <f aca="false">IFERROR(SMALL(F367:F1087,ROW()-ROW($F$1090)+1),"")</f>
        <v/>
      </c>
      <c r="G1256" s="0" t="n">
        <f aca="false">IFERROR(SMALL(G367:G1087,ROW()-ROW($G$1090)+1),"")</f>
        <v>0</v>
      </c>
      <c r="H1256" s="0" t="n">
        <f aca="false">IFERROR(SMALL(H367:H1087,ROW()-ROW($H$1090)+1),"")</f>
        <v>0</v>
      </c>
      <c r="K1256" s="0" t="n">
        <f aca="false">IFERROR(SMALL(K367:K1087,ROW()-ROW($K$1090)+1),"")</f>
        <v>0</v>
      </c>
      <c r="L1256" s="0" t="str">
        <f aca="false">IFERROR(SMALL(L367:L1087,ROW()-ROW($L$1090)+1),"")</f>
        <v/>
      </c>
      <c r="M1256" s="0" t="n">
        <f aca="false">IFERROR(SMALL(M367:M1087,ROW()-ROW($M$1090)+1),"")</f>
        <v>0</v>
      </c>
      <c r="N1256" s="0" t="n">
        <f aca="false">IFERROR(SMALL(N367:N1087,ROW()-ROW($N$1090)+1),"")</f>
        <v>0</v>
      </c>
    </row>
    <row r="1257" customFormat="false" ht="15" hidden="false" customHeight="false" outlineLevel="0" collapsed="false">
      <c r="E1257" s="0" t="n">
        <f aca="false">IFERROR(SMALL(E367:E1087,ROW()-ROW($E$1090)+1),"")</f>
        <v>0</v>
      </c>
      <c r="F1257" s="0" t="str">
        <f aca="false">IFERROR(SMALL(F367:F1087,ROW()-ROW($F$1090)+1),"")</f>
        <v/>
      </c>
      <c r="G1257" s="0" t="n">
        <f aca="false">IFERROR(SMALL(G367:G1087,ROW()-ROW($G$1090)+1),"")</f>
        <v>0</v>
      </c>
      <c r="H1257" s="0" t="n">
        <f aca="false">IFERROR(SMALL(H367:H1087,ROW()-ROW($H$1090)+1),"")</f>
        <v>0</v>
      </c>
      <c r="K1257" s="0" t="n">
        <f aca="false">IFERROR(SMALL(K367:K1087,ROW()-ROW($K$1090)+1),"")</f>
        <v>0</v>
      </c>
      <c r="L1257" s="0" t="str">
        <f aca="false">IFERROR(SMALL(L367:L1087,ROW()-ROW($L$1090)+1),"")</f>
        <v/>
      </c>
      <c r="M1257" s="0" t="n">
        <f aca="false">IFERROR(SMALL(M367:M1087,ROW()-ROW($M$1090)+1),"")</f>
        <v>0</v>
      </c>
      <c r="N1257" s="0" t="n">
        <f aca="false">IFERROR(SMALL(N367:N1087,ROW()-ROW($N$1090)+1),"")</f>
        <v>0</v>
      </c>
    </row>
    <row r="1258" customFormat="false" ht="15" hidden="false" customHeight="false" outlineLevel="0" collapsed="false">
      <c r="E1258" s="0" t="n">
        <f aca="false">IFERROR(SMALL(E367:E1087,ROW()-ROW($E$1090)+1),"")</f>
        <v>0</v>
      </c>
      <c r="F1258" s="0" t="str">
        <f aca="false">IFERROR(SMALL(F367:F1087,ROW()-ROW($F$1090)+1),"")</f>
        <v/>
      </c>
      <c r="G1258" s="0" t="n">
        <f aca="false">IFERROR(SMALL(G367:G1087,ROW()-ROW($G$1090)+1),"")</f>
        <v>0</v>
      </c>
      <c r="H1258" s="0" t="n">
        <f aca="false">IFERROR(SMALL(H367:H1087,ROW()-ROW($H$1090)+1),"")</f>
        <v>0</v>
      </c>
      <c r="K1258" s="0" t="n">
        <f aca="false">IFERROR(SMALL(K367:K1087,ROW()-ROW($K$1090)+1),"")</f>
        <v>0</v>
      </c>
      <c r="L1258" s="0" t="str">
        <f aca="false">IFERROR(SMALL(L367:L1087,ROW()-ROW($L$1090)+1),"")</f>
        <v/>
      </c>
      <c r="M1258" s="0" t="n">
        <f aca="false">IFERROR(SMALL(M367:M1087,ROW()-ROW($M$1090)+1),"")</f>
        <v>0</v>
      </c>
      <c r="N1258" s="0" t="n">
        <f aca="false">IFERROR(SMALL(N367:N1087,ROW()-ROW($N$1090)+1),"")</f>
        <v>0</v>
      </c>
    </row>
    <row r="1259" customFormat="false" ht="15" hidden="false" customHeight="false" outlineLevel="0" collapsed="false">
      <c r="E1259" s="0" t="n">
        <f aca="false">IFERROR(SMALL(E367:E1087,ROW()-ROW($E$1090)+1),"")</f>
        <v>0</v>
      </c>
      <c r="F1259" s="0" t="str">
        <f aca="false">IFERROR(SMALL(F367:F1087,ROW()-ROW($F$1090)+1),"")</f>
        <v/>
      </c>
      <c r="G1259" s="0" t="n">
        <f aca="false">IFERROR(SMALL(G367:G1087,ROW()-ROW($G$1090)+1),"")</f>
        <v>0</v>
      </c>
      <c r="H1259" s="0" t="n">
        <f aca="false">IFERROR(SMALL(H367:H1087,ROW()-ROW($H$1090)+1),"")</f>
        <v>0</v>
      </c>
      <c r="K1259" s="0" t="n">
        <f aca="false">IFERROR(SMALL(K367:K1087,ROW()-ROW($K$1090)+1),"")</f>
        <v>0</v>
      </c>
      <c r="L1259" s="0" t="str">
        <f aca="false">IFERROR(SMALL(L367:L1087,ROW()-ROW($L$1090)+1),"")</f>
        <v/>
      </c>
      <c r="M1259" s="0" t="n">
        <f aca="false">IFERROR(SMALL(M367:M1087,ROW()-ROW($M$1090)+1),"")</f>
        <v>0</v>
      </c>
      <c r="N1259" s="0" t="n">
        <f aca="false">IFERROR(SMALL(N367:N1087,ROW()-ROW($N$1090)+1),"")</f>
        <v>0</v>
      </c>
    </row>
    <row r="1260" customFormat="false" ht="15" hidden="false" customHeight="false" outlineLevel="0" collapsed="false">
      <c r="E1260" s="0" t="n">
        <f aca="false">IFERROR(SMALL(E367:E1087,ROW()-ROW($E$1090)+1),"")</f>
        <v>0</v>
      </c>
      <c r="F1260" s="0" t="str">
        <f aca="false">IFERROR(SMALL(F367:F1087,ROW()-ROW($F$1090)+1),"")</f>
        <v/>
      </c>
      <c r="G1260" s="0" t="n">
        <f aca="false">IFERROR(SMALL(G367:G1087,ROW()-ROW($G$1090)+1),"")</f>
        <v>0</v>
      </c>
      <c r="H1260" s="0" t="n">
        <f aca="false">IFERROR(SMALL(H367:H1087,ROW()-ROW($H$1090)+1),"")</f>
        <v>0</v>
      </c>
      <c r="K1260" s="0" t="n">
        <f aca="false">IFERROR(SMALL(K367:K1087,ROW()-ROW($K$1090)+1),"")</f>
        <v>0</v>
      </c>
      <c r="L1260" s="0" t="str">
        <f aca="false">IFERROR(SMALL(L367:L1087,ROW()-ROW($L$1090)+1),"")</f>
        <v/>
      </c>
      <c r="M1260" s="0" t="n">
        <f aca="false">IFERROR(SMALL(M367:M1087,ROW()-ROW($M$1090)+1),"")</f>
        <v>0</v>
      </c>
      <c r="N1260" s="0" t="n">
        <f aca="false">IFERROR(SMALL(N367:N1087,ROW()-ROW($N$1090)+1),"")</f>
        <v>0</v>
      </c>
    </row>
    <row r="1261" customFormat="false" ht="15" hidden="false" customHeight="false" outlineLevel="0" collapsed="false">
      <c r="E1261" s="0" t="n">
        <f aca="false">IFERROR(SMALL(E367:E1087,ROW()-ROW($E$1090)+1),"")</f>
        <v>0</v>
      </c>
      <c r="F1261" s="0" t="str">
        <f aca="false">IFERROR(SMALL(F367:F1087,ROW()-ROW($F$1090)+1),"")</f>
        <v/>
      </c>
      <c r="G1261" s="0" t="n">
        <f aca="false">IFERROR(SMALL(G367:G1087,ROW()-ROW($G$1090)+1),"")</f>
        <v>0</v>
      </c>
      <c r="H1261" s="0" t="n">
        <f aca="false">IFERROR(SMALL(H367:H1087,ROW()-ROW($H$1090)+1),"")</f>
        <v>0</v>
      </c>
      <c r="K1261" s="0" t="n">
        <f aca="false">IFERROR(SMALL(K367:K1087,ROW()-ROW($K$1090)+1),"")</f>
        <v>0</v>
      </c>
      <c r="L1261" s="0" t="str">
        <f aca="false">IFERROR(SMALL(L367:L1087,ROW()-ROW($L$1090)+1),"")</f>
        <v/>
      </c>
      <c r="M1261" s="0" t="n">
        <f aca="false">IFERROR(SMALL(M367:M1087,ROW()-ROW($M$1090)+1),"")</f>
        <v>0</v>
      </c>
      <c r="N1261" s="0" t="n">
        <f aca="false">IFERROR(SMALL(N367:N1087,ROW()-ROW($N$1090)+1),"")</f>
        <v>0</v>
      </c>
    </row>
    <row r="1262" customFormat="false" ht="15" hidden="false" customHeight="false" outlineLevel="0" collapsed="false">
      <c r="E1262" s="0" t="n">
        <f aca="false">IFERROR(SMALL(E367:E1087,ROW()-ROW($E$1090)+1),"")</f>
        <v>0</v>
      </c>
      <c r="F1262" s="0" t="str">
        <f aca="false">IFERROR(SMALL(F367:F1087,ROW()-ROW($F$1090)+1),"")</f>
        <v/>
      </c>
      <c r="G1262" s="0" t="n">
        <f aca="false">IFERROR(SMALL(G367:G1087,ROW()-ROW($G$1090)+1),"")</f>
        <v>0</v>
      </c>
      <c r="H1262" s="0" t="n">
        <f aca="false">IFERROR(SMALL(H367:H1087,ROW()-ROW($H$1090)+1),"")</f>
        <v>0</v>
      </c>
      <c r="K1262" s="0" t="n">
        <f aca="false">IFERROR(SMALL(K367:K1087,ROW()-ROW($K$1090)+1),"")</f>
        <v>0</v>
      </c>
      <c r="L1262" s="0" t="str">
        <f aca="false">IFERROR(SMALL(L367:L1087,ROW()-ROW($L$1090)+1),"")</f>
        <v/>
      </c>
      <c r="M1262" s="0" t="n">
        <f aca="false">IFERROR(SMALL(M367:M1087,ROW()-ROW($M$1090)+1),"")</f>
        <v>0</v>
      </c>
      <c r="N1262" s="0" t="n">
        <f aca="false">IFERROR(SMALL(N367:N1087,ROW()-ROW($N$1090)+1),"")</f>
        <v>0</v>
      </c>
    </row>
    <row r="1263" customFormat="false" ht="15" hidden="false" customHeight="false" outlineLevel="0" collapsed="false">
      <c r="E1263" s="0" t="n">
        <f aca="false">IFERROR(SMALL(E367:E1087,ROW()-ROW($E$1090)+1),"")</f>
        <v>0</v>
      </c>
      <c r="F1263" s="0" t="str">
        <f aca="false">IFERROR(SMALL(F367:F1087,ROW()-ROW($F$1090)+1),"")</f>
        <v/>
      </c>
      <c r="G1263" s="0" t="n">
        <f aca="false">IFERROR(SMALL(G367:G1087,ROW()-ROW($G$1090)+1),"")</f>
        <v>0</v>
      </c>
      <c r="H1263" s="0" t="n">
        <f aca="false">IFERROR(SMALL(H367:H1087,ROW()-ROW($H$1090)+1),"")</f>
        <v>0</v>
      </c>
      <c r="K1263" s="0" t="n">
        <f aca="false">IFERROR(SMALL(K367:K1087,ROW()-ROW($K$1090)+1),"")</f>
        <v>0</v>
      </c>
      <c r="L1263" s="0" t="str">
        <f aca="false">IFERROR(SMALL(L367:L1087,ROW()-ROW($L$1090)+1),"")</f>
        <v/>
      </c>
      <c r="M1263" s="0" t="n">
        <f aca="false">IFERROR(SMALL(M367:M1087,ROW()-ROW($M$1090)+1),"")</f>
        <v>0</v>
      </c>
      <c r="N1263" s="0" t="n">
        <f aca="false">IFERROR(SMALL(N367:N1087,ROW()-ROW($N$1090)+1),"")</f>
        <v>0</v>
      </c>
    </row>
    <row r="1264" customFormat="false" ht="15" hidden="false" customHeight="false" outlineLevel="0" collapsed="false">
      <c r="E1264" s="0" t="n">
        <f aca="false">IFERROR(SMALL(E367:E1087,ROW()-ROW($E$1090)+1),"")</f>
        <v>0</v>
      </c>
      <c r="F1264" s="0" t="str">
        <f aca="false">IFERROR(SMALL(F367:F1087,ROW()-ROW($F$1090)+1),"")</f>
        <v/>
      </c>
      <c r="G1264" s="0" t="n">
        <f aca="false">IFERROR(SMALL(G367:G1087,ROW()-ROW($G$1090)+1),"")</f>
        <v>0</v>
      </c>
      <c r="H1264" s="0" t="n">
        <f aca="false">IFERROR(SMALL(H367:H1087,ROW()-ROW($H$1090)+1),"")</f>
        <v>0</v>
      </c>
      <c r="K1264" s="0" t="n">
        <f aca="false">IFERROR(SMALL(K367:K1087,ROW()-ROW($K$1090)+1),"")</f>
        <v>0</v>
      </c>
      <c r="L1264" s="0" t="str">
        <f aca="false">IFERROR(SMALL(L367:L1087,ROW()-ROW($L$1090)+1),"")</f>
        <v/>
      </c>
      <c r="M1264" s="0" t="n">
        <f aca="false">IFERROR(SMALL(M367:M1087,ROW()-ROW($M$1090)+1),"")</f>
        <v>0</v>
      </c>
      <c r="N1264" s="0" t="n">
        <f aca="false">IFERROR(SMALL(N367:N1087,ROW()-ROW($N$1090)+1),"")</f>
        <v>0</v>
      </c>
    </row>
    <row r="1265" customFormat="false" ht="15" hidden="false" customHeight="false" outlineLevel="0" collapsed="false">
      <c r="E1265" s="0" t="n">
        <f aca="false">IFERROR(SMALL(E367:E1087,ROW()-ROW($E$1090)+1),"")</f>
        <v>0</v>
      </c>
      <c r="F1265" s="0" t="str">
        <f aca="false">IFERROR(SMALL(F367:F1087,ROW()-ROW($F$1090)+1),"")</f>
        <v/>
      </c>
      <c r="G1265" s="0" t="n">
        <f aca="false">IFERROR(SMALL(G367:G1087,ROW()-ROW($G$1090)+1),"")</f>
        <v>0</v>
      </c>
      <c r="H1265" s="0" t="n">
        <f aca="false">IFERROR(SMALL(H367:H1087,ROW()-ROW($H$1090)+1),"")</f>
        <v>0</v>
      </c>
      <c r="K1265" s="0" t="n">
        <f aca="false">IFERROR(SMALL(K367:K1087,ROW()-ROW($K$1090)+1),"")</f>
        <v>0</v>
      </c>
      <c r="L1265" s="0" t="str">
        <f aca="false">IFERROR(SMALL(L367:L1087,ROW()-ROW($L$1090)+1),"")</f>
        <v/>
      </c>
      <c r="M1265" s="0" t="n">
        <f aca="false">IFERROR(SMALL(M367:M1087,ROW()-ROW($M$1090)+1),"")</f>
        <v>0</v>
      </c>
      <c r="N1265" s="0" t="n">
        <f aca="false">IFERROR(SMALL(N367:N1087,ROW()-ROW($N$1090)+1),"")</f>
        <v>0</v>
      </c>
    </row>
    <row r="1266" customFormat="false" ht="15" hidden="false" customHeight="false" outlineLevel="0" collapsed="false">
      <c r="E1266" s="0" t="n">
        <f aca="false">IFERROR(SMALL(E367:E1087,ROW()-ROW($E$1090)+1),"")</f>
        <v>0</v>
      </c>
      <c r="F1266" s="0" t="str">
        <f aca="false">IFERROR(SMALL(F367:F1087,ROW()-ROW($F$1090)+1),"")</f>
        <v/>
      </c>
      <c r="G1266" s="0" t="n">
        <f aca="false">IFERROR(SMALL(G367:G1087,ROW()-ROW($G$1090)+1),"")</f>
        <v>0</v>
      </c>
      <c r="H1266" s="0" t="n">
        <f aca="false">IFERROR(SMALL(H367:H1087,ROW()-ROW($H$1090)+1),"")</f>
        <v>0</v>
      </c>
      <c r="K1266" s="0" t="n">
        <f aca="false">IFERROR(SMALL(K367:K1087,ROW()-ROW($K$1090)+1),"")</f>
        <v>0</v>
      </c>
      <c r="L1266" s="0" t="str">
        <f aca="false">IFERROR(SMALL(L367:L1087,ROW()-ROW($L$1090)+1),"")</f>
        <v/>
      </c>
      <c r="M1266" s="0" t="n">
        <f aca="false">IFERROR(SMALL(M367:M1087,ROW()-ROW($M$1090)+1),"")</f>
        <v>0</v>
      </c>
      <c r="N1266" s="0" t="n">
        <f aca="false">IFERROR(SMALL(N367:N1087,ROW()-ROW($N$1090)+1),"")</f>
        <v>0</v>
      </c>
    </row>
    <row r="1267" customFormat="false" ht="15" hidden="false" customHeight="false" outlineLevel="0" collapsed="false">
      <c r="E1267" s="0" t="n">
        <f aca="false">IFERROR(SMALL(E367:E1087,ROW()-ROW($E$1090)+1),"")</f>
        <v>0</v>
      </c>
      <c r="F1267" s="0" t="str">
        <f aca="false">IFERROR(SMALL(F367:F1087,ROW()-ROW($F$1090)+1),"")</f>
        <v/>
      </c>
      <c r="G1267" s="0" t="n">
        <f aca="false">IFERROR(SMALL(G367:G1087,ROW()-ROW($G$1090)+1),"")</f>
        <v>0</v>
      </c>
      <c r="H1267" s="0" t="n">
        <f aca="false">IFERROR(SMALL(H367:H1087,ROW()-ROW($H$1090)+1),"")</f>
        <v>0</v>
      </c>
      <c r="K1267" s="0" t="n">
        <f aca="false">IFERROR(SMALL(K367:K1087,ROW()-ROW($K$1090)+1),"")</f>
        <v>0</v>
      </c>
      <c r="L1267" s="0" t="str">
        <f aca="false">IFERROR(SMALL(L367:L1087,ROW()-ROW($L$1090)+1),"")</f>
        <v/>
      </c>
      <c r="M1267" s="0" t="n">
        <f aca="false">IFERROR(SMALL(M367:M1087,ROW()-ROW($M$1090)+1),"")</f>
        <v>0</v>
      </c>
      <c r="N1267" s="0" t="n">
        <f aca="false">IFERROR(SMALL(N367:N1087,ROW()-ROW($N$1090)+1),"")</f>
        <v>0</v>
      </c>
    </row>
    <row r="1268" customFormat="false" ht="15" hidden="false" customHeight="false" outlineLevel="0" collapsed="false">
      <c r="E1268" s="0" t="n">
        <f aca="false">IFERROR(SMALL(E367:E1087,ROW()-ROW($E$1090)+1),"")</f>
        <v>0</v>
      </c>
      <c r="F1268" s="0" t="str">
        <f aca="false">IFERROR(SMALL(F367:F1087,ROW()-ROW($F$1090)+1),"")</f>
        <v/>
      </c>
      <c r="G1268" s="0" t="n">
        <f aca="false">IFERROR(SMALL(G367:G1087,ROW()-ROW($G$1090)+1),"")</f>
        <v>0</v>
      </c>
      <c r="H1268" s="0" t="n">
        <f aca="false">IFERROR(SMALL(H367:H1087,ROW()-ROW($H$1090)+1),"")</f>
        <v>0</v>
      </c>
      <c r="K1268" s="0" t="n">
        <f aca="false">IFERROR(SMALL(K367:K1087,ROW()-ROW($K$1090)+1),"")</f>
        <v>0</v>
      </c>
      <c r="L1268" s="0" t="str">
        <f aca="false">IFERROR(SMALL(L367:L1087,ROW()-ROW($L$1090)+1),"")</f>
        <v/>
      </c>
      <c r="M1268" s="0" t="n">
        <f aca="false">IFERROR(SMALL(M367:M1087,ROW()-ROW($M$1090)+1),"")</f>
        <v>0</v>
      </c>
      <c r="N1268" s="0" t="n">
        <f aca="false">IFERROR(SMALL(N367:N1087,ROW()-ROW($N$1090)+1),"")</f>
        <v>0</v>
      </c>
    </row>
    <row r="1269" customFormat="false" ht="15" hidden="false" customHeight="false" outlineLevel="0" collapsed="false">
      <c r="E1269" s="0" t="n">
        <f aca="false">IFERROR(SMALL(E367:E1087,ROW()-ROW($E$1090)+1),"")</f>
        <v>0</v>
      </c>
      <c r="F1269" s="0" t="str">
        <f aca="false">IFERROR(SMALL(F367:F1087,ROW()-ROW($F$1090)+1),"")</f>
        <v/>
      </c>
      <c r="G1269" s="0" t="n">
        <f aca="false">IFERROR(SMALL(G367:G1087,ROW()-ROW($G$1090)+1),"")</f>
        <v>0</v>
      </c>
      <c r="H1269" s="0" t="n">
        <f aca="false">IFERROR(SMALL(H367:H1087,ROW()-ROW($H$1090)+1),"")</f>
        <v>0</v>
      </c>
      <c r="K1269" s="0" t="n">
        <f aca="false">IFERROR(SMALL(K367:K1087,ROW()-ROW($K$1090)+1),"")</f>
        <v>0</v>
      </c>
      <c r="L1269" s="0" t="str">
        <f aca="false">IFERROR(SMALL(L367:L1087,ROW()-ROW($L$1090)+1),"")</f>
        <v/>
      </c>
      <c r="M1269" s="0" t="n">
        <f aca="false">IFERROR(SMALL(M367:M1087,ROW()-ROW($M$1090)+1),"")</f>
        <v>0</v>
      </c>
      <c r="N1269" s="0" t="n">
        <f aca="false">IFERROR(SMALL(N367:N1087,ROW()-ROW($N$1090)+1),"")</f>
        <v>0</v>
      </c>
    </row>
    <row r="1270" customFormat="false" ht="15" hidden="false" customHeight="false" outlineLevel="0" collapsed="false">
      <c r="E1270" s="0" t="n">
        <f aca="false">IFERROR(SMALL(E367:E1087,ROW()-ROW($E$1090)+1),"")</f>
        <v>0</v>
      </c>
      <c r="F1270" s="0" t="str">
        <f aca="false">IFERROR(SMALL(F367:F1087,ROW()-ROW($F$1090)+1),"")</f>
        <v/>
      </c>
      <c r="G1270" s="0" t="n">
        <f aca="false">IFERROR(SMALL(G367:G1087,ROW()-ROW($G$1090)+1),"")</f>
        <v>0</v>
      </c>
      <c r="H1270" s="0" t="n">
        <f aca="false">IFERROR(SMALL(H367:H1087,ROW()-ROW($H$1090)+1),"")</f>
        <v>0</v>
      </c>
      <c r="K1270" s="0" t="n">
        <f aca="false">IFERROR(SMALL(K367:K1087,ROW()-ROW($K$1090)+1),"")</f>
        <v>0</v>
      </c>
      <c r="L1270" s="0" t="str">
        <f aca="false">IFERROR(SMALL(L367:L1087,ROW()-ROW($L$1090)+1),"")</f>
        <v/>
      </c>
      <c r="M1270" s="0" t="n">
        <f aca="false">IFERROR(SMALL(M367:M1087,ROW()-ROW($M$1090)+1),"")</f>
        <v>0</v>
      </c>
      <c r="N1270" s="0" t="n">
        <f aca="false">IFERROR(SMALL(N367:N1087,ROW()-ROW($N$1090)+1),"")</f>
        <v>0</v>
      </c>
    </row>
    <row r="1271" customFormat="false" ht="15" hidden="false" customHeight="false" outlineLevel="0" collapsed="false">
      <c r="E1271" s="0" t="n">
        <f aca="false">IFERROR(SMALL(E367:E1087,ROW()-ROW($E$1090)+1),"")</f>
        <v>0</v>
      </c>
      <c r="F1271" s="0" t="str">
        <f aca="false">IFERROR(SMALL(F367:F1087,ROW()-ROW($F$1090)+1),"")</f>
        <v/>
      </c>
      <c r="G1271" s="0" t="n">
        <f aca="false">IFERROR(SMALL(G367:G1087,ROW()-ROW($G$1090)+1),"")</f>
        <v>0</v>
      </c>
      <c r="H1271" s="0" t="n">
        <f aca="false">IFERROR(SMALL(H367:H1087,ROW()-ROW($H$1090)+1),"")</f>
        <v>0</v>
      </c>
      <c r="K1271" s="0" t="n">
        <f aca="false">IFERROR(SMALL(K367:K1087,ROW()-ROW($K$1090)+1),"")</f>
        <v>0</v>
      </c>
      <c r="L1271" s="0" t="str">
        <f aca="false">IFERROR(SMALL(L367:L1087,ROW()-ROW($L$1090)+1),"")</f>
        <v/>
      </c>
      <c r="M1271" s="0" t="n">
        <f aca="false">IFERROR(SMALL(M367:M1087,ROW()-ROW($M$1090)+1),"")</f>
        <v>0</v>
      </c>
      <c r="N1271" s="0" t="n">
        <f aca="false">IFERROR(SMALL(N367:N1087,ROW()-ROW($N$1090)+1),"")</f>
        <v>0</v>
      </c>
    </row>
    <row r="1272" customFormat="false" ht="15" hidden="false" customHeight="false" outlineLevel="0" collapsed="false">
      <c r="E1272" s="0" t="n">
        <f aca="false">IFERROR(SMALL(E367:E1087,ROW()-ROW($E$1090)+1),"")</f>
        <v>0</v>
      </c>
      <c r="F1272" s="0" t="str">
        <f aca="false">IFERROR(SMALL(F367:F1087,ROW()-ROW($F$1090)+1),"")</f>
        <v/>
      </c>
      <c r="G1272" s="0" t="n">
        <f aca="false">IFERROR(SMALL(G367:G1087,ROW()-ROW($G$1090)+1),"")</f>
        <v>0</v>
      </c>
      <c r="H1272" s="0" t="n">
        <f aca="false">IFERROR(SMALL(H367:H1087,ROW()-ROW($H$1090)+1),"")</f>
        <v>0</v>
      </c>
      <c r="K1272" s="0" t="n">
        <f aca="false">IFERROR(SMALL(K367:K1087,ROW()-ROW($K$1090)+1),"")</f>
        <v>0</v>
      </c>
      <c r="L1272" s="0" t="str">
        <f aca="false">IFERROR(SMALL(L367:L1087,ROW()-ROW($L$1090)+1),"")</f>
        <v/>
      </c>
      <c r="M1272" s="0" t="n">
        <f aca="false">IFERROR(SMALL(M367:M1087,ROW()-ROW($M$1090)+1),"")</f>
        <v>0</v>
      </c>
      <c r="N1272" s="0" t="n">
        <f aca="false">IFERROR(SMALL(N367:N1087,ROW()-ROW($N$1090)+1),"")</f>
        <v>0</v>
      </c>
    </row>
    <row r="1273" customFormat="false" ht="15" hidden="false" customHeight="false" outlineLevel="0" collapsed="false">
      <c r="E1273" s="0" t="n">
        <f aca="false">IFERROR(SMALL(E367:E1087,ROW()-ROW($E$1090)+1),"")</f>
        <v>0</v>
      </c>
      <c r="F1273" s="0" t="str">
        <f aca="false">IFERROR(SMALL(F367:F1087,ROW()-ROW($F$1090)+1),"")</f>
        <v/>
      </c>
      <c r="G1273" s="0" t="n">
        <f aca="false">IFERROR(SMALL(G367:G1087,ROW()-ROW($G$1090)+1),"")</f>
        <v>0</v>
      </c>
      <c r="H1273" s="0" t="n">
        <f aca="false">IFERROR(SMALL(H367:H1087,ROW()-ROW($H$1090)+1),"")</f>
        <v>0</v>
      </c>
      <c r="K1273" s="0" t="n">
        <f aca="false">IFERROR(SMALL(K367:K1087,ROW()-ROW($K$1090)+1),"")</f>
        <v>0</v>
      </c>
      <c r="L1273" s="0" t="str">
        <f aca="false">IFERROR(SMALL(L367:L1087,ROW()-ROW($L$1090)+1),"")</f>
        <v/>
      </c>
      <c r="M1273" s="0" t="n">
        <f aca="false">IFERROR(SMALL(M367:M1087,ROW()-ROW($M$1090)+1),"")</f>
        <v>0</v>
      </c>
      <c r="N1273" s="0" t="n">
        <f aca="false">IFERROR(SMALL(N367:N1087,ROW()-ROW($N$1090)+1),"")</f>
        <v>0</v>
      </c>
    </row>
    <row r="1274" customFormat="false" ht="15" hidden="false" customHeight="false" outlineLevel="0" collapsed="false">
      <c r="E1274" s="0" t="n">
        <f aca="false">IFERROR(SMALL(E367:E1087,ROW()-ROW($E$1090)+1),"")</f>
        <v>0</v>
      </c>
      <c r="F1274" s="0" t="str">
        <f aca="false">IFERROR(SMALL(F367:F1087,ROW()-ROW($F$1090)+1),"")</f>
        <v/>
      </c>
      <c r="G1274" s="0" t="n">
        <f aca="false">IFERROR(SMALL(G367:G1087,ROW()-ROW($G$1090)+1),"")</f>
        <v>0</v>
      </c>
      <c r="H1274" s="0" t="n">
        <f aca="false">IFERROR(SMALL(H367:H1087,ROW()-ROW($H$1090)+1),"")</f>
        <v>0</v>
      </c>
      <c r="K1274" s="0" t="n">
        <f aca="false">IFERROR(SMALL(K367:K1087,ROW()-ROW($K$1090)+1),"")</f>
        <v>0</v>
      </c>
      <c r="L1274" s="0" t="str">
        <f aca="false">IFERROR(SMALL(L367:L1087,ROW()-ROW($L$1090)+1),"")</f>
        <v/>
      </c>
      <c r="M1274" s="0" t="n">
        <f aca="false">IFERROR(SMALL(M367:M1087,ROW()-ROW($M$1090)+1),"")</f>
        <v>0</v>
      </c>
      <c r="N1274" s="0" t="n">
        <f aca="false">IFERROR(SMALL(N367:N1087,ROW()-ROW($N$1090)+1),"")</f>
        <v>0</v>
      </c>
    </row>
    <row r="1275" customFormat="false" ht="15" hidden="false" customHeight="false" outlineLevel="0" collapsed="false">
      <c r="E1275" s="0" t="n">
        <f aca="false">IFERROR(SMALL(E367:E1087,ROW()-ROW($E$1090)+1),"")</f>
        <v>0</v>
      </c>
      <c r="F1275" s="0" t="str">
        <f aca="false">IFERROR(SMALL(F367:F1087,ROW()-ROW($F$1090)+1),"")</f>
        <v/>
      </c>
      <c r="G1275" s="0" t="n">
        <f aca="false">IFERROR(SMALL(G367:G1087,ROW()-ROW($G$1090)+1),"")</f>
        <v>0</v>
      </c>
      <c r="H1275" s="0" t="n">
        <f aca="false">IFERROR(SMALL(H367:H1087,ROW()-ROW($H$1090)+1),"")</f>
        <v>0</v>
      </c>
      <c r="K1275" s="0" t="n">
        <f aca="false">IFERROR(SMALL(K367:K1087,ROW()-ROW($K$1090)+1),"")</f>
        <v>0</v>
      </c>
      <c r="L1275" s="0" t="str">
        <f aca="false">IFERROR(SMALL(L367:L1087,ROW()-ROW($L$1090)+1),"")</f>
        <v/>
      </c>
      <c r="M1275" s="0" t="n">
        <f aca="false">IFERROR(SMALL(M367:M1087,ROW()-ROW($M$1090)+1),"")</f>
        <v>0</v>
      </c>
      <c r="N1275" s="0" t="n">
        <f aca="false">IFERROR(SMALL(N367:N1087,ROW()-ROW($N$1090)+1),"")</f>
        <v>0</v>
      </c>
    </row>
    <row r="1276" customFormat="false" ht="15" hidden="false" customHeight="false" outlineLevel="0" collapsed="false">
      <c r="E1276" s="0" t="n">
        <f aca="false">IFERROR(SMALL(E367:E1087,ROW()-ROW($E$1090)+1),"")</f>
        <v>0</v>
      </c>
      <c r="F1276" s="0" t="str">
        <f aca="false">IFERROR(SMALL(F367:F1087,ROW()-ROW($F$1090)+1),"")</f>
        <v/>
      </c>
      <c r="G1276" s="0" t="n">
        <f aca="false">IFERROR(SMALL(G367:G1087,ROW()-ROW($G$1090)+1),"")</f>
        <v>0</v>
      </c>
      <c r="H1276" s="0" t="n">
        <f aca="false">IFERROR(SMALL(H367:H1087,ROW()-ROW($H$1090)+1),"")</f>
        <v>0</v>
      </c>
      <c r="K1276" s="0" t="n">
        <f aca="false">IFERROR(SMALL(K367:K1087,ROW()-ROW($K$1090)+1),"")</f>
        <v>0</v>
      </c>
      <c r="L1276" s="0" t="str">
        <f aca="false">IFERROR(SMALL(L367:L1087,ROW()-ROW($L$1090)+1),"")</f>
        <v/>
      </c>
      <c r="M1276" s="0" t="n">
        <f aca="false">IFERROR(SMALL(M367:M1087,ROW()-ROW($M$1090)+1),"")</f>
        <v>0</v>
      </c>
      <c r="N1276" s="0" t="n">
        <f aca="false">IFERROR(SMALL(N367:N1087,ROW()-ROW($N$1090)+1),"")</f>
        <v>0</v>
      </c>
    </row>
    <row r="1277" customFormat="false" ht="15" hidden="false" customHeight="false" outlineLevel="0" collapsed="false">
      <c r="E1277" s="0" t="n">
        <f aca="false">IFERROR(SMALL(E367:E1087,ROW()-ROW($E$1090)+1),"")</f>
        <v>0</v>
      </c>
      <c r="F1277" s="0" t="str">
        <f aca="false">IFERROR(SMALL(F367:F1087,ROW()-ROW($F$1090)+1),"")</f>
        <v/>
      </c>
      <c r="G1277" s="0" t="n">
        <f aca="false">IFERROR(SMALL(G367:G1087,ROW()-ROW($G$1090)+1),"")</f>
        <v>0</v>
      </c>
      <c r="H1277" s="0" t="n">
        <f aca="false">IFERROR(SMALL(H367:H1087,ROW()-ROW($H$1090)+1),"")</f>
        <v>0</v>
      </c>
      <c r="K1277" s="0" t="n">
        <f aca="false">IFERROR(SMALL(K367:K1087,ROW()-ROW($K$1090)+1),"")</f>
        <v>0</v>
      </c>
      <c r="L1277" s="0" t="str">
        <f aca="false">IFERROR(SMALL(L367:L1087,ROW()-ROW($L$1090)+1),"")</f>
        <v/>
      </c>
      <c r="M1277" s="0" t="n">
        <f aca="false">IFERROR(SMALL(M367:M1087,ROW()-ROW($M$1090)+1),"")</f>
        <v>0</v>
      </c>
      <c r="N1277" s="0" t="n">
        <f aca="false">IFERROR(SMALL(N367:N1087,ROW()-ROW($N$1090)+1),"")</f>
        <v>0</v>
      </c>
    </row>
    <row r="1278" customFormat="false" ht="15" hidden="false" customHeight="false" outlineLevel="0" collapsed="false">
      <c r="E1278" s="0" t="n">
        <f aca="false">IFERROR(SMALL(E367:E1087,ROW()-ROW($E$1090)+1),"")</f>
        <v>0</v>
      </c>
      <c r="F1278" s="0" t="str">
        <f aca="false">IFERROR(SMALL(F367:F1087,ROW()-ROW($F$1090)+1),"")</f>
        <v/>
      </c>
      <c r="G1278" s="0" t="n">
        <f aca="false">IFERROR(SMALL(G367:G1087,ROW()-ROW($G$1090)+1),"")</f>
        <v>0</v>
      </c>
      <c r="H1278" s="0" t="n">
        <f aca="false">IFERROR(SMALL(H367:H1087,ROW()-ROW($H$1090)+1),"")</f>
        <v>0</v>
      </c>
      <c r="K1278" s="0" t="n">
        <f aca="false">IFERROR(SMALL(K367:K1087,ROW()-ROW($K$1090)+1),"")</f>
        <v>0</v>
      </c>
      <c r="L1278" s="0" t="str">
        <f aca="false">IFERROR(SMALL(L367:L1087,ROW()-ROW($L$1090)+1),"")</f>
        <v/>
      </c>
      <c r="M1278" s="0" t="n">
        <f aca="false">IFERROR(SMALL(M367:M1087,ROW()-ROW($M$1090)+1),"")</f>
        <v>0</v>
      </c>
      <c r="N1278" s="0" t="n">
        <f aca="false">IFERROR(SMALL(N367:N1087,ROW()-ROW($N$1090)+1),"")</f>
        <v>0</v>
      </c>
    </row>
    <row r="1279" customFormat="false" ht="15" hidden="false" customHeight="false" outlineLevel="0" collapsed="false">
      <c r="E1279" s="0" t="n">
        <f aca="false">IFERROR(SMALL(E367:E1087,ROW()-ROW($E$1090)+1),"")</f>
        <v>0</v>
      </c>
      <c r="F1279" s="0" t="str">
        <f aca="false">IFERROR(SMALL(F367:F1087,ROW()-ROW($F$1090)+1),"")</f>
        <v/>
      </c>
      <c r="G1279" s="0" t="n">
        <f aca="false">IFERROR(SMALL(G367:G1087,ROW()-ROW($G$1090)+1),"")</f>
        <v>0</v>
      </c>
      <c r="H1279" s="0" t="n">
        <f aca="false">IFERROR(SMALL(H367:H1087,ROW()-ROW($H$1090)+1),"")</f>
        <v>0</v>
      </c>
      <c r="K1279" s="0" t="n">
        <f aca="false">IFERROR(SMALL(K367:K1087,ROW()-ROW($K$1090)+1),"")</f>
        <v>0</v>
      </c>
      <c r="L1279" s="0" t="str">
        <f aca="false">IFERROR(SMALL(L367:L1087,ROW()-ROW($L$1090)+1),"")</f>
        <v/>
      </c>
      <c r="M1279" s="0" t="n">
        <f aca="false">IFERROR(SMALL(M367:M1087,ROW()-ROW($M$1090)+1),"")</f>
        <v>0</v>
      </c>
      <c r="N1279" s="0" t="n">
        <f aca="false">IFERROR(SMALL(N367:N1087,ROW()-ROW($N$1090)+1),"")</f>
        <v>0</v>
      </c>
    </row>
    <row r="1280" customFormat="false" ht="15" hidden="false" customHeight="false" outlineLevel="0" collapsed="false">
      <c r="E1280" s="0" t="n">
        <f aca="false">IFERROR(SMALL(E367:E1087,ROW()-ROW($E$1090)+1),"")</f>
        <v>0</v>
      </c>
      <c r="F1280" s="0" t="str">
        <f aca="false">IFERROR(SMALL(F367:F1087,ROW()-ROW($F$1090)+1),"")</f>
        <v/>
      </c>
      <c r="G1280" s="0" t="n">
        <f aca="false">IFERROR(SMALL(G367:G1087,ROW()-ROW($G$1090)+1),"")</f>
        <v>0</v>
      </c>
      <c r="H1280" s="0" t="n">
        <f aca="false">IFERROR(SMALL(H367:H1087,ROW()-ROW($H$1090)+1),"")</f>
        <v>0</v>
      </c>
      <c r="K1280" s="0" t="n">
        <f aca="false">IFERROR(SMALL(K367:K1087,ROW()-ROW($K$1090)+1),"")</f>
        <v>0</v>
      </c>
      <c r="L1280" s="0" t="str">
        <f aca="false">IFERROR(SMALL(L367:L1087,ROW()-ROW($L$1090)+1),"")</f>
        <v/>
      </c>
      <c r="M1280" s="0" t="n">
        <f aca="false">IFERROR(SMALL(M367:M1087,ROW()-ROW($M$1090)+1),"")</f>
        <v>0</v>
      </c>
      <c r="N1280" s="0" t="n">
        <f aca="false">IFERROR(SMALL(N367:N1087,ROW()-ROW($N$1090)+1),"")</f>
        <v>0</v>
      </c>
    </row>
    <row r="1281" customFormat="false" ht="15" hidden="false" customHeight="false" outlineLevel="0" collapsed="false">
      <c r="E1281" s="0" t="n">
        <f aca="false">IFERROR(SMALL(E367:E1087,ROW()-ROW($E$1090)+1),"")</f>
        <v>0</v>
      </c>
      <c r="F1281" s="0" t="str">
        <f aca="false">IFERROR(SMALL(F367:F1087,ROW()-ROW($F$1090)+1),"")</f>
        <v/>
      </c>
      <c r="G1281" s="0" t="n">
        <f aca="false">IFERROR(SMALL(G367:G1087,ROW()-ROW($G$1090)+1),"")</f>
        <v>0</v>
      </c>
      <c r="H1281" s="0" t="n">
        <f aca="false">IFERROR(SMALL(H367:H1087,ROW()-ROW($H$1090)+1),"")</f>
        <v>0</v>
      </c>
      <c r="K1281" s="0" t="n">
        <f aca="false">IFERROR(SMALL(K367:K1087,ROW()-ROW($K$1090)+1),"")</f>
        <v>0</v>
      </c>
      <c r="L1281" s="0" t="str">
        <f aca="false">IFERROR(SMALL(L367:L1087,ROW()-ROW($L$1090)+1),"")</f>
        <v/>
      </c>
      <c r="M1281" s="0" t="n">
        <f aca="false">IFERROR(SMALL(M367:M1087,ROW()-ROW($M$1090)+1),"")</f>
        <v>0</v>
      </c>
      <c r="N1281" s="0" t="n">
        <f aca="false">IFERROR(SMALL(N367:N1087,ROW()-ROW($N$1090)+1),"")</f>
        <v>0</v>
      </c>
    </row>
    <row r="1282" customFormat="false" ht="15" hidden="false" customHeight="false" outlineLevel="0" collapsed="false">
      <c r="E1282" s="0" t="n">
        <f aca="false">IFERROR(SMALL(E367:E1087,ROW()-ROW($E$1090)+1),"")</f>
        <v>0</v>
      </c>
      <c r="F1282" s="0" t="str">
        <f aca="false">IFERROR(SMALL(F367:F1087,ROW()-ROW($F$1090)+1),"")</f>
        <v/>
      </c>
      <c r="G1282" s="0" t="n">
        <f aca="false">IFERROR(SMALL(G367:G1087,ROW()-ROW($G$1090)+1),"")</f>
        <v>0</v>
      </c>
      <c r="H1282" s="0" t="n">
        <f aca="false">IFERROR(SMALL(H367:H1087,ROW()-ROW($H$1090)+1),"")</f>
        <v>0</v>
      </c>
      <c r="K1282" s="0" t="n">
        <f aca="false">IFERROR(SMALL(K367:K1087,ROW()-ROW($K$1090)+1),"")</f>
        <v>0</v>
      </c>
      <c r="L1282" s="0" t="str">
        <f aca="false">IFERROR(SMALL(L367:L1087,ROW()-ROW($L$1090)+1),"")</f>
        <v/>
      </c>
      <c r="M1282" s="0" t="n">
        <f aca="false">IFERROR(SMALL(M367:M1087,ROW()-ROW($M$1090)+1),"")</f>
        <v>0</v>
      </c>
      <c r="N1282" s="0" t="n">
        <f aca="false">IFERROR(SMALL(N367:N1087,ROW()-ROW($N$1090)+1),"")</f>
        <v>0</v>
      </c>
    </row>
    <row r="1283" customFormat="false" ht="15" hidden="false" customHeight="false" outlineLevel="0" collapsed="false">
      <c r="E1283" s="0" t="n">
        <f aca="false">IFERROR(SMALL(E367:E1087,ROW()-ROW($E$1090)+1),"")</f>
        <v>0</v>
      </c>
      <c r="F1283" s="0" t="str">
        <f aca="false">IFERROR(SMALL(F367:F1087,ROW()-ROW($F$1090)+1),"")</f>
        <v/>
      </c>
      <c r="G1283" s="0" t="n">
        <f aca="false">IFERROR(SMALL(G367:G1087,ROW()-ROW($G$1090)+1),"")</f>
        <v>0</v>
      </c>
      <c r="H1283" s="0" t="n">
        <f aca="false">IFERROR(SMALL(H367:H1087,ROW()-ROW($H$1090)+1),"")</f>
        <v>0</v>
      </c>
      <c r="K1283" s="0" t="n">
        <f aca="false">IFERROR(SMALL(K367:K1087,ROW()-ROW($K$1090)+1),"")</f>
        <v>0</v>
      </c>
      <c r="L1283" s="0" t="str">
        <f aca="false">IFERROR(SMALL(L367:L1087,ROW()-ROW($L$1090)+1),"")</f>
        <v/>
      </c>
      <c r="M1283" s="0" t="n">
        <f aca="false">IFERROR(SMALL(M367:M1087,ROW()-ROW($M$1090)+1),"")</f>
        <v>0</v>
      </c>
      <c r="N1283" s="0" t="n">
        <f aca="false">IFERROR(SMALL(N367:N1087,ROW()-ROW($N$1090)+1),"")</f>
        <v>0</v>
      </c>
    </row>
    <row r="1284" customFormat="false" ht="15" hidden="false" customHeight="false" outlineLevel="0" collapsed="false">
      <c r="E1284" s="0" t="n">
        <f aca="false">IFERROR(SMALL(E367:E1087,ROW()-ROW($E$1090)+1),"")</f>
        <v>0</v>
      </c>
      <c r="F1284" s="0" t="str">
        <f aca="false">IFERROR(SMALL(F367:F1087,ROW()-ROW($F$1090)+1),"")</f>
        <v/>
      </c>
      <c r="G1284" s="0" t="n">
        <f aca="false">IFERROR(SMALL(G367:G1087,ROW()-ROW($G$1090)+1),"")</f>
        <v>0</v>
      </c>
      <c r="H1284" s="0" t="n">
        <f aca="false">IFERROR(SMALL(H367:H1087,ROW()-ROW($H$1090)+1),"")</f>
        <v>0</v>
      </c>
      <c r="K1284" s="0" t="n">
        <f aca="false">IFERROR(SMALL(K367:K1087,ROW()-ROW($K$1090)+1),"")</f>
        <v>0</v>
      </c>
      <c r="L1284" s="0" t="str">
        <f aca="false">IFERROR(SMALL(L367:L1087,ROW()-ROW($L$1090)+1),"")</f>
        <v/>
      </c>
      <c r="M1284" s="0" t="n">
        <f aca="false">IFERROR(SMALL(M367:M1087,ROW()-ROW($M$1090)+1),"")</f>
        <v>0</v>
      </c>
      <c r="N1284" s="0" t="n">
        <f aca="false">IFERROR(SMALL(N367:N1087,ROW()-ROW($N$1090)+1),"")</f>
        <v>0</v>
      </c>
    </row>
    <row r="1285" customFormat="false" ht="15" hidden="false" customHeight="false" outlineLevel="0" collapsed="false">
      <c r="E1285" s="0" t="n">
        <f aca="false">IFERROR(SMALL(E367:E1087,ROW()-ROW($E$1090)+1),"")</f>
        <v>0</v>
      </c>
      <c r="F1285" s="0" t="str">
        <f aca="false">IFERROR(SMALL(F367:F1087,ROW()-ROW($F$1090)+1),"")</f>
        <v/>
      </c>
      <c r="G1285" s="0" t="n">
        <f aca="false">IFERROR(SMALL(G367:G1087,ROW()-ROW($G$1090)+1),"")</f>
        <v>0</v>
      </c>
      <c r="H1285" s="0" t="n">
        <f aca="false">IFERROR(SMALL(H367:H1087,ROW()-ROW($H$1090)+1),"")</f>
        <v>0</v>
      </c>
      <c r="K1285" s="0" t="n">
        <f aca="false">IFERROR(SMALL(K367:K1087,ROW()-ROW($K$1090)+1),"")</f>
        <v>0</v>
      </c>
      <c r="L1285" s="0" t="str">
        <f aca="false">IFERROR(SMALL(L367:L1087,ROW()-ROW($L$1090)+1),"")</f>
        <v/>
      </c>
      <c r="M1285" s="0" t="n">
        <f aca="false">IFERROR(SMALL(M367:M1087,ROW()-ROW($M$1090)+1),"")</f>
        <v>0</v>
      </c>
      <c r="N1285" s="0" t="n">
        <f aca="false">IFERROR(SMALL(N367:N1087,ROW()-ROW($N$1090)+1),"")</f>
        <v>0</v>
      </c>
    </row>
    <row r="1286" customFormat="false" ht="15" hidden="false" customHeight="false" outlineLevel="0" collapsed="false">
      <c r="E1286" s="0" t="n">
        <f aca="false">IFERROR(SMALL(E367:E1087,ROW()-ROW($E$1090)+1),"")</f>
        <v>0</v>
      </c>
      <c r="F1286" s="0" t="str">
        <f aca="false">IFERROR(SMALL(F367:F1087,ROW()-ROW($F$1090)+1),"")</f>
        <v/>
      </c>
      <c r="G1286" s="0" t="n">
        <f aca="false">IFERROR(SMALL(G367:G1087,ROW()-ROW($G$1090)+1),"")</f>
        <v>0</v>
      </c>
      <c r="H1286" s="0" t="n">
        <f aca="false">IFERROR(SMALL(H367:H1087,ROW()-ROW($H$1090)+1),"")</f>
        <v>0</v>
      </c>
      <c r="K1286" s="0" t="n">
        <f aca="false">IFERROR(SMALL(K367:K1087,ROW()-ROW($K$1090)+1),"")</f>
        <v>0</v>
      </c>
      <c r="L1286" s="0" t="str">
        <f aca="false">IFERROR(SMALL(L367:L1087,ROW()-ROW($L$1090)+1),"")</f>
        <v/>
      </c>
      <c r="M1286" s="0" t="n">
        <f aca="false">IFERROR(SMALL(M367:M1087,ROW()-ROW($M$1090)+1),"")</f>
        <v>0</v>
      </c>
      <c r="N1286" s="0" t="n">
        <f aca="false">IFERROR(SMALL(N367:N1087,ROW()-ROW($N$1090)+1),"")</f>
        <v>0</v>
      </c>
    </row>
    <row r="1287" customFormat="false" ht="15" hidden="false" customHeight="false" outlineLevel="0" collapsed="false">
      <c r="E1287" s="0" t="n">
        <f aca="false">IFERROR(SMALL(E367:E1087,ROW()-ROW($E$1090)+1),"")</f>
        <v>0</v>
      </c>
      <c r="F1287" s="0" t="str">
        <f aca="false">IFERROR(SMALL(F367:F1087,ROW()-ROW($F$1090)+1),"")</f>
        <v/>
      </c>
      <c r="G1287" s="0" t="n">
        <f aca="false">IFERROR(SMALL(G367:G1087,ROW()-ROW($G$1090)+1),"")</f>
        <v>0</v>
      </c>
      <c r="H1287" s="0" t="n">
        <f aca="false">IFERROR(SMALL(H367:H1087,ROW()-ROW($H$1090)+1),"")</f>
        <v>0</v>
      </c>
      <c r="K1287" s="0" t="n">
        <f aca="false">IFERROR(SMALL(K367:K1087,ROW()-ROW($K$1090)+1),"")</f>
        <v>0</v>
      </c>
      <c r="L1287" s="0" t="str">
        <f aca="false">IFERROR(SMALL(L367:L1087,ROW()-ROW($L$1090)+1),"")</f>
        <v/>
      </c>
      <c r="M1287" s="0" t="n">
        <f aca="false">IFERROR(SMALL(M367:M1087,ROW()-ROW($M$1090)+1),"")</f>
        <v>0</v>
      </c>
      <c r="N1287" s="0" t="n">
        <f aca="false">IFERROR(SMALL(N367:N1087,ROW()-ROW($N$1090)+1),"")</f>
        <v>0</v>
      </c>
    </row>
    <row r="1288" customFormat="false" ht="15" hidden="false" customHeight="false" outlineLevel="0" collapsed="false">
      <c r="E1288" s="0" t="n">
        <f aca="false">IFERROR(SMALL(E367:E1087,ROW()-ROW($E$1090)+1),"")</f>
        <v>0</v>
      </c>
      <c r="F1288" s="0" t="str">
        <f aca="false">IFERROR(SMALL(F367:F1087,ROW()-ROW($F$1090)+1),"")</f>
        <v/>
      </c>
      <c r="G1288" s="0" t="n">
        <f aca="false">IFERROR(SMALL(G367:G1087,ROW()-ROW($G$1090)+1),"")</f>
        <v>0</v>
      </c>
      <c r="H1288" s="0" t="n">
        <f aca="false">IFERROR(SMALL(H367:H1087,ROW()-ROW($H$1090)+1),"")</f>
        <v>0</v>
      </c>
      <c r="K1288" s="0" t="n">
        <f aca="false">IFERROR(SMALL(K367:K1087,ROW()-ROW($K$1090)+1),"")</f>
        <v>0</v>
      </c>
      <c r="L1288" s="0" t="str">
        <f aca="false">IFERROR(SMALL(L367:L1087,ROW()-ROW($L$1090)+1),"")</f>
        <v/>
      </c>
      <c r="M1288" s="0" t="n">
        <f aca="false">IFERROR(SMALL(M367:M1087,ROW()-ROW($M$1090)+1),"")</f>
        <v>0</v>
      </c>
      <c r="N1288" s="0" t="n">
        <f aca="false">IFERROR(SMALL(N367:N1087,ROW()-ROW($N$1090)+1),"")</f>
        <v>0</v>
      </c>
    </row>
    <row r="1289" customFormat="false" ht="15" hidden="false" customHeight="false" outlineLevel="0" collapsed="false">
      <c r="E1289" s="0" t="n">
        <f aca="false">IFERROR(SMALL(E367:E1087,ROW()-ROW($E$1090)+1),"")</f>
        <v>0</v>
      </c>
      <c r="F1289" s="0" t="str">
        <f aca="false">IFERROR(SMALL(F367:F1087,ROW()-ROW($F$1090)+1),"")</f>
        <v/>
      </c>
      <c r="G1289" s="0" t="n">
        <f aca="false">IFERROR(SMALL(G367:G1087,ROW()-ROW($G$1090)+1),"")</f>
        <v>0</v>
      </c>
      <c r="H1289" s="0" t="n">
        <f aca="false">IFERROR(SMALL(H367:H1087,ROW()-ROW($H$1090)+1),"")</f>
        <v>0</v>
      </c>
      <c r="K1289" s="0" t="n">
        <f aca="false">IFERROR(SMALL(K367:K1087,ROW()-ROW($K$1090)+1),"")</f>
        <v>0</v>
      </c>
      <c r="L1289" s="0" t="str">
        <f aca="false">IFERROR(SMALL(L367:L1087,ROW()-ROW($L$1090)+1),"")</f>
        <v/>
      </c>
      <c r="M1289" s="0" t="n">
        <f aca="false">IFERROR(SMALL(M367:M1087,ROW()-ROW($M$1090)+1),"")</f>
        <v>0</v>
      </c>
      <c r="N1289" s="0" t="n">
        <f aca="false">IFERROR(SMALL(N367:N1087,ROW()-ROW($N$1090)+1),"")</f>
        <v>0</v>
      </c>
    </row>
    <row r="1290" customFormat="false" ht="15" hidden="false" customHeight="false" outlineLevel="0" collapsed="false">
      <c r="E1290" s="0" t="n">
        <f aca="false">IFERROR(SMALL(E367:E1087,ROW()-ROW($E$1090)+1),"")</f>
        <v>0</v>
      </c>
      <c r="F1290" s="0" t="str">
        <f aca="false">IFERROR(SMALL(F367:F1087,ROW()-ROW($F$1090)+1),"")</f>
        <v/>
      </c>
      <c r="G1290" s="0" t="n">
        <f aca="false">IFERROR(SMALL(G367:G1087,ROW()-ROW($G$1090)+1),"")</f>
        <v>0</v>
      </c>
      <c r="H1290" s="0" t="n">
        <f aca="false">IFERROR(SMALL(H367:H1087,ROW()-ROW($H$1090)+1),"")</f>
        <v>0</v>
      </c>
      <c r="K1290" s="0" t="n">
        <f aca="false">IFERROR(SMALL(K367:K1087,ROW()-ROW($K$1090)+1),"")</f>
        <v>0</v>
      </c>
      <c r="L1290" s="0" t="str">
        <f aca="false">IFERROR(SMALL(L367:L1087,ROW()-ROW($L$1090)+1),"")</f>
        <v/>
      </c>
      <c r="M1290" s="0" t="n">
        <f aca="false">IFERROR(SMALL(M367:M1087,ROW()-ROW($M$1090)+1),"")</f>
        <v>0</v>
      </c>
      <c r="N1290" s="0" t="n">
        <f aca="false">IFERROR(SMALL(N367:N1087,ROW()-ROW($N$1090)+1),"")</f>
        <v>0</v>
      </c>
    </row>
    <row r="1291" customFormat="false" ht="15" hidden="false" customHeight="false" outlineLevel="0" collapsed="false">
      <c r="E1291" s="0" t="n">
        <f aca="false">IFERROR(SMALL(E367:E1087,ROW()-ROW($E$1090)+1),"")</f>
        <v>0</v>
      </c>
      <c r="F1291" s="0" t="str">
        <f aca="false">IFERROR(SMALL(F367:F1087,ROW()-ROW($F$1090)+1),"")</f>
        <v/>
      </c>
      <c r="G1291" s="0" t="n">
        <f aca="false">IFERROR(SMALL(G367:G1087,ROW()-ROW($G$1090)+1),"")</f>
        <v>0</v>
      </c>
      <c r="H1291" s="0" t="n">
        <f aca="false">IFERROR(SMALL(H367:H1087,ROW()-ROW($H$1090)+1),"")</f>
        <v>0</v>
      </c>
      <c r="K1291" s="0" t="n">
        <f aca="false">IFERROR(SMALL(K367:K1087,ROW()-ROW($K$1090)+1),"")</f>
        <v>0</v>
      </c>
      <c r="L1291" s="0" t="str">
        <f aca="false">IFERROR(SMALL(L367:L1087,ROW()-ROW($L$1090)+1),"")</f>
        <v/>
      </c>
      <c r="M1291" s="0" t="n">
        <f aca="false">IFERROR(SMALL(M367:M1087,ROW()-ROW($M$1090)+1),"")</f>
        <v>0</v>
      </c>
      <c r="N1291" s="0" t="n">
        <f aca="false">IFERROR(SMALL(N367:N1087,ROW()-ROW($N$1090)+1),"")</f>
        <v>0</v>
      </c>
    </row>
    <row r="1292" customFormat="false" ht="15" hidden="false" customHeight="false" outlineLevel="0" collapsed="false">
      <c r="E1292" s="0" t="n">
        <f aca="false">IFERROR(SMALL(E367:E1087,ROW()-ROW($E$1090)+1),"")</f>
        <v>0</v>
      </c>
      <c r="F1292" s="0" t="str">
        <f aca="false">IFERROR(SMALL(F367:F1087,ROW()-ROW($F$1090)+1),"")</f>
        <v/>
      </c>
      <c r="G1292" s="0" t="n">
        <f aca="false">IFERROR(SMALL(G367:G1087,ROW()-ROW($G$1090)+1),"")</f>
        <v>0</v>
      </c>
      <c r="H1292" s="0" t="n">
        <f aca="false">IFERROR(SMALL(H367:H1087,ROW()-ROW($H$1090)+1),"")</f>
        <v>0</v>
      </c>
      <c r="K1292" s="0" t="n">
        <f aca="false">IFERROR(SMALL(K367:K1087,ROW()-ROW($K$1090)+1),"")</f>
        <v>0</v>
      </c>
      <c r="L1292" s="0" t="str">
        <f aca="false">IFERROR(SMALL(L367:L1087,ROW()-ROW($L$1090)+1),"")</f>
        <v/>
      </c>
      <c r="M1292" s="0" t="n">
        <f aca="false">IFERROR(SMALL(M367:M1087,ROW()-ROW($M$1090)+1),"")</f>
        <v>0</v>
      </c>
      <c r="N1292" s="0" t="n">
        <f aca="false">IFERROR(SMALL(N367:N1087,ROW()-ROW($N$1090)+1),"")</f>
        <v>0</v>
      </c>
    </row>
    <row r="1293" customFormat="false" ht="15" hidden="false" customHeight="false" outlineLevel="0" collapsed="false">
      <c r="E1293" s="0" t="n">
        <f aca="false">IFERROR(SMALL(E367:E1087,ROW()-ROW($E$1090)+1),"")</f>
        <v>0</v>
      </c>
      <c r="F1293" s="0" t="str">
        <f aca="false">IFERROR(SMALL(F367:F1087,ROW()-ROW($F$1090)+1),"")</f>
        <v/>
      </c>
      <c r="G1293" s="0" t="n">
        <f aca="false">IFERROR(SMALL(G367:G1087,ROW()-ROW($G$1090)+1),"")</f>
        <v>0</v>
      </c>
      <c r="H1293" s="0" t="n">
        <f aca="false">IFERROR(SMALL(H367:H1087,ROW()-ROW($H$1090)+1),"")</f>
        <v>0</v>
      </c>
      <c r="K1293" s="0" t="n">
        <f aca="false">IFERROR(SMALL(K367:K1087,ROW()-ROW($K$1090)+1),"")</f>
        <v>0</v>
      </c>
      <c r="L1293" s="0" t="str">
        <f aca="false">IFERROR(SMALL(L367:L1087,ROW()-ROW($L$1090)+1),"")</f>
        <v/>
      </c>
      <c r="M1293" s="0" t="n">
        <f aca="false">IFERROR(SMALL(M367:M1087,ROW()-ROW($M$1090)+1),"")</f>
        <v>0</v>
      </c>
      <c r="N1293" s="0" t="n">
        <f aca="false">IFERROR(SMALL(N367:N1087,ROW()-ROW($N$1090)+1),"")</f>
        <v>0</v>
      </c>
    </row>
    <row r="1294" customFormat="false" ht="15" hidden="false" customHeight="false" outlineLevel="0" collapsed="false">
      <c r="E1294" s="0" t="n">
        <f aca="false">IFERROR(SMALL(E367:E1087,ROW()-ROW($E$1090)+1),"")</f>
        <v>0</v>
      </c>
      <c r="F1294" s="0" t="str">
        <f aca="false">IFERROR(SMALL(F367:F1087,ROW()-ROW($F$1090)+1),"")</f>
        <v/>
      </c>
      <c r="G1294" s="0" t="n">
        <f aca="false">IFERROR(SMALL(G367:G1087,ROW()-ROW($G$1090)+1),"")</f>
        <v>0</v>
      </c>
      <c r="H1294" s="0" t="n">
        <f aca="false">IFERROR(SMALL(H367:H1087,ROW()-ROW($H$1090)+1),"")</f>
        <v>0</v>
      </c>
      <c r="K1294" s="0" t="n">
        <f aca="false">IFERROR(SMALL(K367:K1087,ROW()-ROW($K$1090)+1),"")</f>
        <v>0</v>
      </c>
      <c r="L1294" s="0" t="str">
        <f aca="false">IFERROR(SMALL(L367:L1087,ROW()-ROW($L$1090)+1),"")</f>
        <v/>
      </c>
      <c r="M1294" s="0" t="n">
        <f aca="false">IFERROR(SMALL(M367:M1087,ROW()-ROW($M$1090)+1),"")</f>
        <v>0</v>
      </c>
      <c r="N1294" s="0" t="n">
        <f aca="false">IFERROR(SMALL(N367:N1087,ROW()-ROW($N$1090)+1),"")</f>
        <v>0</v>
      </c>
    </row>
    <row r="1295" customFormat="false" ht="15" hidden="false" customHeight="false" outlineLevel="0" collapsed="false">
      <c r="E1295" s="0" t="n">
        <f aca="false">IFERROR(SMALL(E367:E1087,ROW()-ROW($E$1090)+1),"")</f>
        <v>0</v>
      </c>
      <c r="F1295" s="0" t="str">
        <f aca="false">IFERROR(SMALL(F367:F1087,ROW()-ROW($F$1090)+1),"")</f>
        <v/>
      </c>
      <c r="G1295" s="0" t="n">
        <f aca="false">IFERROR(SMALL(G367:G1087,ROW()-ROW($G$1090)+1),"")</f>
        <v>0</v>
      </c>
      <c r="H1295" s="0" t="n">
        <f aca="false">IFERROR(SMALL(H367:H1087,ROW()-ROW($H$1090)+1),"")</f>
        <v>0</v>
      </c>
      <c r="K1295" s="0" t="n">
        <f aca="false">IFERROR(SMALL(K367:K1087,ROW()-ROW($K$1090)+1),"")</f>
        <v>0</v>
      </c>
      <c r="L1295" s="0" t="str">
        <f aca="false">IFERROR(SMALL(L367:L1087,ROW()-ROW($L$1090)+1),"")</f>
        <v/>
      </c>
      <c r="M1295" s="0" t="n">
        <f aca="false">IFERROR(SMALL(M367:M1087,ROW()-ROW($M$1090)+1),"")</f>
        <v>0</v>
      </c>
      <c r="N1295" s="0" t="n">
        <f aca="false">IFERROR(SMALL(N367:N1087,ROW()-ROW($N$1090)+1),"")</f>
        <v>0</v>
      </c>
    </row>
    <row r="1296" customFormat="false" ht="15" hidden="false" customHeight="false" outlineLevel="0" collapsed="false">
      <c r="E1296" s="0" t="n">
        <f aca="false">IFERROR(SMALL(E367:E1087,ROW()-ROW($E$1090)+1),"")</f>
        <v>0</v>
      </c>
      <c r="F1296" s="0" t="str">
        <f aca="false">IFERROR(SMALL(F367:F1087,ROW()-ROW($F$1090)+1),"")</f>
        <v/>
      </c>
      <c r="G1296" s="0" t="n">
        <f aca="false">IFERROR(SMALL(G367:G1087,ROW()-ROW($G$1090)+1),"")</f>
        <v>0</v>
      </c>
      <c r="H1296" s="0" t="n">
        <f aca="false">IFERROR(SMALL(H367:H1087,ROW()-ROW($H$1090)+1),"")</f>
        <v>0</v>
      </c>
      <c r="K1296" s="0" t="n">
        <f aca="false">IFERROR(SMALL(K367:K1087,ROW()-ROW($K$1090)+1),"")</f>
        <v>0</v>
      </c>
      <c r="L1296" s="0" t="str">
        <f aca="false">IFERROR(SMALL(L367:L1087,ROW()-ROW($L$1090)+1),"")</f>
        <v/>
      </c>
      <c r="M1296" s="0" t="n">
        <f aca="false">IFERROR(SMALL(M367:M1087,ROW()-ROW($M$1090)+1),"")</f>
        <v>0</v>
      </c>
      <c r="N1296" s="0" t="n">
        <f aca="false">IFERROR(SMALL(N367:N1087,ROW()-ROW($N$1090)+1),"")</f>
        <v>0</v>
      </c>
    </row>
    <row r="1297" customFormat="false" ht="15" hidden="false" customHeight="false" outlineLevel="0" collapsed="false">
      <c r="E1297" s="0" t="n">
        <f aca="false">IFERROR(SMALL(E367:E1087,ROW()-ROW($E$1090)+1),"")</f>
        <v>0</v>
      </c>
      <c r="F1297" s="0" t="str">
        <f aca="false">IFERROR(SMALL(F367:F1087,ROW()-ROW($F$1090)+1),"")</f>
        <v/>
      </c>
      <c r="G1297" s="0" t="n">
        <f aca="false">IFERROR(SMALL(G367:G1087,ROW()-ROW($G$1090)+1),"")</f>
        <v>0</v>
      </c>
      <c r="H1297" s="0" t="n">
        <f aca="false">IFERROR(SMALL(H367:H1087,ROW()-ROW($H$1090)+1),"")</f>
        <v>0</v>
      </c>
      <c r="K1297" s="0" t="n">
        <f aca="false">IFERROR(SMALL(K367:K1087,ROW()-ROW($K$1090)+1),"")</f>
        <v>0</v>
      </c>
      <c r="L1297" s="0" t="str">
        <f aca="false">IFERROR(SMALL(L367:L1087,ROW()-ROW($L$1090)+1),"")</f>
        <v/>
      </c>
      <c r="M1297" s="0" t="n">
        <f aca="false">IFERROR(SMALL(M367:M1087,ROW()-ROW($M$1090)+1),"")</f>
        <v>0</v>
      </c>
      <c r="N1297" s="0" t="n">
        <f aca="false">IFERROR(SMALL(N367:N1087,ROW()-ROW($N$1090)+1),"")</f>
        <v>0</v>
      </c>
    </row>
    <row r="1298" customFormat="false" ht="15" hidden="false" customHeight="false" outlineLevel="0" collapsed="false">
      <c r="E1298" s="0" t="n">
        <f aca="false">IFERROR(SMALL(E367:E1087,ROW()-ROW($E$1090)+1),"")</f>
        <v>0</v>
      </c>
      <c r="F1298" s="0" t="str">
        <f aca="false">IFERROR(SMALL(F367:F1087,ROW()-ROW($F$1090)+1),"")</f>
        <v/>
      </c>
      <c r="G1298" s="0" t="n">
        <f aca="false">IFERROR(SMALL(G367:G1087,ROW()-ROW($G$1090)+1),"")</f>
        <v>0</v>
      </c>
      <c r="H1298" s="0" t="n">
        <f aca="false">IFERROR(SMALL(H367:H1087,ROW()-ROW($H$1090)+1),"")</f>
        <v>0</v>
      </c>
      <c r="K1298" s="0" t="n">
        <f aca="false">IFERROR(SMALL(K367:K1087,ROW()-ROW($K$1090)+1),"")</f>
        <v>0</v>
      </c>
      <c r="L1298" s="0" t="str">
        <f aca="false">IFERROR(SMALL(L367:L1087,ROW()-ROW($L$1090)+1),"")</f>
        <v/>
      </c>
      <c r="M1298" s="0" t="n">
        <f aca="false">IFERROR(SMALL(M367:M1087,ROW()-ROW($M$1090)+1),"")</f>
        <v>0</v>
      </c>
      <c r="N1298" s="0" t="n">
        <f aca="false">IFERROR(SMALL(N367:N1087,ROW()-ROW($N$1090)+1),"")</f>
        <v>0</v>
      </c>
    </row>
    <row r="1299" customFormat="false" ht="15" hidden="false" customHeight="false" outlineLevel="0" collapsed="false">
      <c r="E1299" s="0" t="n">
        <f aca="false">IFERROR(SMALL(E367:E1087,ROW()-ROW($E$1090)+1),"")</f>
        <v>0</v>
      </c>
      <c r="F1299" s="0" t="str">
        <f aca="false">IFERROR(SMALL(F367:F1087,ROW()-ROW($F$1090)+1),"")</f>
        <v/>
      </c>
      <c r="G1299" s="0" t="n">
        <f aca="false">IFERROR(SMALL(G367:G1087,ROW()-ROW($G$1090)+1),"")</f>
        <v>0</v>
      </c>
      <c r="H1299" s="0" t="n">
        <f aca="false">IFERROR(SMALL(H367:H1087,ROW()-ROW($H$1090)+1),"")</f>
        <v>0</v>
      </c>
      <c r="K1299" s="0" t="n">
        <f aca="false">IFERROR(SMALL(K367:K1087,ROW()-ROW($K$1090)+1),"")</f>
        <v>0</v>
      </c>
      <c r="L1299" s="0" t="str">
        <f aca="false">IFERROR(SMALL(L367:L1087,ROW()-ROW($L$1090)+1),"")</f>
        <v/>
      </c>
      <c r="M1299" s="0" t="n">
        <f aca="false">IFERROR(SMALL(M367:M1087,ROW()-ROW($M$1090)+1),"")</f>
        <v>0</v>
      </c>
      <c r="N1299" s="0" t="n">
        <f aca="false">IFERROR(SMALL(N367:N1087,ROW()-ROW($N$1090)+1),"")</f>
        <v>0</v>
      </c>
    </row>
    <row r="1300" customFormat="false" ht="15" hidden="false" customHeight="false" outlineLevel="0" collapsed="false">
      <c r="E1300" s="0" t="n">
        <f aca="false">IFERROR(SMALL(E367:E1087,ROW()-ROW($E$1090)+1),"")</f>
        <v>0</v>
      </c>
      <c r="F1300" s="0" t="str">
        <f aca="false">IFERROR(SMALL(F367:F1087,ROW()-ROW($F$1090)+1),"")</f>
        <v/>
      </c>
      <c r="G1300" s="0" t="n">
        <f aca="false">IFERROR(SMALL(G367:G1087,ROW()-ROW($G$1090)+1),"")</f>
        <v>0</v>
      </c>
      <c r="H1300" s="0" t="n">
        <f aca="false">IFERROR(SMALL(H367:H1087,ROW()-ROW($H$1090)+1),"")</f>
        <v>0</v>
      </c>
      <c r="K1300" s="0" t="n">
        <f aca="false">IFERROR(SMALL(K367:K1087,ROW()-ROW($K$1090)+1),"")</f>
        <v>0</v>
      </c>
      <c r="L1300" s="0" t="str">
        <f aca="false">IFERROR(SMALL(L367:L1087,ROW()-ROW($L$1090)+1),"")</f>
        <v/>
      </c>
      <c r="M1300" s="0" t="n">
        <f aca="false">IFERROR(SMALL(M367:M1087,ROW()-ROW($M$1090)+1),"")</f>
        <v>0</v>
      </c>
      <c r="N1300" s="0" t="n">
        <f aca="false">IFERROR(SMALL(N367:N1087,ROW()-ROW($N$1090)+1),"")</f>
        <v>0</v>
      </c>
    </row>
    <row r="1301" customFormat="false" ht="15" hidden="false" customHeight="false" outlineLevel="0" collapsed="false">
      <c r="E1301" s="0" t="n">
        <f aca="false">IFERROR(SMALL(E367:E1087,ROW()-ROW($E$1090)+1),"")</f>
        <v>0</v>
      </c>
      <c r="F1301" s="0" t="str">
        <f aca="false">IFERROR(SMALL(F367:F1087,ROW()-ROW($F$1090)+1),"")</f>
        <v/>
      </c>
      <c r="G1301" s="0" t="n">
        <f aca="false">IFERROR(SMALL(G367:G1087,ROW()-ROW($G$1090)+1),"")</f>
        <v>0</v>
      </c>
      <c r="H1301" s="0" t="n">
        <f aca="false">IFERROR(SMALL(H367:H1087,ROW()-ROW($H$1090)+1),"")</f>
        <v>0</v>
      </c>
      <c r="K1301" s="0" t="n">
        <f aca="false">IFERROR(SMALL(K367:K1087,ROW()-ROW($K$1090)+1),"")</f>
        <v>0</v>
      </c>
      <c r="L1301" s="0" t="str">
        <f aca="false">IFERROR(SMALL(L367:L1087,ROW()-ROW($L$1090)+1),"")</f>
        <v/>
      </c>
      <c r="M1301" s="0" t="n">
        <f aca="false">IFERROR(SMALL(M367:M1087,ROW()-ROW($M$1090)+1),"")</f>
        <v>0</v>
      </c>
      <c r="N1301" s="0" t="n">
        <f aca="false">IFERROR(SMALL(N367:N1087,ROW()-ROW($N$1090)+1),"")</f>
        <v>0</v>
      </c>
    </row>
    <row r="1302" customFormat="false" ht="15" hidden="false" customHeight="false" outlineLevel="0" collapsed="false">
      <c r="E1302" s="0" t="n">
        <f aca="false">IFERROR(SMALL(E367:E1087,ROW()-ROW($E$1090)+1),"")</f>
        <v>0</v>
      </c>
      <c r="F1302" s="0" t="str">
        <f aca="false">IFERROR(SMALL(F367:F1087,ROW()-ROW($F$1090)+1),"")</f>
        <v/>
      </c>
      <c r="G1302" s="0" t="n">
        <f aca="false">IFERROR(SMALL(G367:G1087,ROW()-ROW($G$1090)+1),"")</f>
        <v>0</v>
      </c>
      <c r="H1302" s="0" t="n">
        <f aca="false">IFERROR(SMALL(H367:H1087,ROW()-ROW($H$1090)+1),"")</f>
        <v>0</v>
      </c>
      <c r="K1302" s="0" t="n">
        <f aca="false">IFERROR(SMALL(K367:K1087,ROW()-ROW($K$1090)+1),"")</f>
        <v>0</v>
      </c>
      <c r="L1302" s="0" t="str">
        <f aca="false">IFERROR(SMALL(L367:L1087,ROW()-ROW($L$1090)+1),"")</f>
        <v/>
      </c>
      <c r="M1302" s="0" t="n">
        <f aca="false">IFERROR(SMALL(M367:M1087,ROW()-ROW($M$1090)+1),"")</f>
        <v>0</v>
      </c>
      <c r="N1302" s="0" t="n">
        <f aca="false">IFERROR(SMALL(N367:N1087,ROW()-ROW($N$1090)+1),"")</f>
        <v>0</v>
      </c>
    </row>
    <row r="1303" customFormat="false" ht="15" hidden="false" customHeight="false" outlineLevel="0" collapsed="false">
      <c r="E1303" s="0" t="n">
        <f aca="false">IFERROR(SMALL(E367:E1087,ROW()-ROW($E$1090)+1),"")</f>
        <v>0</v>
      </c>
      <c r="F1303" s="0" t="str">
        <f aca="false">IFERROR(SMALL(F367:F1087,ROW()-ROW($F$1090)+1),"")</f>
        <v/>
      </c>
      <c r="G1303" s="0" t="n">
        <f aca="false">IFERROR(SMALL(G367:G1087,ROW()-ROW($G$1090)+1),"")</f>
        <v>0</v>
      </c>
      <c r="H1303" s="0" t="n">
        <f aca="false">IFERROR(SMALL(H367:H1087,ROW()-ROW($H$1090)+1),"")</f>
        <v>0</v>
      </c>
      <c r="K1303" s="0" t="n">
        <f aca="false">IFERROR(SMALL(K367:K1087,ROW()-ROW($K$1090)+1),"")</f>
        <v>0</v>
      </c>
      <c r="L1303" s="0" t="str">
        <f aca="false">IFERROR(SMALL(L367:L1087,ROW()-ROW($L$1090)+1),"")</f>
        <v/>
      </c>
      <c r="M1303" s="0" t="n">
        <f aca="false">IFERROR(SMALL(M367:M1087,ROW()-ROW($M$1090)+1),"")</f>
        <v>0</v>
      </c>
      <c r="N1303" s="0" t="n">
        <f aca="false">IFERROR(SMALL(N367:N1087,ROW()-ROW($N$1090)+1),"")</f>
        <v>0</v>
      </c>
    </row>
    <row r="1304" customFormat="false" ht="15" hidden="false" customHeight="false" outlineLevel="0" collapsed="false">
      <c r="E1304" s="0" t="n">
        <f aca="false">IFERROR(SMALL(E367:E1087,ROW()-ROW($E$1090)+1),"")</f>
        <v>0</v>
      </c>
      <c r="F1304" s="0" t="str">
        <f aca="false">IFERROR(SMALL(F367:F1087,ROW()-ROW($F$1090)+1),"")</f>
        <v/>
      </c>
      <c r="G1304" s="0" t="n">
        <f aca="false">IFERROR(SMALL(G367:G1087,ROW()-ROW($G$1090)+1),"")</f>
        <v>0</v>
      </c>
      <c r="H1304" s="0" t="n">
        <f aca="false">IFERROR(SMALL(H367:H1087,ROW()-ROW($H$1090)+1),"")</f>
        <v>0</v>
      </c>
      <c r="K1304" s="0" t="n">
        <f aca="false">IFERROR(SMALL(K367:K1087,ROW()-ROW($K$1090)+1),"")</f>
        <v>0</v>
      </c>
      <c r="L1304" s="0" t="str">
        <f aca="false">IFERROR(SMALL(L367:L1087,ROW()-ROW($L$1090)+1),"")</f>
        <v/>
      </c>
      <c r="M1304" s="0" t="n">
        <f aca="false">IFERROR(SMALL(M367:M1087,ROW()-ROW($M$1090)+1),"")</f>
        <v>0</v>
      </c>
      <c r="N1304" s="0" t="n">
        <f aca="false">IFERROR(SMALL(N367:N1087,ROW()-ROW($N$1090)+1),"")</f>
        <v>0</v>
      </c>
    </row>
    <row r="1305" customFormat="false" ht="15" hidden="false" customHeight="false" outlineLevel="0" collapsed="false">
      <c r="E1305" s="0" t="n">
        <f aca="false">IFERROR(SMALL(E367:E1087,ROW()-ROW($E$1090)+1),"")</f>
        <v>0</v>
      </c>
      <c r="F1305" s="0" t="str">
        <f aca="false">IFERROR(SMALL(F367:F1087,ROW()-ROW($F$1090)+1),"")</f>
        <v/>
      </c>
      <c r="G1305" s="0" t="n">
        <f aca="false">IFERROR(SMALL(G367:G1087,ROW()-ROW($G$1090)+1),"")</f>
        <v>0</v>
      </c>
      <c r="H1305" s="0" t="n">
        <f aca="false">IFERROR(SMALL(H367:H1087,ROW()-ROW($H$1090)+1),"")</f>
        <v>0</v>
      </c>
      <c r="K1305" s="0" t="n">
        <f aca="false">IFERROR(SMALL(K367:K1087,ROW()-ROW($K$1090)+1),"")</f>
        <v>0</v>
      </c>
      <c r="L1305" s="0" t="str">
        <f aca="false">IFERROR(SMALL(L367:L1087,ROW()-ROW($L$1090)+1),"")</f>
        <v/>
      </c>
      <c r="M1305" s="0" t="n">
        <f aca="false">IFERROR(SMALL(M367:M1087,ROW()-ROW($M$1090)+1),"")</f>
        <v>0</v>
      </c>
      <c r="N1305" s="0" t="n">
        <f aca="false">IFERROR(SMALL(N367:N1087,ROW()-ROW($N$1090)+1),"")</f>
        <v>0</v>
      </c>
    </row>
    <row r="1306" customFormat="false" ht="15" hidden="false" customHeight="false" outlineLevel="0" collapsed="false">
      <c r="E1306" s="0" t="n">
        <f aca="false">IFERROR(SMALL(E367:E1087,ROW()-ROW($E$1090)+1),"")</f>
        <v>0</v>
      </c>
      <c r="F1306" s="0" t="str">
        <f aca="false">IFERROR(SMALL(F367:F1087,ROW()-ROW($F$1090)+1),"")</f>
        <v/>
      </c>
      <c r="G1306" s="0" t="n">
        <f aca="false">IFERROR(SMALL(G367:G1087,ROW()-ROW($G$1090)+1),"")</f>
        <v>0</v>
      </c>
      <c r="H1306" s="0" t="n">
        <f aca="false">IFERROR(SMALL(H367:H1087,ROW()-ROW($H$1090)+1),"")</f>
        <v>0</v>
      </c>
      <c r="K1306" s="0" t="n">
        <f aca="false">IFERROR(SMALL(K367:K1087,ROW()-ROW($K$1090)+1),"")</f>
        <v>0</v>
      </c>
      <c r="L1306" s="0" t="str">
        <f aca="false">IFERROR(SMALL(L367:L1087,ROW()-ROW($L$1090)+1),"")</f>
        <v/>
      </c>
      <c r="M1306" s="0" t="n">
        <f aca="false">IFERROR(SMALL(M367:M1087,ROW()-ROW($M$1090)+1),"")</f>
        <v>0</v>
      </c>
      <c r="N1306" s="0" t="n">
        <f aca="false">IFERROR(SMALL(N367:N1087,ROW()-ROW($N$1090)+1),"")</f>
        <v>0</v>
      </c>
    </row>
    <row r="1307" customFormat="false" ht="15" hidden="false" customHeight="false" outlineLevel="0" collapsed="false">
      <c r="E1307" s="0" t="n">
        <f aca="false">IFERROR(SMALL(E367:E1087,ROW()-ROW($E$1090)+1),"")</f>
        <v>0</v>
      </c>
      <c r="F1307" s="0" t="str">
        <f aca="false">IFERROR(SMALL(F367:F1087,ROW()-ROW($F$1090)+1),"")</f>
        <v/>
      </c>
      <c r="G1307" s="0" t="n">
        <f aca="false">IFERROR(SMALL(G367:G1087,ROW()-ROW($G$1090)+1),"")</f>
        <v>0</v>
      </c>
      <c r="H1307" s="0" t="n">
        <f aca="false">IFERROR(SMALL(H367:H1087,ROW()-ROW($H$1090)+1),"")</f>
        <v>0</v>
      </c>
      <c r="K1307" s="0" t="n">
        <f aca="false">IFERROR(SMALL(K367:K1087,ROW()-ROW($K$1090)+1),"")</f>
        <v>0</v>
      </c>
      <c r="L1307" s="0" t="str">
        <f aca="false">IFERROR(SMALL(L367:L1087,ROW()-ROW($L$1090)+1),"")</f>
        <v/>
      </c>
      <c r="M1307" s="0" t="n">
        <f aca="false">IFERROR(SMALL(M367:M1087,ROW()-ROW($M$1090)+1),"")</f>
        <v>0</v>
      </c>
      <c r="N1307" s="0" t="n">
        <f aca="false">IFERROR(SMALL(N367:N1087,ROW()-ROW($N$1090)+1),"")</f>
        <v>0</v>
      </c>
    </row>
    <row r="1308" customFormat="false" ht="15" hidden="false" customHeight="false" outlineLevel="0" collapsed="false">
      <c r="E1308" s="0" t="n">
        <f aca="false">IFERROR(SMALL(E367:E1087,ROW()-ROW($E$1090)+1),"")</f>
        <v>0</v>
      </c>
      <c r="F1308" s="0" t="str">
        <f aca="false">IFERROR(SMALL(F367:F1087,ROW()-ROW($F$1090)+1),"")</f>
        <v/>
      </c>
      <c r="G1308" s="0" t="n">
        <f aca="false">IFERROR(SMALL(G367:G1087,ROW()-ROW($G$1090)+1),"")</f>
        <v>0</v>
      </c>
      <c r="H1308" s="0" t="n">
        <f aca="false">IFERROR(SMALL(H367:H1087,ROW()-ROW($H$1090)+1),"")</f>
        <v>0</v>
      </c>
      <c r="K1308" s="0" t="n">
        <f aca="false">IFERROR(SMALL(K367:K1087,ROW()-ROW($K$1090)+1),"")</f>
        <v>0</v>
      </c>
      <c r="L1308" s="0" t="str">
        <f aca="false">IFERROR(SMALL(L367:L1087,ROW()-ROW($L$1090)+1),"")</f>
        <v/>
      </c>
      <c r="M1308" s="0" t="n">
        <f aca="false">IFERROR(SMALL(M367:M1087,ROW()-ROW($M$1090)+1),"")</f>
        <v>0</v>
      </c>
      <c r="N1308" s="0" t="n">
        <f aca="false">IFERROR(SMALL(N367:N1087,ROW()-ROW($N$1090)+1),"")</f>
        <v>0</v>
      </c>
    </row>
    <row r="1309" customFormat="false" ht="15" hidden="false" customHeight="false" outlineLevel="0" collapsed="false">
      <c r="E1309" s="0" t="n">
        <f aca="false">IFERROR(SMALL(E367:E1087,ROW()-ROW($E$1090)+1),"")</f>
        <v>0</v>
      </c>
      <c r="F1309" s="0" t="str">
        <f aca="false">IFERROR(SMALL(F367:F1087,ROW()-ROW($F$1090)+1),"")</f>
        <v/>
      </c>
      <c r="G1309" s="0" t="n">
        <f aca="false">IFERROR(SMALL(G367:G1087,ROW()-ROW($G$1090)+1),"")</f>
        <v>0</v>
      </c>
      <c r="H1309" s="0" t="n">
        <f aca="false">IFERROR(SMALL(H367:H1087,ROW()-ROW($H$1090)+1),"")</f>
        <v>0</v>
      </c>
      <c r="K1309" s="0" t="n">
        <f aca="false">IFERROR(SMALL(K367:K1087,ROW()-ROW($K$1090)+1),"")</f>
        <v>0</v>
      </c>
      <c r="L1309" s="0" t="str">
        <f aca="false">IFERROR(SMALL(L367:L1087,ROW()-ROW($L$1090)+1),"")</f>
        <v/>
      </c>
      <c r="M1309" s="0" t="n">
        <f aca="false">IFERROR(SMALL(M367:M1087,ROW()-ROW($M$1090)+1),"")</f>
        <v>0</v>
      </c>
      <c r="N1309" s="0" t="n">
        <f aca="false">IFERROR(SMALL(N367:N1087,ROW()-ROW($N$1090)+1),"")</f>
        <v>0</v>
      </c>
    </row>
    <row r="1310" customFormat="false" ht="15" hidden="false" customHeight="false" outlineLevel="0" collapsed="false">
      <c r="E1310" s="0" t="n">
        <f aca="false">IFERROR(SMALL(E367:E1087,ROW()-ROW($E$1090)+1),"")</f>
        <v>0</v>
      </c>
      <c r="F1310" s="0" t="str">
        <f aca="false">IFERROR(SMALL(F367:F1087,ROW()-ROW($F$1090)+1),"")</f>
        <v/>
      </c>
      <c r="G1310" s="0" t="n">
        <f aca="false">IFERROR(SMALL(G367:G1087,ROW()-ROW($G$1090)+1),"")</f>
        <v>0</v>
      </c>
      <c r="H1310" s="0" t="n">
        <f aca="false">IFERROR(SMALL(H367:H1087,ROW()-ROW($H$1090)+1),"")</f>
        <v>0</v>
      </c>
      <c r="K1310" s="0" t="n">
        <f aca="false">IFERROR(SMALL(K367:K1087,ROW()-ROW($K$1090)+1),"")</f>
        <v>0</v>
      </c>
      <c r="L1310" s="0" t="str">
        <f aca="false">IFERROR(SMALL(L367:L1087,ROW()-ROW($L$1090)+1),"")</f>
        <v/>
      </c>
      <c r="M1310" s="0" t="n">
        <f aca="false">IFERROR(SMALL(M367:M1087,ROW()-ROW($M$1090)+1),"")</f>
        <v>0</v>
      </c>
      <c r="N1310" s="0" t="n">
        <f aca="false">IFERROR(SMALL(N367:N1087,ROW()-ROW($N$1090)+1),"")</f>
        <v>0</v>
      </c>
    </row>
    <row r="1311" customFormat="false" ht="15" hidden="false" customHeight="false" outlineLevel="0" collapsed="false">
      <c r="E1311" s="0" t="n">
        <f aca="false">IFERROR(SMALL(E367:E1087,ROW()-ROW($E$1090)+1),"")</f>
        <v>0</v>
      </c>
      <c r="F1311" s="0" t="str">
        <f aca="false">IFERROR(SMALL(F367:F1087,ROW()-ROW($F$1090)+1),"")</f>
        <v/>
      </c>
      <c r="G1311" s="0" t="n">
        <f aca="false">IFERROR(SMALL(G367:G1087,ROW()-ROW($G$1090)+1),"")</f>
        <v>0</v>
      </c>
      <c r="H1311" s="0" t="n">
        <f aca="false">IFERROR(SMALL(H367:H1087,ROW()-ROW($H$1090)+1),"")</f>
        <v>0</v>
      </c>
      <c r="K1311" s="0" t="n">
        <f aca="false">IFERROR(SMALL(K367:K1087,ROW()-ROW($K$1090)+1),"")</f>
        <v>0</v>
      </c>
      <c r="L1311" s="0" t="str">
        <f aca="false">IFERROR(SMALL(L367:L1087,ROW()-ROW($L$1090)+1),"")</f>
        <v/>
      </c>
      <c r="M1311" s="0" t="n">
        <f aca="false">IFERROR(SMALL(M367:M1087,ROW()-ROW($M$1090)+1),"")</f>
        <v>0</v>
      </c>
      <c r="N1311" s="0" t="n">
        <f aca="false">IFERROR(SMALL(N367:N1087,ROW()-ROW($N$1090)+1),"")</f>
        <v>0</v>
      </c>
    </row>
    <row r="1312" customFormat="false" ht="15" hidden="false" customHeight="false" outlineLevel="0" collapsed="false">
      <c r="E1312" s="0" t="n">
        <f aca="false">IFERROR(SMALL(E367:E1087,ROW()-ROW($E$1090)+1),"")</f>
        <v>0</v>
      </c>
      <c r="F1312" s="0" t="str">
        <f aca="false">IFERROR(SMALL(F367:F1087,ROW()-ROW($F$1090)+1),"")</f>
        <v/>
      </c>
      <c r="G1312" s="0" t="n">
        <f aca="false">IFERROR(SMALL(G367:G1087,ROW()-ROW($G$1090)+1),"")</f>
        <v>0</v>
      </c>
      <c r="H1312" s="0" t="n">
        <f aca="false">IFERROR(SMALL(H367:H1087,ROW()-ROW($H$1090)+1),"")</f>
        <v>0</v>
      </c>
      <c r="K1312" s="0" t="n">
        <f aca="false">IFERROR(SMALL(K367:K1087,ROW()-ROW($K$1090)+1),"")</f>
        <v>0</v>
      </c>
      <c r="L1312" s="0" t="str">
        <f aca="false">IFERROR(SMALL(L367:L1087,ROW()-ROW($L$1090)+1),"")</f>
        <v/>
      </c>
      <c r="M1312" s="0" t="n">
        <f aca="false">IFERROR(SMALL(M367:M1087,ROW()-ROW($M$1090)+1),"")</f>
        <v>0</v>
      </c>
      <c r="N1312" s="0" t="n">
        <f aca="false">IFERROR(SMALL(N367:N1087,ROW()-ROW($N$1090)+1),"")</f>
        <v>0</v>
      </c>
    </row>
    <row r="1313" customFormat="false" ht="15" hidden="false" customHeight="false" outlineLevel="0" collapsed="false">
      <c r="E1313" s="0" t="n">
        <f aca="false">IFERROR(SMALL(E367:E1087,ROW()-ROW($E$1090)+1),"")</f>
        <v>0</v>
      </c>
      <c r="F1313" s="0" t="str">
        <f aca="false">IFERROR(SMALL(F367:F1087,ROW()-ROW($F$1090)+1),"")</f>
        <v/>
      </c>
      <c r="G1313" s="0" t="n">
        <f aca="false">IFERROR(SMALL(G367:G1087,ROW()-ROW($G$1090)+1),"")</f>
        <v>0</v>
      </c>
      <c r="H1313" s="0" t="n">
        <f aca="false">IFERROR(SMALL(H367:H1087,ROW()-ROW($H$1090)+1),"")</f>
        <v>0</v>
      </c>
      <c r="K1313" s="0" t="n">
        <f aca="false">IFERROR(SMALL(K367:K1087,ROW()-ROW($K$1090)+1),"")</f>
        <v>0</v>
      </c>
      <c r="L1313" s="0" t="str">
        <f aca="false">IFERROR(SMALL(L367:L1087,ROW()-ROW($L$1090)+1),"")</f>
        <v/>
      </c>
      <c r="M1313" s="0" t="n">
        <f aca="false">IFERROR(SMALL(M367:M1087,ROW()-ROW($M$1090)+1),"")</f>
        <v>0</v>
      </c>
      <c r="N1313" s="0" t="n">
        <f aca="false">IFERROR(SMALL(N367:N1087,ROW()-ROW($N$1090)+1),"")</f>
        <v>0</v>
      </c>
    </row>
    <row r="1314" customFormat="false" ht="15" hidden="false" customHeight="false" outlineLevel="0" collapsed="false">
      <c r="E1314" s="0" t="n">
        <f aca="false">IFERROR(SMALL(E367:E1087,ROW()-ROW($E$1090)+1),"")</f>
        <v>0</v>
      </c>
      <c r="F1314" s="0" t="str">
        <f aca="false">IFERROR(SMALL(F367:F1087,ROW()-ROW($F$1090)+1),"")</f>
        <v/>
      </c>
      <c r="G1314" s="0" t="n">
        <f aca="false">IFERROR(SMALL(G367:G1087,ROW()-ROW($G$1090)+1),"")</f>
        <v>0</v>
      </c>
      <c r="H1314" s="0" t="n">
        <f aca="false">IFERROR(SMALL(H367:H1087,ROW()-ROW($H$1090)+1),"")</f>
        <v>0</v>
      </c>
      <c r="K1314" s="0" t="n">
        <f aca="false">IFERROR(SMALL(K367:K1087,ROW()-ROW($K$1090)+1),"")</f>
        <v>0</v>
      </c>
      <c r="L1314" s="0" t="str">
        <f aca="false">IFERROR(SMALL(L367:L1087,ROW()-ROW($L$1090)+1),"")</f>
        <v/>
      </c>
      <c r="M1314" s="0" t="n">
        <f aca="false">IFERROR(SMALL(M367:M1087,ROW()-ROW($M$1090)+1),"")</f>
        <v>0</v>
      </c>
      <c r="N1314" s="0" t="n">
        <f aca="false">IFERROR(SMALL(N367:N1087,ROW()-ROW($N$1090)+1),"")</f>
        <v>0</v>
      </c>
    </row>
    <row r="1315" customFormat="false" ht="15" hidden="false" customHeight="false" outlineLevel="0" collapsed="false">
      <c r="E1315" s="0" t="n">
        <f aca="false">IFERROR(SMALL(E367:E1087,ROW()-ROW($E$1090)+1),"")</f>
        <v>0</v>
      </c>
      <c r="F1315" s="0" t="str">
        <f aca="false">IFERROR(SMALL(F367:F1087,ROW()-ROW($F$1090)+1),"")</f>
        <v/>
      </c>
      <c r="G1315" s="0" t="n">
        <f aca="false">IFERROR(SMALL(G367:G1087,ROW()-ROW($G$1090)+1),"")</f>
        <v>0</v>
      </c>
      <c r="H1315" s="0" t="n">
        <f aca="false">IFERROR(SMALL(H367:H1087,ROW()-ROW($H$1090)+1),"")</f>
        <v>0</v>
      </c>
      <c r="K1315" s="0" t="n">
        <f aca="false">IFERROR(SMALL(K367:K1087,ROW()-ROW($K$1090)+1),"")</f>
        <v>0</v>
      </c>
      <c r="L1315" s="0" t="str">
        <f aca="false">IFERROR(SMALL(L367:L1087,ROW()-ROW($L$1090)+1),"")</f>
        <v/>
      </c>
      <c r="M1315" s="0" t="n">
        <f aca="false">IFERROR(SMALL(M367:M1087,ROW()-ROW($M$1090)+1),"")</f>
        <v>0</v>
      </c>
      <c r="N1315" s="0" t="n">
        <f aca="false">IFERROR(SMALL(N367:N1087,ROW()-ROW($N$1090)+1),"")</f>
        <v>0</v>
      </c>
    </row>
    <row r="1316" customFormat="false" ht="15" hidden="false" customHeight="false" outlineLevel="0" collapsed="false">
      <c r="E1316" s="0" t="n">
        <f aca="false">IFERROR(SMALL(E367:E1087,ROW()-ROW($E$1090)+1),"")</f>
        <v>0</v>
      </c>
      <c r="F1316" s="0" t="str">
        <f aca="false">IFERROR(SMALL(F367:F1087,ROW()-ROW($F$1090)+1),"")</f>
        <v/>
      </c>
      <c r="G1316" s="0" t="n">
        <f aca="false">IFERROR(SMALL(G367:G1087,ROW()-ROW($G$1090)+1),"")</f>
        <v>0</v>
      </c>
      <c r="H1316" s="0" t="n">
        <f aca="false">IFERROR(SMALL(H367:H1087,ROW()-ROW($H$1090)+1),"")</f>
        <v>0</v>
      </c>
      <c r="K1316" s="0" t="n">
        <f aca="false">IFERROR(SMALL(K367:K1087,ROW()-ROW($K$1090)+1),"")</f>
        <v>0</v>
      </c>
      <c r="L1316" s="0" t="str">
        <f aca="false">IFERROR(SMALL(L367:L1087,ROW()-ROW($L$1090)+1),"")</f>
        <v/>
      </c>
      <c r="M1316" s="0" t="n">
        <f aca="false">IFERROR(SMALL(M367:M1087,ROW()-ROW($M$1090)+1),"")</f>
        <v>0</v>
      </c>
      <c r="N1316" s="0" t="n">
        <f aca="false">IFERROR(SMALL(N367:N1087,ROW()-ROW($N$1090)+1),"")</f>
        <v>0</v>
      </c>
    </row>
    <row r="1317" customFormat="false" ht="15" hidden="false" customHeight="false" outlineLevel="0" collapsed="false">
      <c r="E1317" s="0" t="n">
        <f aca="false">IFERROR(SMALL(E367:E1087,ROW()-ROW($E$1090)+1),"")</f>
        <v>0</v>
      </c>
      <c r="F1317" s="0" t="str">
        <f aca="false">IFERROR(SMALL(F367:F1087,ROW()-ROW($F$1090)+1),"")</f>
        <v/>
      </c>
      <c r="G1317" s="0" t="n">
        <f aca="false">IFERROR(SMALL(G367:G1087,ROW()-ROW($G$1090)+1),"")</f>
        <v>0</v>
      </c>
      <c r="H1317" s="0" t="n">
        <f aca="false">IFERROR(SMALL(H367:H1087,ROW()-ROW($H$1090)+1),"")</f>
        <v>0</v>
      </c>
      <c r="K1317" s="0" t="n">
        <f aca="false">IFERROR(SMALL(K367:K1087,ROW()-ROW($K$1090)+1),"")</f>
        <v>0</v>
      </c>
      <c r="L1317" s="0" t="str">
        <f aca="false">IFERROR(SMALL(L367:L1087,ROW()-ROW($L$1090)+1),"")</f>
        <v/>
      </c>
      <c r="M1317" s="0" t="n">
        <f aca="false">IFERROR(SMALL(M367:M1087,ROW()-ROW($M$1090)+1),"")</f>
        <v>0</v>
      </c>
      <c r="N1317" s="0" t="n">
        <f aca="false">IFERROR(SMALL(N367:N1087,ROW()-ROW($N$1090)+1),"")</f>
        <v>0</v>
      </c>
    </row>
    <row r="1318" customFormat="false" ht="15" hidden="false" customHeight="false" outlineLevel="0" collapsed="false">
      <c r="E1318" s="0" t="n">
        <f aca="false">IFERROR(SMALL(E367:E1087,ROW()-ROW($E$1090)+1),"")</f>
        <v>0</v>
      </c>
      <c r="F1318" s="0" t="str">
        <f aca="false">IFERROR(SMALL(F367:F1087,ROW()-ROW($F$1090)+1),"")</f>
        <v/>
      </c>
      <c r="G1318" s="0" t="n">
        <f aca="false">IFERROR(SMALL(G367:G1087,ROW()-ROW($G$1090)+1),"")</f>
        <v>0</v>
      </c>
      <c r="H1318" s="0" t="n">
        <f aca="false">IFERROR(SMALL(H367:H1087,ROW()-ROW($H$1090)+1),"")</f>
        <v>0</v>
      </c>
      <c r="K1318" s="0" t="n">
        <f aca="false">IFERROR(SMALL(K367:K1087,ROW()-ROW($K$1090)+1),"")</f>
        <v>0</v>
      </c>
      <c r="L1318" s="0" t="str">
        <f aca="false">IFERROR(SMALL(L367:L1087,ROW()-ROW($L$1090)+1),"")</f>
        <v/>
      </c>
      <c r="M1318" s="0" t="n">
        <f aca="false">IFERROR(SMALL(M367:M1087,ROW()-ROW($M$1090)+1),"")</f>
        <v>0</v>
      </c>
      <c r="N1318" s="0" t="n">
        <f aca="false">IFERROR(SMALL(N367:N1087,ROW()-ROW($N$1090)+1),"")</f>
        <v>0</v>
      </c>
    </row>
    <row r="1319" customFormat="false" ht="15" hidden="false" customHeight="false" outlineLevel="0" collapsed="false">
      <c r="E1319" s="0" t="n">
        <f aca="false">IFERROR(SMALL(E367:E1087,ROW()-ROW($E$1090)+1),"")</f>
        <v>0</v>
      </c>
      <c r="F1319" s="0" t="str">
        <f aca="false">IFERROR(SMALL(F367:F1087,ROW()-ROW($F$1090)+1),"")</f>
        <v/>
      </c>
      <c r="G1319" s="0" t="n">
        <f aca="false">IFERROR(SMALL(G367:G1087,ROW()-ROW($G$1090)+1),"")</f>
        <v>0</v>
      </c>
      <c r="H1319" s="0" t="n">
        <f aca="false">IFERROR(SMALL(H367:H1087,ROW()-ROW($H$1090)+1),"")</f>
        <v>0</v>
      </c>
      <c r="K1319" s="0" t="n">
        <f aca="false">IFERROR(SMALL(K367:K1087,ROW()-ROW($K$1090)+1),"")</f>
        <v>0</v>
      </c>
      <c r="L1319" s="0" t="str">
        <f aca="false">IFERROR(SMALL(L367:L1087,ROW()-ROW($L$1090)+1),"")</f>
        <v/>
      </c>
      <c r="M1319" s="0" t="n">
        <f aca="false">IFERROR(SMALL(M367:M1087,ROW()-ROW($M$1090)+1),"")</f>
        <v>0</v>
      </c>
      <c r="N1319" s="0" t="n">
        <f aca="false">IFERROR(SMALL(N367:N1087,ROW()-ROW($N$1090)+1),"")</f>
        <v>0</v>
      </c>
    </row>
    <row r="1320" customFormat="false" ht="15" hidden="false" customHeight="false" outlineLevel="0" collapsed="false">
      <c r="E1320" s="0" t="n">
        <f aca="false">IFERROR(SMALL(E367:E1087,ROW()-ROW($E$1090)+1),"")</f>
        <v>0</v>
      </c>
      <c r="F1320" s="0" t="str">
        <f aca="false">IFERROR(SMALL(F367:F1087,ROW()-ROW($F$1090)+1),"")</f>
        <v/>
      </c>
      <c r="G1320" s="0" t="n">
        <f aca="false">IFERROR(SMALL(G367:G1087,ROW()-ROW($G$1090)+1),"")</f>
        <v>0</v>
      </c>
      <c r="H1320" s="0" t="n">
        <f aca="false">IFERROR(SMALL(H367:H1087,ROW()-ROW($H$1090)+1),"")</f>
        <v>0</v>
      </c>
      <c r="K1320" s="0" t="n">
        <f aca="false">IFERROR(SMALL(K367:K1087,ROW()-ROW($K$1090)+1),"")</f>
        <v>0</v>
      </c>
      <c r="L1320" s="0" t="str">
        <f aca="false">IFERROR(SMALL(L367:L1087,ROW()-ROW($L$1090)+1),"")</f>
        <v/>
      </c>
      <c r="M1320" s="0" t="n">
        <f aca="false">IFERROR(SMALL(M367:M1087,ROW()-ROW($M$1090)+1),"")</f>
        <v>0</v>
      </c>
      <c r="N1320" s="0" t="n">
        <f aca="false">IFERROR(SMALL(N367:N1087,ROW()-ROW($N$1090)+1),"")</f>
        <v>0</v>
      </c>
    </row>
    <row r="1321" customFormat="false" ht="15" hidden="false" customHeight="false" outlineLevel="0" collapsed="false">
      <c r="E1321" s="0" t="n">
        <f aca="false">IFERROR(SMALL(E367:E1087,ROW()-ROW($E$1090)+1),"")</f>
        <v>0</v>
      </c>
      <c r="F1321" s="0" t="str">
        <f aca="false">IFERROR(SMALL(F367:F1087,ROW()-ROW($F$1090)+1),"")</f>
        <v/>
      </c>
      <c r="G1321" s="0" t="n">
        <f aca="false">IFERROR(SMALL(G367:G1087,ROW()-ROW($G$1090)+1),"")</f>
        <v>0</v>
      </c>
      <c r="H1321" s="0" t="n">
        <f aca="false">IFERROR(SMALL(H367:H1087,ROW()-ROW($H$1090)+1),"")</f>
        <v>0</v>
      </c>
      <c r="K1321" s="0" t="n">
        <f aca="false">IFERROR(SMALL(K367:K1087,ROW()-ROW($K$1090)+1),"")</f>
        <v>0</v>
      </c>
      <c r="L1321" s="0" t="str">
        <f aca="false">IFERROR(SMALL(L367:L1087,ROW()-ROW($L$1090)+1),"")</f>
        <v/>
      </c>
      <c r="M1321" s="0" t="n">
        <f aca="false">IFERROR(SMALL(M367:M1087,ROW()-ROW($M$1090)+1),"")</f>
        <v>0</v>
      </c>
      <c r="N1321" s="0" t="n">
        <f aca="false">IFERROR(SMALL(N367:N1087,ROW()-ROW($N$1090)+1),"")</f>
        <v>0</v>
      </c>
    </row>
    <row r="1322" customFormat="false" ht="15" hidden="false" customHeight="false" outlineLevel="0" collapsed="false">
      <c r="E1322" s="0" t="n">
        <f aca="false">IFERROR(SMALL(E367:E1087,ROW()-ROW($E$1090)+1),"")</f>
        <v>0</v>
      </c>
      <c r="F1322" s="0" t="str">
        <f aca="false">IFERROR(SMALL(F367:F1087,ROW()-ROW($F$1090)+1),"")</f>
        <v/>
      </c>
      <c r="G1322" s="0" t="n">
        <f aca="false">IFERROR(SMALL(G367:G1087,ROW()-ROW($G$1090)+1),"")</f>
        <v>0</v>
      </c>
      <c r="H1322" s="0" t="n">
        <f aca="false">IFERROR(SMALL(H367:H1087,ROW()-ROW($H$1090)+1),"")</f>
        <v>0</v>
      </c>
      <c r="K1322" s="0" t="n">
        <f aca="false">IFERROR(SMALL(K367:K1087,ROW()-ROW($K$1090)+1),"")</f>
        <v>0</v>
      </c>
      <c r="L1322" s="0" t="str">
        <f aca="false">IFERROR(SMALL(L367:L1087,ROW()-ROW($L$1090)+1),"")</f>
        <v/>
      </c>
      <c r="M1322" s="0" t="n">
        <f aca="false">IFERROR(SMALL(M367:M1087,ROW()-ROW($M$1090)+1),"")</f>
        <v>0</v>
      </c>
      <c r="N1322" s="0" t="n">
        <f aca="false">IFERROR(SMALL(N367:N1087,ROW()-ROW($N$1090)+1),"")</f>
        <v>0</v>
      </c>
    </row>
    <row r="1323" customFormat="false" ht="15" hidden="false" customHeight="false" outlineLevel="0" collapsed="false">
      <c r="E1323" s="0" t="n">
        <f aca="false">IFERROR(SMALL(E367:E1087,ROW()-ROW($E$1090)+1),"")</f>
        <v>0</v>
      </c>
      <c r="F1323" s="0" t="str">
        <f aca="false">IFERROR(SMALL(F367:F1087,ROW()-ROW($F$1090)+1),"")</f>
        <v/>
      </c>
      <c r="G1323" s="0" t="n">
        <f aca="false">IFERROR(SMALL(G367:G1087,ROW()-ROW($G$1090)+1),"")</f>
        <v>0</v>
      </c>
      <c r="H1323" s="0" t="n">
        <f aca="false">IFERROR(SMALL(H367:H1087,ROW()-ROW($H$1090)+1),"")</f>
        <v>0</v>
      </c>
      <c r="K1323" s="0" t="n">
        <f aca="false">IFERROR(SMALL(K367:K1087,ROW()-ROW($K$1090)+1),"")</f>
        <v>0</v>
      </c>
      <c r="L1323" s="0" t="str">
        <f aca="false">IFERROR(SMALL(L367:L1087,ROW()-ROW($L$1090)+1),"")</f>
        <v/>
      </c>
      <c r="M1323" s="0" t="n">
        <f aca="false">IFERROR(SMALL(M367:M1087,ROW()-ROW($M$1090)+1),"")</f>
        <v>0</v>
      </c>
      <c r="N1323" s="0" t="n">
        <f aca="false">IFERROR(SMALL(N367:N1087,ROW()-ROW($N$1090)+1),"")</f>
        <v>0</v>
      </c>
    </row>
    <row r="1324" customFormat="false" ht="15" hidden="false" customHeight="false" outlineLevel="0" collapsed="false">
      <c r="E1324" s="0" t="n">
        <f aca="false">IFERROR(SMALL(E367:E1087,ROW()-ROW($E$1090)+1),"")</f>
        <v>0</v>
      </c>
      <c r="F1324" s="0" t="str">
        <f aca="false">IFERROR(SMALL(F367:F1087,ROW()-ROW($F$1090)+1),"")</f>
        <v/>
      </c>
      <c r="G1324" s="0" t="n">
        <f aca="false">IFERROR(SMALL(G367:G1087,ROW()-ROW($G$1090)+1),"")</f>
        <v>0</v>
      </c>
      <c r="H1324" s="0" t="n">
        <f aca="false">IFERROR(SMALL(H367:H1087,ROW()-ROW($H$1090)+1),"")</f>
        <v>0</v>
      </c>
      <c r="K1324" s="0" t="n">
        <f aca="false">IFERROR(SMALL(K367:K1087,ROW()-ROW($K$1090)+1),"")</f>
        <v>0</v>
      </c>
      <c r="L1324" s="0" t="str">
        <f aca="false">IFERROR(SMALL(L367:L1087,ROW()-ROW($L$1090)+1),"")</f>
        <v/>
      </c>
      <c r="M1324" s="0" t="n">
        <f aca="false">IFERROR(SMALL(M367:M1087,ROW()-ROW($M$1090)+1),"")</f>
        <v>0</v>
      </c>
      <c r="N1324" s="0" t="n">
        <f aca="false">IFERROR(SMALL(N367:N1087,ROW()-ROW($N$1090)+1),"")</f>
        <v>0</v>
      </c>
    </row>
    <row r="1325" customFormat="false" ht="15" hidden="false" customHeight="false" outlineLevel="0" collapsed="false">
      <c r="E1325" s="0" t="n">
        <f aca="false">IFERROR(SMALL(E367:E1087,ROW()-ROW($E$1090)+1),"")</f>
        <v>0</v>
      </c>
      <c r="F1325" s="0" t="str">
        <f aca="false">IFERROR(SMALL(F367:F1087,ROW()-ROW($F$1090)+1),"")</f>
        <v/>
      </c>
      <c r="G1325" s="0" t="n">
        <f aca="false">IFERROR(SMALL(G367:G1087,ROW()-ROW($G$1090)+1),"")</f>
        <v>0</v>
      </c>
      <c r="H1325" s="0" t="n">
        <f aca="false">IFERROR(SMALL(H367:H1087,ROW()-ROW($H$1090)+1),"")</f>
        <v>0</v>
      </c>
      <c r="K1325" s="0" t="n">
        <f aca="false">IFERROR(SMALL(K367:K1087,ROW()-ROW($K$1090)+1),"")</f>
        <v>0</v>
      </c>
      <c r="L1325" s="0" t="str">
        <f aca="false">IFERROR(SMALL(L367:L1087,ROW()-ROW($L$1090)+1),"")</f>
        <v/>
      </c>
      <c r="M1325" s="0" t="n">
        <f aca="false">IFERROR(SMALL(M367:M1087,ROW()-ROW($M$1090)+1),"")</f>
        <v>0</v>
      </c>
      <c r="N1325" s="0" t="n">
        <f aca="false">IFERROR(SMALL(N367:N1087,ROW()-ROW($N$1090)+1),"")</f>
        <v>0</v>
      </c>
    </row>
    <row r="1326" customFormat="false" ht="15" hidden="false" customHeight="false" outlineLevel="0" collapsed="false">
      <c r="E1326" s="0" t="n">
        <f aca="false">IFERROR(SMALL(E367:E1087,ROW()-ROW($E$1090)+1),"")</f>
        <v>0</v>
      </c>
      <c r="F1326" s="0" t="str">
        <f aca="false">IFERROR(SMALL(F367:F1087,ROW()-ROW($F$1090)+1),"")</f>
        <v/>
      </c>
      <c r="G1326" s="0" t="n">
        <f aca="false">IFERROR(SMALL(G367:G1087,ROW()-ROW($G$1090)+1),"")</f>
        <v>0</v>
      </c>
      <c r="H1326" s="0" t="n">
        <f aca="false">IFERROR(SMALL(H367:H1087,ROW()-ROW($H$1090)+1),"")</f>
        <v>0</v>
      </c>
      <c r="K1326" s="0" t="n">
        <f aca="false">IFERROR(SMALL(K367:K1087,ROW()-ROW($K$1090)+1),"")</f>
        <v>0</v>
      </c>
      <c r="L1326" s="0" t="str">
        <f aca="false">IFERROR(SMALL(L367:L1087,ROW()-ROW($L$1090)+1),"")</f>
        <v/>
      </c>
      <c r="M1326" s="0" t="n">
        <f aca="false">IFERROR(SMALL(M367:M1087,ROW()-ROW($M$1090)+1),"")</f>
        <v>0</v>
      </c>
      <c r="N1326" s="0" t="n">
        <f aca="false">IFERROR(SMALL(N367:N1087,ROW()-ROW($N$1090)+1),"")</f>
        <v>0</v>
      </c>
    </row>
    <row r="1327" customFormat="false" ht="15" hidden="false" customHeight="false" outlineLevel="0" collapsed="false">
      <c r="E1327" s="0" t="n">
        <f aca="false">IFERROR(SMALL(E367:E1087,ROW()-ROW($E$1090)+1),"")</f>
        <v>0</v>
      </c>
      <c r="F1327" s="0" t="str">
        <f aca="false">IFERROR(SMALL(F367:F1087,ROW()-ROW($F$1090)+1),"")</f>
        <v/>
      </c>
      <c r="G1327" s="0" t="n">
        <f aca="false">IFERROR(SMALL(G367:G1087,ROW()-ROW($G$1090)+1),"")</f>
        <v>0</v>
      </c>
      <c r="H1327" s="0" t="n">
        <f aca="false">IFERROR(SMALL(H367:H1087,ROW()-ROW($H$1090)+1),"")</f>
        <v>0</v>
      </c>
      <c r="K1327" s="0" t="n">
        <f aca="false">IFERROR(SMALL(K367:K1087,ROW()-ROW($K$1090)+1),"")</f>
        <v>0</v>
      </c>
      <c r="L1327" s="0" t="str">
        <f aca="false">IFERROR(SMALL(L367:L1087,ROW()-ROW($L$1090)+1),"")</f>
        <v/>
      </c>
      <c r="M1327" s="0" t="n">
        <f aca="false">IFERROR(SMALL(M367:M1087,ROW()-ROW($M$1090)+1),"")</f>
        <v>0</v>
      </c>
      <c r="N1327" s="0" t="n">
        <f aca="false">IFERROR(SMALL(N367:N1087,ROW()-ROW($N$1090)+1),"")</f>
        <v>0</v>
      </c>
    </row>
    <row r="1328" customFormat="false" ht="15" hidden="false" customHeight="false" outlineLevel="0" collapsed="false">
      <c r="E1328" s="0" t="n">
        <f aca="false">IFERROR(SMALL(E367:E1087,ROW()-ROW($E$1090)+1),"")</f>
        <v>0</v>
      </c>
      <c r="F1328" s="0" t="str">
        <f aca="false">IFERROR(SMALL(F367:F1087,ROW()-ROW($F$1090)+1),"")</f>
        <v/>
      </c>
      <c r="G1328" s="0" t="n">
        <f aca="false">IFERROR(SMALL(G367:G1087,ROW()-ROW($G$1090)+1),"")</f>
        <v>0</v>
      </c>
      <c r="H1328" s="0" t="n">
        <f aca="false">IFERROR(SMALL(H367:H1087,ROW()-ROW($H$1090)+1),"")</f>
        <v>0</v>
      </c>
      <c r="K1328" s="0" t="n">
        <f aca="false">IFERROR(SMALL(K367:K1087,ROW()-ROW($K$1090)+1),"")</f>
        <v>0</v>
      </c>
      <c r="L1328" s="0" t="str">
        <f aca="false">IFERROR(SMALL(L367:L1087,ROW()-ROW($L$1090)+1),"")</f>
        <v/>
      </c>
      <c r="M1328" s="0" t="n">
        <f aca="false">IFERROR(SMALL(M367:M1087,ROW()-ROW($M$1090)+1),"")</f>
        <v>0</v>
      </c>
      <c r="N1328" s="0" t="n">
        <f aca="false">IFERROR(SMALL(N367:N1087,ROW()-ROW($N$1090)+1),"")</f>
        <v>0</v>
      </c>
    </row>
    <row r="1329" customFormat="false" ht="15" hidden="false" customHeight="false" outlineLevel="0" collapsed="false">
      <c r="E1329" s="0" t="n">
        <f aca="false">IFERROR(SMALL(E367:E1087,ROW()-ROW($E$1090)+1),"")</f>
        <v>0</v>
      </c>
      <c r="F1329" s="0" t="str">
        <f aca="false">IFERROR(SMALL(F367:F1087,ROW()-ROW($F$1090)+1),"")</f>
        <v/>
      </c>
      <c r="G1329" s="0" t="n">
        <f aca="false">IFERROR(SMALL(G367:G1087,ROW()-ROW($G$1090)+1),"")</f>
        <v>0</v>
      </c>
      <c r="H1329" s="0" t="n">
        <f aca="false">IFERROR(SMALL(H367:H1087,ROW()-ROW($H$1090)+1),"")</f>
        <v>0</v>
      </c>
      <c r="K1329" s="0" t="n">
        <f aca="false">IFERROR(SMALL(K367:K1087,ROW()-ROW($K$1090)+1),"")</f>
        <v>0</v>
      </c>
      <c r="L1329" s="0" t="str">
        <f aca="false">IFERROR(SMALL(L367:L1087,ROW()-ROW($L$1090)+1),"")</f>
        <v/>
      </c>
      <c r="M1329" s="0" t="n">
        <f aca="false">IFERROR(SMALL(M367:M1087,ROW()-ROW($M$1090)+1),"")</f>
        <v>0</v>
      </c>
      <c r="N1329" s="0" t="n">
        <f aca="false">IFERROR(SMALL(N367:N1087,ROW()-ROW($N$1090)+1),"")</f>
        <v>0</v>
      </c>
    </row>
    <row r="1330" customFormat="false" ht="15" hidden="false" customHeight="false" outlineLevel="0" collapsed="false">
      <c r="E1330" s="0" t="n">
        <f aca="false">IFERROR(SMALL(E367:E1087,ROW()-ROW($E$1090)+1),"")</f>
        <v>0</v>
      </c>
      <c r="F1330" s="0" t="str">
        <f aca="false">IFERROR(SMALL(F367:F1087,ROW()-ROW($F$1090)+1),"")</f>
        <v/>
      </c>
      <c r="G1330" s="0" t="n">
        <f aca="false">IFERROR(SMALL(G367:G1087,ROW()-ROW($G$1090)+1),"")</f>
        <v>0</v>
      </c>
      <c r="H1330" s="0" t="n">
        <f aca="false">IFERROR(SMALL(H367:H1087,ROW()-ROW($H$1090)+1),"")</f>
        <v>0</v>
      </c>
      <c r="K1330" s="0" t="n">
        <f aca="false">IFERROR(SMALL(K367:K1087,ROW()-ROW($K$1090)+1),"")</f>
        <v>0</v>
      </c>
      <c r="L1330" s="0" t="str">
        <f aca="false">IFERROR(SMALL(L367:L1087,ROW()-ROW($L$1090)+1),"")</f>
        <v/>
      </c>
      <c r="M1330" s="0" t="n">
        <f aca="false">IFERROR(SMALL(M367:M1087,ROW()-ROW($M$1090)+1),"")</f>
        <v>0</v>
      </c>
      <c r="N1330" s="0" t="n">
        <f aca="false">IFERROR(SMALL(N367:N1087,ROW()-ROW($N$1090)+1),"")</f>
        <v>0</v>
      </c>
    </row>
    <row r="1331" customFormat="false" ht="15" hidden="false" customHeight="false" outlineLevel="0" collapsed="false">
      <c r="E1331" s="0" t="n">
        <f aca="false">IFERROR(SMALL(E367:E1087,ROW()-ROW($E$1090)+1),"")</f>
        <v>0</v>
      </c>
      <c r="F1331" s="0" t="str">
        <f aca="false">IFERROR(SMALL(F367:F1087,ROW()-ROW($F$1090)+1),"")</f>
        <v/>
      </c>
      <c r="G1331" s="0" t="n">
        <f aca="false">IFERROR(SMALL(G367:G1087,ROW()-ROW($G$1090)+1),"")</f>
        <v>0</v>
      </c>
      <c r="H1331" s="0" t="n">
        <f aca="false">IFERROR(SMALL(H367:H1087,ROW()-ROW($H$1090)+1),"")</f>
        <v>0</v>
      </c>
      <c r="K1331" s="0" t="n">
        <f aca="false">IFERROR(SMALL(K367:K1087,ROW()-ROW($K$1090)+1),"")</f>
        <v>0</v>
      </c>
      <c r="L1331" s="0" t="str">
        <f aca="false">IFERROR(SMALL(L367:L1087,ROW()-ROW($L$1090)+1),"")</f>
        <v/>
      </c>
      <c r="M1331" s="0" t="n">
        <f aca="false">IFERROR(SMALL(M367:M1087,ROW()-ROW($M$1090)+1),"")</f>
        <v>0</v>
      </c>
      <c r="N1331" s="0" t="n">
        <f aca="false">IFERROR(SMALL(N367:N1087,ROW()-ROW($N$1090)+1),"")</f>
        <v>0</v>
      </c>
    </row>
    <row r="1332" customFormat="false" ht="15" hidden="false" customHeight="false" outlineLevel="0" collapsed="false">
      <c r="E1332" s="0" t="n">
        <f aca="false">IFERROR(SMALL(E367:E1087,ROW()-ROW($E$1090)+1),"")</f>
        <v>0</v>
      </c>
      <c r="F1332" s="0" t="str">
        <f aca="false">IFERROR(SMALL(F367:F1087,ROW()-ROW($F$1090)+1),"")</f>
        <v/>
      </c>
      <c r="G1332" s="0" t="n">
        <f aca="false">IFERROR(SMALL(G367:G1087,ROW()-ROW($G$1090)+1),"")</f>
        <v>0</v>
      </c>
      <c r="H1332" s="0" t="n">
        <f aca="false">IFERROR(SMALL(H367:H1087,ROW()-ROW($H$1090)+1),"")</f>
        <v>0</v>
      </c>
      <c r="K1332" s="0" t="n">
        <f aca="false">IFERROR(SMALL(K367:K1087,ROW()-ROW($K$1090)+1),"")</f>
        <v>0</v>
      </c>
      <c r="L1332" s="0" t="str">
        <f aca="false">IFERROR(SMALL(L367:L1087,ROW()-ROW($L$1090)+1),"")</f>
        <v/>
      </c>
      <c r="M1332" s="0" t="n">
        <f aca="false">IFERROR(SMALL(M367:M1087,ROW()-ROW($M$1090)+1),"")</f>
        <v>0</v>
      </c>
      <c r="N1332" s="0" t="n">
        <f aca="false">IFERROR(SMALL(N367:N1087,ROW()-ROW($N$1090)+1),"")</f>
        <v>0</v>
      </c>
    </row>
    <row r="1333" customFormat="false" ht="15" hidden="false" customHeight="false" outlineLevel="0" collapsed="false">
      <c r="E1333" s="0" t="n">
        <f aca="false">IFERROR(SMALL(E367:E1087,ROW()-ROW($E$1090)+1),"")</f>
        <v>0</v>
      </c>
      <c r="F1333" s="0" t="str">
        <f aca="false">IFERROR(SMALL(F367:F1087,ROW()-ROW($F$1090)+1),"")</f>
        <v/>
      </c>
      <c r="G1333" s="0" t="n">
        <f aca="false">IFERROR(SMALL(G367:G1087,ROW()-ROW($G$1090)+1),"")</f>
        <v>0</v>
      </c>
      <c r="H1333" s="0" t="n">
        <f aca="false">IFERROR(SMALL(H367:H1087,ROW()-ROW($H$1090)+1),"")</f>
        <v>0</v>
      </c>
      <c r="K1333" s="0" t="n">
        <f aca="false">IFERROR(SMALL(K367:K1087,ROW()-ROW($K$1090)+1),"")</f>
        <v>0</v>
      </c>
      <c r="L1333" s="0" t="str">
        <f aca="false">IFERROR(SMALL(L367:L1087,ROW()-ROW($L$1090)+1),"")</f>
        <v/>
      </c>
      <c r="M1333" s="0" t="n">
        <f aca="false">IFERROR(SMALL(M367:M1087,ROW()-ROW($M$1090)+1),"")</f>
        <v>0</v>
      </c>
      <c r="N1333" s="0" t="n">
        <f aca="false">IFERROR(SMALL(N367:N1087,ROW()-ROW($N$1090)+1),"")</f>
        <v>0</v>
      </c>
    </row>
    <row r="1334" customFormat="false" ht="15" hidden="false" customHeight="false" outlineLevel="0" collapsed="false">
      <c r="E1334" s="0" t="n">
        <f aca="false">IFERROR(SMALL(E367:E1087,ROW()-ROW($E$1090)+1),"")</f>
        <v>0</v>
      </c>
      <c r="F1334" s="0" t="str">
        <f aca="false">IFERROR(SMALL(F367:F1087,ROW()-ROW($F$1090)+1),"")</f>
        <v/>
      </c>
      <c r="G1334" s="0" t="n">
        <f aca="false">IFERROR(SMALL(G367:G1087,ROW()-ROW($G$1090)+1),"")</f>
        <v>0</v>
      </c>
      <c r="H1334" s="0" t="n">
        <f aca="false">IFERROR(SMALL(H367:H1087,ROW()-ROW($H$1090)+1),"")</f>
        <v>0</v>
      </c>
      <c r="K1334" s="0" t="n">
        <f aca="false">IFERROR(SMALL(K367:K1087,ROW()-ROW($K$1090)+1),"")</f>
        <v>0</v>
      </c>
      <c r="L1334" s="0" t="str">
        <f aca="false">IFERROR(SMALL(L367:L1087,ROW()-ROW($L$1090)+1),"")</f>
        <v/>
      </c>
      <c r="M1334" s="0" t="n">
        <f aca="false">IFERROR(SMALL(M367:M1087,ROW()-ROW($M$1090)+1),"")</f>
        <v>0</v>
      </c>
      <c r="N1334" s="0" t="n">
        <f aca="false">IFERROR(SMALL(N367:N1087,ROW()-ROW($N$1090)+1),"")</f>
        <v>0</v>
      </c>
    </row>
    <row r="1335" customFormat="false" ht="15" hidden="false" customHeight="false" outlineLevel="0" collapsed="false">
      <c r="E1335" s="0" t="n">
        <f aca="false">IFERROR(SMALL(E367:E1087,ROW()-ROW($E$1090)+1),"")</f>
        <v>0</v>
      </c>
      <c r="F1335" s="0" t="str">
        <f aca="false">IFERROR(SMALL(F367:F1087,ROW()-ROW($F$1090)+1),"")</f>
        <v/>
      </c>
      <c r="G1335" s="0" t="n">
        <f aca="false">IFERROR(SMALL(G367:G1087,ROW()-ROW($G$1090)+1),"")</f>
        <v>0</v>
      </c>
      <c r="H1335" s="0" t="n">
        <f aca="false">IFERROR(SMALL(H367:H1087,ROW()-ROW($H$1090)+1),"")</f>
        <v>0</v>
      </c>
      <c r="K1335" s="0" t="n">
        <f aca="false">IFERROR(SMALL(K367:K1087,ROW()-ROW($K$1090)+1),"")</f>
        <v>0</v>
      </c>
      <c r="L1335" s="0" t="str">
        <f aca="false">IFERROR(SMALL(L367:L1087,ROW()-ROW($L$1090)+1),"")</f>
        <v/>
      </c>
      <c r="M1335" s="0" t="n">
        <f aca="false">IFERROR(SMALL(M367:M1087,ROW()-ROW($M$1090)+1),"")</f>
        <v>0</v>
      </c>
      <c r="N1335" s="0" t="n">
        <f aca="false">IFERROR(SMALL(N367:N1087,ROW()-ROW($N$1090)+1),"")</f>
        <v>0</v>
      </c>
    </row>
    <row r="1336" customFormat="false" ht="15" hidden="false" customHeight="false" outlineLevel="0" collapsed="false">
      <c r="E1336" s="0" t="n">
        <f aca="false">IFERROR(SMALL(E367:E1087,ROW()-ROW($E$1090)+1),"")</f>
        <v>0</v>
      </c>
      <c r="F1336" s="0" t="str">
        <f aca="false">IFERROR(SMALL(F367:F1087,ROW()-ROW($F$1090)+1),"")</f>
        <v/>
      </c>
      <c r="G1336" s="0" t="n">
        <f aca="false">IFERROR(SMALL(G367:G1087,ROW()-ROW($G$1090)+1),"")</f>
        <v>0</v>
      </c>
      <c r="H1336" s="0" t="n">
        <f aca="false">IFERROR(SMALL(H367:H1087,ROW()-ROW($H$1090)+1),"")</f>
        <v>0</v>
      </c>
      <c r="K1336" s="0" t="n">
        <f aca="false">IFERROR(SMALL(K367:K1087,ROW()-ROW($K$1090)+1),"")</f>
        <v>0</v>
      </c>
      <c r="L1336" s="0" t="str">
        <f aca="false">IFERROR(SMALL(L367:L1087,ROW()-ROW($L$1090)+1),"")</f>
        <v/>
      </c>
      <c r="M1336" s="0" t="n">
        <f aca="false">IFERROR(SMALL(M367:M1087,ROW()-ROW($M$1090)+1),"")</f>
        <v>0</v>
      </c>
      <c r="N1336" s="0" t="n">
        <f aca="false">IFERROR(SMALL(N367:N1087,ROW()-ROW($N$1090)+1),"")</f>
        <v>0</v>
      </c>
    </row>
    <row r="1337" customFormat="false" ht="15" hidden="false" customHeight="false" outlineLevel="0" collapsed="false">
      <c r="E1337" s="0" t="n">
        <f aca="false">IFERROR(SMALL(E367:E1087,ROW()-ROW($E$1090)+1),"")</f>
        <v>0</v>
      </c>
      <c r="F1337" s="0" t="str">
        <f aca="false">IFERROR(SMALL(F367:F1087,ROW()-ROW($F$1090)+1),"")</f>
        <v/>
      </c>
      <c r="G1337" s="0" t="n">
        <f aca="false">IFERROR(SMALL(G367:G1087,ROW()-ROW($G$1090)+1),"")</f>
        <v>0</v>
      </c>
      <c r="H1337" s="0" t="n">
        <f aca="false">IFERROR(SMALL(H367:H1087,ROW()-ROW($H$1090)+1),"")</f>
        <v>0</v>
      </c>
      <c r="K1337" s="0" t="n">
        <f aca="false">IFERROR(SMALL(K367:K1087,ROW()-ROW($K$1090)+1),"")</f>
        <v>0</v>
      </c>
      <c r="L1337" s="0" t="str">
        <f aca="false">IFERROR(SMALL(L367:L1087,ROW()-ROW($L$1090)+1),"")</f>
        <v/>
      </c>
      <c r="M1337" s="0" t="n">
        <f aca="false">IFERROR(SMALL(M367:M1087,ROW()-ROW($M$1090)+1),"")</f>
        <v>0</v>
      </c>
      <c r="N1337" s="0" t="n">
        <f aca="false">IFERROR(SMALL(N367:N1087,ROW()-ROW($N$1090)+1),"")</f>
        <v>0</v>
      </c>
    </row>
    <row r="1338" customFormat="false" ht="15" hidden="false" customHeight="false" outlineLevel="0" collapsed="false">
      <c r="E1338" s="0" t="n">
        <f aca="false">IFERROR(SMALL(E367:E1087,ROW()-ROW($E$1090)+1),"")</f>
        <v>0</v>
      </c>
      <c r="F1338" s="0" t="str">
        <f aca="false">IFERROR(SMALL(F367:F1087,ROW()-ROW($F$1090)+1),"")</f>
        <v/>
      </c>
      <c r="G1338" s="0" t="n">
        <f aca="false">IFERROR(SMALL(G367:G1087,ROW()-ROW($G$1090)+1),"")</f>
        <v>0</v>
      </c>
      <c r="H1338" s="0" t="n">
        <f aca="false">IFERROR(SMALL(H367:H1087,ROW()-ROW($H$1090)+1),"")</f>
        <v>0</v>
      </c>
      <c r="K1338" s="0" t="n">
        <f aca="false">IFERROR(SMALL(K367:K1087,ROW()-ROW($K$1090)+1),"")</f>
        <v>0</v>
      </c>
      <c r="L1338" s="0" t="str">
        <f aca="false">IFERROR(SMALL(L367:L1087,ROW()-ROW($L$1090)+1),"")</f>
        <v/>
      </c>
      <c r="M1338" s="0" t="n">
        <f aca="false">IFERROR(SMALL(M367:M1087,ROW()-ROW($M$1090)+1),"")</f>
        <v>0</v>
      </c>
      <c r="N1338" s="0" t="n">
        <f aca="false">IFERROR(SMALL(N367:N1087,ROW()-ROW($N$1090)+1),"")</f>
        <v>0</v>
      </c>
    </row>
    <row r="1339" customFormat="false" ht="15" hidden="false" customHeight="false" outlineLevel="0" collapsed="false">
      <c r="E1339" s="0" t="n">
        <f aca="false">IFERROR(SMALL(E367:E1087,ROW()-ROW($E$1090)+1),"")</f>
        <v>0</v>
      </c>
      <c r="F1339" s="0" t="str">
        <f aca="false">IFERROR(SMALL(F367:F1087,ROW()-ROW($F$1090)+1),"")</f>
        <v/>
      </c>
      <c r="G1339" s="0" t="n">
        <f aca="false">IFERROR(SMALL(G367:G1087,ROW()-ROW($G$1090)+1),"")</f>
        <v>0</v>
      </c>
      <c r="H1339" s="0" t="n">
        <f aca="false">IFERROR(SMALL(H367:H1087,ROW()-ROW($H$1090)+1),"")</f>
        <v>0</v>
      </c>
      <c r="K1339" s="0" t="n">
        <f aca="false">IFERROR(SMALL(K367:K1087,ROW()-ROW($K$1090)+1),"")</f>
        <v>0</v>
      </c>
      <c r="L1339" s="0" t="str">
        <f aca="false">IFERROR(SMALL(L367:L1087,ROW()-ROW($L$1090)+1),"")</f>
        <v/>
      </c>
      <c r="M1339" s="0" t="n">
        <f aca="false">IFERROR(SMALL(M367:M1087,ROW()-ROW($M$1090)+1),"")</f>
        <v>0</v>
      </c>
      <c r="N1339" s="0" t="n">
        <f aca="false">IFERROR(SMALL(N367:N1087,ROW()-ROW($N$1090)+1),"")</f>
        <v>0</v>
      </c>
    </row>
    <row r="1340" customFormat="false" ht="15" hidden="false" customHeight="false" outlineLevel="0" collapsed="false">
      <c r="E1340" s="0" t="n">
        <f aca="false">IFERROR(SMALL(E367:E1087,ROW()-ROW($E$1090)+1),"")</f>
        <v>0</v>
      </c>
      <c r="F1340" s="0" t="str">
        <f aca="false">IFERROR(SMALL(F367:F1087,ROW()-ROW($F$1090)+1),"")</f>
        <v/>
      </c>
      <c r="G1340" s="0" t="n">
        <f aca="false">IFERROR(SMALL(G367:G1087,ROW()-ROW($G$1090)+1),"")</f>
        <v>0</v>
      </c>
      <c r="H1340" s="0" t="n">
        <f aca="false">IFERROR(SMALL(H367:H1087,ROW()-ROW($H$1090)+1),"")</f>
        <v>0</v>
      </c>
      <c r="K1340" s="0" t="n">
        <f aca="false">IFERROR(SMALL(K367:K1087,ROW()-ROW($K$1090)+1),"")</f>
        <v>0</v>
      </c>
      <c r="L1340" s="0" t="str">
        <f aca="false">IFERROR(SMALL(L367:L1087,ROW()-ROW($L$1090)+1),"")</f>
        <v/>
      </c>
      <c r="M1340" s="0" t="n">
        <f aca="false">IFERROR(SMALL(M367:M1087,ROW()-ROW($M$1090)+1),"")</f>
        <v>0</v>
      </c>
      <c r="N1340" s="0" t="n">
        <f aca="false">IFERROR(SMALL(N367:N1087,ROW()-ROW($N$1090)+1),"")</f>
        <v>0</v>
      </c>
    </row>
    <row r="1341" customFormat="false" ht="15" hidden="false" customHeight="false" outlineLevel="0" collapsed="false">
      <c r="E1341" s="0" t="n">
        <f aca="false">IFERROR(SMALL(E367:E1087,ROW()-ROW($E$1090)+1),"")</f>
        <v>0</v>
      </c>
      <c r="F1341" s="0" t="str">
        <f aca="false">IFERROR(SMALL(F367:F1087,ROW()-ROW($F$1090)+1),"")</f>
        <v/>
      </c>
      <c r="G1341" s="0" t="n">
        <f aca="false">IFERROR(SMALL(G367:G1087,ROW()-ROW($G$1090)+1),"")</f>
        <v>0</v>
      </c>
      <c r="H1341" s="0" t="n">
        <f aca="false">IFERROR(SMALL(H367:H1087,ROW()-ROW($H$1090)+1),"")</f>
        <v>0</v>
      </c>
      <c r="K1341" s="0" t="n">
        <f aca="false">IFERROR(SMALL(K367:K1087,ROW()-ROW($K$1090)+1),"")</f>
        <v>0</v>
      </c>
      <c r="L1341" s="0" t="str">
        <f aca="false">IFERROR(SMALL(L367:L1087,ROW()-ROW($L$1090)+1),"")</f>
        <v/>
      </c>
      <c r="M1341" s="0" t="n">
        <f aca="false">IFERROR(SMALL(M367:M1087,ROW()-ROW($M$1090)+1),"")</f>
        <v>0</v>
      </c>
      <c r="N1341" s="0" t="n">
        <f aca="false">IFERROR(SMALL(N367:N1087,ROW()-ROW($N$1090)+1),"")</f>
        <v>0</v>
      </c>
    </row>
    <row r="1342" customFormat="false" ht="15" hidden="false" customHeight="false" outlineLevel="0" collapsed="false">
      <c r="E1342" s="0" t="n">
        <f aca="false">IFERROR(SMALL(E367:E1087,ROW()-ROW($E$1090)+1),"")</f>
        <v>0</v>
      </c>
      <c r="F1342" s="0" t="str">
        <f aca="false">IFERROR(SMALL(F367:F1087,ROW()-ROW($F$1090)+1),"")</f>
        <v/>
      </c>
      <c r="G1342" s="0" t="n">
        <f aca="false">IFERROR(SMALL(G367:G1087,ROW()-ROW($G$1090)+1),"")</f>
        <v>0</v>
      </c>
      <c r="H1342" s="0" t="n">
        <f aca="false">IFERROR(SMALL(H367:H1087,ROW()-ROW($H$1090)+1),"")</f>
        <v>0</v>
      </c>
      <c r="K1342" s="0" t="n">
        <f aca="false">IFERROR(SMALL(K367:K1087,ROW()-ROW($K$1090)+1),"")</f>
        <v>0</v>
      </c>
      <c r="L1342" s="0" t="str">
        <f aca="false">IFERROR(SMALL(L367:L1087,ROW()-ROW($L$1090)+1),"")</f>
        <v/>
      </c>
      <c r="M1342" s="0" t="n">
        <f aca="false">IFERROR(SMALL(M367:M1087,ROW()-ROW($M$1090)+1),"")</f>
        <v>0</v>
      </c>
      <c r="N1342" s="0" t="n">
        <f aca="false">IFERROR(SMALL(N367:N1087,ROW()-ROW($N$1090)+1),"")</f>
        <v>0</v>
      </c>
    </row>
    <row r="1343" customFormat="false" ht="15" hidden="false" customHeight="false" outlineLevel="0" collapsed="false">
      <c r="E1343" s="0" t="n">
        <f aca="false">IFERROR(SMALL(E367:E1087,ROW()-ROW($E$1090)+1),"")</f>
        <v>0</v>
      </c>
      <c r="F1343" s="0" t="str">
        <f aca="false">IFERROR(SMALL(F367:F1087,ROW()-ROW($F$1090)+1),"")</f>
        <v/>
      </c>
      <c r="G1343" s="0" t="n">
        <f aca="false">IFERROR(SMALL(G367:G1087,ROW()-ROW($G$1090)+1),"")</f>
        <v>0</v>
      </c>
      <c r="H1343" s="0" t="n">
        <f aca="false">IFERROR(SMALL(H367:H1087,ROW()-ROW($H$1090)+1),"")</f>
        <v>0</v>
      </c>
      <c r="K1343" s="0" t="n">
        <f aca="false">IFERROR(SMALL(K367:K1087,ROW()-ROW($K$1090)+1),"")</f>
        <v>0</v>
      </c>
      <c r="L1343" s="0" t="str">
        <f aca="false">IFERROR(SMALL(L367:L1087,ROW()-ROW($L$1090)+1),"")</f>
        <v/>
      </c>
      <c r="M1343" s="0" t="n">
        <f aca="false">IFERROR(SMALL(M367:M1087,ROW()-ROW($M$1090)+1),"")</f>
        <v>0</v>
      </c>
      <c r="N1343" s="0" t="n">
        <f aca="false">IFERROR(SMALL(N367:N1087,ROW()-ROW($N$1090)+1),"")</f>
        <v>0</v>
      </c>
    </row>
    <row r="1344" customFormat="false" ht="15" hidden="false" customHeight="false" outlineLevel="0" collapsed="false">
      <c r="E1344" s="0" t="n">
        <f aca="false">IFERROR(SMALL(E367:E1087,ROW()-ROW($E$1090)+1),"")</f>
        <v>0</v>
      </c>
      <c r="F1344" s="0" t="str">
        <f aca="false">IFERROR(SMALL(F367:F1087,ROW()-ROW($F$1090)+1),"")</f>
        <v/>
      </c>
      <c r="G1344" s="0" t="n">
        <f aca="false">IFERROR(SMALL(G367:G1087,ROW()-ROW($G$1090)+1),"")</f>
        <v>0</v>
      </c>
      <c r="H1344" s="0" t="n">
        <f aca="false">IFERROR(SMALL(H367:H1087,ROW()-ROW($H$1090)+1),"")</f>
        <v>0</v>
      </c>
      <c r="K1344" s="0" t="n">
        <f aca="false">IFERROR(SMALL(K367:K1087,ROW()-ROW($K$1090)+1),"")</f>
        <v>0</v>
      </c>
      <c r="L1344" s="0" t="str">
        <f aca="false">IFERROR(SMALL(L367:L1087,ROW()-ROW($L$1090)+1),"")</f>
        <v/>
      </c>
      <c r="M1344" s="0" t="n">
        <f aca="false">IFERROR(SMALL(M367:M1087,ROW()-ROW($M$1090)+1),"")</f>
        <v>0</v>
      </c>
      <c r="N1344" s="0" t="n">
        <f aca="false">IFERROR(SMALL(N367:N1087,ROW()-ROW($N$1090)+1),"")</f>
        <v>0</v>
      </c>
    </row>
    <row r="1345" customFormat="false" ht="15" hidden="false" customHeight="false" outlineLevel="0" collapsed="false">
      <c r="E1345" s="0" t="n">
        <f aca="false">IFERROR(SMALL(E367:E1087,ROW()-ROW($E$1090)+1),"")</f>
        <v>0</v>
      </c>
      <c r="F1345" s="0" t="str">
        <f aca="false">IFERROR(SMALL(F367:F1087,ROW()-ROW($F$1090)+1),"")</f>
        <v/>
      </c>
      <c r="G1345" s="0" t="n">
        <f aca="false">IFERROR(SMALL(G367:G1087,ROW()-ROW($G$1090)+1),"")</f>
        <v>0</v>
      </c>
      <c r="H1345" s="0" t="n">
        <f aca="false">IFERROR(SMALL(H367:H1087,ROW()-ROW($H$1090)+1),"")</f>
        <v>0</v>
      </c>
      <c r="K1345" s="0" t="n">
        <f aca="false">IFERROR(SMALL(K367:K1087,ROW()-ROW($K$1090)+1),"")</f>
        <v>0</v>
      </c>
      <c r="L1345" s="0" t="str">
        <f aca="false">IFERROR(SMALL(L367:L1087,ROW()-ROW($L$1090)+1),"")</f>
        <v/>
      </c>
      <c r="M1345" s="0" t="n">
        <f aca="false">IFERROR(SMALL(M367:M1087,ROW()-ROW($M$1090)+1),"")</f>
        <v>0</v>
      </c>
      <c r="N1345" s="0" t="n">
        <f aca="false">IFERROR(SMALL(N367:N1087,ROW()-ROW($N$1090)+1),"")</f>
        <v>0</v>
      </c>
    </row>
    <row r="1346" customFormat="false" ht="15" hidden="false" customHeight="false" outlineLevel="0" collapsed="false">
      <c r="E1346" s="0" t="n">
        <f aca="false">IFERROR(SMALL(E367:E1087,ROW()-ROW($E$1090)+1),"")</f>
        <v>0</v>
      </c>
      <c r="F1346" s="0" t="str">
        <f aca="false">IFERROR(SMALL(F367:F1087,ROW()-ROW($F$1090)+1),"")</f>
        <v/>
      </c>
      <c r="G1346" s="0" t="n">
        <f aca="false">IFERROR(SMALL(G367:G1087,ROW()-ROW($G$1090)+1),"")</f>
        <v>0</v>
      </c>
      <c r="H1346" s="0" t="n">
        <f aca="false">IFERROR(SMALL(H367:H1087,ROW()-ROW($H$1090)+1),"")</f>
        <v>0</v>
      </c>
      <c r="K1346" s="0" t="n">
        <f aca="false">IFERROR(SMALL(K367:K1087,ROW()-ROW($K$1090)+1),"")</f>
        <v>0</v>
      </c>
      <c r="L1346" s="0" t="str">
        <f aca="false">IFERROR(SMALL(L367:L1087,ROW()-ROW($L$1090)+1),"")</f>
        <v/>
      </c>
      <c r="M1346" s="0" t="n">
        <f aca="false">IFERROR(SMALL(M367:M1087,ROW()-ROW($M$1090)+1),"")</f>
        <v>0</v>
      </c>
      <c r="N1346" s="0" t="n">
        <f aca="false">IFERROR(SMALL(N367:N1087,ROW()-ROW($N$1090)+1),"")</f>
        <v>0</v>
      </c>
    </row>
    <row r="1347" customFormat="false" ht="15" hidden="false" customHeight="false" outlineLevel="0" collapsed="false">
      <c r="E1347" s="0" t="n">
        <f aca="false">IFERROR(SMALL(E367:E1087,ROW()-ROW($E$1090)+1),"")</f>
        <v>0</v>
      </c>
      <c r="F1347" s="0" t="str">
        <f aca="false">IFERROR(SMALL(F367:F1087,ROW()-ROW($F$1090)+1),"")</f>
        <v/>
      </c>
      <c r="G1347" s="0" t="n">
        <f aca="false">IFERROR(SMALL(G367:G1087,ROW()-ROW($G$1090)+1),"")</f>
        <v>0</v>
      </c>
      <c r="H1347" s="0" t="n">
        <f aca="false">IFERROR(SMALL(H367:H1087,ROW()-ROW($H$1090)+1),"")</f>
        <v>0</v>
      </c>
      <c r="K1347" s="0" t="n">
        <f aca="false">IFERROR(SMALL(K367:K1087,ROW()-ROW($K$1090)+1),"")</f>
        <v>0</v>
      </c>
      <c r="L1347" s="0" t="str">
        <f aca="false">IFERROR(SMALL(L367:L1087,ROW()-ROW($L$1090)+1),"")</f>
        <v/>
      </c>
      <c r="M1347" s="0" t="n">
        <f aca="false">IFERROR(SMALL(M367:M1087,ROW()-ROW($M$1090)+1),"")</f>
        <v>0</v>
      </c>
      <c r="N1347" s="0" t="n">
        <f aca="false">IFERROR(SMALL(N367:N1087,ROW()-ROW($N$1090)+1),"")</f>
        <v>0</v>
      </c>
    </row>
    <row r="1348" customFormat="false" ht="15" hidden="false" customHeight="false" outlineLevel="0" collapsed="false">
      <c r="E1348" s="0" t="n">
        <f aca="false">IFERROR(SMALL(E367:E1087,ROW()-ROW($E$1090)+1),"")</f>
        <v>0</v>
      </c>
      <c r="F1348" s="0" t="str">
        <f aca="false">IFERROR(SMALL(F367:F1087,ROW()-ROW($F$1090)+1),"")</f>
        <v/>
      </c>
      <c r="G1348" s="0" t="n">
        <f aca="false">IFERROR(SMALL(G367:G1087,ROW()-ROW($G$1090)+1),"")</f>
        <v>0</v>
      </c>
      <c r="H1348" s="0" t="n">
        <f aca="false">IFERROR(SMALL(H367:H1087,ROW()-ROW($H$1090)+1),"")</f>
        <v>0</v>
      </c>
      <c r="K1348" s="0" t="n">
        <f aca="false">IFERROR(SMALL(K367:K1087,ROW()-ROW($K$1090)+1),"")</f>
        <v>0</v>
      </c>
      <c r="L1348" s="0" t="str">
        <f aca="false">IFERROR(SMALL(L367:L1087,ROW()-ROW($L$1090)+1),"")</f>
        <v/>
      </c>
      <c r="M1348" s="0" t="n">
        <f aca="false">IFERROR(SMALL(M367:M1087,ROW()-ROW($M$1090)+1),"")</f>
        <v>0</v>
      </c>
      <c r="N1348" s="0" t="n">
        <f aca="false">IFERROR(SMALL(N367:N1087,ROW()-ROW($N$1090)+1),"")</f>
        <v>0</v>
      </c>
    </row>
    <row r="1349" customFormat="false" ht="15" hidden="false" customHeight="false" outlineLevel="0" collapsed="false">
      <c r="E1349" s="0" t="n">
        <f aca="false">IFERROR(SMALL(E367:E1087,ROW()-ROW($E$1090)+1),"")</f>
        <v>0</v>
      </c>
      <c r="F1349" s="0" t="str">
        <f aca="false">IFERROR(SMALL(F367:F1087,ROW()-ROW($F$1090)+1),"")</f>
        <v/>
      </c>
      <c r="G1349" s="0" t="n">
        <f aca="false">IFERROR(SMALL(G367:G1087,ROW()-ROW($G$1090)+1),"")</f>
        <v>0</v>
      </c>
      <c r="H1349" s="0" t="n">
        <f aca="false">IFERROR(SMALL(H367:H1087,ROW()-ROW($H$1090)+1),"")</f>
        <v>0</v>
      </c>
      <c r="K1349" s="0" t="n">
        <f aca="false">IFERROR(SMALL(K367:K1087,ROW()-ROW($K$1090)+1),"")</f>
        <v>0</v>
      </c>
      <c r="L1349" s="0" t="str">
        <f aca="false">IFERROR(SMALL(L367:L1087,ROW()-ROW($L$1090)+1),"")</f>
        <v/>
      </c>
      <c r="M1349" s="0" t="n">
        <f aca="false">IFERROR(SMALL(M367:M1087,ROW()-ROW($M$1090)+1),"")</f>
        <v>0</v>
      </c>
      <c r="N1349" s="0" t="n">
        <f aca="false">IFERROR(SMALL(N367:N1087,ROW()-ROW($N$1090)+1),"")</f>
        <v>0</v>
      </c>
    </row>
    <row r="1350" customFormat="false" ht="15" hidden="false" customHeight="false" outlineLevel="0" collapsed="false">
      <c r="E1350" s="0" t="n">
        <f aca="false">IFERROR(SMALL(E367:E1087,ROW()-ROW($E$1090)+1),"")</f>
        <v>0</v>
      </c>
      <c r="F1350" s="0" t="str">
        <f aca="false">IFERROR(SMALL(F367:F1087,ROW()-ROW($F$1090)+1),"")</f>
        <v/>
      </c>
      <c r="G1350" s="0" t="n">
        <f aca="false">IFERROR(SMALL(G367:G1087,ROW()-ROW($G$1090)+1),"")</f>
        <v>0</v>
      </c>
      <c r="H1350" s="0" t="n">
        <f aca="false">IFERROR(SMALL(H367:H1087,ROW()-ROW($H$1090)+1),"")</f>
        <v>0</v>
      </c>
      <c r="K1350" s="0" t="n">
        <f aca="false">IFERROR(SMALL(K367:K1087,ROW()-ROW($K$1090)+1),"")</f>
        <v>0</v>
      </c>
      <c r="L1350" s="0" t="str">
        <f aca="false">IFERROR(SMALL(L367:L1087,ROW()-ROW($L$1090)+1),"")</f>
        <v/>
      </c>
      <c r="M1350" s="0" t="n">
        <f aca="false">IFERROR(SMALL(M367:M1087,ROW()-ROW($M$1090)+1),"")</f>
        <v>0</v>
      </c>
      <c r="N1350" s="0" t="n">
        <f aca="false">IFERROR(SMALL(N367:N1087,ROW()-ROW($N$1090)+1),"")</f>
        <v>0</v>
      </c>
    </row>
    <row r="1351" customFormat="false" ht="15" hidden="false" customHeight="false" outlineLevel="0" collapsed="false">
      <c r="E1351" s="0" t="n">
        <f aca="false">IFERROR(SMALL(E367:E1087,ROW()-ROW($E$1090)+1),"")</f>
        <v>0</v>
      </c>
      <c r="F1351" s="0" t="str">
        <f aca="false">IFERROR(SMALL(F367:F1087,ROW()-ROW($F$1090)+1),"")</f>
        <v/>
      </c>
      <c r="G1351" s="0" t="n">
        <f aca="false">IFERROR(SMALL(G367:G1087,ROW()-ROW($G$1090)+1),"")</f>
        <v>0</v>
      </c>
      <c r="H1351" s="0" t="n">
        <f aca="false">IFERROR(SMALL(H367:H1087,ROW()-ROW($H$1090)+1),"")</f>
        <v>0</v>
      </c>
      <c r="K1351" s="0" t="n">
        <f aca="false">IFERROR(SMALL(K367:K1087,ROW()-ROW($K$1090)+1),"")</f>
        <v>0</v>
      </c>
      <c r="L1351" s="0" t="str">
        <f aca="false">IFERROR(SMALL(L367:L1087,ROW()-ROW($L$1090)+1),"")</f>
        <v/>
      </c>
      <c r="M1351" s="0" t="n">
        <f aca="false">IFERROR(SMALL(M367:M1087,ROW()-ROW($M$1090)+1),"")</f>
        <v>0</v>
      </c>
      <c r="N1351" s="0" t="n">
        <f aca="false">IFERROR(SMALL(N367:N1087,ROW()-ROW($N$1090)+1),"")</f>
        <v>0</v>
      </c>
    </row>
    <row r="1352" customFormat="false" ht="15" hidden="false" customHeight="false" outlineLevel="0" collapsed="false">
      <c r="E1352" s="0" t="n">
        <f aca="false">IFERROR(SMALL(E367:E1087,ROW()-ROW($E$1090)+1),"")</f>
        <v>0</v>
      </c>
      <c r="F1352" s="0" t="str">
        <f aca="false">IFERROR(SMALL(F367:F1087,ROW()-ROW($F$1090)+1),"")</f>
        <v/>
      </c>
      <c r="G1352" s="0" t="n">
        <f aca="false">IFERROR(SMALL(G367:G1087,ROW()-ROW($G$1090)+1),"")</f>
        <v>0</v>
      </c>
      <c r="H1352" s="0" t="n">
        <f aca="false">IFERROR(SMALL(H367:H1087,ROW()-ROW($H$1090)+1),"")</f>
        <v>0</v>
      </c>
      <c r="K1352" s="0" t="n">
        <f aca="false">IFERROR(SMALL(K367:K1087,ROW()-ROW($K$1090)+1),"")</f>
        <v>0</v>
      </c>
      <c r="L1352" s="0" t="str">
        <f aca="false">IFERROR(SMALL(L367:L1087,ROW()-ROW($L$1090)+1),"")</f>
        <v/>
      </c>
      <c r="M1352" s="0" t="n">
        <f aca="false">IFERROR(SMALL(M367:M1087,ROW()-ROW($M$1090)+1),"")</f>
        <v>0</v>
      </c>
      <c r="N1352" s="0" t="n">
        <f aca="false">IFERROR(SMALL(N367:N1087,ROW()-ROW($N$1090)+1),"")</f>
        <v>0</v>
      </c>
    </row>
    <row r="1353" customFormat="false" ht="15" hidden="false" customHeight="false" outlineLevel="0" collapsed="false">
      <c r="E1353" s="0" t="n">
        <f aca="false">IFERROR(SMALL(E367:E1087,ROW()-ROW($E$1090)+1),"")</f>
        <v>0</v>
      </c>
      <c r="F1353" s="0" t="str">
        <f aca="false">IFERROR(SMALL(F367:F1087,ROW()-ROW($F$1090)+1),"")</f>
        <v/>
      </c>
      <c r="G1353" s="0" t="n">
        <f aca="false">IFERROR(SMALL(G367:G1087,ROW()-ROW($G$1090)+1),"")</f>
        <v>0</v>
      </c>
      <c r="H1353" s="0" t="n">
        <f aca="false">IFERROR(SMALL(H367:H1087,ROW()-ROW($H$1090)+1),"")</f>
        <v>0</v>
      </c>
      <c r="K1353" s="0" t="n">
        <f aca="false">IFERROR(SMALL(K367:K1087,ROW()-ROW($K$1090)+1),"")</f>
        <v>0</v>
      </c>
      <c r="L1353" s="0" t="str">
        <f aca="false">IFERROR(SMALL(L367:L1087,ROW()-ROW($L$1090)+1),"")</f>
        <v/>
      </c>
      <c r="M1353" s="0" t="n">
        <f aca="false">IFERROR(SMALL(M367:M1087,ROW()-ROW($M$1090)+1),"")</f>
        <v>0</v>
      </c>
      <c r="N1353" s="0" t="n">
        <f aca="false">IFERROR(SMALL(N367:N1087,ROW()-ROW($N$1090)+1),"")</f>
        <v>0</v>
      </c>
    </row>
    <row r="1354" customFormat="false" ht="15" hidden="false" customHeight="false" outlineLevel="0" collapsed="false">
      <c r="E1354" s="0" t="n">
        <f aca="false">IFERROR(SMALL(E367:E1087,ROW()-ROW($E$1090)+1),"")</f>
        <v>0</v>
      </c>
      <c r="F1354" s="0" t="str">
        <f aca="false">IFERROR(SMALL(F367:F1087,ROW()-ROW($F$1090)+1),"")</f>
        <v/>
      </c>
      <c r="G1354" s="0" t="n">
        <f aca="false">IFERROR(SMALL(G367:G1087,ROW()-ROW($G$1090)+1),"")</f>
        <v>0</v>
      </c>
      <c r="H1354" s="0" t="n">
        <f aca="false">IFERROR(SMALL(H367:H1087,ROW()-ROW($H$1090)+1),"")</f>
        <v>0</v>
      </c>
      <c r="K1354" s="0" t="n">
        <f aca="false">IFERROR(SMALL(K367:K1087,ROW()-ROW($K$1090)+1),"")</f>
        <v>0</v>
      </c>
      <c r="L1354" s="0" t="str">
        <f aca="false">IFERROR(SMALL(L367:L1087,ROW()-ROW($L$1090)+1),"")</f>
        <v/>
      </c>
      <c r="M1354" s="0" t="n">
        <f aca="false">IFERROR(SMALL(M367:M1087,ROW()-ROW($M$1090)+1),"")</f>
        <v>0</v>
      </c>
      <c r="N1354" s="0" t="n">
        <f aca="false">IFERROR(SMALL(N367:N1087,ROW()-ROW($N$1090)+1),"")</f>
        <v>0</v>
      </c>
    </row>
    <row r="1355" customFormat="false" ht="15" hidden="false" customHeight="false" outlineLevel="0" collapsed="false">
      <c r="E1355" s="0" t="n">
        <f aca="false">IFERROR(SMALL(E367:E1087,ROW()-ROW($E$1090)+1),"")</f>
        <v>0</v>
      </c>
      <c r="F1355" s="0" t="str">
        <f aca="false">IFERROR(SMALL(F367:F1087,ROW()-ROW($F$1090)+1),"")</f>
        <v/>
      </c>
      <c r="G1355" s="0" t="n">
        <f aca="false">IFERROR(SMALL(G367:G1087,ROW()-ROW($G$1090)+1),"")</f>
        <v>0</v>
      </c>
      <c r="H1355" s="0" t="n">
        <f aca="false">IFERROR(SMALL(H367:H1087,ROW()-ROW($H$1090)+1),"")</f>
        <v>0</v>
      </c>
      <c r="K1355" s="0" t="n">
        <f aca="false">IFERROR(SMALL(K367:K1087,ROW()-ROW($K$1090)+1),"")</f>
        <v>0</v>
      </c>
      <c r="L1355" s="0" t="str">
        <f aca="false">IFERROR(SMALL(L367:L1087,ROW()-ROW($L$1090)+1),"")</f>
        <v/>
      </c>
      <c r="M1355" s="0" t="n">
        <f aca="false">IFERROR(SMALL(M367:M1087,ROW()-ROW($M$1090)+1),"")</f>
        <v>0</v>
      </c>
      <c r="N1355" s="0" t="n">
        <f aca="false">IFERROR(SMALL(N367:N1087,ROW()-ROW($N$1090)+1),"")</f>
        <v>0</v>
      </c>
    </row>
    <row r="1356" customFormat="false" ht="15" hidden="false" customHeight="false" outlineLevel="0" collapsed="false">
      <c r="E1356" s="0" t="n">
        <f aca="false">IFERROR(SMALL(E367:E1087,ROW()-ROW($E$1090)+1),"")</f>
        <v>0</v>
      </c>
      <c r="F1356" s="0" t="str">
        <f aca="false">IFERROR(SMALL(F367:F1087,ROW()-ROW($F$1090)+1),"")</f>
        <v/>
      </c>
      <c r="G1356" s="0" t="n">
        <f aca="false">IFERROR(SMALL(G367:G1087,ROW()-ROW($G$1090)+1),"")</f>
        <v>0</v>
      </c>
      <c r="H1356" s="0" t="n">
        <f aca="false">IFERROR(SMALL(H367:H1087,ROW()-ROW($H$1090)+1),"")</f>
        <v>0</v>
      </c>
      <c r="K1356" s="0" t="n">
        <f aca="false">IFERROR(SMALL(K367:K1087,ROW()-ROW($K$1090)+1),"")</f>
        <v>0</v>
      </c>
      <c r="L1356" s="0" t="str">
        <f aca="false">IFERROR(SMALL(L367:L1087,ROW()-ROW($L$1090)+1),"")</f>
        <v/>
      </c>
      <c r="M1356" s="0" t="n">
        <f aca="false">IFERROR(SMALL(M367:M1087,ROW()-ROW($M$1090)+1),"")</f>
        <v>0</v>
      </c>
      <c r="N1356" s="0" t="n">
        <f aca="false">IFERROR(SMALL(N367:N1087,ROW()-ROW($N$1090)+1),"")</f>
        <v>0</v>
      </c>
    </row>
    <row r="1357" customFormat="false" ht="15" hidden="false" customHeight="false" outlineLevel="0" collapsed="false">
      <c r="E1357" s="0" t="n">
        <f aca="false">IFERROR(SMALL(E367:E1087,ROW()-ROW($E$1090)+1),"")</f>
        <v>0</v>
      </c>
      <c r="F1357" s="0" t="str">
        <f aca="false">IFERROR(SMALL(F367:F1087,ROW()-ROW($F$1090)+1),"")</f>
        <v/>
      </c>
      <c r="G1357" s="0" t="n">
        <f aca="false">IFERROR(SMALL(G367:G1087,ROW()-ROW($G$1090)+1),"")</f>
        <v>0</v>
      </c>
      <c r="H1357" s="0" t="n">
        <f aca="false">IFERROR(SMALL(H367:H1087,ROW()-ROW($H$1090)+1),"")</f>
        <v>0</v>
      </c>
      <c r="K1357" s="0" t="n">
        <f aca="false">IFERROR(SMALL(K367:K1087,ROW()-ROW($K$1090)+1),"")</f>
        <v>0</v>
      </c>
      <c r="L1357" s="0" t="str">
        <f aca="false">IFERROR(SMALL(L367:L1087,ROW()-ROW($L$1090)+1),"")</f>
        <v/>
      </c>
      <c r="M1357" s="0" t="n">
        <f aca="false">IFERROR(SMALL(M367:M1087,ROW()-ROW($M$1090)+1),"")</f>
        <v>0</v>
      </c>
      <c r="N1357" s="0" t="n">
        <f aca="false">IFERROR(SMALL(N367:N1087,ROW()-ROW($N$1090)+1),"")</f>
        <v>0</v>
      </c>
    </row>
    <row r="1358" customFormat="false" ht="15" hidden="false" customHeight="false" outlineLevel="0" collapsed="false">
      <c r="E1358" s="0" t="n">
        <f aca="false">IFERROR(SMALL(E367:E1087,ROW()-ROW($E$1090)+1),"")</f>
        <v>0</v>
      </c>
      <c r="F1358" s="0" t="str">
        <f aca="false">IFERROR(SMALL(F367:F1087,ROW()-ROW($F$1090)+1),"")</f>
        <v/>
      </c>
      <c r="G1358" s="0" t="n">
        <f aca="false">IFERROR(SMALL(G367:G1087,ROW()-ROW($G$1090)+1),"")</f>
        <v>0</v>
      </c>
      <c r="H1358" s="0" t="n">
        <f aca="false">IFERROR(SMALL(H367:H1087,ROW()-ROW($H$1090)+1),"")</f>
        <v>0</v>
      </c>
      <c r="K1358" s="0" t="n">
        <f aca="false">IFERROR(SMALL(K367:K1087,ROW()-ROW($K$1090)+1),"")</f>
        <v>0</v>
      </c>
      <c r="L1358" s="0" t="str">
        <f aca="false">IFERROR(SMALL(L367:L1087,ROW()-ROW($L$1090)+1),"")</f>
        <v/>
      </c>
      <c r="M1358" s="0" t="n">
        <f aca="false">IFERROR(SMALL(M367:M1087,ROW()-ROW($M$1090)+1),"")</f>
        <v>0</v>
      </c>
      <c r="N1358" s="0" t="n">
        <f aca="false">IFERROR(SMALL(N367:N1087,ROW()-ROW($N$1090)+1),"")</f>
        <v>0</v>
      </c>
    </row>
    <row r="1359" customFormat="false" ht="15" hidden="false" customHeight="false" outlineLevel="0" collapsed="false">
      <c r="E1359" s="0" t="n">
        <f aca="false">IFERROR(SMALL(E367:E1087,ROW()-ROW($E$1090)+1),"")</f>
        <v>0</v>
      </c>
      <c r="F1359" s="0" t="str">
        <f aca="false">IFERROR(SMALL(F367:F1087,ROW()-ROW($F$1090)+1),"")</f>
        <v/>
      </c>
      <c r="G1359" s="0" t="n">
        <f aca="false">IFERROR(SMALL(G367:G1087,ROW()-ROW($G$1090)+1),"")</f>
        <v>0</v>
      </c>
      <c r="H1359" s="0" t="n">
        <f aca="false">IFERROR(SMALL(H367:H1087,ROW()-ROW($H$1090)+1),"")</f>
        <v>0</v>
      </c>
      <c r="K1359" s="0" t="n">
        <f aca="false">IFERROR(SMALL(K367:K1087,ROW()-ROW($K$1090)+1),"")</f>
        <v>0</v>
      </c>
      <c r="L1359" s="0" t="str">
        <f aca="false">IFERROR(SMALL(L367:L1087,ROW()-ROW($L$1090)+1),"")</f>
        <v/>
      </c>
      <c r="M1359" s="0" t="n">
        <f aca="false">IFERROR(SMALL(M367:M1087,ROW()-ROW($M$1090)+1),"")</f>
        <v>0</v>
      </c>
      <c r="N1359" s="0" t="n">
        <f aca="false">IFERROR(SMALL(N367:N1087,ROW()-ROW($N$1090)+1),"")</f>
        <v>0</v>
      </c>
    </row>
    <row r="1360" customFormat="false" ht="15" hidden="false" customHeight="false" outlineLevel="0" collapsed="false">
      <c r="E1360" s="0" t="n">
        <f aca="false">IFERROR(SMALL(E367:E1087,ROW()-ROW($E$1090)+1),"")</f>
        <v>0</v>
      </c>
      <c r="F1360" s="0" t="str">
        <f aca="false">IFERROR(SMALL(F367:F1087,ROW()-ROW($F$1090)+1),"")</f>
        <v/>
      </c>
      <c r="G1360" s="0" t="n">
        <f aca="false">IFERROR(SMALL(G367:G1087,ROW()-ROW($G$1090)+1),"")</f>
        <v>0</v>
      </c>
      <c r="H1360" s="0" t="n">
        <f aca="false">IFERROR(SMALL(H367:H1087,ROW()-ROW($H$1090)+1),"")</f>
        <v>0</v>
      </c>
      <c r="K1360" s="0" t="n">
        <f aca="false">IFERROR(SMALL(K367:K1087,ROW()-ROW($K$1090)+1),"")</f>
        <v>0</v>
      </c>
      <c r="L1360" s="0" t="str">
        <f aca="false">IFERROR(SMALL(L367:L1087,ROW()-ROW($L$1090)+1),"")</f>
        <v/>
      </c>
      <c r="M1360" s="0" t="n">
        <f aca="false">IFERROR(SMALL(M367:M1087,ROW()-ROW($M$1090)+1),"")</f>
        <v>0</v>
      </c>
      <c r="N1360" s="0" t="n">
        <f aca="false">IFERROR(SMALL(N367:N1087,ROW()-ROW($N$1090)+1),"")</f>
        <v>0</v>
      </c>
    </row>
    <row r="1361" customFormat="false" ht="15" hidden="false" customHeight="false" outlineLevel="0" collapsed="false">
      <c r="E1361" s="0" t="n">
        <f aca="false">IFERROR(SMALL(E367:E1087,ROW()-ROW($E$1090)+1),"")</f>
        <v>0</v>
      </c>
      <c r="F1361" s="0" t="str">
        <f aca="false">IFERROR(SMALL(F367:F1087,ROW()-ROW($F$1090)+1),"")</f>
        <v/>
      </c>
      <c r="G1361" s="0" t="n">
        <f aca="false">IFERROR(SMALL(G367:G1087,ROW()-ROW($G$1090)+1),"")</f>
        <v>0</v>
      </c>
      <c r="H1361" s="0" t="n">
        <f aca="false">IFERROR(SMALL(H367:H1087,ROW()-ROW($H$1090)+1),"")</f>
        <v>0</v>
      </c>
      <c r="K1361" s="0" t="n">
        <f aca="false">IFERROR(SMALL(K367:K1087,ROW()-ROW($K$1090)+1),"")</f>
        <v>0</v>
      </c>
      <c r="L1361" s="0" t="str">
        <f aca="false">IFERROR(SMALL(L367:L1087,ROW()-ROW($L$1090)+1),"")</f>
        <v/>
      </c>
      <c r="M1361" s="0" t="n">
        <f aca="false">IFERROR(SMALL(M367:M1087,ROW()-ROW($M$1090)+1),"")</f>
        <v>0</v>
      </c>
      <c r="N1361" s="0" t="n">
        <f aca="false">IFERROR(SMALL(N367:N1087,ROW()-ROW($N$1090)+1),"")</f>
        <v>0</v>
      </c>
    </row>
    <row r="1362" customFormat="false" ht="15" hidden="false" customHeight="false" outlineLevel="0" collapsed="false">
      <c r="E1362" s="0" t="n">
        <f aca="false">IFERROR(SMALL(E367:E1087,ROW()-ROW($E$1090)+1),"")</f>
        <v>0</v>
      </c>
      <c r="F1362" s="0" t="str">
        <f aca="false">IFERROR(SMALL(F367:F1087,ROW()-ROW($F$1090)+1),"")</f>
        <v/>
      </c>
      <c r="G1362" s="0" t="n">
        <f aca="false">IFERROR(SMALL(G367:G1087,ROW()-ROW($G$1090)+1),"")</f>
        <v>0</v>
      </c>
      <c r="H1362" s="0" t="n">
        <f aca="false">IFERROR(SMALL(H367:H1087,ROW()-ROW($H$1090)+1),"")</f>
        <v>0</v>
      </c>
      <c r="K1362" s="0" t="n">
        <f aca="false">IFERROR(SMALL(K367:K1087,ROW()-ROW($K$1090)+1),"")</f>
        <v>0</v>
      </c>
      <c r="L1362" s="0" t="str">
        <f aca="false">IFERROR(SMALL(L367:L1087,ROW()-ROW($L$1090)+1),"")</f>
        <v/>
      </c>
      <c r="M1362" s="0" t="n">
        <f aca="false">IFERROR(SMALL(M367:M1087,ROW()-ROW($M$1090)+1),"")</f>
        <v>0</v>
      </c>
      <c r="N1362" s="0" t="n">
        <f aca="false">IFERROR(SMALL(N367:N1087,ROW()-ROW($N$1090)+1),"")</f>
        <v>0</v>
      </c>
    </row>
    <row r="1363" customFormat="false" ht="15" hidden="false" customHeight="false" outlineLevel="0" collapsed="false">
      <c r="E1363" s="0" t="n">
        <f aca="false">IFERROR(SMALL(E367:E1087,ROW()-ROW($E$1090)+1),"")</f>
        <v>0</v>
      </c>
      <c r="F1363" s="0" t="str">
        <f aca="false">IFERROR(SMALL(F367:F1087,ROW()-ROW($F$1090)+1),"")</f>
        <v/>
      </c>
      <c r="G1363" s="0" t="n">
        <f aca="false">IFERROR(SMALL(G367:G1087,ROW()-ROW($G$1090)+1),"")</f>
        <v>0</v>
      </c>
      <c r="H1363" s="0" t="n">
        <f aca="false">IFERROR(SMALL(H367:H1087,ROW()-ROW($H$1090)+1),"")</f>
        <v>0</v>
      </c>
      <c r="K1363" s="0" t="n">
        <f aca="false">IFERROR(SMALL(K367:K1087,ROW()-ROW($K$1090)+1),"")</f>
        <v>0</v>
      </c>
      <c r="L1363" s="0" t="str">
        <f aca="false">IFERROR(SMALL(L367:L1087,ROW()-ROW($L$1090)+1),"")</f>
        <v/>
      </c>
      <c r="M1363" s="0" t="n">
        <f aca="false">IFERROR(SMALL(M367:M1087,ROW()-ROW($M$1090)+1),"")</f>
        <v>0</v>
      </c>
      <c r="N1363" s="0" t="n">
        <f aca="false">IFERROR(SMALL(N367:N1087,ROW()-ROW($N$1090)+1),"")</f>
        <v>0</v>
      </c>
    </row>
    <row r="1364" customFormat="false" ht="15" hidden="false" customHeight="false" outlineLevel="0" collapsed="false">
      <c r="E1364" s="0" t="n">
        <f aca="false">IFERROR(SMALL(E367:E1087,ROW()-ROW($E$1090)+1),"")</f>
        <v>0</v>
      </c>
      <c r="F1364" s="0" t="str">
        <f aca="false">IFERROR(SMALL(F367:F1087,ROW()-ROW($F$1090)+1),"")</f>
        <v/>
      </c>
      <c r="G1364" s="0" t="n">
        <f aca="false">IFERROR(SMALL(G367:G1087,ROW()-ROW($G$1090)+1),"")</f>
        <v>0</v>
      </c>
      <c r="H1364" s="0" t="n">
        <f aca="false">IFERROR(SMALL(H367:H1087,ROW()-ROW($H$1090)+1),"")</f>
        <v>0</v>
      </c>
      <c r="K1364" s="0" t="n">
        <f aca="false">IFERROR(SMALL(K367:K1087,ROW()-ROW($K$1090)+1),"")</f>
        <v>0</v>
      </c>
      <c r="L1364" s="0" t="str">
        <f aca="false">IFERROR(SMALL(L367:L1087,ROW()-ROW($L$1090)+1),"")</f>
        <v/>
      </c>
      <c r="M1364" s="0" t="n">
        <f aca="false">IFERROR(SMALL(M367:M1087,ROW()-ROW($M$1090)+1),"")</f>
        <v>0</v>
      </c>
      <c r="N1364" s="0" t="n">
        <f aca="false">IFERROR(SMALL(N367:N1087,ROW()-ROW($N$1090)+1),"")</f>
        <v>0</v>
      </c>
    </row>
    <row r="1365" customFormat="false" ht="15" hidden="false" customHeight="false" outlineLevel="0" collapsed="false">
      <c r="E1365" s="0" t="n">
        <f aca="false">IFERROR(SMALL(E367:E1087,ROW()-ROW($E$1090)+1),"")</f>
        <v>0</v>
      </c>
      <c r="F1365" s="0" t="str">
        <f aca="false">IFERROR(SMALL(F367:F1087,ROW()-ROW($F$1090)+1),"")</f>
        <v/>
      </c>
      <c r="G1365" s="0" t="n">
        <f aca="false">IFERROR(SMALL(G367:G1087,ROW()-ROW($G$1090)+1),"")</f>
        <v>0</v>
      </c>
      <c r="H1365" s="0" t="n">
        <f aca="false">IFERROR(SMALL(H367:H1087,ROW()-ROW($H$1090)+1),"")</f>
        <v>0</v>
      </c>
      <c r="K1365" s="0" t="n">
        <f aca="false">IFERROR(SMALL(K367:K1087,ROW()-ROW($K$1090)+1),"")</f>
        <v>0</v>
      </c>
      <c r="L1365" s="0" t="str">
        <f aca="false">IFERROR(SMALL(L367:L1087,ROW()-ROW($L$1090)+1),"")</f>
        <v/>
      </c>
      <c r="M1365" s="0" t="n">
        <f aca="false">IFERROR(SMALL(M367:M1087,ROW()-ROW($M$1090)+1),"")</f>
        <v>0</v>
      </c>
      <c r="N1365" s="0" t="n">
        <f aca="false">IFERROR(SMALL(N367:N1087,ROW()-ROW($N$1090)+1),"")</f>
        <v>0</v>
      </c>
    </row>
    <row r="1366" customFormat="false" ht="15" hidden="false" customHeight="false" outlineLevel="0" collapsed="false">
      <c r="E1366" s="0" t="n">
        <f aca="false">IFERROR(SMALL(E367:E1087,ROW()-ROW($E$1090)+1),"")</f>
        <v>0</v>
      </c>
      <c r="F1366" s="0" t="str">
        <f aca="false">IFERROR(SMALL(F367:F1087,ROW()-ROW($F$1090)+1),"")</f>
        <v/>
      </c>
      <c r="G1366" s="0" t="n">
        <f aca="false">IFERROR(SMALL(G367:G1087,ROW()-ROW($G$1090)+1),"")</f>
        <v>0</v>
      </c>
      <c r="H1366" s="0" t="n">
        <f aca="false">IFERROR(SMALL(H367:H1087,ROW()-ROW($H$1090)+1),"")</f>
        <v>0</v>
      </c>
      <c r="K1366" s="0" t="n">
        <f aca="false">IFERROR(SMALL(K367:K1087,ROW()-ROW($K$1090)+1),"")</f>
        <v>0</v>
      </c>
      <c r="L1366" s="0" t="str">
        <f aca="false">IFERROR(SMALL(L367:L1087,ROW()-ROW($L$1090)+1),"")</f>
        <v/>
      </c>
      <c r="M1366" s="0" t="n">
        <f aca="false">IFERROR(SMALL(M367:M1087,ROW()-ROW($M$1090)+1),"")</f>
        <v>0</v>
      </c>
      <c r="N1366" s="0" t="n">
        <f aca="false">IFERROR(SMALL(N367:N1087,ROW()-ROW($N$1090)+1),"")</f>
        <v>0</v>
      </c>
    </row>
    <row r="1367" customFormat="false" ht="15" hidden="false" customHeight="false" outlineLevel="0" collapsed="false">
      <c r="E1367" s="0" t="n">
        <f aca="false">IFERROR(SMALL(E367:E1087,ROW()-ROW($E$1090)+1),"")</f>
        <v>0</v>
      </c>
      <c r="F1367" s="0" t="str">
        <f aca="false">IFERROR(SMALL(F367:F1087,ROW()-ROW($F$1090)+1),"")</f>
        <v/>
      </c>
      <c r="G1367" s="0" t="n">
        <f aca="false">IFERROR(SMALL(G367:G1087,ROW()-ROW($G$1090)+1),"")</f>
        <v>0</v>
      </c>
      <c r="H1367" s="0" t="n">
        <f aca="false">IFERROR(SMALL(H367:H1087,ROW()-ROW($H$1090)+1),"")</f>
        <v>0</v>
      </c>
      <c r="K1367" s="0" t="n">
        <f aca="false">IFERROR(SMALL(K367:K1087,ROW()-ROW($K$1090)+1),"")</f>
        <v>0</v>
      </c>
      <c r="L1367" s="0" t="str">
        <f aca="false">IFERROR(SMALL(L367:L1087,ROW()-ROW($L$1090)+1),"")</f>
        <v/>
      </c>
      <c r="M1367" s="0" t="n">
        <f aca="false">IFERROR(SMALL(M367:M1087,ROW()-ROW($M$1090)+1),"")</f>
        <v>0</v>
      </c>
      <c r="N1367" s="0" t="n">
        <f aca="false">IFERROR(SMALL(N367:N1087,ROW()-ROW($N$1090)+1),"")</f>
        <v>0</v>
      </c>
    </row>
    <row r="1368" customFormat="false" ht="15" hidden="false" customHeight="false" outlineLevel="0" collapsed="false">
      <c r="E1368" s="0" t="n">
        <f aca="false">IFERROR(SMALL(E367:E1087,ROW()-ROW($E$1090)+1),"")</f>
        <v>0</v>
      </c>
      <c r="F1368" s="0" t="str">
        <f aca="false">IFERROR(SMALL(F367:F1087,ROW()-ROW($F$1090)+1),"")</f>
        <v/>
      </c>
      <c r="G1368" s="0" t="n">
        <f aca="false">IFERROR(SMALL(G367:G1087,ROW()-ROW($G$1090)+1),"")</f>
        <v>0</v>
      </c>
      <c r="H1368" s="0" t="n">
        <f aca="false">IFERROR(SMALL(H367:H1087,ROW()-ROW($H$1090)+1),"")</f>
        <v>0</v>
      </c>
      <c r="K1368" s="0" t="n">
        <f aca="false">IFERROR(SMALL(K367:K1087,ROW()-ROW($K$1090)+1),"")</f>
        <v>0</v>
      </c>
      <c r="L1368" s="0" t="str">
        <f aca="false">IFERROR(SMALL(L367:L1087,ROW()-ROW($L$1090)+1),"")</f>
        <v/>
      </c>
      <c r="M1368" s="0" t="n">
        <f aca="false">IFERROR(SMALL(M367:M1087,ROW()-ROW($M$1090)+1),"")</f>
        <v>0</v>
      </c>
      <c r="N1368" s="0" t="n">
        <f aca="false">IFERROR(SMALL(N367:N1087,ROW()-ROW($N$1090)+1),"")</f>
        <v>0</v>
      </c>
    </row>
    <row r="1369" customFormat="false" ht="15" hidden="false" customHeight="false" outlineLevel="0" collapsed="false">
      <c r="E1369" s="0" t="n">
        <f aca="false">IFERROR(SMALL(E367:E1087,ROW()-ROW($E$1090)+1),"")</f>
        <v>0</v>
      </c>
      <c r="F1369" s="0" t="str">
        <f aca="false">IFERROR(SMALL(F367:F1087,ROW()-ROW($F$1090)+1),"")</f>
        <v/>
      </c>
      <c r="G1369" s="0" t="n">
        <f aca="false">IFERROR(SMALL(G367:G1087,ROW()-ROW($G$1090)+1),"")</f>
        <v>0</v>
      </c>
      <c r="H1369" s="0" t="n">
        <f aca="false">IFERROR(SMALL(H367:H1087,ROW()-ROW($H$1090)+1),"")</f>
        <v>0</v>
      </c>
      <c r="K1369" s="0" t="n">
        <f aca="false">IFERROR(SMALL(K367:K1087,ROW()-ROW($K$1090)+1),"")</f>
        <v>0</v>
      </c>
      <c r="L1369" s="0" t="str">
        <f aca="false">IFERROR(SMALL(L367:L1087,ROW()-ROW($L$1090)+1),"")</f>
        <v/>
      </c>
      <c r="M1369" s="0" t="n">
        <f aca="false">IFERROR(SMALL(M367:M1087,ROW()-ROW($M$1090)+1),"")</f>
        <v>0</v>
      </c>
      <c r="N1369" s="0" t="n">
        <f aca="false">IFERROR(SMALL(N367:N1087,ROW()-ROW($N$1090)+1),"")</f>
        <v>0</v>
      </c>
    </row>
    <row r="1370" customFormat="false" ht="15" hidden="false" customHeight="false" outlineLevel="0" collapsed="false">
      <c r="E1370" s="0" t="n">
        <f aca="false">IFERROR(SMALL(E367:E1087,ROW()-ROW($E$1090)+1),"")</f>
        <v>0</v>
      </c>
      <c r="F1370" s="0" t="str">
        <f aca="false">IFERROR(SMALL(F367:F1087,ROW()-ROW($F$1090)+1),"")</f>
        <v/>
      </c>
      <c r="G1370" s="0" t="n">
        <f aca="false">IFERROR(SMALL(G367:G1087,ROW()-ROW($G$1090)+1),"")</f>
        <v>0</v>
      </c>
      <c r="H1370" s="0" t="n">
        <f aca="false">IFERROR(SMALL(H367:H1087,ROW()-ROW($H$1090)+1),"")</f>
        <v>0</v>
      </c>
      <c r="K1370" s="0" t="n">
        <f aca="false">IFERROR(SMALL(K367:K1087,ROW()-ROW($K$1090)+1),"")</f>
        <v>0</v>
      </c>
      <c r="L1370" s="0" t="str">
        <f aca="false">IFERROR(SMALL(L367:L1087,ROW()-ROW($L$1090)+1),"")</f>
        <v/>
      </c>
      <c r="M1370" s="0" t="n">
        <f aca="false">IFERROR(SMALL(M367:M1087,ROW()-ROW($M$1090)+1),"")</f>
        <v>0</v>
      </c>
      <c r="N1370" s="0" t="n">
        <f aca="false">IFERROR(SMALL(N367:N1087,ROW()-ROW($N$1090)+1),"")</f>
        <v>0</v>
      </c>
    </row>
    <row r="1371" customFormat="false" ht="15" hidden="false" customHeight="false" outlineLevel="0" collapsed="false">
      <c r="E1371" s="0" t="n">
        <f aca="false">IFERROR(SMALL(E367:E1087,ROW()-ROW($E$1090)+1),"")</f>
        <v>0</v>
      </c>
      <c r="F1371" s="0" t="str">
        <f aca="false">IFERROR(SMALL(F367:F1087,ROW()-ROW($F$1090)+1),"")</f>
        <v/>
      </c>
      <c r="G1371" s="0" t="n">
        <f aca="false">IFERROR(SMALL(G367:G1087,ROW()-ROW($G$1090)+1),"")</f>
        <v>0</v>
      </c>
      <c r="H1371" s="0" t="n">
        <f aca="false">IFERROR(SMALL(H367:H1087,ROW()-ROW($H$1090)+1),"")</f>
        <v>0</v>
      </c>
      <c r="K1371" s="0" t="n">
        <f aca="false">IFERROR(SMALL(K367:K1087,ROW()-ROW($K$1090)+1),"")</f>
        <v>0</v>
      </c>
      <c r="L1371" s="0" t="str">
        <f aca="false">IFERROR(SMALL(L367:L1087,ROW()-ROW($L$1090)+1),"")</f>
        <v/>
      </c>
      <c r="M1371" s="0" t="n">
        <f aca="false">IFERROR(SMALL(M367:M1087,ROW()-ROW($M$1090)+1),"")</f>
        <v>0</v>
      </c>
      <c r="N1371" s="0" t="n">
        <f aca="false">IFERROR(SMALL(N367:N1087,ROW()-ROW($N$1090)+1),"")</f>
        <v>0</v>
      </c>
    </row>
    <row r="1372" customFormat="false" ht="15" hidden="false" customHeight="false" outlineLevel="0" collapsed="false">
      <c r="E1372" s="0" t="n">
        <f aca="false">IFERROR(SMALL(E367:E1087,ROW()-ROW($E$1090)+1),"")</f>
        <v>0</v>
      </c>
      <c r="F1372" s="0" t="str">
        <f aca="false">IFERROR(SMALL(F367:F1087,ROW()-ROW($F$1090)+1),"")</f>
        <v/>
      </c>
      <c r="G1372" s="0" t="n">
        <f aca="false">IFERROR(SMALL(G367:G1087,ROW()-ROW($G$1090)+1),"")</f>
        <v>0</v>
      </c>
      <c r="H1372" s="0" t="n">
        <f aca="false">IFERROR(SMALL(H367:H1087,ROW()-ROW($H$1090)+1),"")</f>
        <v>0</v>
      </c>
      <c r="K1372" s="0" t="n">
        <f aca="false">IFERROR(SMALL(K367:K1087,ROW()-ROW($K$1090)+1),"")</f>
        <v>0</v>
      </c>
      <c r="L1372" s="0" t="str">
        <f aca="false">IFERROR(SMALL(L367:L1087,ROW()-ROW($L$1090)+1),"")</f>
        <v/>
      </c>
      <c r="M1372" s="0" t="n">
        <f aca="false">IFERROR(SMALL(M367:M1087,ROW()-ROW($M$1090)+1),"")</f>
        <v>0</v>
      </c>
      <c r="N1372" s="0" t="n">
        <f aca="false">IFERROR(SMALL(N367:N1087,ROW()-ROW($N$1090)+1),"")</f>
        <v>0</v>
      </c>
    </row>
    <row r="1373" customFormat="false" ht="15" hidden="false" customHeight="false" outlineLevel="0" collapsed="false">
      <c r="E1373" s="0" t="n">
        <f aca="false">IFERROR(SMALL(E367:E1087,ROW()-ROW($E$1090)+1),"")</f>
        <v>0</v>
      </c>
      <c r="F1373" s="0" t="str">
        <f aca="false">IFERROR(SMALL(F367:F1087,ROW()-ROW($F$1090)+1),"")</f>
        <v/>
      </c>
      <c r="G1373" s="0" t="n">
        <f aca="false">IFERROR(SMALL(G367:G1087,ROW()-ROW($G$1090)+1),"")</f>
        <v>0</v>
      </c>
      <c r="H1373" s="0" t="n">
        <f aca="false">IFERROR(SMALL(H367:H1087,ROW()-ROW($H$1090)+1),"")</f>
        <v>0</v>
      </c>
      <c r="K1373" s="0" t="n">
        <f aca="false">IFERROR(SMALL(K367:K1087,ROW()-ROW($K$1090)+1),"")</f>
        <v>0</v>
      </c>
      <c r="L1373" s="0" t="str">
        <f aca="false">IFERROR(SMALL(L367:L1087,ROW()-ROW($L$1090)+1),"")</f>
        <v/>
      </c>
      <c r="M1373" s="0" t="n">
        <f aca="false">IFERROR(SMALL(M367:M1087,ROW()-ROW($M$1090)+1),"")</f>
        <v>0</v>
      </c>
      <c r="N1373" s="0" t="n">
        <f aca="false">IFERROR(SMALL(N367:N1087,ROW()-ROW($N$1090)+1),"")</f>
        <v>0</v>
      </c>
    </row>
    <row r="1374" customFormat="false" ht="15" hidden="false" customHeight="false" outlineLevel="0" collapsed="false">
      <c r="E1374" s="0" t="n">
        <f aca="false">IFERROR(SMALL(E367:E1087,ROW()-ROW($E$1090)+1),"")</f>
        <v>0</v>
      </c>
      <c r="F1374" s="0" t="str">
        <f aca="false">IFERROR(SMALL(F367:F1087,ROW()-ROW($F$1090)+1),"")</f>
        <v/>
      </c>
      <c r="G1374" s="0" t="n">
        <f aca="false">IFERROR(SMALL(G367:G1087,ROW()-ROW($G$1090)+1),"")</f>
        <v>0</v>
      </c>
      <c r="H1374" s="0" t="n">
        <f aca="false">IFERROR(SMALL(H367:H1087,ROW()-ROW($H$1090)+1),"")</f>
        <v>0</v>
      </c>
      <c r="K1374" s="0" t="n">
        <f aca="false">IFERROR(SMALL(K367:K1087,ROW()-ROW($K$1090)+1),"")</f>
        <v>0</v>
      </c>
      <c r="L1374" s="0" t="str">
        <f aca="false">IFERROR(SMALL(L367:L1087,ROW()-ROW($L$1090)+1),"")</f>
        <v/>
      </c>
      <c r="M1374" s="0" t="n">
        <f aca="false">IFERROR(SMALL(M367:M1087,ROW()-ROW($M$1090)+1),"")</f>
        <v>0</v>
      </c>
      <c r="N1374" s="0" t="n">
        <f aca="false">IFERROR(SMALL(N367:N1087,ROW()-ROW($N$1090)+1),"")</f>
        <v>0</v>
      </c>
    </row>
    <row r="1375" customFormat="false" ht="15" hidden="false" customHeight="false" outlineLevel="0" collapsed="false">
      <c r="E1375" s="0" t="n">
        <f aca="false">IFERROR(SMALL(E367:E1087,ROW()-ROW($E$1090)+1),"")</f>
        <v>0</v>
      </c>
      <c r="F1375" s="0" t="str">
        <f aca="false">IFERROR(SMALL(F367:F1087,ROW()-ROW($F$1090)+1),"")</f>
        <v/>
      </c>
      <c r="G1375" s="0" t="n">
        <f aca="false">IFERROR(SMALL(G367:G1087,ROW()-ROW($G$1090)+1),"")</f>
        <v>0</v>
      </c>
      <c r="H1375" s="0" t="n">
        <f aca="false">IFERROR(SMALL(H367:H1087,ROW()-ROW($H$1090)+1),"")</f>
        <v>0</v>
      </c>
      <c r="K1375" s="0" t="n">
        <f aca="false">IFERROR(SMALL(K367:K1087,ROW()-ROW($K$1090)+1),"")</f>
        <v>0</v>
      </c>
      <c r="L1375" s="0" t="str">
        <f aca="false">IFERROR(SMALL(L367:L1087,ROW()-ROW($L$1090)+1),"")</f>
        <v/>
      </c>
      <c r="M1375" s="0" t="n">
        <f aca="false">IFERROR(SMALL(M367:M1087,ROW()-ROW($M$1090)+1),"")</f>
        <v>0</v>
      </c>
      <c r="N1375" s="0" t="n">
        <f aca="false">IFERROR(SMALL(N367:N1087,ROW()-ROW($N$1090)+1),"")</f>
        <v>0</v>
      </c>
    </row>
    <row r="1376" customFormat="false" ht="15" hidden="false" customHeight="false" outlineLevel="0" collapsed="false">
      <c r="E1376" s="0" t="n">
        <f aca="false">IFERROR(SMALL(E367:E1087,ROW()-ROW($E$1090)+1),"")</f>
        <v>0</v>
      </c>
      <c r="F1376" s="0" t="str">
        <f aca="false">IFERROR(SMALL(F367:F1087,ROW()-ROW($F$1090)+1),"")</f>
        <v/>
      </c>
      <c r="G1376" s="0" t="n">
        <f aca="false">IFERROR(SMALL(G367:G1087,ROW()-ROW($G$1090)+1),"")</f>
        <v>0</v>
      </c>
      <c r="H1376" s="0" t="n">
        <f aca="false">IFERROR(SMALL(H367:H1087,ROW()-ROW($H$1090)+1),"")</f>
        <v>0</v>
      </c>
      <c r="K1376" s="0" t="n">
        <f aca="false">IFERROR(SMALL(K367:K1087,ROW()-ROW($K$1090)+1),"")</f>
        <v>0</v>
      </c>
      <c r="L1376" s="0" t="str">
        <f aca="false">IFERROR(SMALL(L367:L1087,ROW()-ROW($L$1090)+1),"")</f>
        <v/>
      </c>
      <c r="M1376" s="0" t="n">
        <f aca="false">IFERROR(SMALL(M367:M1087,ROW()-ROW($M$1090)+1),"")</f>
        <v>0</v>
      </c>
      <c r="N1376" s="0" t="n">
        <f aca="false">IFERROR(SMALL(N367:N1087,ROW()-ROW($N$1090)+1),"")</f>
        <v>0</v>
      </c>
    </row>
    <row r="1377" customFormat="false" ht="15" hidden="false" customHeight="false" outlineLevel="0" collapsed="false">
      <c r="E1377" s="0" t="n">
        <f aca="false">IFERROR(SMALL(E367:E1087,ROW()-ROW($E$1090)+1),"")</f>
        <v>0</v>
      </c>
      <c r="F1377" s="0" t="str">
        <f aca="false">IFERROR(SMALL(F367:F1087,ROW()-ROW($F$1090)+1),"")</f>
        <v/>
      </c>
      <c r="G1377" s="0" t="n">
        <f aca="false">IFERROR(SMALL(G367:G1087,ROW()-ROW($G$1090)+1),"")</f>
        <v>0</v>
      </c>
      <c r="H1377" s="0" t="n">
        <f aca="false">IFERROR(SMALL(H367:H1087,ROW()-ROW($H$1090)+1),"")</f>
        <v>0</v>
      </c>
      <c r="K1377" s="0" t="n">
        <f aca="false">IFERROR(SMALL(K367:K1087,ROW()-ROW($K$1090)+1),"")</f>
        <v>0</v>
      </c>
      <c r="L1377" s="0" t="str">
        <f aca="false">IFERROR(SMALL(L367:L1087,ROW()-ROW($L$1090)+1),"")</f>
        <v/>
      </c>
      <c r="M1377" s="0" t="n">
        <f aca="false">IFERROR(SMALL(M367:M1087,ROW()-ROW($M$1090)+1),"")</f>
        <v>0</v>
      </c>
      <c r="N1377" s="0" t="n">
        <f aca="false">IFERROR(SMALL(N367:N1087,ROW()-ROW($N$1090)+1),"")</f>
        <v>0</v>
      </c>
    </row>
    <row r="1378" customFormat="false" ht="15" hidden="false" customHeight="false" outlineLevel="0" collapsed="false">
      <c r="E1378" s="0" t="n">
        <f aca="false">IFERROR(SMALL(E367:E1087,ROW()-ROW($E$1090)+1),"")</f>
        <v>0</v>
      </c>
      <c r="F1378" s="0" t="str">
        <f aca="false">IFERROR(SMALL(F367:F1087,ROW()-ROW($F$1090)+1),"")</f>
        <v/>
      </c>
      <c r="G1378" s="0" t="n">
        <f aca="false">IFERROR(SMALL(G367:G1087,ROW()-ROW($G$1090)+1),"")</f>
        <v>0</v>
      </c>
      <c r="H1378" s="0" t="n">
        <f aca="false">IFERROR(SMALL(H367:H1087,ROW()-ROW($H$1090)+1),"")</f>
        <v>0</v>
      </c>
      <c r="K1378" s="0" t="n">
        <f aca="false">IFERROR(SMALL(K367:K1087,ROW()-ROW($K$1090)+1),"")</f>
        <v>0</v>
      </c>
      <c r="L1378" s="0" t="str">
        <f aca="false">IFERROR(SMALL(L367:L1087,ROW()-ROW($L$1090)+1),"")</f>
        <v/>
      </c>
      <c r="M1378" s="0" t="n">
        <f aca="false">IFERROR(SMALL(M367:M1087,ROW()-ROW($M$1090)+1),"")</f>
        <v>0</v>
      </c>
      <c r="N1378" s="0" t="n">
        <f aca="false">IFERROR(SMALL(N367:N1087,ROW()-ROW($N$1090)+1),"")</f>
        <v>0</v>
      </c>
    </row>
    <row r="1379" customFormat="false" ht="15" hidden="false" customHeight="false" outlineLevel="0" collapsed="false">
      <c r="E1379" s="0" t="n">
        <f aca="false">IFERROR(SMALL(E367:E1087,ROW()-ROW($E$1090)+1),"")</f>
        <v>0</v>
      </c>
      <c r="F1379" s="0" t="str">
        <f aca="false">IFERROR(SMALL(F367:F1087,ROW()-ROW($F$1090)+1),"")</f>
        <v/>
      </c>
      <c r="G1379" s="0" t="n">
        <f aca="false">IFERROR(SMALL(G367:G1087,ROW()-ROW($G$1090)+1),"")</f>
        <v>0</v>
      </c>
      <c r="H1379" s="0" t="n">
        <f aca="false">IFERROR(SMALL(H367:H1087,ROW()-ROW($H$1090)+1),"")</f>
        <v>0</v>
      </c>
      <c r="K1379" s="0" t="n">
        <f aca="false">IFERROR(SMALL(K367:K1087,ROW()-ROW($K$1090)+1),"")</f>
        <v>0</v>
      </c>
      <c r="L1379" s="0" t="str">
        <f aca="false">IFERROR(SMALL(L367:L1087,ROW()-ROW($L$1090)+1),"")</f>
        <v/>
      </c>
      <c r="M1379" s="0" t="n">
        <f aca="false">IFERROR(SMALL(M367:M1087,ROW()-ROW($M$1090)+1),"")</f>
        <v>0</v>
      </c>
      <c r="N1379" s="0" t="n">
        <f aca="false">IFERROR(SMALL(N367:N1087,ROW()-ROW($N$1090)+1),"")</f>
        <v>0</v>
      </c>
    </row>
    <row r="1380" customFormat="false" ht="15" hidden="false" customHeight="false" outlineLevel="0" collapsed="false">
      <c r="E1380" s="0" t="n">
        <f aca="false">IFERROR(SMALL(E367:E1087,ROW()-ROW($E$1090)+1),"")</f>
        <v>0</v>
      </c>
      <c r="F1380" s="0" t="str">
        <f aca="false">IFERROR(SMALL(F367:F1087,ROW()-ROW($F$1090)+1),"")</f>
        <v/>
      </c>
      <c r="G1380" s="0" t="n">
        <f aca="false">IFERROR(SMALL(G367:G1087,ROW()-ROW($G$1090)+1),"")</f>
        <v>0</v>
      </c>
      <c r="H1380" s="0" t="n">
        <f aca="false">IFERROR(SMALL(H367:H1087,ROW()-ROW($H$1090)+1),"")</f>
        <v>0</v>
      </c>
      <c r="K1380" s="0" t="n">
        <f aca="false">IFERROR(SMALL(K367:K1087,ROW()-ROW($K$1090)+1),"")</f>
        <v>0</v>
      </c>
      <c r="L1380" s="0" t="str">
        <f aca="false">IFERROR(SMALL(L367:L1087,ROW()-ROW($L$1090)+1),"")</f>
        <v/>
      </c>
      <c r="M1380" s="0" t="n">
        <f aca="false">IFERROR(SMALL(M367:M1087,ROW()-ROW($M$1090)+1),"")</f>
        <v>0</v>
      </c>
      <c r="N1380" s="0" t="n">
        <f aca="false">IFERROR(SMALL(N367:N1087,ROW()-ROW($N$1090)+1),"")</f>
        <v>0</v>
      </c>
    </row>
    <row r="1381" customFormat="false" ht="15" hidden="false" customHeight="false" outlineLevel="0" collapsed="false">
      <c r="E1381" s="0" t="n">
        <f aca="false">IFERROR(SMALL(E367:E1087,ROW()-ROW($E$1090)+1),"")</f>
        <v>0</v>
      </c>
      <c r="F1381" s="0" t="str">
        <f aca="false">IFERROR(SMALL(F367:F1087,ROW()-ROW($F$1090)+1),"")</f>
        <v/>
      </c>
      <c r="G1381" s="0" t="n">
        <f aca="false">IFERROR(SMALL(G367:G1087,ROW()-ROW($G$1090)+1),"")</f>
        <v>0</v>
      </c>
      <c r="H1381" s="0" t="n">
        <f aca="false">IFERROR(SMALL(H367:H1087,ROW()-ROW($H$1090)+1),"")</f>
        <v>0</v>
      </c>
      <c r="K1381" s="0" t="n">
        <f aca="false">IFERROR(SMALL(K367:K1087,ROW()-ROW($K$1090)+1),"")</f>
        <v>0</v>
      </c>
      <c r="L1381" s="0" t="str">
        <f aca="false">IFERROR(SMALL(L367:L1087,ROW()-ROW($L$1090)+1),"")</f>
        <v/>
      </c>
      <c r="M1381" s="0" t="n">
        <f aca="false">IFERROR(SMALL(M367:M1087,ROW()-ROW($M$1090)+1),"")</f>
        <v>0</v>
      </c>
      <c r="N1381" s="0" t="n">
        <f aca="false">IFERROR(SMALL(N367:N1087,ROW()-ROW($N$1090)+1),"")</f>
        <v>0</v>
      </c>
    </row>
    <row r="1382" customFormat="false" ht="15" hidden="false" customHeight="false" outlineLevel="0" collapsed="false">
      <c r="E1382" s="0" t="n">
        <f aca="false">IFERROR(SMALL(E367:E1087,ROW()-ROW($E$1090)+1),"")</f>
        <v>0</v>
      </c>
      <c r="F1382" s="0" t="str">
        <f aca="false">IFERROR(SMALL(F367:F1087,ROW()-ROW($F$1090)+1),"")</f>
        <v/>
      </c>
      <c r="G1382" s="0" t="n">
        <f aca="false">IFERROR(SMALL(G367:G1087,ROW()-ROW($G$1090)+1),"")</f>
        <v>0</v>
      </c>
      <c r="H1382" s="0" t="n">
        <f aca="false">IFERROR(SMALL(H367:H1087,ROW()-ROW($H$1090)+1),"")</f>
        <v>0</v>
      </c>
      <c r="K1382" s="0" t="n">
        <f aca="false">IFERROR(SMALL(K367:K1087,ROW()-ROW($K$1090)+1),"")</f>
        <v>0</v>
      </c>
      <c r="L1382" s="0" t="str">
        <f aca="false">IFERROR(SMALL(L367:L1087,ROW()-ROW($L$1090)+1),"")</f>
        <v/>
      </c>
      <c r="M1382" s="0" t="n">
        <f aca="false">IFERROR(SMALL(M367:M1087,ROW()-ROW($M$1090)+1),"")</f>
        <v>0</v>
      </c>
      <c r="N1382" s="0" t="n">
        <f aca="false">IFERROR(SMALL(N367:N1087,ROW()-ROW($N$1090)+1),"")</f>
        <v>0</v>
      </c>
    </row>
    <row r="1383" customFormat="false" ht="15" hidden="false" customHeight="false" outlineLevel="0" collapsed="false">
      <c r="E1383" s="0" t="n">
        <f aca="false">IFERROR(SMALL(E367:E1087,ROW()-ROW($E$1090)+1),"")</f>
        <v>0</v>
      </c>
      <c r="F1383" s="0" t="str">
        <f aca="false">IFERROR(SMALL(F367:F1087,ROW()-ROW($F$1090)+1),"")</f>
        <v/>
      </c>
      <c r="G1383" s="0" t="n">
        <f aca="false">IFERROR(SMALL(G367:G1087,ROW()-ROW($G$1090)+1),"")</f>
        <v>0</v>
      </c>
      <c r="H1383" s="0" t="n">
        <f aca="false">IFERROR(SMALL(H367:H1087,ROW()-ROW($H$1090)+1),"")</f>
        <v>0</v>
      </c>
      <c r="K1383" s="0" t="n">
        <f aca="false">IFERROR(SMALL(K367:K1087,ROW()-ROW($K$1090)+1),"")</f>
        <v>0</v>
      </c>
      <c r="L1383" s="0" t="str">
        <f aca="false">IFERROR(SMALL(L367:L1087,ROW()-ROW($L$1090)+1),"")</f>
        <v/>
      </c>
      <c r="M1383" s="0" t="n">
        <f aca="false">IFERROR(SMALL(M367:M1087,ROW()-ROW($M$1090)+1),"")</f>
        <v>0</v>
      </c>
      <c r="N1383" s="0" t="n">
        <f aca="false">IFERROR(SMALL(N367:N1087,ROW()-ROW($N$1090)+1),"")</f>
        <v>0</v>
      </c>
    </row>
    <row r="1384" customFormat="false" ht="15" hidden="false" customHeight="false" outlineLevel="0" collapsed="false">
      <c r="E1384" s="0" t="n">
        <f aca="false">IFERROR(SMALL(E367:E1087,ROW()-ROW($E$1090)+1),"")</f>
        <v>0</v>
      </c>
      <c r="F1384" s="0" t="str">
        <f aca="false">IFERROR(SMALL(F367:F1087,ROW()-ROW($F$1090)+1),"")</f>
        <v/>
      </c>
      <c r="G1384" s="0" t="n">
        <f aca="false">IFERROR(SMALL(G367:G1087,ROW()-ROW($G$1090)+1),"")</f>
        <v>0</v>
      </c>
      <c r="H1384" s="0" t="n">
        <f aca="false">IFERROR(SMALL(H367:H1087,ROW()-ROW($H$1090)+1),"")</f>
        <v>0</v>
      </c>
      <c r="K1384" s="0" t="n">
        <f aca="false">IFERROR(SMALL(K367:K1087,ROW()-ROW($K$1090)+1),"")</f>
        <v>0</v>
      </c>
      <c r="L1384" s="0" t="str">
        <f aca="false">IFERROR(SMALL(L367:L1087,ROW()-ROW($L$1090)+1),"")</f>
        <v/>
      </c>
      <c r="M1384" s="0" t="n">
        <f aca="false">IFERROR(SMALL(M367:M1087,ROW()-ROW($M$1090)+1),"")</f>
        <v>0</v>
      </c>
      <c r="N1384" s="0" t="n">
        <f aca="false">IFERROR(SMALL(N367:N1087,ROW()-ROW($N$1090)+1),"")</f>
        <v>0</v>
      </c>
    </row>
    <row r="1385" customFormat="false" ht="15" hidden="false" customHeight="false" outlineLevel="0" collapsed="false">
      <c r="E1385" s="0" t="n">
        <f aca="false">IFERROR(SMALL(E367:E1087,ROW()-ROW($E$1090)+1),"")</f>
        <v>0</v>
      </c>
      <c r="F1385" s="0" t="str">
        <f aca="false">IFERROR(SMALL(F367:F1087,ROW()-ROW($F$1090)+1),"")</f>
        <v/>
      </c>
      <c r="G1385" s="0" t="n">
        <f aca="false">IFERROR(SMALL(G367:G1087,ROW()-ROW($G$1090)+1),"")</f>
        <v>0</v>
      </c>
      <c r="H1385" s="0" t="n">
        <f aca="false">IFERROR(SMALL(H367:H1087,ROW()-ROW($H$1090)+1),"")</f>
        <v>0</v>
      </c>
      <c r="K1385" s="0" t="n">
        <f aca="false">IFERROR(SMALL(K367:K1087,ROW()-ROW($K$1090)+1),"")</f>
        <v>0</v>
      </c>
      <c r="L1385" s="0" t="str">
        <f aca="false">IFERROR(SMALL(L367:L1087,ROW()-ROW($L$1090)+1),"")</f>
        <v/>
      </c>
      <c r="M1385" s="0" t="n">
        <f aca="false">IFERROR(SMALL(M367:M1087,ROW()-ROW($M$1090)+1),"")</f>
        <v>0</v>
      </c>
      <c r="N1385" s="0" t="n">
        <f aca="false">IFERROR(SMALL(N367:N1087,ROW()-ROW($N$1090)+1),"")</f>
        <v>0</v>
      </c>
    </row>
    <row r="1386" customFormat="false" ht="15" hidden="false" customHeight="false" outlineLevel="0" collapsed="false">
      <c r="E1386" s="0" t="n">
        <f aca="false">IFERROR(SMALL(E367:E1087,ROW()-ROW($E$1090)+1),"")</f>
        <v>0</v>
      </c>
      <c r="F1386" s="0" t="str">
        <f aca="false">IFERROR(SMALL(F367:F1087,ROW()-ROW($F$1090)+1),"")</f>
        <v/>
      </c>
      <c r="G1386" s="0" t="n">
        <f aca="false">IFERROR(SMALL(G367:G1087,ROW()-ROW($G$1090)+1),"")</f>
        <v>0</v>
      </c>
      <c r="H1386" s="0" t="n">
        <f aca="false">IFERROR(SMALL(H367:H1087,ROW()-ROW($H$1090)+1),"")</f>
        <v>0</v>
      </c>
      <c r="K1386" s="0" t="n">
        <f aca="false">IFERROR(SMALL(K367:K1087,ROW()-ROW($K$1090)+1),"")</f>
        <v>0</v>
      </c>
      <c r="L1386" s="0" t="str">
        <f aca="false">IFERROR(SMALL(L367:L1087,ROW()-ROW($L$1090)+1),"")</f>
        <v/>
      </c>
      <c r="M1386" s="0" t="n">
        <f aca="false">IFERROR(SMALL(M367:M1087,ROW()-ROW($M$1090)+1),"")</f>
        <v>0</v>
      </c>
      <c r="N1386" s="0" t="n">
        <f aca="false">IFERROR(SMALL(N367:N1087,ROW()-ROW($N$1090)+1),"")</f>
        <v>0</v>
      </c>
    </row>
    <row r="1387" customFormat="false" ht="15" hidden="false" customHeight="false" outlineLevel="0" collapsed="false">
      <c r="E1387" s="0" t="n">
        <f aca="false">IFERROR(SMALL(E367:E1087,ROW()-ROW($E$1090)+1),"")</f>
        <v>0</v>
      </c>
      <c r="F1387" s="0" t="str">
        <f aca="false">IFERROR(SMALL(F367:F1087,ROW()-ROW($F$1090)+1),"")</f>
        <v/>
      </c>
      <c r="G1387" s="0" t="n">
        <f aca="false">IFERROR(SMALL(G367:G1087,ROW()-ROW($G$1090)+1),"")</f>
        <v>0</v>
      </c>
      <c r="H1387" s="0" t="n">
        <f aca="false">IFERROR(SMALL(H367:H1087,ROW()-ROW($H$1090)+1),"")</f>
        <v>0</v>
      </c>
      <c r="K1387" s="0" t="n">
        <f aca="false">IFERROR(SMALL(K367:K1087,ROW()-ROW($K$1090)+1),"")</f>
        <v>0</v>
      </c>
      <c r="L1387" s="0" t="str">
        <f aca="false">IFERROR(SMALL(L367:L1087,ROW()-ROW($L$1090)+1),"")</f>
        <v/>
      </c>
      <c r="M1387" s="0" t="n">
        <f aca="false">IFERROR(SMALL(M367:M1087,ROW()-ROW($M$1090)+1),"")</f>
        <v>0</v>
      </c>
      <c r="N1387" s="0" t="n">
        <f aca="false">IFERROR(SMALL(N367:N1087,ROW()-ROW($N$1090)+1),"")</f>
        <v>0</v>
      </c>
    </row>
    <row r="1388" customFormat="false" ht="15" hidden="false" customHeight="false" outlineLevel="0" collapsed="false">
      <c r="E1388" s="0" t="n">
        <f aca="false">IFERROR(SMALL(E367:E1087,ROW()-ROW($E$1090)+1),"")</f>
        <v>0</v>
      </c>
      <c r="F1388" s="0" t="str">
        <f aca="false">IFERROR(SMALL(F367:F1087,ROW()-ROW($F$1090)+1),"")</f>
        <v/>
      </c>
      <c r="G1388" s="0" t="n">
        <f aca="false">IFERROR(SMALL(G367:G1087,ROW()-ROW($G$1090)+1),"")</f>
        <v>0</v>
      </c>
      <c r="H1388" s="0" t="n">
        <f aca="false">IFERROR(SMALL(H367:H1087,ROW()-ROW($H$1090)+1),"")</f>
        <v>0</v>
      </c>
      <c r="K1388" s="0" t="n">
        <f aca="false">IFERROR(SMALL(K367:K1087,ROW()-ROW($K$1090)+1),"")</f>
        <v>0</v>
      </c>
      <c r="L1388" s="0" t="str">
        <f aca="false">IFERROR(SMALL(L367:L1087,ROW()-ROW($L$1090)+1),"")</f>
        <v/>
      </c>
      <c r="M1388" s="0" t="n">
        <f aca="false">IFERROR(SMALL(M367:M1087,ROW()-ROW($M$1090)+1),"")</f>
        <v>0</v>
      </c>
      <c r="N1388" s="0" t="n">
        <f aca="false">IFERROR(SMALL(N367:N1087,ROW()-ROW($N$1090)+1),"")</f>
        <v>0</v>
      </c>
    </row>
    <row r="1389" customFormat="false" ht="15" hidden="false" customHeight="false" outlineLevel="0" collapsed="false">
      <c r="E1389" s="0" t="n">
        <f aca="false">IFERROR(SMALL(E367:E1087,ROW()-ROW($E$1090)+1),"")</f>
        <v>0</v>
      </c>
      <c r="F1389" s="0" t="str">
        <f aca="false">IFERROR(SMALL(F367:F1087,ROW()-ROW($F$1090)+1),"")</f>
        <v/>
      </c>
      <c r="G1389" s="0" t="n">
        <f aca="false">IFERROR(SMALL(G367:G1087,ROW()-ROW($G$1090)+1),"")</f>
        <v>0</v>
      </c>
      <c r="H1389" s="0" t="n">
        <f aca="false">IFERROR(SMALL(H367:H1087,ROW()-ROW($H$1090)+1),"")</f>
        <v>0</v>
      </c>
      <c r="K1389" s="0" t="n">
        <f aca="false">IFERROR(SMALL(K367:K1087,ROW()-ROW($K$1090)+1),"")</f>
        <v>0</v>
      </c>
      <c r="L1389" s="0" t="str">
        <f aca="false">IFERROR(SMALL(L367:L1087,ROW()-ROW($L$1090)+1),"")</f>
        <v/>
      </c>
      <c r="M1389" s="0" t="n">
        <f aca="false">IFERROR(SMALL(M367:M1087,ROW()-ROW($M$1090)+1),"")</f>
        <v>0</v>
      </c>
      <c r="N1389" s="0" t="n">
        <f aca="false">IFERROR(SMALL(N367:N1087,ROW()-ROW($N$1090)+1),"")</f>
        <v>0</v>
      </c>
    </row>
    <row r="1390" customFormat="false" ht="15" hidden="false" customHeight="false" outlineLevel="0" collapsed="false">
      <c r="E1390" s="0" t="n">
        <f aca="false">IFERROR(SMALL(E367:E1087,ROW()-ROW($E$1090)+1),"")</f>
        <v>0</v>
      </c>
      <c r="F1390" s="0" t="str">
        <f aca="false">IFERROR(SMALL(F367:F1087,ROW()-ROW($F$1090)+1),"")</f>
        <v/>
      </c>
      <c r="G1390" s="0" t="n">
        <f aca="false">IFERROR(SMALL(G367:G1087,ROW()-ROW($G$1090)+1),"")</f>
        <v>0</v>
      </c>
      <c r="H1390" s="0" t="n">
        <f aca="false">IFERROR(SMALL(H367:H1087,ROW()-ROW($H$1090)+1),"")</f>
        <v>0</v>
      </c>
      <c r="K1390" s="0" t="n">
        <f aca="false">IFERROR(SMALL(K367:K1087,ROW()-ROW($K$1090)+1),"")</f>
        <v>0</v>
      </c>
      <c r="L1390" s="0" t="str">
        <f aca="false">IFERROR(SMALL(L367:L1087,ROW()-ROW($L$1090)+1),"")</f>
        <v/>
      </c>
      <c r="M1390" s="0" t="n">
        <f aca="false">IFERROR(SMALL(M367:M1087,ROW()-ROW($M$1090)+1),"")</f>
        <v>0</v>
      </c>
      <c r="N1390" s="0" t="n">
        <f aca="false">IFERROR(SMALL(N367:N1087,ROW()-ROW($N$1090)+1),"")</f>
        <v>0</v>
      </c>
    </row>
    <row r="1391" customFormat="false" ht="15" hidden="false" customHeight="false" outlineLevel="0" collapsed="false">
      <c r="E1391" s="0" t="n">
        <f aca="false">IFERROR(SMALL(E367:E1087,ROW()-ROW($E$1090)+1),"")</f>
        <v>0</v>
      </c>
      <c r="F1391" s="0" t="str">
        <f aca="false">IFERROR(SMALL(F367:F1087,ROW()-ROW($F$1090)+1),"")</f>
        <v/>
      </c>
      <c r="G1391" s="0" t="n">
        <f aca="false">IFERROR(SMALL(G367:G1087,ROW()-ROW($G$1090)+1),"")</f>
        <v>0</v>
      </c>
      <c r="H1391" s="0" t="n">
        <f aca="false">IFERROR(SMALL(H367:H1087,ROW()-ROW($H$1090)+1),"")</f>
        <v>0</v>
      </c>
      <c r="K1391" s="0" t="n">
        <f aca="false">IFERROR(SMALL(K367:K1087,ROW()-ROW($K$1090)+1),"")</f>
        <v>0</v>
      </c>
      <c r="L1391" s="0" t="str">
        <f aca="false">IFERROR(SMALL(L367:L1087,ROW()-ROW($L$1090)+1),"")</f>
        <v/>
      </c>
      <c r="M1391" s="0" t="n">
        <f aca="false">IFERROR(SMALL(M367:M1087,ROW()-ROW($M$1090)+1),"")</f>
        <v>0</v>
      </c>
      <c r="N1391" s="0" t="n">
        <f aca="false">IFERROR(SMALL(N367:N1087,ROW()-ROW($N$1090)+1),"")</f>
        <v>0</v>
      </c>
    </row>
    <row r="1392" customFormat="false" ht="15" hidden="false" customHeight="false" outlineLevel="0" collapsed="false">
      <c r="E1392" s="0" t="n">
        <f aca="false">IFERROR(SMALL(E367:E1087,ROW()-ROW($E$1090)+1),"")</f>
        <v>0</v>
      </c>
      <c r="F1392" s="0" t="str">
        <f aca="false">IFERROR(SMALL(F367:F1087,ROW()-ROW($F$1090)+1),"")</f>
        <v/>
      </c>
      <c r="G1392" s="0" t="n">
        <f aca="false">IFERROR(SMALL(G367:G1087,ROW()-ROW($G$1090)+1),"")</f>
        <v>0</v>
      </c>
      <c r="H1392" s="0" t="n">
        <f aca="false">IFERROR(SMALL(H367:H1087,ROW()-ROW($H$1090)+1),"")</f>
        <v>0</v>
      </c>
      <c r="K1392" s="0" t="n">
        <f aca="false">IFERROR(SMALL(K367:K1087,ROW()-ROW($K$1090)+1),"")</f>
        <v>0</v>
      </c>
      <c r="L1392" s="0" t="str">
        <f aca="false">IFERROR(SMALL(L367:L1087,ROW()-ROW($L$1090)+1),"")</f>
        <v/>
      </c>
      <c r="M1392" s="0" t="n">
        <f aca="false">IFERROR(SMALL(M367:M1087,ROW()-ROW($M$1090)+1),"")</f>
        <v>0</v>
      </c>
      <c r="N1392" s="0" t="n">
        <f aca="false">IFERROR(SMALL(N367:N1087,ROW()-ROW($N$1090)+1),"")</f>
        <v>0</v>
      </c>
    </row>
    <row r="1393" customFormat="false" ht="15" hidden="false" customHeight="false" outlineLevel="0" collapsed="false">
      <c r="E1393" s="0" t="n">
        <f aca="false">IFERROR(SMALL(E367:E1087,ROW()-ROW($E$1090)+1),"")</f>
        <v>0</v>
      </c>
      <c r="F1393" s="0" t="str">
        <f aca="false">IFERROR(SMALL(F367:F1087,ROW()-ROW($F$1090)+1),"")</f>
        <v/>
      </c>
      <c r="G1393" s="0" t="n">
        <f aca="false">IFERROR(SMALL(G367:G1087,ROW()-ROW($G$1090)+1),"")</f>
        <v>0</v>
      </c>
      <c r="H1393" s="0" t="n">
        <f aca="false">IFERROR(SMALL(H367:H1087,ROW()-ROW($H$1090)+1),"")</f>
        <v>0</v>
      </c>
      <c r="K1393" s="0" t="n">
        <f aca="false">IFERROR(SMALL(K367:K1087,ROW()-ROW($K$1090)+1),"")</f>
        <v>0</v>
      </c>
      <c r="L1393" s="0" t="str">
        <f aca="false">IFERROR(SMALL(L367:L1087,ROW()-ROW($L$1090)+1),"")</f>
        <v/>
      </c>
      <c r="M1393" s="0" t="n">
        <f aca="false">IFERROR(SMALL(M367:M1087,ROW()-ROW($M$1090)+1),"")</f>
        <v>0</v>
      </c>
      <c r="N1393" s="0" t="n">
        <f aca="false">IFERROR(SMALL(N367:N1087,ROW()-ROW($N$1090)+1),"")</f>
        <v>0</v>
      </c>
    </row>
    <row r="1394" customFormat="false" ht="15" hidden="false" customHeight="false" outlineLevel="0" collapsed="false">
      <c r="E1394" s="0" t="n">
        <f aca="false">IFERROR(SMALL(E367:E1087,ROW()-ROW($E$1090)+1),"")</f>
        <v>0</v>
      </c>
      <c r="F1394" s="0" t="str">
        <f aca="false">IFERROR(SMALL(F367:F1087,ROW()-ROW($F$1090)+1),"")</f>
        <v/>
      </c>
      <c r="G1394" s="0" t="n">
        <f aca="false">IFERROR(SMALL(G367:G1087,ROW()-ROW($G$1090)+1),"")</f>
        <v>0</v>
      </c>
      <c r="H1394" s="0" t="n">
        <f aca="false">IFERROR(SMALL(H367:H1087,ROW()-ROW($H$1090)+1),"")</f>
        <v>0</v>
      </c>
      <c r="K1394" s="0" t="n">
        <f aca="false">IFERROR(SMALL(K367:K1087,ROW()-ROW($K$1090)+1),"")</f>
        <v>0</v>
      </c>
      <c r="L1394" s="0" t="str">
        <f aca="false">IFERROR(SMALL(L367:L1087,ROW()-ROW($L$1090)+1),"")</f>
        <v/>
      </c>
      <c r="M1394" s="0" t="n">
        <f aca="false">IFERROR(SMALL(M367:M1087,ROW()-ROW($M$1090)+1),"")</f>
        <v>0</v>
      </c>
      <c r="N1394" s="0" t="n">
        <f aca="false">IFERROR(SMALL(N367:N1087,ROW()-ROW($N$1090)+1),"")</f>
        <v>0</v>
      </c>
    </row>
    <row r="1395" customFormat="false" ht="15" hidden="false" customHeight="false" outlineLevel="0" collapsed="false">
      <c r="E1395" s="0" t="n">
        <f aca="false">IFERROR(SMALL(E367:E1087,ROW()-ROW($E$1090)+1),"")</f>
        <v>0</v>
      </c>
      <c r="F1395" s="0" t="str">
        <f aca="false">IFERROR(SMALL(F367:F1087,ROW()-ROW($F$1090)+1),"")</f>
        <v/>
      </c>
      <c r="G1395" s="0" t="n">
        <f aca="false">IFERROR(SMALL(G367:G1087,ROW()-ROW($G$1090)+1),"")</f>
        <v>0</v>
      </c>
      <c r="H1395" s="0" t="n">
        <f aca="false">IFERROR(SMALL(H367:H1087,ROW()-ROW($H$1090)+1),"")</f>
        <v>0</v>
      </c>
      <c r="K1395" s="0" t="n">
        <f aca="false">IFERROR(SMALL(K367:K1087,ROW()-ROW($K$1090)+1),"")</f>
        <v>0</v>
      </c>
      <c r="L1395" s="0" t="str">
        <f aca="false">IFERROR(SMALL(L367:L1087,ROW()-ROW($L$1090)+1),"")</f>
        <v/>
      </c>
      <c r="M1395" s="0" t="n">
        <f aca="false">IFERROR(SMALL(M367:M1087,ROW()-ROW($M$1090)+1),"")</f>
        <v>0</v>
      </c>
      <c r="N1395" s="0" t="n">
        <f aca="false">IFERROR(SMALL(N367:N1087,ROW()-ROW($N$1090)+1),"")</f>
        <v>0</v>
      </c>
    </row>
    <row r="1396" customFormat="false" ht="15" hidden="false" customHeight="false" outlineLevel="0" collapsed="false">
      <c r="E1396" s="0" t="n">
        <f aca="false">IFERROR(SMALL(E367:E1087,ROW()-ROW($E$1090)+1),"")</f>
        <v>0</v>
      </c>
      <c r="F1396" s="0" t="str">
        <f aca="false">IFERROR(SMALL(F367:F1087,ROW()-ROW($F$1090)+1),"")</f>
        <v/>
      </c>
      <c r="G1396" s="0" t="n">
        <f aca="false">IFERROR(SMALL(G367:G1087,ROW()-ROW($G$1090)+1),"")</f>
        <v>0</v>
      </c>
      <c r="H1396" s="0" t="n">
        <f aca="false">IFERROR(SMALL(H367:H1087,ROW()-ROW($H$1090)+1),"")</f>
        <v>0</v>
      </c>
      <c r="K1396" s="0" t="n">
        <f aca="false">IFERROR(SMALL(K367:K1087,ROW()-ROW($K$1090)+1),"")</f>
        <v>0</v>
      </c>
      <c r="L1396" s="0" t="str">
        <f aca="false">IFERROR(SMALL(L367:L1087,ROW()-ROW($L$1090)+1),"")</f>
        <v/>
      </c>
      <c r="M1396" s="0" t="n">
        <f aca="false">IFERROR(SMALL(M367:M1087,ROW()-ROW($M$1090)+1),"")</f>
        <v>0</v>
      </c>
      <c r="N1396" s="0" t="n">
        <f aca="false">IFERROR(SMALL(N367:N1087,ROW()-ROW($N$1090)+1),"")</f>
        <v>0</v>
      </c>
    </row>
    <row r="1397" customFormat="false" ht="15" hidden="false" customHeight="false" outlineLevel="0" collapsed="false">
      <c r="E1397" s="0" t="n">
        <f aca="false">IFERROR(SMALL(E367:E1087,ROW()-ROW($E$1090)+1),"")</f>
        <v>0</v>
      </c>
      <c r="F1397" s="0" t="str">
        <f aca="false">IFERROR(SMALL(F367:F1087,ROW()-ROW($F$1090)+1),"")</f>
        <v/>
      </c>
      <c r="G1397" s="0" t="n">
        <f aca="false">IFERROR(SMALL(G367:G1087,ROW()-ROW($G$1090)+1),"")</f>
        <v>0</v>
      </c>
      <c r="H1397" s="0" t="n">
        <f aca="false">IFERROR(SMALL(H367:H1087,ROW()-ROW($H$1090)+1),"")</f>
        <v>0</v>
      </c>
      <c r="K1397" s="0" t="n">
        <f aca="false">IFERROR(SMALL(K367:K1087,ROW()-ROW($K$1090)+1),"")</f>
        <v>0</v>
      </c>
      <c r="L1397" s="0" t="str">
        <f aca="false">IFERROR(SMALL(L367:L1087,ROW()-ROW($L$1090)+1),"")</f>
        <v/>
      </c>
      <c r="M1397" s="0" t="n">
        <f aca="false">IFERROR(SMALL(M367:M1087,ROW()-ROW($M$1090)+1),"")</f>
        <v>0</v>
      </c>
      <c r="N1397" s="0" t="n">
        <f aca="false">IFERROR(SMALL(N367:N1087,ROW()-ROW($N$1090)+1),"")</f>
        <v>0</v>
      </c>
    </row>
    <row r="1398" customFormat="false" ht="15" hidden="false" customHeight="false" outlineLevel="0" collapsed="false">
      <c r="E1398" s="0" t="n">
        <f aca="false">IFERROR(SMALL(E367:E1087,ROW()-ROW($E$1090)+1),"")</f>
        <v>0</v>
      </c>
      <c r="F1398" s="0" t="str">
        <f aca="false">IFERROR(SMALL(F367:F1087,ROW()-ROW($F$1090)+1),"")</f>
        <v/>
      </c>
      <c r="G1398" s="0" t="n">
        <f aca="false">IFERROR(SMALL(G367:G1087,ROW()-ROW($G$1090)+1),"")</f>
        <v>0</v>
      </c>
      <c r="H1398" s="0" t="n">
        <f aca="false">IFERROR(SMALL(H367:H1087,ROW()-ROW($H$1090)+1),"")</f>
        <v>0</v>
      </c>
      <c r="K1398" s="0" t="n">
        <f aca="false">IFERROR(SMALL(K367:K1087,ROW()-ROW($K$1090)+1),"")</f>
        <v>0</v>
      </c>
      <c r="L1398" s="0" t="str">
        <f aca="false">IFERROR(SMALL(L367:L1087,ROW()-ROW($L$1090)+1),"")</f>
        <v/>
      </c>
      <c r="M1398" s="0" t="n">
        <f aca="false">IFERROR(SMALL(M367:M1087,ROW()-ROW($M$1090)+1),"")</f>
        <v>0</v>
      </c>
      <c r="N1398" s="0" t="n">
        <f aca="false">IFERROR(SMALL(N367:N1087,ROW()-ROW($N$1090)+1),"")</f>
        <v>0</v>
      </c>
    </row>
    <row r="1399" customFormat="false" ht="15" hidden="false" customHeight="false" outlineLevel="0" collapsed="false">
      <c r="E1399" s="0" t="n">
        <f aca="false">IFERROR(SMALL(E367:E1087,ROW()-ROW($E$1090)+1),"")</f>
        <v>0</v>
      </c>
      <c r="F1399" s="0" t="str">
        <f aca="false">IFERROR(SMALL(F367:F1087,ROW()-ROW($F$1090)+1),"")</f>
        <v/>
      </c>
      <c r="G1399" s="0" t="n">
        <f aca="false">IFERROR(SMALL(G367:G1087,ROW()-ROW($G$1090)+1),"")</f>
        <v>0</v>
      </c>
      <c r="H1399" s="0" t="n">
        <f aca="false">IFERROR(SMALL(H367:H1087,ROW()-ROW($H$1090)+1),"")</f>
        <v>0</v>
      </c>
      <c r="K1399" s="0" t="n">
        <f aca="false">IFERROR(SMALL(K367:K1087,ROW()-ROW($K$1090)+1),"")</f>
        <v>0</v>
      </c>
      <c r="L1399" s="0" t="str">
        <f aca="false">IFERROR(SMALL(L367:L1087,ROW()-ROW($L$1090)+1),"")</f>
        <v/>
      </c>
      <c r="M1399" s="0" t="n">
        <f aca="false">IFERROR(SMALL(M367:M1087,ROW()-ROW($M$1090)+1),"")</f>
        <v>0</v>
      </c>
      <c r="N1399" s="0" t="n">
        <f aca="false">IFERROR(SMALL(N367:N1087,ROW()-ROW($N$1090)+1),"")</f>
        <v>0</v>
      </c>
    </row>
    <row r="1400" customFormat="false" ht="15" hidden="false" customHeight="false" outlineLevel="0" collapsed="false">
      <c r="E1400" s="0" t="n">
        <f aca="false">IFERROR(SMALL(E367:E1087,ROW()-ROW($E$1090)+1),"")</f>
        <v>0</v>
      </c>
      <c r="F1400" s="0" t="str">
        <f aca="false">IFERROR(SMALL(F367:F1087,ROW()-ROW($F$1090)+1),"")</f>
        <v/>
      </c>
      <c r="G1400" s="0" t="n">
        <f aca="false">IFERROR(SMALL(G367:G1087,ROW()-ROW($G$1090)+1),"")</f>
        <v>0</v>
      </c>
      <c r="H1400" s="0" t="n">
        <f aca="false">IFERROR(SMALL(H367:H1087,ROW()-ROW($H$1090)+1),"")</f>
        <v>0</v>
      </c>
      <c r="K1400" s="0" t="n">
        <f aca="false">IFERROR(SMALL(K367:K1087,ROW()-ROW($K$1090)+1),"")</f>
        <v>0</v>
      </c>
      <c r="L1400" s="0" t="str">
        <f aca="false">IFERROR(SMALL(L367:L1087,ROW()-ROW($L$1090)+1),"")</f>
        <v/>
      </c>
      <c r="M1400" s="0" t="n">
        <f aca="false">IFERROR(SMALL(M367:M1087,ROW()-ROW($M$1090)+1),"")</f>
        <v>0</v>
      </c>
      <c r="N1400" s="0" t="n">
        <f aca="false">IFERROR(SMALL(N367:N1087,ROW()-ROW($N$1090)+1),"")</f>
        <v>0</v>
      </c>
    </row>
    <row r="1401" customFormat="false" ht="15" hidden="false" customHeight="false" outlineLevel="0" collapsed="false">
      <c r="E1401" s="0" t="n">
        <f aca="false">IFERROR(SMALL(E367:E1087,ROW()-ROW($E$1090)+1),"")</f>
        <v>0</v>
      </c>
      <c r="F1401" s="0" t="str">
        <f aca="false">IFERROR(SMALL(F367:F1087,ROW()-ROW($F$1090)+1),"")</f>
        <v/>
      </c>
      <c r="G1401" s="0" t="n">
        <f aca="false">IFERROR(SMALL(G367:G1087,ROW()-ROW($G$1090)+1),"")</f>
        <v>0</v>
      </c>
      <c r="H1401" s="0" t="n">
        <f aca="false">IFERROR(SMALL(H367:H1087,ROW()-ROW($H$1090)+1),"")</f>
        <v>0</v>
      </c>
      <c r="K1401" s="0" t="n">
        <f aca="false">IFERROR(SMALL(K367:K1087,ROW()-ROW($K$1090)+1),"")</f>
        <v>0</v>
      </c>
      <c r="L1401" s="0" t="str">
        <f aca="false">IFERROR(SMALL(L367:L1087,ROW()-ROW($L$1090)+1),"")</f>
        <v/>
      </c>
      <c r="M1401" s="0" t="n">
        <f aca="false">IFERROR(SMALL(M367:M1087,ROW()-ROW($M$1090)+1),"")</f>
        <v>0</v>
      </c>
      <c r="N1401" s="0" t="n">
        <f aca="false">IFERROR(SMALL(N367:N1087,ROW()-ROW($N$1090)+1),"")</f>
        <v>0</v>
      </c>
    </row>
    <row r="1402" customFormat="false" ht="15" hidden="false" customHeight="false" outlineLevel="0" collapsed="false">
      <c r="E1402" s="0" t="n">
        <f aca="false">IFERROR(SMALL(E367:E1087,ROW()-ROW($E$1090)+1),"")</f>
        <v>0</v>
      </c>
      <c r="F1402" s="0" t="str">
        <f aca="false">IFERROR(SMALL(F367:F1087,ROW()-ROW($F$1090)+1),"")</f>
        <v/>
      </c>
      <c r="G1402" s="0" t="n">
        <f aca="false">IFERROR(SMALL(G367:G1087,ROW()-ROW($G$1090)+1),"")</f>
        <v>0</v>
      </c>
      <c r="H1402" s="0" t="n">
        <f aca="false">IFERROR(SMALL(H367:H1087,ROW()-ROW($H$1090)+1),"")</f>
        <v>0</v>
      </c>
      <c r="K1402" s="0" t="n">
        <f aca="false">IFERROR(SMALL(K367:K1087,ROW()-ROW($K$1090)+1),"")</f>
        <v>0</v>
      </c>
      <c r="L1402" s="0" t="str">
        <f aca="false">IFERROR(SMALL(L367:L1087,ROW()-ROW($L$1090)+1),"")</f>
        <v/>
      </c>
      <c r="M1402" s="0" t="n">
        <f aca="false">IFERROR(SMALL(M367:M1087,ROW()-ROW($M$1090)+1),"")</f>
        <v>0</v>
      </c>
      <c r="N1402" s="0" t="n">
        <f aca="false">IFERROR(SMALL(N367:N1087,ROW()-ROW($N$1090)+1),"")</f>
        <v>0</v>
      </c>
    </row>
    <row r="1403" customFormat="false" ht="15" hidden="false" customHeight="false" outlineLevel="0" collapsed="false">
      <c r="E1403" s="0" t="n">
        <f aca="false">IFERROR(SMALL(E367:E1087,ROW()-ROW($E$1090)+1),"")</f>
        <v>0</v>
      </c>
      <c r="F1403" s="0" t="str">
        <f aca="false">IFERROR(SMALL(F367:F1087,ROW()-ROW($F$1090)+1),"")</f>
        <v/>
      </c>
      <c r="G1403" s="0" t="n">
        <f aca="false">IFERROR(SMALL(G367:G1087,ROW()-ROW($G$1090)+1),"")</f>
        <v>0</v>
      </c>
      <c r="H1403" s="0" t="n">
        <f aca="false">IFERROR(SMALL(H367:H1087,ROW()-ROW($H$1090)+1),"")</f>
        <v>0</v>
      </c>
      <c r="K1403" s="0" t="n">
        <f aca="false">IFERROR(SMALL(K367:K1087,ROW()-ROW($K$1090)+1),"")</f>
        <v>0</v>
      </c>
      <c r="L1403" s="0" t="str">
        <f aca="false">IFERROR(SMALL(L367:L1087,ROW()-ROW($L$1090)+1),"")</f>
        <v/>
      </c>
      <c r="M1403" s="0" t="n">
        <f aca="false">IFERROR(SMALL(M367:M1087,ROW()-ROW($M$1090)+1),"")</f>
        <v>0</v>
      </c>
      <c r="N1403" s="0" t="n">
        <f aca="false">IFERROR(SMALL(N367:N1087,ROW()-ROW($N$1090)+1),"")</f>
        <v>0</v>
      </c>
    </row>
    <row r="1404" customFormat="false" ht="15" hidden="false" customHeight="false" outlineLevel="0" collapsed="false">
      <c r="E1404" s="0" t="n">
        <f aca="false">IFERROR(SMALL(E367:E1087,ROW()-ROW($E$1090)+1),"")</f>
        <v>0</v>
      </c>
      <c r="F1404" s="0" t="str">
        <f aca="false">IFERROR(SMALL(F367:F1087,ROW()-ROW($F$1090)+1),"")</f>
        <v/>
      </c>
      <c r="G1404" s="0" t="n">
        <f aca="false">IFERROR(SMALL(G367:G1087,ROW()-ROW($G$1090)+1),"")</f>
        <v>0</v>
      </c>
      <c r="H1404" s="0" t="n">
        <f aca="false">IFERROR(SMALL(H367:H1087,ROW()-ROW($H$1090)+1),"")</f>
        <v>0</v>
      </c>
      <c r="K1404" s="0" t="n">
        <f aca="false">IFERROR(SMALL(K367:K1087,ROW()-ROW($K$1090)+1),"")</f>
        <v>0</v>
      </c>
      <c r="L1404" s="0" t="str">
        <f aca="false">IFERROR(SMALL(L367:L1087,ROW()-ROW($L$1090)+1),"")</f>
        <v/>
      </c>
      <c r="M1404" s="0" t="n">
        <f aca="false">IFERROR(SMALL(M367:M1087,ROW()-ROW($M$1090)+1),"")</f>
        <v>0</v>
      </c>
      <c r="N1404" s="0" t="n">
        <f aca="false">IFERROR(SMALL(N367:N1087,ROW()-ROW($N$1090)+1),"")</f>
        <v>0</v>
      </c>
    </row>
    <row r="1405" customFormat="false" ht="15" hidden="false" customHeight="false" outlineLevel="0" collapsed="false">
      <c r="E1405" s="0" t="n">
        <f aca="false">IFERROR(SMALL(E367:E1087,ROW()-ROW($E$1090)+1),"")</f>
        <v>0</v>
      </c>
      <c r="F1405" s="0" t="str">
        <f aca="false">IFERROR(SMALL(F367:F1087,ROW()-ROW($F$1090)+1),"")</f>
        <v/>
      </c>
      <c r="G1405" s="0" t="n">
        <f aca="false">IFERROR(SMALL(G367:G1087,ROW()-ROW($G$1090)+1),"")</f>
        <v>0</v>
      </c>
      <c r="H1405" s="0" t="n">
        <f aca="false">IFERROR(SMALL(H367:H1087,ROW()-ROW($H$1090)+1),"")</f>
        <v>0</v>
      </c>
      <c r="K1405" s="0" t="n">
        <f aca="false">IFERROR(SMALL(K367:K1087,ROW()-ROW($K$1090)+1),"")</f>
        <v>0</v>
      </c>
      <c r="L1405" s="0" t="str">
        <f aca="false">IFERROR(SMALL(L367:L1087,ROW()-ROW($L$1090)+1),"")</f>
        <v/>
      </c>
      <c r="M1405" s="0" t="n">
        <f aca="false">IFERROR(SMALL(M367:M1087,ROW()-ROW($M$1090)+1),"")</f>
        <v>0</v>
      </c>
      <c r="N1405" s="0" t="n">
        <f aca="false">IFERROR(SMALL(N367:N1087,ROW()-ROW($N$1090)+1),"")</f>
        <v>0</v>
      </c>
    </row>
    <row r="1406" customFormat="false" ht="15" hidden="false" customHeight="false" outlineLevel="0" collapsed="false">
      <c r="E1406" s="0" t="n">
        <f aca="false">IFERROR(SMALL(E367:E1087,ROW()-ROW($E$1090)+1),"")</f>
        <v>0</v>
      </c>
      <c r="F1406" s="0" t="str">
        <f aca="false">IFERROR(SMALL(F367:F1087,ROW()-ROW($F$1090)+1),"")</f>
        <v/>
      </c>
      <c r="G1406" s="0" t="n">
        <f aca="false">IFERROR(SMALL(G367:G1087,ROW()-ROW($G$1090)+1),"")</f>
        <v>0</v>
      </c>
      <c r="H1406" s="0" t="n">
        <f aca="false">IFERROR(SMALL(H367:H1087,ROW()-ROW($H$1090)+1),"")</f>
        <v>0</v>
      </c>
      <c r="K1406" s="0" t="n">
        <f aca="false">IFERROR(SMALL(K367:K1087,ROW()-ROW($K$1090)+1),"")</f>
        <v>0</v>
      </c>
      <c r="L1406" s="0" t="str">
        <f aca="false">IFERROR(SMALL(L367:L1087,ROW()-ROW($L$1090)+1),"")</f>
        <v/>
      </c>
      <c r="M1406" s="0" t="n">
        <f aca="false">IFERROR(SMALL(M367:M1087,ROW()-ROW($M$1090)+1),"")</f>
        <v>0</v>
      </c>
      <c r="N1406" s="0" t="n">
        <f aca="false">IFERROR(SMALL(N367:N1087,ROW()-ROW($N$1090)+1),"")</f>
        <v>0</v>
      </c>
    </row>
    <row r="1407" customFormat="false" ht="15" hidden="false" customHeight="false" outlineLevel="0" collapsed="false">
      <c r="E1407" s="0" t="n">
        <f aca="false">IFERROR(SMALL(E367:E1087,ROW()-ROW($E$1090)+1),"")</f>
        <v>0</v>
      </c>
      <c r="F1407" s="0" t="str">
        <f aca="false">IFERROR(SMALL(F367:F1087,ROW()-ROW($F$1090)+1),"")</f>
        <v/>
      </c>
      <c r="G1407" s="0" t="n">
        <f aca="false">IFERROR(SMALL(G367:G1087,ROW()-ROW($G$1090)+1),"")</f>
        <v>0</v>
      </c>
      <c r="H1407" s="0" t="n">
        <f aca="false">IFERROR(SMALL(H367:H1087,ROW()-ROW($H$1090)+1),"")</f>
        <v>0</v>
      </c>
      <c r="K1407" s="0" t="n">
        <f aca="false">IFERROR(SMALL(K367:K1087,ROW()-ROW($K$1090)+1),"")</f>
        <v>0</v>
      </c>
      <c r="L1407" s="0" t="str">
        <f aca="false">IFERROR(SMALL(L367:L1087,ROW()-ROW($L$1090)+1),"")</f>
        <v/>
      </c>
      <c r="M1407" s="0" t="n">
        <f aca="false">IFERROR(SMALL(M367:M1087,ROW()-ROW($M$1090)+1),"")</f>
        <v>0</v>
      </c>
      <c r="N1407" s="0" t="n">
        <f aca="false">IFERROR(SMALL(N367:N1087,ROW()-ROW($N$1090)+1),"")</f>
        <v>0</v>
      </c>
    </row>
    <row r="1408" customFormat="false" ht="15" hidden="false" customHeight="false" outlineLevel="0" collapsed="false">
      <c r="E1408" s="0" t="n">
        <f aca="false">IFERROR(SMALL(E367:E1087,ROW()-ROW($E$1090)+1),"")</f>
        <v>0</v>
      </c>
      <c r="F1408" s="0" t="str">
        <f aca="false">IFERROR(SMALL(F367:F1087,ROW()-ROW($F$1090)+1),"")</f>
        <v/>
      </c>
      <c r="G1408" s="0" t="n">
        <f aca="false">IFERROR(SMALL(G367:G1087,ROW()-ROW($G$1090)+1),"")</f>
        <v>0</v>
      </c>
      <c r="H1408" s="0" t="n">
        <f aca="false">IFERROR(SMALL(H367:H1087,ROW()-ROW($H$1090)+1),"")</f>
        <v>0</v>
      </c>
      <c r="K1408" s="0" t="n">
        <f aca="false">IFERROR(SMALL(K367:K1087,ROW()-ROW($K$1090)+1),"")</f>
        <v>0</v>
      </c>
      <c r="L1408" s="0" t="str">
        <f aca="false">IFERROR(SMALL(L367:L1087,ROW()-ROW($L$1090)+1),"")</f>
        <v/>
      </c>
      <c r="M1408" s="0" t="n">
        <f aca="false">IFERROR(SMALL(M367:M1087,ROW()-ROW($M$1090)+1),"")</f>
        <v>0</v>
      </c>
      <c r="N1408" s="0" t="n">
        <f aca="false">IFERROR(SMALL(N367:N1087,ROW()-ROW($N$1090)+1),"")</f>
        <v>0</v>
      </c>
    </row>
    <row r="1409" customFormat="false" ht="15" hidden="false" customHeight="false" outlineLevel="0" collapsed="false">
      <c r="E1409" s="0" t="n">
        <f aca="false">IFERROR(SMALL(E367:E1087,ROW()-ROW($E$1090)+1),"")</f>
        <v>0</v>
      </c>
      <c r="F1409" s="0" t="str">
        <f aca="false">IFERROR(SMALL(F367:F1087,ROW()-ROW($F$1090)+1),"")</f>
        <v/>
      </c>
      <c r="G1409" s="0" t="n">
        <f aca="false">IFERROR(SMALL(G367:G1087,ROW()-ROW($G$1090)+1),"")</f>
        <v>0</v>
      </c>
      <c r="H1409" s="0" t="n">
        <f aca="false">IFERROR(SMALL(H367:H1087,ROW()-ROW($H$1090)+1),"")</f>
        <v>0</v>
      </c>
      <c r="K1409" s="0" t="n">
        <f aca="false">IFERROR(SMALL(K367:K1087,ROW()-ROW($K$1090)+1),"")</f>
        <v>0</v>
      </c>
      <c r="L1409" s="0" t="str">
        <f aca="false">IFERROR(SMALL(L367:L1087,ROW()-ROW($L$1090)+1),"")</f>
        <v/>
      </c>
      <c r="M1409" s="0" t="n">
        <f aca="false">IFERROR(SMALL(M367:M1087,ROW()-ROW($M$1090)+1),"")</f>
        <v>0</v>
      </c>
      <c r="N1409" s="0" t="n">
        <f aca="false">IFERROR(SMALL(N367:N1087,ROW()-ROW($N$1090)+1),"")</f>
        <v>0</v>
      </c>
    </row>
    <row r="1410" customFormat="false" ht="15" hidden="false" customHeight="false" outlineLevel="0" collapsed="false">
      <c r="E1410" s="0" t="n">
        <f aca="false">IFERROR(SMALL(E367:E1087,ROW()-ROW($E$1090)+1),"")</f>
        <v>0</v>
      </c>
      <c r="F1410" s="0" t="str">
        <f aca="false">IFERROR(SMALL(F367:F1087,ROW()-ROW($F$1090)+1),"")</f>
        <v/>
      </c>
      <c r="G1410" s="0" t="n">
        <f aca="false">IFERROR(SMALL(G367:G1087,ROW()-ROW($G$1090)+1),"")</f>
        <v>0</v>
      </c>
      <c r="H1410" s="0" t="n">
        <f aca="false">IFERROR(SMALL(H367:H1087,ROW()-ROW($H$1090)+1),"")</f>
        <v>0</v>
      </c>
      <c r="K1410" s="0" t="n">
        <f aca="false">IFERROR(SMALL(K367:K1087,ROW()-ROW($K$1090)+1),"")</f>
        <v>0</v>
      </c>
      <c r="L1410" s="0" t="str">
        <f aca="false">IFERROR(SMALL(L367:L1087,ROW()-ROW($L$1090)+1),"")</f>
        <v/>
      </c>
      <c r="M1410" s="0" t="n">
        <f aca="false">IFERROR(SMALL(M367:M1087,ROW()-ROW($M$1090)+1),"")</f>
        <v>0</v>
      </c>
      <c r="N1410" s="0" t="n">
        <f aca="false">IFERROR(SMALL(N367:N1087,ROW()-ROW($N$1090)+1),"")</f>
        <v>0</v>
      </c>
    </row>
    <row r="1411" customFormat="false" ht="15" hidden="false" customHeight="false" outlineLevel="0" collapsed="false">
      <c r="E1411" s="0" t="n">
        <f aca="false">IFERROR(SMALL(E367:E1087,ROW()-ROW($E$1090)+1),"")</f>
        <v>0</v>
      </c>
      <c r="F1411" s="0" t="str">
        <f aca="false">IFERROR(SMALL(F367:F1087,ROW()-ROW($F$1090)+1),"")</f>
        <v/>
      </c>
      <c r="G1411" s="0" t="n">
        <f aca="false">IFERROR(SMALL(G367:G1087,ROW()-ROW($G$1090)+1),"")</f>
        <v>0</v>
      </c>
      <c r="H1411" s="0" t="n">
        <f aca="false">IFERROR(SMALL(H367:H1087,ROW()-ROW($H$1090)+1),"")</f>
        <v>0</v>
      </c>
      <c r="K1411" s="0" t="n">
        <f aca="false">IFERROR(SMALL(K367:K1087,ROW()-ROW($K$1090)+1),"")</f>
        <v>0</v>
      </c>
      <c r="L1411" s="0" t="str">
        <f aca="false">IFERROR(SMALL(L367:L1087,ROW()-ROW($L$1090)+1),"")</f>
        <v/>
      </c>
      <c r="M1411" s="0" t="n">
        <f aca="false">IFERROR(SMALL(M367:M1087,ROW()-ROW($M$1090)+1),"")</f>
        <v>0</v>
      </c>
      <c r="N1411" s="0" t="n">
        <f aca="false">IFERROR(SMALL(N367:N1087,ROW()-ROW($N$1090)+1),"")</f>
        <v>0</v>
      </c>
    </row>
    <row r="1412" customFormat="false" ht="15" hidden="false" customHeight="false" outlineLevel="0" collapsed="false">
      <c r="E1412" s="0" t="n">
        <f aca="false">IFERROR(SMALL(E367:E1087,ROW()-ROW($E$1090)+1),"")</f>
        <v>0</v>
      </c>
      <c r="F1412" s="0" t="str">
        <f aca="false">IFERROR(SMALL(F367:F1087,ROW()-ROW($F$1090)+1),"")</f>
        <v/>
      </c>
      <c r="G1412" s="0" t="n">
        <f aca="false">IFERROR(SMALL(G367:G1087,ROW()-ROW($G$1090)+1),"")</f>
        <v>0</v>
      </c>
      <c r="H1412" s="0" t="n">
        <f aca="false">IFERROR(SMALL(H367:H1087,ROW()-ROW($H$1090)+1),"")</f>
        <v>0</v>
      </c>
      <c r="K1412" s="0" t="n">
        <f aca="false">IFERROR(SMALL(K367:K1087,ROW()-ROW($K$1090)+1),"")</f>
        <v>0</v>
      </c>
      <c r="L1412" s="0" t="str">
        <f aca="false">IFERROR(SMALL(L367:L1087,ROW()-ROW($L$1090)+1),"")</f>
        <v/>
      </c>
      <c r="M1412" s="0" t="n">
        <f aca="false">IFERROR(SMALL(M367:M1087,ROW()-ROW($M$1090)+1),"")</f>
        <v>0</v>
      </c>
      <c r="N1412" s="0" t="n">
        <f aca="false">IFERROR(SMALL(N367:N1087,ROW()-ROW($N$1090)+1),"")</f>
        <v>0</v>
      </c>
    </row>
    <row r="1413" customFormat="false" ht="15" hidden="false" customHeight="false" outlineLevel="0" collapsed="false">
      <c r="E1413" s="0" t="n">
        <f aca="false">IFERROR(SMALL(E367:E1087,ROW()-ROW($E$1090)+1),"")</f>
        <v>0</v>
      </c>
      <c r="F1413" s="0" t="str">
        <f aca="false">IFERROR(SMALL(F367:F1087,ROW()-ROW($F$1090)+1),"")</f>
        <v/>
      </c>
      <c r="G1413" s="0" t="n">
        <f aca="false">IFERROR(SMALL(G367:G1087,ROW()-ROW($G$1090)+1),"")</f>
        <v>0</v>
      </c>
      <c r="H1413" s="0" t="n">
        <f aca="false">IFERROR(SMALL(H367:H1087,ROW()-ROW($H$1090)+1),"")</f>
        <v>0</v>
      </c>
      <c r="K1413" s="0" t="n">
        <f aca="false">IFERROR(SMALL(K367:K1087,ROW()-ROW($K$1090)+1),"")</f>
        <v>0</v>
      </c>
      <c r="L1413" s="0" t="str">
        <f aca="false">IFERROR(SMALL(L367:L1087,ROW()-ROW($L$1090)+1),"")</f>
        <v/>
      </c>
      <c r="M1413" s="0" t="n">
        <f aca="false">IFERROR(SMALL(M367:M1087,ROW()-ROW($M$1090)+1),"")</f>
        <v>0</v>
      </c>
      <c r="N1413" s="0" t="n">
        <f aca="false">IFERROR(SMALL(N367:N1087,ROW()-ROW($N$1090)+1),"")</f>
        <v>0</v>
      </c>
    </row>
    <row r="1414" customFormat="false" ht="15" hidden="false" customHeight="false" outlineLevel="0" collapsed="false">
      <c r="E1414" s="0" t="n">
        <f aca="false">IFERROR(SMALL(E367:E1087,ROW()-ROW($E$1090)+1),"")</f>
        <v>0</v>
      </c>
      <c r="F1414" s="0" t="str">
        <f aca="false">IFERROR(SMALL(F367:F1087,ROW()-ROW($F$1090)+1),"")</f>
        <v/>
      </c>
      <c r="G1414" s="0" t="n">
        <f aca="false">IFERROR(SMALL(G367:G1087,ROW()-ROW($G$1090)+1),"")</f>
        <v>0</v>
      </c>
      <c r="H1414" s="0" t="n">
        <f aca="false">IFERROR(SMALL(H367:H1087,ROW()-ROW($H$1090)+1),"")</f>
        <v>0</v>
      </c>
      <c r="K1414" s="0" t="n">
        <f aca="false">IFERROR(SMALL(K367:K1087,ROW()-ROW($K$1090)+1),"")</f>
        <v>0</v>
      </c>
      <c r="L1414" s="0" t="str">
        <f aca="false">IFERROR(SMALL(L367:L1087,ROW()-ROW($L$1090)+1),"")</f>
        <v/>
      </c>
      <c r="M1414" s="0" t="n">
        <f aca="false">IFERROR(SMALL(M367:M1087,ROW()-ROW($M$1090)+1),"")</f>
        <v>0</v>
      </c>
      <c r="N1414" s="0" t="n">
        <f aca="false">IFERROR(SMALL(N367:N1087,ROW()-ROW($N$1090)+1),"")</f>
        <v>0</v>
      </c>
    </row>
    <row r="1415" customFormat="false" ht="15" hidden="false" customHeight="false" outlineLevel="0" collapsed="false">
      <c r="E1415" s="0" t="n">
        <f aca="false">IFERROR(SMALL(E367:E1087,ROW()-ROW($E$1090)+1),"")</f>
        <v>0</v>
      </c>
      <c r="F1415" s="0" t="str">
        <f aca="false">IFERROR(SMALL(F367:F1087,ROW()-ROW($F$1090)+1),"")</f>
        <v/>
      </c>
      <c r="G1415" s="0" t="n">
        <f aca="false">IFERROR(SMALL(G367:G1087,ROW()-ROW($G$1090)+1),"")</f>
        <v>0</v>
      </c>
      <c r="H1415" s="0" t="n">
        <f aca="false">IFERROR(SMALL(H367:H1087,ROW()-ROW($H$1090)+1),"")</f>
        <v>0</v>
      </c>
      <c r="K1415" s="0" t="n">
        <f aca="false">IFERROR(SMALL(K367:K1087,ROW()-ROW($K$1090)+1),"")</f>
        <v>0</v>
      </c>
      <c r="L1415" s="0" t="str">
        <f aca="false">IFERROR(SMALL(L367:L1087,ROW()-ROW($L$1090)+1),"")</f>
        <v/>
      </c>
      <c r="M1415" s="0" t="n">
        <f aca="false">IFERROR(SMALL(M367:M1087,ROW()-ROW($M$1090)+1),"")</f>
        <v>0</v>
      </c>
      <c r="N1415" s="0" t="n">
        <f aca="false">IFERROR(SMALL(N367:N1087,ROW()-ROW($N$1090)+1),"")</f>
        <v>0</v>
      </c>
    </row>
    <row r="1416" customFormat="false" ht="15" hidden="false" customHeight="false" outlineLevel="0" collapsed="false">
      <c r="E1416" s="0" t="n">
        <f aca="false">IFERROR(SMALL(E367:E1087,ROW()-ROW($E$1090)+1),"")</f>
        <v>0</v>
      </c>
      <c r="F1416" s="0" t="str">
        <f aca="false">IFERROR(SMALL(F367:F1087,ROW()-ROW($F$1090)+1),"")</f>
        <v/>
      </c>
      <c r="G1416" s="0" t="n">
        <f aca="false">IFERROR(SMALL(G367:G1087,ROW()-ROW($G$1090)+1),"")</f>
        <v>0</v>
      </c>
      <c r="H1416" s="0" t="n">
        <f aca="false">IFERROR(SMALL(H367:H1087,ROW()-ROW($H$1090)+1),"")</f>
        <v>0</v>
      </c>
      <c r="K1416" s="0" t="n">
        <f aca="false">IFERROR(SMALL(K367:K1087,ROW()-ROW($K$1090)+1),"")</f>
        <v>0</v>
      </c>
      <c r="L1416" s="0" t="str">
        <f aca="false">IFERROR(SMALL(L367:L1087,ROW()-ROW($L$1090)+1),"")</f>
        <v/>
      </c>
      <c r="M1416" s="0" t="n">
        <f aca="false">IFERROR(SMALL(M367:M1087,ROW()-ROW($M$1090)+1),"")</f>
        <v>0</v>
      </c>
      <c r="N1416" s="0" t="n">
        <f aca="false">IFERROR(SMALL(N367:N1087,ROW()-ROW($N$1090)+1),"")</f>
        <v>0</v>
      </c>
    </row>
    <row r="1417" customFormat="false" ht="15" hidden="false" customHeight="false" outlineLevel="0" collapsed="false">
      <c r="E1417" s="0" t="n">
        <f aca="false">IFERROR(SMALL(E367:E1087,ROW()-ROW($E$1090)+1),"")</f>
        <v>0</v>
      </c>
      <c r="F1417" s="0" t="str">
        <f aca="false">IFERROR(SMALL(F367:F1087,ROW()-ROW($F$1090)+1),"")</f>
        <v/>
      </c>
      <c r="G1417" s="0" t="n">
        <f aca="false">IFERROR(SMALL(G367:G1087,ROW()-ROW($G$1090)+1),"")</f>
        <v>0</v>
      </c>
      <c r="H1417" s="0" t="n">
        <f aca="false">IFERROR(SMALL(H367:H1087,ROW()-ROW($H$1090)+1),"")</f>
        <v>0</v>
      </c>
      <c r="K1417" s="0" t="n">
        <f aca="false">IFERROR(SMALL(K367:K1087,ROW()-ROW($K$1090)+1),"")</f>
        <v>0</v>
      </c>
      <c r="L1417" s="0" t="str">
        <f aca="false">IFERROR(SMALL(L367:L1087,ROW()-ROW($L$1090)+1),"")</f>
        <v/>
      </c>
      <c r="M1417" s="0" t="n">
        <f aca="false">IFERROR(SMALL(M367:M1087,ROW()-ROW($M$1090)+1),"")</f>
        <v>0</v>
      </c>
      <c r="N1417" s="0" t="n">
        <f aca="false">IFERROR(SMALL(N367:N1087,ROW()-ROW($N$1090)+1),"")</f>
        <v>0</v>
      </c>
    </row>
    <row r="1418" customFormat="false" ht="15" hidden="false" customHeight="false" outlineLevel="0" collapsed="false">
      <c r="E1418" s="0" t="n">
        <f aca="false">IFERROR(SMALL(E367:E1087,ROW()-ROW($E$1090)+1),"")</f>
        <v>0</v>
      </c>
      <c r="F1418" s="0" t="str">
        <f aca="false">IFERROR(SMALL(F367:F1087,ROW()-ROW($F$1090)+1),"")</f>
        <v/>
      </c>
      <c r="G1418" s="0" t="n">
        <f aca="false">IFERROR(SMALL(G367:G1087,ROW()-ROW($G$1090)+1),"")</f>
        <v>0</v>
      </c>
      <c r="H1418" s="0" t="n">
        <f aca="false">IFERROR(SMALL(H367:H1087,ROW()-ROW($H$1090)+1),"")</f>
        <v>0</v>
      </c>
      <c r="K1418" s="0" t="n">
        <f aca="false">IFERROR(SMALL(K367:K1087,ROW()-ROW($K$1090)+1),"")</f>
        <v>0</v>
      </c>
      <c r="L1418" s="0" t="str">
        <f aca="false">IFERROR(SMALL(L367:L1087,ROW()-ROW($L$1090)+1),"")</f>
        <v/>
      </c>
      <c r="M1418" s="0" t="n">
        <f aca="false">IFERROR(SMALL(M367:M1087,ROW()-ROW($M$1090)+1),"")</f>
        <v>0</v>
      </c>
      <c r="N1418" s="0" t="n">
        <f aca="false">IFERROR(SMALL(N367:N1087,ROW()-ROW($N$1090)+1),"")</f>
        <v>0</v>
      </c>
    </row>
    <row r="1419" customFormat="false" ht="15" hidden="false" customHeight="false" outlineLevel="0" collapsed="false">
      <c r="E1419" s="0" t="n">
        <f aca="false">IFERROR(SMALL(E367:E1087,ROW()-ROW($E$1090)+1),"")</f>
        <v>0</v>
      </c>
      <c r="F1419" s="0" t="str">
        <f aca="false">IFERROR(SMALL(F367:F1087,ROW()-ROW($F$1090)+1),"")</f>
        <v/>
      </c>
      <c r="G1419" s="0" t="n">
        <f aca="false">IFERROR(SMALL(G367:G1087,ROW()-ROW($G$1090)+1),"")</f>
        <v>0</v>
      </c>
      <c r="H1419" s="0" t="n">
        <f aca="false">IFERROR(SMALL(H367:H1087,ROW()-ROW($H$1090)+1),"")</f>
        <v>0</v>
      </c>
      <c r="K1419" s="0" t="n">
        <f aca="false">IFERROR(SMALL(K367:K1087,ROW()-ROW($K$1090)+1),"")</f>
        <v>0</v>
      </c>
      <c r="L1419" s="0" t="str">
        <f aca="false">IFERROR(SMALL(L367:L1087,ROW()-ROW($L$1090)+1),"")</f>
        <v/>
      </c>
      <c r="M1419" s="0" t="n">
        <f aca="false">IFERROR(SMALL(M367:M1087,ROW()-ROW($M$1090)+1),"")</f>
        <v>0</v>
      </c>
      <c r="N1419" s="0" t="n">
        <f aca="false">IFERROR(SMALL(N367:N1087,ROW()-ROW($N$1090)+1),"")</f>
        <v>0</v>
      </c>
    </row>
    <row r="1420" customFormat="false" ht="15" hidden="false" customHeight="false" outlineLevel="0" collapsed="false">
      <c r="E1420" s="0" t="n">
        <f aca="false">IFERROR(SMALL(E367:E1087,ROW()-ROW($E$1090)+1),"")</f>
        <v>0</v>
      </c>
      <c r="F1420" s="0" t="str">
        <f aca="false">IFERROR(SMALL(F367:F1087,ROW()-ROW($F$1090)+1),"")</f>
        <v/>
      </c>
      <c r="G1420" s="0" t="n">
        <f aca="false">IFERROR(SMALL(G367:G1087,ROW()-ROW($G$1090)+1),"")</f>
        <v>0</v>
      </c>
      <c r="H1420" s="0" t="n">
        <f aca="false">IFERROR(SMALL(H367:H1087,ROW()-ROW($H$1090)+1),"")</f>
        <v>0</v>
      </c>
      <c r="K1420" s="0" t="n">
        <f aca="false">IFERROR(SMALL(K367:K1087,ROW()-ROW($K$1090)+1),"")</f>
        <v>0</v>
      </c>
      <c r="L1420" s="0" t="str">
        <f aca="false">IFERROR(SMALL(L367:L1087,ROW()-ROW($L$1090)+1),"")</f>
        <v/>
      </c>
      <c r="M1420" s="0" t="n">
        <f aca="false">IFERROR(SMALL(M367:M1087,ROW()-ROW($M$1090)+1),"")</f>
        <v>0</v>
      </c>
      <c r="N1420" s="0" t="n">
        <f aca="false">IFERROR(SMALL(N367:N1087,ROW()-ROW($N$1090)+1),"")</f>
        <v>0</v>
      </c>
    </row>
    <row r="1421" customFormat="false" ht="15" hidden="false" customHeight="false" outlineLevel="0" collapsed="false">
      <c r="E1421" s="0" t="n">
        <f aca="false">IFERROR(SMALL(E367:E1087,ROW()-ROW($E$1090)+1),"")</f>
        <v>0</v>
      </c>
      <c r="F1421" s="0" t="str">
        <f aca="false">IFERROR(SMALL(F367:F1087,ROW()-ROW($F$1090)+1),"")</f>
        <v/>
      </c>
      <c r="G1421" s="0" t="n">
        <f aca="false">IFERROR(SMALL(G367:G1087,ROW()-ROW($G$1090)+1),"")</f>
        <v>0</v>
      </c>
      <c r="H1421" s="0" t="n">
        <f aca="false">IFERROR(SMALL(H367:H1087,ROW()-ROW($H$1090)+1),"")</f>
        <v>0</v>
      </c>
      <c r="K1421" s="0" t="n">
        <f aca="false">IFERROR(SMALL(K367:K1087,ROW()-ROW($K$1090)+1),"")</f>
        <v>0</v>
      </c>
      <c r="L1421" s="0" t="str">
        <f aca="false">IFERROR(SMALL(L367:L1087,ROW()-ROW($L$1090)+1),"")</f>
        <v/>
      </c>
      <c r="M1421" s="0" t="n">
        <f aca="false">IFERROR(SMALL(M367:M1087,ROW()-ROW($M$1090)+1),"")</f>
        <v>0</v>
      </c>
      <c r="N1421" s="0" t="n">
        <f aca="false">IFERROR(SMALL(N367:N1087,ROW()-ROW($N$1090)+1),"")</f>
        <v>0</v>
      </c>
    </row>
    <row r="1422" customFormat="false" ht="15" hidden="false" customHeight="false" outlineLevel="0" collapsed="false">
      <c r="E1422" s="0" t="n">
        <f aca="false">IFERROR(SMALL(E367:E1087,ROW()-ROW($E$1090)+1),"")</f>
        <v>0</v>
      </c>
      <c r="F1422" s="0" t="str">
        <f aca="false">IFERROR(SMALL(F367:F1087,ROW()-ROW($F$1090)+1),"")</f>
        <v/>
      </c>
      <c r="G1422" s="0" t="n">
        <f aca="false">IFERROR(SMALL(G367:G1087,ROW()-ROW($G$1090)+1),"")</f>
        <v>0</v>
      </c>
      <c r="H1422" s="0" t="n">
        <f aca="false">IFERROR(SMALL(H367:H1087,ROW()-ROW($H$1090)+1),"")</f>
        <v>0</v>
      </c>
      <c r="K1422" s="0" t="n">
        <f aca="false">IFERROR(SMALL(K367:K1087,ROW()-ROW($K$1090)+1),"")</f>
        <v>0</v>
      </c>
      <c r="L1422" s="0" t="str">
        <f aca="false">IFERROR(SMALL(L367:L1087,ROW()-ROW($L$1090)+1),"")</f>
        <v/>
      </c>
      <c r="M1422" s="0" t="n">
        <f aca="false">IFERROR(SMALL(M367:M1087,ROW()-ROW($M$1090)+1),"")</f>
        <v>0</v>
      </c>
      <c r="N1422" s="0" t="n">
        <f aca="false">IFERROR(SMALL(N367:N1087,ROW()-ROW($N$1090)+1),"")</f>
        <v>0</v>
      </c>
    </row>
    <row r="1423" customFormat="false" ht="15" hidden="false" customHeight="false" outlineLevel="0" collapsed="false">
      <c r="E1423" s="0" t="n">
        <f aca="false">IFERROR(SMALL(E367:E1087,ROW()-ROW($E$1090)+1),"")</f>
        <v>0</v>
      </c>
      <c r="F1423" s="0" t="str">
        <f aca="false">IFERROR(SMALL(F367:F1087,ROW()-ROW($F$1090)+1),"")</f>
        <v/>
      </c>
      <c r="G1423" s="0" t="n">
        <f aca="false">IFERROR(SMALL(G367:G1087,ROW()-ROW($G$1090)+1),"")</f>
        <v>0</v>
      </c>
      <c r="H1423" s="0" t="n">
        <f aca="false">IFERROR(SMALL(H367:H1087,ROW()-ROW($H$1090)+1),"")</f>
        <v>0</v>
      </c>
      <c r="K1423" s="0" t="n">
        <f aca="false">IFERROR(SMALL(K367:K1087,ROW()-ROW($K$1090)+1),"")</f>
        <v>0</v>
      </c>
      <c r="L1423" s="0" t="str">
        <f aca="false">IFERROR(SMALL(L367:L1087,ROW()-ROW($L$1090)+1),"")</f>
        <v/>
      </c>
      <c r="M1423" s="0" t="n">
        <f aca="false">IFERROR(SMALL(M367:M1087,ROW()-ROW($M$1090)+1),"")</f>
        <v>0</v>
      </c>
      <c r="N1423" s="0" t="n">
        <f aca="false">IFERROR(SMALL(N367:N1087,ROW()-ROW($N$1090)+1),"")</f>
        <v>0</v>
      </c>
    </row>
    <row r="1424" customFormat="false" ht="15" hidden="false" customHeight="false" outlineLevel="0" collapsed="false">
      <c r="E1424" s="0" t="n">
        <f aca="false">IFERROR(SMALL(E367:E1087,ROW()-ROW($E$1090)+1),"")</f>
        <v>0</v>
      </c>
      <c r="F1424" s="0" t="str">
        <f aca="false">IFERROR(SMALL(F367:F1087,ROW()-ROW($F$1090)+1),"")</f>
        <v/>
      </c>
      <c r="G1424" s="0" t="n">
        <f aca="false">IFERROR(SMALL(G367:G1087,ROW()-ROW($G$1090)+1),"")</f>
        <v>0</v>
      </c>
      <c r="H1424" s="0" t="n">
        <f aca="false">IFERROR(SMALL(H367:H1087,ROW()-ROW($H$1090)+1),"")</f>
        <v>0</v>
      </c>
      <c r="K1424" s="0" t="n">
        <f aca="false">IFERROR(SMALL(K367:K1087,ROW()-ROW($K$1090)+1),"")</f>
        <v>0</v>
      </c>
      <c r="L1424" s="0" t="str">
        <f aca="false">IFERROR(SMALL(L367:L1087,ROW()-ROW($L$1090)+1),"")</f>
        <v/>
      </c>
      <c r="M1424" s="0" t="n">
        <f aca="false">IFERROR(SMALL(M367:M1087,ROW()-ROW($M$1090)+1),"")</f>
        <v>0</v>
      </c>
      <c r="N1424" s="0" t="n">
        <f aca="false">IFERROR(SMALL(N367:N1087,ROW()-ROW($N$1090)+1),"")</f>
        <v>0</v>
      </c>
    </row>
    <row r="1425" customFormat="false" ht="15" hidden="false" customHeight="false" outlineLevel="0" collapsed="false">
      <c r="E1425" s="0" t="n">
        <f aca="false">IFERROR(SMALL(E367:E1087,ROW()-ROW($E$1090)+1),"")</f>
        <v>0</v>
      </c>
      <c r="F1425" s="0" t="str">
        <f aca="false">IFERROR(SMALL(F367:F1087,ROW()-ROW($F$1090)+1),"")</f>
        <v/>
      </c>
      <c r="G1425" s="0" t="n">
        <f aca="false">IFERROR(SMALL(G367:G1087,ROW()-ROW($G$1090)+1),"")</f>
        <v>0</v>
      </c>
      <c r="H1425" s="0" t="n">
        <f aca="false">IFERROR(SMALL(H367:H1087,ROW()-ROW($H$1090)+1),"")</f>
        <v>0</v>
      </c>
      <c r="K1425" s="0" t="n">
        <f aca="false">IFERROR(SMALL(K367:K1087,ROW()-ROW($K$1090)+1),"")</f>
        <v>0</v>
      </c>
      <c r="L1425" s="0" t="str">
        <f aca="false">IFERROR(SMALL(L367:L1087,ROW()-ROW($L$1090)+1),"")</f>
        <v/>
      </c>
      <c r="M1425" s="0" t="n">
        <f aca="false">IFERROR(SMALL(M367:M1087,ROW()-ROW($M$1090)+1),"")</f>
        <v>0</v>
      </c>
      <c r="N1425" s="0" t="n">
        <f aca="false">IFERROR(SMALL(N367:N1087,ROW()-ROW($N$1090)+1),"")</f>
        <v>0</v>
      </c>
    </row>
    <row r="1426" customFormat="false" ht="15" hidden="false" customHeight="false" outlineLevel="0" collapsed="false">
      <c r="E1426" s="0" t="n">
        <f aca="false">IFERROR(SMALL(E367:E1087,ROW()-ROW($E$1090)+1),"")</f>
        <v>0</v>
      </c>
      <c r="F1426" s="0" t="str">
        <f aca="false">IFERROR(SMALL(F367:F1087,ROW()-ROW($F$1090)+1),"")</f>
        <v/>
      </c>
      <c r="G1426" s="0" t="n">
        <f aca="false">IFERROR(SMALL(G367:G1087,ROW()-ROW($G$1090)+1),"")</f>
        <v>0</v>
      </c>
      <c r="H1426" s="0" t="n">
        <f aca="false">IFERROR(SMALL(H367:H1087,ROW()-ROW($H$1090)+1),"")</f>
        <v>0</v>
      </c>
      <c r="K1426" s="0" t="n">
        <f aca="false">IFERROR(SMALL(K367:K1087,ROW()-ROW($K$1090)+1),"")</f>
        <v>0</v>
      </c>
      <c r="L1426" s="0" t="str">
        <f aca="false">IFERROR(SMALL(L367:L1087,ROW()-ROW($L$1090)+1),"")</f>
        <v/>
      </c>
      <c r="M1426" s="0" t="n">
        <f aca="false">IFERROR(SMALL(M367:M1087,ROW()-ROW($M$1090)+1),"")</f>
        <v>0</v>
      </c>
      <c r="N1426" s="0" t="n">
        <f aca="false">IFERROR(SMALL(N367:N1087,ROW()-ROW($N$1090)+1),"")</f>
        <v>0</v>
      </c>
    </row>
    <row r="1427" customFormat="false" ht="15" hidden="false" customHeight="false" outlineLevel="0" collapsed="false">
      <c r="E1427" s="0" t="n">
        <f aca="false">IFERROR(SMALL(E367:E1087,ROW()-ROW($E$1090)+1),"")</f>
        <v>0</v>
      </c>
      <c r="F1427" s="0" t="str">
        <f aca="false">IFERROR(SMALL(F367:F1087,ROW()-ROW($F$1090)+1),"")</f>
        <v/>
      </c>
      <c r="G1427" s="0" t="n">
        <f aca="false">IFERROR(SMALL(G367:G1087,ROW()-ROW($G$1090)+1),"")</f>
        <v>0</v>
      </c>
      <c r="H1427" s="0" t="n">
        <f aca="false">IFERROR(SMALL(H367:H1087,ROW()-ROW($H$1090)+1),"")</f>
        <v>0</v>
      </c>
      <c r="K1427" s="0" t="n">
        <f aca="false">IFERROR(SMALL(K367:K1087,ROW()-ROW($K$1090)+1),"")</f>
        <v>0</v>
      </c>
      <c r="L1427" s="0" t="str">
        <f aca="false">IFERROR(SMALL(L367:L1087,ROW()-ROW($L$1090)+1),"")</f>
        <v/>
      </c>
      <c r="M1427" s="0" t="n">
        <f aca="false">IFERROR(SMALL(M367:M1087,ROW()-ROW($M$1090)+1),"")</f>
        <v>0</v>
      </c>
      <c r="N1427" s="0" t="n">
        <f aca="false">IFERROR(SMALL(N367:N1087,ROW()-ROW($N$1090)+1),"")</f>
        <v>0</v>
      </c>
    </row>
    <row r="1428" customFormat="false" ht="15" hidden="false" customHeight="false" outlineLevel="0" collapsed="false">
      <c r="E1428" s="0" t="n">
        <f aca="false">IFERROR(SMALL(E367:E1087,ROW()-ROW($E$1090)+1),"")</f>
        <v>0</v>
      </c>
      <c r="F1428" s="0" t="str">
        <f aca="false">IFERROR(SMALL(F367:F1087,ROW()-ROW($F$1090)+1),"")</f>
        <v/>
      </c>
      <c r="G1428" s="0" t="n">
        <f aca="false">IFERROR(SMALL(G367:G1087,ROW()-ROW($G$1090)+1),"")</f>
        <v>0</v>
      </c>
      <c r="H1428" s="0" t="n">
        <f aca="false">IFERROR(SMALL(H367:H1087,ROW()-ROW($H$1090)+1),"")</f>
        <v>0</v>
      </c>
      <c r="K1428" s="0" t="n">
        <f aca="false">IFERROR(SMALL(K367:K1087,ROW()-ROW($K$1090)+1),"")</f>
        <v>0</v>
      </c>
      <c r="L1428" s="0" t="str">
        <f aca="false">IFERROR(SMALL(L367:L1087,ROW()-ROW($L$1090)+1),"")</f>
        <v/>
      </c>
      <c r="M1428" s="0" t="n">
        <f aca="false">IFERROR(SMALL(M367:M1087,ROW()-ROW($M$1090)+1),"")</f>
        <v>0</v>
      </c>
      <c r="N1428" s="0" t="n">
        <f aca="false">IFERROR(SMALL(N367:N1087,ROW()-ROW($N$1090)+1),"")</f>
        <v>0</v>
      </c>
    </row>
    <row r="1429" customFormat="false" ht="15" hidden="false" customHeight="false" outlineLevel="0" collapsed="false">
      <c r="E1429" s="0" t="n">
        <f aca="false">IFERROR(SMALL(E367:E1087,ROW()-ROW($E$1090)+1),"")</f>
        <v>0</v>
      </c>
      <c r="F1429" s="0" t="str">
        <f aca="false">IFERROR(SMALL(F367:F1087,ROW()-ROW($F$1090)+1),"")</f>
        <v/>
      </c>
      <c r="G1429" s="0" t="n">
        <f aca="false">IFERROR(SMALL(G367:G1087,ROW()-ROW($G$1090)+1),"")</f>
        <v>0</v>
      </c>
      <c r="H1429" s="0" t="n">
        <f aca="false">IFERROR(SMALL(H367:H1087,ROW()-ROW($H$1090)+1),"")</f>
        <v>0</v>
      </c>
      <c r="K1429" s="0" t="n">
        <f aca="false">IFERROR(SMALL(K367:K1087,ROW()-ROW($K$1090)+1),"")</f>
        <v>0</v>
      </c>
      <c r="L1429" s="0" t="str">
        <f aca="false">IFERROR(SMALL(L367:L1087,ROW()-ROW($L$1090)+1),"")</f>
        <v/>
      </c>
      <c r="M1429" s="0" t="n">
        <f aca="false">IFERROR(SMALL(M367:M1087,ROW()-ROW($M$1090)+1),"")</f>
        <v>0</v>
      </c>
      <c r="N1429" s="0" t="n">
        <f aca="false">IFERROR(SMALL(N367:N1087,ROW()-ROW($N$1090)+1),"")</f>
        <v>0</v>
      </c>
    </row>
    <row r="1430" customFormat="false" ht="15" hidden="false" customHeight="false" outlineLevel="0" collapsed="false">
      <c r="E1430" s="0" t="n">
        <f aca="false">IFERROR(SMALL(E367:E1087,ROW()-ROW($E$1090)+1),"")</f>
        <v>0</v>
      </c>
      <c r="F1430" s="0" t="str">
        <f aca="false">IFERROR(SMALL(F367:F1087,ROW()-ROW($F$1090)+1),"")</f>
        <v/>
      </c>
      <c r="G1430" s="0" t="n">
        <f aca="false">IFERROR(SMALL(G367:G1087,ROW()-ROW($G$1090)+1),"")</f>
        <v>0</v>
      </c>
      <c r="H1430" s="0" t="n">
        <f aca="false">IFERROR(SMALL(H367:H1087,ROW()-ROW($H$1090)+1),"")</f>
        <v>0</v>
      </c>
      <c r="K1430" s="0" t="n">
        <f aca="false">IFERROR(SMALL(K367:K1087,ROW()-ROW($K$1090)+1),"")</f>
        <v>0</v>
      </c>
      <c r="L1430" s="0" t="str">
        <f aca="false">IFERROR(SMALL(L367:L1087,ROW()-ROW($L$1090)+1),"")</f>
        <v/>
      </c>
      <c r="M1430" s="0" t="n">
        <f aca="false">IFERROR(SMALL(M367:M1087,ROW()-ROW($M$1090)+1),"")</f>
        <v>0</v>
      </c>
      <c r="N1430" s="0" t="n">
        <f aca="false">IFERROR(SMALL(N367:N1087,ROW()-ROW($N$1090)+1),"")</f>
        <v>0</v>
      </c>
    </row>
    <row r="1431" customFormat="false" ht="15" hidden="false" customHeight="false" outlineLevel="0" collapsed="false">
      <c r="E1431" s="0" t="n">
        <f aca="false">IFERROR(SMALL(E367:E1087,ROW()-ROW($E$1090)+1),"")</f>
        <v>0</v>
      </c>
      <c r="F1431" s="0" t="str">
        <f aca="false">IFERROR(SMALL(F367:F1087,ROW()-ROW($F$1090)+1),"")</f>
        <v/>
      </c>
      <c r="G1431" s="0" t="n">
        <f aca="false">IFERROR(SMALL(G367:G1087,ROW()-ROW($G$1090)+1),"")</f>
        <v>0</v>
      </c>
      <c r="H1431" s="0" t="n">
        <f aca="false">IFERROR(SMALL(H367:H1087,ROW()-ROW($H$1090)+1),"")</f>
        <v>0</v>
      </c>
      <c r="K1431" s="0" t="n">
        <f aca="false">IFERROR(SMALL(K367:K1087,ROW()-ROW($K$1090)+1),"")</f>
        <v>0</v>
      </c>
      <c r="L1431" s="0" t="str">
        <f aca="false">IFERROR(SMALL(L367:L1087,ROW()-ROW($L$1090)+1),"")</f>
        <v/>
      </c>
      <c r="M1431" s="0" t="n">
        <f aca="false">IFERROR(SMALL(M367:M1087,ROW()-ROW($M$1090)+1),"")</f>
        <v>0</v>
      </c>
      <c r="N1431" s="0" t="n">
        <f aca="false">IFERROR(SMALL(N367:N1087,ROW()-ROW($N$1090)+1),"")</f>
        <v>0</v>
      </c>
    </row>
    <row r="1432" customFormat="false" ht="15" hidden="false" customHeight="false" outlineLevel="0" collapsed="false">
      <c r="E1432" s="0" t="n">
        <f aca="false">IFERROR(SMALL(E367:E1087,ROW()-ROW($E$1090)+1),"")</f>
        <v>0</v>
      </c>
      <c r="F1432" s="0" t="str">
        <f aca="false">IFERROR(SMALL(F367:F1087,ROW()-ROW($F$1090)+1),"")</f>
        <v/>
      </c>
      <c r="G1432" s="0" t="n">
        <f aca="false">IFERROR(SMALL(G367:G1087,ROW()-ROW($G$1090)+1),"")</f>
        <v>0</v>
      </c>
      <c r="H1432" s="0" t="n">
        <f aca="false">IFERROR(SMALL(H367:H1087,ROW()-ROW($H$1090)+1),"")</f>
        <v>0</v>
      </c>
      <c r="K1432" s="0" t="n">
        <f aca="false">IFERROR(SMALL(K367:K1087,ROW()-ROW($K$1090)+1),"")</f>
        <v>0</v>
      </c>
      <c r="L1432" s="0" t="str">
        <f aca="false">IFERROR(SMALL(L367:L1087,ROW()-ROW($L$1090)+1),"")</f>
        <v/>
      </c>
      <c r="M1432" s="0" t="n">
        <f aca="false">IFERROR(SMALL(M367:M1087,ROW()-ROW($M$1090)+1),"")</f>
        <v>0</v>
      </c>
      <c r="N1432" s="0" t="n">
        <f aca="false">IFERROR(SMALL(N367:N1087,ROW()-ROW($N$1090)+1),"")</f>
        <v>0</v>
      </c>
    </row>
    <row r="1433" customFormat="false" ht="15" hidden="false" customHeight="false" outlineLevel="0" collapsed="false">
      <c r="E1433" s="0" t="n">
        <f aca="false">IFERROR(SMALL(E367:E1087,ROW()-ROW($E$1090)+1),"")</f>
        <v>0</v>
      </c>
      <c r="F1433" s="0" t="str">
        <f aca="false">IFERROR(SMALL(F367:F1087,ROW()-ROW($F$1090)+1),"")</f>
        <v/>
      </c>
      <c r="G1433" s="0" t="n">
        <f aca="false">IFERROR(SMALL(G367:G1087,ROW()-ROW($G$1090)+1),"")</f>
        <v>0</v>
      </c>
      <c r="H1433" s="0" t="n">
        <f aca="false">IFERROR(SMALL(H367:H1087,ROW()-ROW($H$1090)+1),"")</f>
        <v>0</v>
      </c>
      <c r="K1433" s="0" t="n">
        <f aca="false">IFERROR(SMALL(K367:K1087,ROW()-ROW($K$1090)+1),"")</f>
        <v>0</v>
      </c>
      <c r="L1433" s="0" t="str">
        <f aca="false">IFERROR(SMALL(L367:L1087,ROW()-ROW($L$1090)+1),"")</f>
        <v/>
      </c>
      <c r="M1433" s="0" t="n">
        <f aca="false">IFERROR(SMALL(M367:M1087,ROW()-ROW($M$1090)+1),"")</f>
        <v>0</v>
      </c>
      <c r="N1433" s="0" t="n">
        <f aca="false">IFERROR(SMALL(N367:N1087,ROW()-ROW($N$1090)+1),"")</f>
        <v>0</v>
      </c>
    </row>
    <row r="1434" customFormat="false" ht="15" hidden="false" customHeight="false" outlineLevel="0" collapsed="false">
      <c r="E1434" s="0" t="n">
        <f aca="false">IFERROR(SMALL(E367:E1087,ROW()-ROW($E$1090)+1),"")</f>
        <v>0</v>
      </c>
      <c r="F1434" s="0" t="str">
        <f aca="false">IFERROR(SMALL(F367:F1087,ROW()-ROW($F$1090)+1),"")</f>
        <v/>
      </c>
      <c r="G1434" s="0" t="n">
        <f aca="false">IFERROR(SMALL(G367:G1087,ROW()-ROW($G$1090)+1),"")</f>
        <v>0</v>
      </c>
      <c r="H1434" s="0" t="n">
        <f aca="false">IFERROR(SMALL(H367:H1087,ROW()-ROW($H$1090)+1),"")</f>
        <v>0</v>
      </c>
      <c r="K1434" s="0" t="n">
        <f aca="false">IFERROR(SMALL(K367:K1087,ROW()-ROW($K$1090)+1),"")</f>
        <v>0</v>
      </c>
      <c r="L1434" s="0" t="str">
        <f aca="false">IFERROR(SMALL(L367:L1087,ROW()-ROW($L$1090)+1),"")</f>
        <v/>
      </c>
      <c r="M1434" s="0" t="n">
        <f aca="false">IFERROR(SMALL(M367:M1087,ROW()-ROW($M$1090)+1),"")</f>
        <v>0</v>
      </c>
      <c r="N1434" s="0" t="n">
        <f aca="false">IFERROR(SMALL(N367:N1087,ROW()-ROW($N$1090)+1),"")</f>
        <v>0</v>
      </c>
    </row>
    <row r="1435" customFormat="false" ht="15" hidden="false" customHeight="false" outlineLevel="0" collapsed="false">
      <c r="E1435" s="0" t="n">
        <f aca="false">IFERROR(SMALL(E367:E1087,ROW()-ROW($E$1090)+1),"")</f>
        <v>0</v>
      </c>
      <c r="F1435" s="0" t="str">
        <f aca="false">IFERROR(SMALL(F367:F1087,ROW()-ROW($F$1090)+1),"")</f>
        <v/>
      </c>
      <c r="G1435" s="0" t="n">
        <f aca="false">IFERROR(SMALL(G367:G1087,ROW()-ROW($G$1090)+1),"")</f>
        <v>0</v>
      </c>
      <c r="H1435" s="0" t="n">
        <f aca="false">IFERROR(SMALL(H367:H1087,ROW()-ROW($H$1090)+1),"")</f>
        <v>0</v>
      </c>
      <c r="K1435" s="0" t="n">
        <f aca="false">IFERROR(SMALL(K367:K1087,ROW()-ROW($K$1090)+1),"")</f>
        <v>0</v>
      </c>
      <c r="L1435" s="0" t="str">
        <f aca="false">IFERROR(SMALL(L367:L1087,ROW()-ROW($L$1090)+1),"")</f>
        <v/>
      </c>
      <c r="M1435" s="0" t="n">
        <f aca="false">IFERROR(SMALL(M367:M1087,ROW()-ROW($M$1090)+1),"")</f>
        <v>0</v>
      </c>
      <c r="N1435" s="0" t="n">
        <f aca="false">IFERROR(SMALL(N367:N1087,ROW()-ROW($N$1090)+1),"")</f>
        <v>0</v>
      </c>
    </row>
    <row r="1436" customFormat="false" ht="15" hidden="false" customHeight="false" outlineLevel="0" collapsed="false">
      <c r="E1436" s="0" t="n">
        <f aca="false">IFERROR(SMALL(E367:E1087,ROW()-ROW($E$1090)+1),"")</f>
        <v>0</v>
      </c>
      <c r="F1436" s="0" t="str">
        <f aca="false">IFERROR(SMALL(F367:F1087,ROW()-ROW($F$1090)+1),"")</f>
        <v/>
      </c>
      <c r="G1436" s="0" t="n">
        <f aca="false">IFERROR(SMALL(G367:G1087,ROW()-ROW($G$1090)+1),"")</f>
        <v>0</v>
      </c>
      <c r="H1436" s="0" t="n">
        <f aca="false">IFERROR(SMALL(H367:H1087,ROW()-ROW($H$1090)+1),"")</f>
        <v>0</v>
      </c>
      <c r="K1436" s="0" t="n">
        <f aca="false">IFERROR(SMALL(K367:K1087,ROW()-ROW($K$1090)+1),"")</f>
        <v>0</v>
      </c>
      <c r="L1436" s="0" t="str">
        <f aca="false">IFERROR(SMALL(L367:L1087,ROW()-ROW($L$1090)+1),"")</f>
        <v/>
      </c>
      <c r="M1436" s="0" t="n">
        <f aca="false">IFERROR(SMALL(M367:M1087,ROW()-ROW($M$1090)+1),"")</f>
        <v>0</v>
      </c>
      <c r="N1436" s="0" t="n">
        <f aca="false">IFERROR(SMALL(N367:N1087,ROW()-ROW($N$1090)+1),"")</f>
        <v>0</v>
      </c>
    </row>
    <row r="1437" customFormat="false" ht="15" hidden="false" customHeight="false" outlineLevel="0" collapsed="false">
      <c r="E1437" s="0" t="n">
        <f aca="false">IFERROR(SMALL(E367:E1087,ROW()-ROW($E$1090)+1),"")</f>
        <v>0</v>
      </c>
      <c r="F1437" s="0" t="str">
        <f aca="false">IFERROR(SMALL(F367:F1087,ROW()-ROW($F$1090)+1),"")</f>
        <v/>
      </c>
      <c r="G1437" s="0" t="n">
        <f aca="false">IFERROR(SMALL(G367:G1087,ROW()-ROW($G$1090)+1),"")</f>
        <v>0</v>
      </c>
      <c r="H1437" s="0" t="n">
        <f aca="false">IFERROR(SMALL(H367:H1087,ROW()-ROW($H$1090)+1),"")</f>
        <v>0</v>
      </c>
      <c r="K1437" s="0" t="n">
        <f aca="false">IFERROR(SMALL(K367:K1087,ROW()-ROW($K$1090)+1),"")</f>
        <v>0</v>
      </c>
      <c r="L1437" s="0" t="str">
        <f aca="false">IFERROR(SMALL(L367:L1087,ROW()-ROW($L$1090)+1),"")</f>
        <v/>
      </c>
      <c r="M1437" s="0" t="n">
        <f aca="false">IFERROR(SMALL(M367:M1087,ROW()-ROW($M$1090)+1),"")</f>
        <v>0</v>
      </c>
      <c r="N1437" s="0" t="n">
        <f aca="false">IFERROR(SMALL(N367:N1087,ROW()-ROW($N$1090)+1),"")</f>
        <v>0</v>
      </c>
    </row>
    <row r="1438" customFormat="false" ht="15" hidden="false" customHeight="false" outlineLevel="0" collapsed="false">
      <c r="E1438" s="0" t="n">
        <f aca="false">IFERROR(SMALL(E367:E1087,ROW()-ROW($E$1090)+1),"")</f>
        <v>0</v>
      </c>
      <c r="F1438" s="0" t="str">
        <f aca="false">IFERROR(SMALL(F367:F1087,ROW()-ROW($F$1090)+1),"")</f>
        <v/>
      </c>
      <c r="G1438" s="0" t="n">
        <f aca="false">IFERROR(SMALL(G367:G1087,ROW()-ROW($G$1090)+1),"")</f>
        <v>0</v>
      </c>
      <c r="H1438" s="0" t="n">
        <f aca="false">IFERROR(SMALL(H367:H1087,ROW()-ROW($H$1090)+1),"")</f>
        <v>0</v>
      </c>
      <c r="K1438" s="0" t="n">
        <f aca="false">IFERROR(SMALL(K367:K1087,ROW()-ROW($K$1090)+1),"")</f>
        <v>0</v>
      </c>
      <c r="L1438" s="0" t="str">
        <f aca="false">IFERROR(SMALL(L367:L1087,ROW()-ROW($L$1090)+1),"")</f>
        <v/>
      </c>
      <c r="M1438" s="0" t="n">
        <f aca="false">IFERROR(SMALL(M367:M1087,ROW()-ROW($M$1090)+1),"")</f>
        <v>0</v>
      </c>
      <c r="N1438" s="0" t="n">
        <f aca="false">IFERROR(SMALL(N367:N1087,ROW()-ROW($N$1090)+1),"")</f>
        <v>0</v>
      </c>
    </row>
    <row r="1439" customFormat="false" ht="15" hidden="false" customHeight="false" outlineLevel="0" collapsed="false">
      <c r="E1439" s="0" t="n">
        <f aca="false">IFERROR(SMALL(E367:E1087,ROW()-ROW($E$1090)+1),"")</f>
        <v>0</v>
      </c>
      <c r="F1439" s="0" t="str">
        <f aca="false">IFERROR(SMALL(F367:F1087,ROW()-ROW($F$1090)+1),"")</f>
        <v/>
      </c>
      <c r="G1439" s="0" t="n">
        <f aca="false">IFERROR(SMALL(G367:G1087,ROW()-ROW($G$1090)+1),"")</f>
        <v>0</v>
      </c>
      <c r="H1439" s="0" t="n">
        <f aca="false">IFERROR(SMALL(H367:H1087,ROW()-ROW($H$1090)+1),"")</f>
        <v>0</v>
      </c>
      <c r="K1439" s="0" t="n">
        <f aca="false">IFERROR(SMALL(K367:K1087,ROW()-ROW($K$1090)+1),"")</f>
        <v>0</v>
      </c>
      <c r="L1439" s="0" t="str">
        <f aca="false">IFERROR(SMALL(L367:L1087,ROW()-ROW($L$1090)+1),"")</f>
        <v/>
      </c>
      <c r="M1439" s="0" t="n">
        <f aca="false">IFERROR(SMALL(M367:M1087,ROW()-ROW($M$1090)+1),"")</f>
        <v>0</v>
      </c>
      <c r="N1439" s="0" t="n">
        <f aca="false">IFERROR(SMALL(N367:N1087,ROW()-ROW($N$1090)+1),"")</f>
        <v>0</v>
      </c>
    </row>
    <row r="1440" customFormat="false" ht="15" hidden="false" customHeight="false" outlineLevel="0" collapsed="false">
      <c r="E1440" s="0" t="n">
        <f aca="false">IFERROR(SMALL(E367:E1087,ROW()-ROW($E$1090)+1),"")</f>
        <v>0</v>
      </c>
      <c r="F1440" s="0" t="str">
        <f aca="false">IFERROR(SMALL(F367:F1087,ROW()-ROW($F$1090)+1),"")</f>
        <v/>
      </c>
      <c r="G1440" s="0" t="n">
        <f aca="false">IFERROR(SMALL(G367:G1087,ROW()-ROW($G$1090)+1),"")</f>
        <v>0</v>
      </c>
      <c r="H1440" s="0" t="n">
        <f aca="false">IFERROR(SMALL(H367:H1087,ROW()-ROW($H$1090)+1),"")</f>
        <v>0</v>
      </c>
      <c r="K1440" s="0" t="n">
        <f aca="false">IFERROR(SMALL(K367:K1087,ROW()-ROW($K$1090)+1),"")</f>
        <v>0</v>
      </c>
      <c r="L1440" s="0" t="str">
        <f aca="false">IFERROR(SMALL(L367:L1087,ROW()-ROW($L$1090)+1),"")</f>
        <v/>
      </c>
      <c r="M1440" s="0" t="n">
        <f aca="false">IFERROR(SMALL(M367:M1087,ROW()-ROW($M$1090)+1),"")</f>
        <v>0</v>
      </c>
      <c r="N1440" s="0" t="n">
        <f aca="false">IFERROR(SMALL(N367:N1087,ROW()-ROW($N$1090)+1),"")</f>
        <v>0</v>
      </c>
    </row>
    <row r="1441" customFormat="false" ht="15" hidden="false" customHeight="false" outlineLevel="0" collapsed="false">
      <c r="E1441" s="0" t="n">
        <f aca="false">IFERROR(SMALL(E367:E1087,ROW()-ROW($E$1090)+1),"")</f>
        <v>0</v>
      </c>
      <c r="F1441" s="0" t="str">
        <f aca="false">IFERROR(SMALL(F367:F1087,ROW()-ROW($F$1090)+1),"")</f>
        <v/>
      </c>
      <c r="G1441" s="0" t="n">
        <f aca="false">IFERROR(SMALL(G367:G1087,ROW()-ROW($G$1090)+1),"")</f>
        <v>0</v>
      </c>
      <c r="H1441" s="0" t="n">
        <f aca="false">IFERROR(SMALL(H367:H1087,ROW()-ROW($H$1090)+1),"")</f>
        <v>0</v>
      </c>
      <c r="K1441" s="0" t="n">
        <f aca="false">IFERROR(SMALL(K367:K1087,ROW()-ROW($K$1090)+1),"")</f>
        <v>0</v>
      </c>
      <c r="L1441" s="0" t="str">
        <f aca="false">IFERROR(SMALL(L367:L1087,ROW()-ROW($L$1090)+1),"")</f>
        <v/>
      </c>
      <c r="M1441" s="0" t="n">
        <f aca="false">IFERROR(SMALL(M367:M1087,ROW()-ROW($M$1090)+1),"")</f>
        <v>0</v>
      </c>
      <c r="N1441" s="0" t="n">
        <f aca="false">IFERROR(SMALL(N367:N1087,ROW()-ROW($N$1090)+1),"")</f>
        <v>0</v>
      </c>
    </row>
    <row r="1442" customFormat="false" ht="15" hidden="false" customHeight="false" outlineLevel="0" collapsed="false">
      <c r="E1442" s="0" t="n">
        <f aca="false">IFERROR(SMALL(E367:E1087,ROW()-ROW($E$1090)+1),"")</f>
        <v>0</v>
      </c>
      <c r="F1442" s="0" t="str">
        <f aca="false">IFERROR(SMALL(F367:F1087,ROW()-ROW($F$1090)+1),"")</f>
        <v/>
      </c>
      <c r="G1442" s="0" t="n">
        <f aca="false">IFERROR(SMALL(G367:G1087,ROW()-ROW($G$1090)+1),"")</f>
        <v>0</v>
      </c>
      <c r="H1442" s="0" t="n">
        <f aca="false">IFERROR(SMALL(H367:H1087,ROW()-ROW($H$1090)+1),"")</f>
        <v>0</v>
      </c>
      <c r="K1442" s="0" t="n">
        <f aca="false">IFERROR(SMALL(K367:K1087,ROW()-ROW($K$1090)+1),"")</f>
        <v>0</v>
      </c>
      <c r="L1442" s="0" t="str">
        <f aca="false">IFERROR(SMALL(L367:L1087,ROW()-ROW($L$1090)+1),"")</f>
        <v/>
      </c>
      <c r="M1442" s="0" t="n">
        <f aca="false">IFERROR(SMALL(M367:M1087,ROW()-ROW($M$1090)+1),"")</f>
        <v>0</v>
      </c>
      <c r="N1442" s="0" t="n">
        <f aca="false">IFERROR(SMALL(N367:N1087,ROW()-ROW($N$1090)+1),"")</f>
        <v>0</v>
      </c>
    </row>
    <row r="1443" customFormat="false" ht="15" hidden="false" customHeight="false" outlineLevel="0" collapsed="false">
      <c r="E1443" s="0" t="n">
        <f aca="false">IFERROR(SMALL(E367:E1087,ROW()-ROW($E$1090)+1),"")</f>
        <v>0</v>
      </c>
      <c r="F1443" s="0" t="str">
        <f aca="false">IFERROR(SMALL(F367:F1087,ROW()-ROW($F$1090)+1),"")</f>
        <v/>
      </c>
      <c r="G1443" s="0" t="n">
        <f aca="false">IFERROR(SMALL(G367:G1087,ROW()-ROW($G$1090)+1),"")</f>
        <v>0</v>
      </c>
      <c r="H1443" s="0" t="n">
        <f aca="false">IFERROR(SMALL(H367:H1087,ROW()-ROW($H$1090)+1),"")</f>
        <v>0</v>
      </c>
      <c r="K1443" s="0" t="n">
        <f aca="false">IFERROR(SMALL(K367:K1087,ROW()-ROW($K$1090)+1),"")</f>
        <v>0</v>
      </c>
      <c r="L1443" s="0" t="str">
        <f aca="false">IFERROR(SMALL(L367:L1087,ROW()-ROW($L$1090)+1),"")</f>
        <v/>
      </c>
      <c r="M1443" s="0" t="n">
        <f aca="false">IFERROR(SMALL(M367:M1087,ROW()-ROW($M$1090)+1),"")</f>
        <v>0</v>
      </c>
      <c r="N1443" s="0" t="n">
        <f aca="false">IFERROR(SMALL(N367:N1087,ROW()-ROW($N$1090)+1),"")</f>
        <v>0</v>
      </c>
    </row>
    <row r="1444" customFormat="false" ht="15" hidden="false" customHeight="false" outlineLevel="0" collapsed="false">
      <c r="E1444" s="0" t="n">
        <f aca="false">IFERROR(SMALL(E367:E1087,ROW()-ROW($E$1090)+1),"")</f>
        <v>0</v>
      </c>
      <c r="F1444" s="0" t="str">
        <f aca="false">IFERROR(SMALL(F367:F1087,ROW()-ROW($F$1090)+1),"")</f>
        <v/>
      </c>
      <c r="G1444" s="0" t="n">
        <f aca="false">IFERROR(SMALL(G367:G1087,ROW()-ROW($G$1090)+1),"")</f>
        <v>0</v>
      </c>
      <c r="H1444" s="0" t="n">
        <f aca="false">IFERROR(SMALL(H367:H1087,ROW()-ROW($H$1090)+1),"")</f>
        <v>0</v>
      </c>
      <c r="K1444" s="0" t="n">
        <f aca="false">IFERROR(SMALL(K367:K1087,ROW()-ROW($K$1090)+1),"")</f>
        <v>0</v>
      </c>
      <c r="L1444" s="0" t="str">
        <f aca="false">IFERROR(SMALL(L367:L1087,ROW()-ROW($L$1090)+1),"")</f>
        <v/>
      </c>
      <c r="M1444" s="0" t="n">
        <f aca="false">IFERROR(SMALL(M367:M1087,ROW()-ROW($M$1090)+1),"")</f>
        <v>0</v>
      </c>
      <c r="N1444" s="0" t="n">
        <f aca="false">IFERROR(SMALL(N367:N1087,ROW()-ROW($N$1090)+1),"")</f>
        <v>0</v>
      </c>
    </row>
    <row r="1445" customFormat="false" ht="15" hidden="false" customHeight="false" outlineLevel="0" collapsed="false">
      <c r="E1445" s="0" t="n">
        <f aca="false">IFERROR(SMALL(E367:E1087,ROW()-ROW($E$1090)+1),"")</f>
        <v>0</v>
      </c>
      <c r="F1445" s="0" t="str">
        <f aca="false">IFERROR(SMALL(F367:F1087,ROW()-ROW($F$1090)+1),"")</f>
        <v/>
      </c>
      <c r="G1445" s="0" t="n">
        <f aca="false">IFERROR(SMALL(G367:G1087,ROW()-ROW($G$1090)+1),"")</f>
        <v>0</v>
      </c>
      <c r="H1445" s="0" t="n">
        <f aca="false">IFERROR(SMALL(H367:H1087,ROW()-ROW($H$1090)+1),"")</f>
        <v>0</v>
      </c>
      <c r="K1445" s="0" t="n">
        <f aca="false">IFERROR(SMALL(K367:K1087,ROW()-ROW($K$1090)+1),"")</f>
        <v>0</v>
      </c>
      <c r="L1445" s="0" t="str">
        <f aca="false">IFERROR(SMALL(L367:L1087,ROW()-ROW($L$1090)+1),"")</f>
        <v/>
      </c>
      <c r="M1445" s="0" t="n">
        <f aca="false">IFERROR(SMALL(M367:M1087,ROW()-ROW($M$1090)+1),"")</f>
        <v>0</v>
      </c>
      <c r="N1445" s="0" t="n">
        <f aca="false">IFERROR(SMALL(N367:N1087,ROW()-ROW($N$1090)+1),"")</f>
        <v>0</v>
      </c>
    </row>
    <row r="1446" customFormat="false" ht="15" hidden="false" customHeight="false" outlineLevel="0" collapsed="false">
      <c r="E1446" s="0" t="n">
        <f aca="false">IFERROR(SMALL(E367:E1087,ROW()-ROW($E$1090)+1),"")</f>
        <v>0</v>
      </c>
      <c r="F1446" s="0" t="str">
        <f aca="false">IFERROR(SMALL(F367:F1087,ROW()-ROW($F$1090)+1),"")</f>
        <v/>
      </c>
      <c r="G1446" s="0" t="n">
        <f aca="false">IFERROR(SMALL(G367:G1087,ROW()-ROW($G$1090)+1),"")</f>
        <v>0</v>
      </c>
      <c r="H1446" s="0" t="n">
        <f aca="false">IFERROR(SMALL(H367:H1087,ROW()-ROW($H$1090)+1),"")</f>
        <v>0</v>
      </c>
      <c r="K1446" s="0" t="n">
        <f aca="false">IFERROR(SMALL(K367:K1087,ROW()-ROW($K$1090)+1),"")</f>
        <v>0</v>
      </c>
      <c r="L1446" s="0" t="str">
        <f aca="false">IFERROR(SMALL(L367:L1087,ROW()-ROW($L$1090)+1),"")</f>
        <v/>
      </c>
      <c r="M1446" s="0" t="n">
        <f aca="false">IFERROR(SMALL(M367:M1087,ROW()-ROW($M$1090)+1),"")</f>
        <v>0</v>
      </c>
      <c r="N1446" s="0" t="n">
        <f aca="false">IFERROR(SMALL(N367:N1087,ROW()-ROW($N$1090)+1),"")</f>
        <v>0</v>
      </c>
    </row>
    <row r="1447" customFormat="false" ht="15" hidden="false" customHeight="false" outlineLevel="0" collapsed="false">
      <c r="E1447" s="0" t="n">
        <f aca="false">IFERROR(SMALL(E367:E1087,ROW()-ROW($E$1090)+1),"")</f>
        <v>0</v>
      </c>
      <c r="F1447" s="0" t="str">
        <f aca="false">IFERROR(SMALL(F367:F1087,ROW()-ROW($F$1090)+1),"")</f>
        <v/>
      </c>
      <c r="G1447" s="0" t="n">
        <f aca="false">IFERROR(SMALL(G367:G1087,ROW()-ROW($G$1090)+1),"")</f>
        <v>0</v>
      </c>
      <c r="H1447" s="0" t="n">
        <f aca="false">IFERROR(SMALL(H367:H1087,ROW()-ROW($H$1090)+1),"")</f>
        <v>0</v>
      </c>
      <c r="K1447" s="0" t="n">
        <f aca="false">IFERROR(SMALL(K367:K1087,ROW()-ROW($K$1090)+1),"")</f>
        <v>0</v>
      </c>
      <c r="L1447" s="0" t="str">
        <f aca="false">IFERROR(SMALL(L367:L1087,ROW()-ROW($L$1090)+1),"")</f>
        <v/>
      </c>
      <c r="M1447" s="0" t="n">
        <f aca="false">IFERROR(SMALL(M367:M1087,ROW()-ROW($M$1090)+1),"")</f>
        <v>0</v>
      </c>
      <c r="N1447" s="0" t="n">
        <f aca="false">IFERROR(SMALL(N367:N1087,ROW()-ROW($N$1090)+1),"")</f>
        <v>0</v>
      </c>
    </row>
    <row r="1448" customFormat="false" ht="15" hidden="false" customHeight="false" outlineLevel="0" collapsed="false">
      <c r="E1448" s="0" t="n">
        <f aca="false">IFERROR(SMALL(E367:E1087,ROW()-ROW($E$1090)+1),"")</f>
        <v>0</v>
      </c>
      <c r="F1448" s="0" t="str">
        <f aca="false">IFERROR(SMALL(F367:F1087,ROW()-ROW($F$1090)+1),"")</f>
        <v/>
      </c>
      <c r="G1448" s="0" t="n">
        <f aca="false">IFERROR(SMALL(G367:G1087,ROW()-ROW($G$1090)+1),"")</f>
        <v>0</v>
      </c>
      <c r="H1448" s="0" t="n">
        <f aca="false">IFERROR(SMALL(H367:H1087,ROW()-ROW($H$1090)+1),"")</f>
        <v>0</v>
      </c>
      <c r="K1448" s="0" t="n">
        <f aca="false">IFERROR(SMALL(K367:K1087,ROW()-ROW($K$1090)+1),"")</f>
        <v>0</v>
      </c>
      <c r="L1448" s="0" t="str">
        <f aca="false">IFERROR(SMALL(L367:L1087,ROW()-ROW($L$1090)+1),"")</f>
        <v/>
      </c>
      <c r="M1448" s="0" t="n">
        <f aca="false">IFERROR(SMALL(M367:M1087,ROW()-ROW($M$1090)+1),"")</f>
        <v>0</v>
      </c>
      <c r="N1448" s="0" t="n">
        <f aca="false">IFERROR(SMALL(N367:N1087,ROW()-ROW($N$1090)+1),"")</f>
        <v>0</v>
      </c>
    </row>
    <row r="1449" customFormat="false" ht="15" hidden="false" customHeight="false" outlineLevel="0" collapsed="false">
      <c r="E1449" s="0" t="n">
        <f aca="false">IFERROR(SMALL(E367:E1087,ROW()-ROW($E$1090)+1),"")</f>
        <v>0</v>
      </c>
      <c r="F1449" s="0" t="str">
        <f aca="false">IFERROR(SMALL(F367:F1087,ROW()-ROW($F$1090)+1),"")</f>
        <v/>
      </c>
      <c r="G1449" s="0" t="n">
        <f aca="false">IFERROR(SMALL(G367:G1087,ROW()-ROW($G$1090)+1),"")</f>
        <v>0</v>
      </c>
      <c r="H1449" s="0" t="n">
        <f aca="false">IFERROR(SMALL(H367:H1087,ROW()-ROW($H$1090)+1),"")</f>
        <v>0</v>
      </c>
      <c r="K1449" s="0" t="n">
        <f aca="false">IFERROR(SMALL(K367:K1087,ROW()-ROW($K$1090)+1),"")</f>
        <v>0</v>
      </c>
      <c r="L1449" s="0" t="str">
        <f aca="false">IFERROR(SMALL(L367:L1087,ROW()-ROW($L$1090)+1),"")</f>
        <v/>
      </c>
      <c r="M1449" s="0" t="n">
        <f aca="false">IFERROR(SMALL(M367:M1087,ROW()-ROW($M$1090)+1),"")</f>
        <v>0</v>
      </c>
      <c r="N1449" s="0" t="n">
        <f aca="false">IFERROR(SMALL(N367:N1087,ROW()-ROW($N$1090)+1),"")</f>
        <v>0</v>
      </c>
    </row>
    <row r="1450" customFormat="false" ht="15" hidden="false" customHeight="false" outlineLevel="0" collapsed="false">
      <c r="E1450" s="0" t="n">
        <f aca="false">IFERROR(SMALL(E367:E1087,ROW()-ROW($E$1090)+1),"")</f>
        <v>0</v>
      </c>
      <c r="F1450" s="0" t="str">
        <f aca="false">IFERROR(SMALL(F367:F1087,ROW()-ROW($F$1090)+1),"")</f>
        <v/>
      </c>
      <c r="G1450" s="0" t="n">
        <f aca="false">IFERROR(SMALL(G367:G1087,ROW()-ROW($G$1090)+1),"")</f>
        <v>0</v>
      </c>
      <c r="H1450" s="0" t="n">
        <f aca="false">IFERROR(SMALL(H367:H1087,ROW()-ROW($H$1090)+1),"")</f>
        <v>0</v>
      </c>
      <c r="K1450" s="0" t="n">
        <f aca="false">IFERROR(SMALL(K367:K1087,ROW()-ROW($K$1090)+1),"")</f>
        <v>0</v>
      </c>
      <c r="L1450" s="0" t="str">
        <f aca="false">IFERROR(SMALL(L367:L1087,ROW()-ROW($L$1090)+1),"")</f>
        <v/>
      </c>
      <c r="M1450" s="0" t="n">
        <f aca="false">IFERROR(SMALL(M367:M1087,ROW()-ROW($M$1090)+1),"")</f>
        <v>0</v>
      </c>
      <c r="N1450" s="0" t="n">
        <f aca="false">IFERROR(SMALL(N367:N1087,ROW()-ROW($N$1090)+1),"")</f>
        <v>0</v>
      </c>
    </row>
    <row r="1451" customFormat="false" ht="15" hidden="false" customHeight="false" outlineLevel="0" collapsed="false">
      <c r="E1451" s="0" t="n">
        <f aca="false">IFERROR(SMALL(E367:E1087,ROW()-ROW($E$1090)+1),"")</f>
        <v>0</v>
      </c>
      <c r="F1451" s="0" t="str">
        <f aca="false">IFERROR(SMALL(F367:F1087,ROW()-ROW($F$1090)+1),"")</f>
        <v/>
      </c>
      <c r="G1451" s="0" t="n">
        <f aca="false">IFERROR(SMALL(G367:G1087,ROW()-ROW($G$1090)+1),"")</f>
        <v>0</v>
      </c>
      <c r="H1451" s="0" t="n">
        <f aca="false">IFERROR(SMALL(H367:H1087,ROW()-ROW($H$1090)+1),"")</f>
        <v>0</v>
      </c>
      <c r="K1451" s="0" t="n">
        <f aca="false">IFERROR(SMALL(K367:K1087,ROW()-ROW($K$1090)+1),"")</f>
        <v>0</v>
      </c>
      <c r="L1451" s="0" t="str">
        <f aca="false">IFERROR(SMALL(L367:L1087,ROW()-ROW($L$1090)+1),"")</f>
        <v/>
      </c>
      <c r="M1451" s="0" t="n">
        <f aca="false">IFERROR(SMALL(M367:M1087,ROW()-ROW($M$1090)+1),"")</f>
        <v>0</v>
      </c>
      <c r="N1451" s="0" t="n">
        <f aca="false">IFERROR(SMALL(N367:N1087,ROW()-ROW($N$1090)+1),"")</f>
        <v>0</v>
      </c>
    </row>
    <row r="1452" customFormat="false" ht="15" hidden="false" customHeight="false" outlineLevel="0" collapsed="false">
      <c r="E1452" s="0" t="n">
        <f aca="false">IFERROR(SMALL(E367:E1087,ROW()-ROW($E$1090)+1),"")</f>
        <v>0</v>
      </c>
      <c r="F1452" s="0" t="str">
        <f aca="false">IFERROR(SMALL(F367:F1087,ROW()-ROW($F$1090)+1),"")</f>
        <v/>
      </c>
      <c r="G1452" s="0" t="n">
        <f aca="false">IFERROR(SMALL(G367:G1087,ROW()-ROW($G$1090)+1),"")</f>
        <v>0</v>
      </c>
      <c r="H1452" s="0" t="n">
        <f aca="false">IFERROR(SMALL(H367:H1087,ROW()-ROW($H$1090)+1),"")</f>
        <v>0</v>
      </c>
      <c r="K1452" s="0" t="n">
        <f aca="false">IFERROR(SMALL(K367:K1087,ROW()-ROW($K$1090)+1),"")</f>
        <v>0</v>
      </c>
      <c r="L1452" s="0" t="str">
        <f aca="false">IFERROR(SMALL(L367:L1087,ROW()-ROW($L$1090)+1),"")</f>
        <v/>
      </c>
      <c r="M1452" s="0" t="n">
        <f aca="false">IFERROR(SMALL(M367:M1087,ROW()-ROW($M$1090)+1),"")</f>
        <v>0</v>
      </c>
      <c r="N1452" s="0" t="n">
        <f aca="false">IFERROR(SMALL(N367:N1087,ROW()-ROW($N$1090)+1),"")</f>
        <v>0</v>
      </c>
    </row>
    <row r="1453" customFormat="false" ht="15" hidden="false" customHeight="false" outlineLevel="0" collapsed="false">
      <c r="E1453" s="0" t="n">
        <f aca="false">IFERROR(SMALL(E367:E1087,ROW()-ROW($E$1090)+1),"")</f>
        <v>0</v>
      </c>
      <c r="F1453" s="0" t="str">
        <f aca="false">IFERROR(SMALL(F367:F1087,ROW()-ROW($F$1090)+1),"")</f>
        <v/>
      </c>
      <c r="G1453" s="0" t="n">
        <f aca="false">IFERROR(SMALL(G367:G1087,ROW()-ROW($G$1090)+1),"")</f>
        <v>0</v>
      </c>
      <c r="H1453" s="0" t="n">
        <f aca="false">IFERROR(SMALL(H367:H1087,ROW()-ROW($H$1090)+1),"")</f>
        <v>0</v>
      </c>
      <c r="K1453" s="0" t="n">
        <f aca="false">IFERROR(SMALL(K367:K1087,ROW()-ROW($K$1090)+1),"")</f>
        <v>0</v>
      </c>
      <c r="L1453" s="0" t="str">
        <f aca="false">IFERROR(SMALL(L367:L1087,ROW()-ROW($L$1090)+1),"")</f>
        <v/>
      </c>
      <c r="M1453" s="0" t="n">
        <f aca="false">IFERROR(SMALL(M367:M1087,ROW()-ROW($M$1090)+1),"")</f>
        <v>0</v>
      </c>
      <c r="N1453" s="0" t="n">
        <f aca="false">IFERROR(SMALL(N367:N1087,ROW()-ROW($N$1090)+1),"")</f>
        <v>0</v>
      </c>
    </row>
    <row r="1454" customFormat="false" ht="15" hidden="false" customHeight="false" outlineLevel="0" collapsed="false">
      <c r="E1454" s="0" t="n">
        <f aca="false">IFERROR(SMALL(E367:E1087,ROW()-ROW($E$1090)+1),"")</f>
        <v>0</v>
      </c>
      <c r="F1454" s="0" t="str">
        <f aca="false">IFERROR(SMALL(F367:F1087,ROW()-ROW($F$1090)+1),"")</f>
        <v/>
      </c>
      <c r="G1454" s="0" t="n">
        <f aca="false">IFERROR(SMALL(G367:G1087,ROW()-ROW($G$1090)+1),"")</f>
        <v>0</v>
      </c>
      <c r="H1454" s="0" t="n">
        <f aca="false">IFERROR(SMALL(H367:H1087,ROW()-ROW($H$1090)+1),"")</f>
        <v>0</v>
      </c>
      <c r="K1454" s="0" t="n">
        <f aca="false">IFERROR(SMALL(K367:K1087,ROW()-ROW($K$1090)+1),"")</f>
        <v>0</v>
      </c>
      <c r="L1454" s="0" t="str">
        <f aca="false">IFERROR(SMALL(L367:L1087,ROW()-ROW($L$1090)+1),"")</f>
        <v/>
      </c>
      <c r="M1454" s="0" t="n">
        <f aca="false">IFERROR(SMALL(M367:M1087,ROW()-ROW($M$1090)+1),"")</f>
        <v>0</v>
      </c>
      <c r="N1454" s="0" t="n">
        <f aca="false">IFERROR(SMALL(N367:N1087,ROW()-ROW($N$1090)+1),"")</f>
        <v>0</v>
      </c>
    </row>
    <row r="1455" customFormat="false" ht="15" hidden="false" customHeight="false" outlineLevel="0" collapsed="false">
      <c r="E1455" s="0" t="n">
        <f aca="false">IFERROR(SMALL(E367:E1087,ROW()-ROW($E$1090)+1),"")</f>
        <v>0</v>
      </c>
      <c r="F1455" s="0" t="str">
        <f aca="false">IFERROR(SMALL(F367:F1087,ROW()-ROW($F$1090)+1),"")</f>
        <v/>
      </c>
      <c r="G1455" s="0" t="n">
        <f aca="false">IFERROR(SMALL(G367:G1087,ROW()-ROW($G$1090)+1),"")</f>
        <v>0</v>
      </c>
      <c r="H1455" s="0" t="n">
        <f aca="false">IFERROR(SMALL(H367:H1087,ROW()-ROW($H$1090)+1),"")</f>
        <v>0</v>
      </c>
      <c r="K1455" s="0" t="n">
        <f aca="false">IFERROR(SMALL(K367:K1087,ROW()-ROW($K$1090)+1),"")</f>
        <v>0</v>
      </c>
      <c r="L1455" s="0" t="str">
        <f aca="false">IFERROR(SMALL(L367:L1087,ROW()-ROW($L$1090)+1),"")</f>
        <v/>
      </c>
      <c r="M1455" s="0" t="n">
        <f aca="false">IFERROR(SMALL(M367:M1087,ROW()-ROW($M$1090)+1),"")</f>
        <v>0</v>
      </c>
      <c r="N1455" s="0" t="n">
        <f aca="false">IFERROR(SMALL(N367:N1087,ROW()-ROW($N$1090)+1),"")</f>
        <v>0</v>
      </c>
    </row>
    <row r="1456" customFormat="false" ht="15" hidden="false" customHeight="false" outlineLevel="0" collapsed="false">
      <c r="E1456" s="0" t="n">
        <f aca="false">IFERROR(SMALL(E367:E1087,ROW()-ROW($E$1090)+1),"")</f>
        <v>0</v>
      </c>
      <c r="F1456" s="0" t="str">
        <f aca="false">IFERROR(SMALL(F367:F1087,ROW()-ROW($F$1090)+1),"")</f>
        <v/>
      </c>
      <c r="G1456" s="0" t="n">
        <f aca="false">IFERROR(SMALL(G367:G1087,ROW()-ROW($G$1090)+1),"")</f>
        <v>0</v>
      </c>
      <c r="H1456" s="0" t="n">
        <f aca="false">IFERROR(SMALL(H367:H1087,ROW()-ROW($H$1090)+1),"")</f>
        <v>0</v>
      </c>
      <c r="K1456" s="0" t="n">
        <f aca="false">IFERROR(SMALL(K367:K1087,ROW()-ROW($K$1090)+1),"")</f>
        <v>0</v>
      </c>
      <c r="L1456" s="0" t="str">
        <f aca="false">IFERROR(SMALL(L367:L1087,ROW()-ROW($L$1090)+1),"")</f>
        <v/>
      </c>
      <c r="M1456" s="0" t="n">
        <f aca="false">IFERROR(SMALL(M367:M1087,ROW()-ROW($M$1090)+1),"")</f>
        <v>0</v>
      </c>
      <c r="N1456" s="0" t="n">
        <f aca="false">IFERROR(SMALL(N367:N1087,ROW()-ROW($N$1090)+1),"")</f>
        <v>0</v>
      </c>
    </row>
    <row r="1457" customFormat="false" ht="15" hidden="false" customHeight="false" outlineLevel="0" collapsed="false">
      <c r="E1457" s="0" t="n">
        <f aca="false">IFERROR(SMALL(E367:E1087,ROW()-ROW($E$1090)+1),"")</f>
        <v>0</v>
      </c>
      <c r="F1457" s="0" t="str">
        <f aca="false">IFERROR(SMALL(F367:F1087,ROW()-ROW($F$1090)+1),"")</f>
        <v/>
      </c>
      <c r="G1457" s="0" t="n">
        <f aca="false">IFERROR(SMALL(G367:G1087,ROW()-ROW($G$1090)+1),"")</f>
        <v>0</v>
      </c>
      <c r="H1457" s="0" t="n">
        <f aca="false">IFERROR(SMALL(H367:H1087,ROW()-ROW($H$1090)+1),"")</f>
        <v>0</v>
      </c>
      <c r="K1457" s="0" t="n">
        <f aca="false">IFERROR(SMALL(K367:K1087,ROW()-ROW($K$1090)+1),"")</f>
        <v>0</v>
      </c>
      <c r="L1457" s="0" t="str">
        <f aca="false">IFERROR(SMALL(L367:L1087,ROW()-ROW($L$1090)+1),"")</f>
        <v/>
      </c>
      <c r="M1457" s="0" t="n">
        <f aca="false">IFERROR(SMALL(M367:M1087,ROW()-ROW($M$1090)+1),"")</f>
        <v>0</v>
      </c>
      <c r="N1457" s="0" t="n">
        <f aca="false">IFERROR(SMALL(N367:N1087,ROW()-ROW($N$1090)+1),"")</f>
        <v>0</v>
      </c>
    </row>
    <row r="1458" customFormat="false" ht="15" hidden="false" customHeight="false" outlineLevel="0" collapsed="false">
      <c r="E1458" s="0" t="n">
        <f aca="false">IFERROR(SMALL(E367:E1087,ROW()-ROW($E$1090)+1),"")</f>
        <v>0</v>
      </c>
      <c r="F1458" s="0" t="str">
        <f aca="false">IFERROR(SMALL(F367:F1087,ROW()-ROW($F$1090)+1),"")</f>
        <v/>
      </c>
      <c r="G1458" s="0" t="n">
        <f aca="false">IFERROR(SMALL(G367:G1087,ROW()-ROW($G$1090)+1),"")</f>
        <v>0</v>
      </c>
      <c r="H1458" s="0" t="n">
        <f aca="false">IFERROR(SMALL(H367:H1087,ROW()-ROW($H$1090)+1),"")</f>
        <v>0</v>
      </c>
      <c r="K1458" s="0" t="n">
        <f aca="false">IFERROR(SMALL(K367:K1087,ROW()-ROW($K$1090)+1),"")</f>
        <v>0</v>
      </c>
      <c r="L1458" s="0" t="str">
        <f aca="false">IFERROR(SMALL(L367:L1087,ROW()-ROW($L$1090)+1),"")</f>
        <v/>
      </c>
      <c r="M1458" s="0" t="n">
        <f aca="false">IFERROR(SMALL(M367:M1087,ROW()-ROW($M$1090)+1),"")</f>
        <v>0</v>
      </c>
      <c r="N1458" s="0" t="n">
        <f aca="false">IFERROR(SMALL(N367:N1087,ROW()-ROW($N$1090)+1),"")</f>
        <v>0</v>
      </c>
    </row>
    <row r="1459" customFormat="false" ht="15" hidden="false" customHeight="false" outlineLevel="0" collapsed="false">
      <c r="E1459" s="0" t="n">
        <f aca="false">IFERROR(SMALL(E367:E1087,ROW()-ROW($E$1090)+1),"")</f>
        <v>0</v>
      </c>
      <c r="F1459" s="0" t="str">
        <f aca="false">IFERROR(SMALL(F367:F1087,ROW()-ROW($F$1090)+1),"")</f>
        <v/>
      </c>
      <c r="G1459" s="0" t="n">
        <f aca="false">IFERROR(SMALL(G367:G1087,ROW()-ROW($G$1090)+1),"")</f>
        <v>0</v>
      </c>
      <c r="H1459" s="0" t="n">
        <f aca="false">IFERROR(SMALL(H367:H1087,ROW()-ROW($H$1090)+1),"")</f>
        <v>0</v>
      </c>
      <c r="K1459" s="0" t="n">
        <f aca="false">IFERROR(SMALL(K367:K1087,ROW()-ROW($K$1090)+1),"")</f>
        <v>0</v>
      </c>
      <c r="L1459" s="0" t="str">
        <f aca="false">IFERROR(SMALL(L367:L1087,ROW()-ROW($L$1090)+1),"")</f>
        <v/>
      </c>
      <c r="M1459" s="0" t="n">
        <f aca="false">IFERROR(SMALL(M367:M1087,ROW()-ROW($M$1090)+1),"")</f>
        <v>0</v>
      </c>
      <c r="N1459" s="0" t="n">
        <f aca="false">IFERROR(SMALL(N367:N1087,ROW()-ROW($N$1090)+1),"")</f>
        <v>0</v>
      </c>
    </row>
    <row r="1460" customFormat="false" ht="15" hidden="false" customHeight="false" outlineLevel="0" collapsed="false">
      <c r="E1460" s="0" t="n">
        <f aca="false">IFERROR(SMALL(E367:E1087,ROW()-ROW($E$1090)+1),"")</f>
        <v>0</v>
      </c>
      <c r="F1460" s="0" t="str">
        <f aca="false">IFERROR(SMALL(F367:F1087,ROW()-ROW($F$1090)+1),"")</f>
        <v/>
      </c>
      <c r="G1460" s="0" t="n">
        <f aca="false">IFERROR(SMALL(G367:G1087,ROW()-ROW($G$1090)+1),"")</f>
        <v>0</v>
      </c>
      <c r="H1460" s="0" t="n">
        <f aca="false">IFERROR(SMALL(H367:H1087,ROW()-ROW($H$1090)+1),"")</f>
        <v>0</v>
      </c>
      <c r="K1460" s="0" t="n">
        <f aca="false">IFERROR(SMALL(K367:K1087,ROW()-ROW($K$1090)+1),"")</f>
        <v>0</v>
      </c>
      <c r="L1460" s="0" t="str">
        <f aca="false">IFERROR(SMALL(L367:L1087,ROW()-ROW($L$1090)+1),"")</f>
        <v/>
      </c>
      <c r="M1460" s="0" t="n">
        <f aca="false">IFERROR(SMALL(M367:M1087,ROW()-ROW($M$1090)+1),"")</f>
        <v>0</v>
      </c>
      <c r="N1460" s="0" t="n">
        <f aca="false">IFERROR(SMALL(N367:N1087,ROW()-ROW($N$1090)+1),"")</f>
        <v>0</v>
      </c>
    </row>
    <row r="1461" customFormat="false" ht="15" hidden="false" customHeight="false" outlineLevel="0" collapsed="false">
      <c r="E1461" s="0" t="n">
        <f aca="false">IFERROR(SMALL(E367:E1087,ROW()-ROW($E$1090)+1),"")</f>
        <v>0</v>
      </c>
      <c r="F1461" s="0" t="str">
        <f aca="false">IFERROR(SMALL(F367:F1087,ROW()-ROW($F$1090)+1),"")</f>
        <v/>
      </c>
      <c r="G1461" s="0" t="n">
        <f aca="false">IFERROR(SMALL(G367:G1087,ROW()-ROW($G$1090)+1),"")</f>
        <v>0</v>
      </c>
      <c r="H1461" s="0" t="n">
        <f aca="false">IFERROR(SMALL(H367:H1087,ROW()-ROW($H$1090)+1),"")</f>
        <v>0</v>
      </c>
      <c r="K1461" s="0" t="n">
        <f aca="false">IFERROR(SMALL(K367:K1087,ROW()-ROW($K$1090)+1),"")</f>
        <v>0</v>
      </c>
      <c r="L1461" s="0" t="str">
        <f aca="false">IFERROR(SMALL(L367:L1087,ROW()-ROW($L$1090)+1),"")</f>
        <v/>
      </c>
      <c r="M1461" s="0" t="n">
        <f aca="false">IFERROR(SMALL(M367:M1087,ROW()-ROW($M$1090)+1),"")</f>
        <v>0</v>
      </c>
      <c r="N1461" s="0" t="n">
        <f aca="false">IFERROR(SMALL(N367:N1087,ROW()-ROW($N$1090)+1),"")</f>
        <v>0</v>
      </c>
    </row>
    <row r="1462" customFormat="false" ht="15" hidden="false" customHeight="false" outlineLevel="0" collapsed="false">
      <c r="E1462" s="0" t="n">
        <f aca="false">IFERROR(SMALL(E367:E1087,ROW()-ROW($E$1090)+1),"")</f>
        <v>0</v>
      </c>
      <c r="F1462" s="0" t="str">
        <f aca="false">IFERROR(SMALL(F367:F1087,ROW()-ROW($F$1090)+1),"")</f>
        <v/>
      </c>
      <c r="G1462" s="0" t="n">
        <f aca="false">IFERROR(SMALL(G367:G1087,ROW()-ROW($G$1090)+1),"")</f>
        <v>0</v>
      </c>
      <c r="H1462" s="0" t="n">
        <f aca="false">IFERROR(SMALL(H367:H1087,ROW()-ROW($H$1090)+1),"")</f>
        <v>0</v>
      </c>
      <c r="K1462" s="0" t="n">
        <f aca="false">IFERROR(SMALL(K367:K1087,ROW()-ROW($K$1090)+1),"")</f>
        <v>0</v>
      </c>
      <c r="L1462" s="0" t="str">
        <f aca="false">IFERROR(SMALL(L367:L1087,ROW()-ROW($L$1090)+1),"")</f>
        <v/>
      </c>
      <c r="M1462" s="0" t="n">
        <f aca="false">IFERROR(SMALL(M367:M1087,ROW()-ROW($M$1090)+1),"")</f>
        <v>0</v>
      </c>
      <c r="N1462" s="0" t="n">
        <f aca="false">IFERROR(SMALL(N367:N1087,ROW()-ROW($N$1090)+1),"")</f>
        <v>0</v>
      </c>
    </row>
    <row r="1463" customFormat="false" ht="15" hidden="false" customHeight="false" outlineLevel="0" collapsed="false">
      <c r="E1463" s="0" t="n">
        <f aca="false">IFERROR(SMALL(E367:E1087,ROW()-ROW($E$1090)+1),"")</f>
        <v>0</v>
      </c>
      <c r="F1463" s="0" t="str">
        <f aca="false">IFERROR(SMALL(F367:F1087,ROW()-ROW($F$1090)+1),"")</f>
        <v/>
      </c>
      <c r="G1463" s="0" t="n">
        <f aca="false">IFERROR(SMALL(G367:G1087,ROW()-ROW($G$1090)+1),"")</f>
        <v>0</v>
      </c>
      <c r="H1463" s="0" t="n">
        <f aca="false">IFERROR(SMALL(H367:H1087,ROW()-ROW($H$1090)+1),"")</f>
        <v>0</v>
      </c>
      <c r="K1463" s="0" t="n">
        <f aca="false">IFERROR(SMALL(K367:K1087,ROW()-ROW($K$1090)+1),"")</f>
        <v>0</v>
      </c>
      <c r="L1463" s="0" t="str">
        <f aca="false">IFERROR(SMALL(L367:L1087,ROW()-ROW($L$1090)+1),"")</f>
        <v/>
      </c>
      <c r="M1463" s="0" t="n">
        <f aca="false">IFERROR(SMALL(M367:M1087,ROW()-ROW($M$1090)+1),"")</f>
        <v>0</v>
      </c>
      <c r="N1463" s="0" t="n">
        <f aca="false">IFERROR(SMALL(N367:N1087,ROW()-ROW($N$1090)+1),"")</f>
        <v>0</v>
      </c>
    </row>
    <row r="1464" customFormat="false" ht="15" hidden="false" customHeight="false" outlineLevel="0" collapsed="false">
      <c r="E1464" s="0" t="n">
        <f aca="false">IFERROR(SMALL(E367:E1087,ROW()-ROW($E$1090)+1),"")</f>
        <v>0</v>
      </c>
      <c r="F1464" s="0" t="str">
        <f aca="false">IFERROR(SMALL(F367:F1087,ROW()-ROW($F$1090)+1),"")</f>
        <v/>
      </c>
      <c r="G1464" s="0" t="n">
        <f aca="false">IFERROR(SMALL(G367:G1087,ROW()-ROW($G$1090)+1),"")</f>
        <v>0</v>
      </c>
      <c r="H1464" s="0" t="n">
        <f aca="false">IFERROR(SMALL(H367:H1087,ROW()-ROW($H$1090)+1),"")</f>
        <v>0</v>
      </c>
      <c r="K1464" s="0" t="n">
        <f aca="false">IFERROR(SMALL(K367:K1087,ROW()-ROW($K$1090)+1),"")</f>
        <v>0</v>
      </c>
      <c r="L1464" s="0" t="str">
        <f aca="false">IFERROR(SMALL(L367:L1087,ROW()-ROW($L$1090)+1),"")</f>
        <v/>
      </c>
      <c r="M1464" s="0" t="n">
        <f aca="false">IFERROR(SMALL(M367:M1087,ROW()-ROW($M$1090)+1),"")</f>
        <v>0</v>
      </c>
      <c r="N1464" s="0" t="n">
        <f aca="false">IFERROR(SMALL(N367:N1087,ROW()-ROW($N$1090)+1),"")</f>
        <v>0</v>
      </c>
    </row>
    <row r="1465" customFormat="false" ht="15" hidden="false" customHeight="false" outlineLevel="0" collapsed="false">
      <c r="E1465" s="0" t="n">
        <f aca="false">IFERROR(SMALL(E367:E1087,ROW()-ROW($E$1090)+1),"")</f>
        <v>0</v>
      </c>
      <c r="F1465" s="0" t="str">
        <f aca="false">IFERROR(SMALL(F367:F1087,ROW()-ROW($F$1090)+1),"")</f>
        <v/>
      </c>
      <c r="G1465" s="0" t="n">
        <f aca="false">IFERROR(SMALL(G367:G1087,ROW()-ROW($G$1090)+1),"")</f>
        <v>0</v>
      </c>
      <c r="H1465" s="0" t="n">
        <f aca="false">IFERROR(SMALL(H367:H1087,ROW()-ROW($H$1090)+1),"")</f>
        <v>0</v>
      </c>
      <c r="K1465" s="0" t="n">
        <f aca="false">IFERROR(SMALL(K367:K1087,ROW()-ROW($K$1090)+1),"")</f>
        <v>0</v>
      </c>
      <c r="L1465" s="0" t="str">
        <f aca="false">IFERROR(SMALL(L367:L1087,ROW()-ROW($L$1090)+1),"")</f>
        <v/>
      </c>
      <c r="M1465" s="0" t="n">
        <f aca="false">IFERROR(SMALL(M367:M1087,ROW()-ROW($M$1090)+1),"")</f>
        <v>0</v>
      </c>
      <c r="N1465" s="0" t="n">
        <f aca="false">IFERROR(SMALL(N367:N1087,ROW()-ROW($N$1090)+1),"")</f>
        <v>0</v>
      </c>
    </row>
    <row r="1466" customFormat="false" ht="15" hidden="false" customHeight="false" outlineLevel="0" collapsed="false">
      <c r="E1466" s="0" t="n">
        <f aca="false">IFERROR(SMALL(E367:E1087,ROW()-ROW($E$1090)+1),"")</f>
        <v>0</v>
      </c>
      <c r="F1466" s="0" t="str">
        <f aca="false">IFERROR(SMALL(F367:F1087,ROW()-ROW($F$1090)+1),"")</f>
        <v/>
      </c>
      <c r="G1466" s="0" t="n">
        <f aca="false">IFERROR(SMALL(G367:G1087,ROW()-ROW($G$1090)+1),"")</f>
        <v>0</v>
      </c>
      <c r="H1466" s="0" t="n">
        <f aca="false">IFERROR(SMALL(H367:H1087,ROW()-ROW($H$1090)+1),"")</f>
        <v>0</v>
      </c>
      <c r="K1466" s="0" t="n">
        <f aca="false">IFERROR(SMALL(K367:K1087,ROW()-ROW($K$1090)+1),"")</f>
        <v>0</v>
      </c>
      <c r="L1466" s="0" t="str">
        <f aca="false">IFERROR(SMALL(L367:L1087,ROW()-ROW($L$1090)+1),"")</f>
        <v/>
      </c>
      <c r="M1466" s="0" t="n">
        <f aca="false">IFERROR(SMALL(M367:M1087,ROW()-ROW($M$1090)+1),"")</f>
        <v>0</v>
      </c>
      <c r="N1466" s="0" t="n">
        <f aca="false">IFERROR(SMALL(N367:N1087,ROW()-ROW($N$1090)+1),"")</f>
        <v>0</v>
      </c>
    </row>
    <row r="1467" customFormat="false" ht="15" hidden="false" customHeight="false" outlineLevel="0" collapsed="false">
      <c r="E1467" s="0" t="n">
        <f aca="false">IFERROR(SMALL(E367:E1087,ROW()-ROW($E$1090)+1),"")</f>
        <v>0</v>
      </c>
      <c r="F1467" s="0" t="str">
        <f aca="false">IFERROR(SMALL(F367:F1087,ROW()-ROW($F$1090)+1),"")</f>
        <v/>
      </c>
      <c r="G1467" s="0" t="n">
        <f aca="false">IFERROR(SMALL(G367:G1087,ROW()-ROW($G$1090)+1),"")</f>
        <v>0</v>
      </c>
      <c r="H1467" s="0" t="n">
        <f aca="false">IFERROR(SMALL(H367:H1087,ROW()-ROW($H$1090)+1),"")</f>
        <v>0</v>
      </c>
      <c r="K1467" s="0" t="n">
        <f aca="false">IFERROR(SMALL(K367:K1087,ROW()-ROW($K$1090)+1),"")</f>
        <v>0</v>
      </c>
      <c r="L1467" s="0" t="str">
        <f aca="false">IFERROR(SMALL(L367:L1087,ROW()-ROW($L$1090)+1),"")</f>
        <v/>
      </c>
      <c r="M1467" s="0" t="n">
        <f aca="false">IFERROR(SMALL(M367:M1087,ROW()-ROW($M$1090)+1),"")</f>
        <v>0</v>
      </c>
      <c r="N1467" s="0" t="n">
        <f aca="false">IFERROR(SMALL(N367:N1087,ROW()-ROW($N$1090)+1),"")</f>
        <v>0</v>
      </c>
    </row>
    <row r="1468" customFormat="false" ht="15" hidden="false" customHeight="false" outlineLevel="0" collapsed="false">
      <c r="E1468" s="0" t="n">
        <f aca="false">IFERROR(SMALL(E367:E1087,ROW()-ROW($E$1090)+1),"")</f>
        <v>0</v>
      </c>
      <c r="F1468" s="0" t="str">
        <f aca="false">IFERROR(SMALL(F367:F1087,ROW()-ROW($F$1090)+1),"")</f>
        <v/>
      </c>
      <c r="G1468" s="0" t="n">
        <f aca="false">IFERROR(SMALL(G367:G1087,ROW()-ROW($G$1090)+1),"")</f>
        <v>0</v>
      </c>
      <c r="H1468" s="0" t="n">
        <f aca="false">IFERROR(SMALL(H367:H1087,ROW()-ROW($H$1090)+1),"")</f>
        <v>0</v>
      </c>
      <c r="K1468" s="0" t="n">
        <f aca="false">IFERROR(SMALL(K367:K1087,ROW()-ROW($K$1090)+1),"")</f>
        <v>0</v>
      </c>
      <c r="L1468" s="0" t="str">
        <f aca="false">IFERROR(SMALL(L367:L1087,ROW()-ROW($L$1090)+1),"")</f>
        <v/>
      </c>
      <c r="M1468" s="0" t="n">
        <f aca="false">IFERROR(SMALL(M367:M1087,ROW()-ROW($M$1090)+1),"")</f>
        <v>0</v>
      </c>
      <c r="N1468" s="0" t="n">
        <f aca="false">IFERROR(SMALL(N367:N1087,ROW()-ROW($N$1090)+1),"")</f>
        <v>0</v>
      </c>
    </row>
    <row r="1469" customFormat="false" ht="15" hidden="false" customHeight="false" outlineLevel="0" collapsed="false">
      <c r="E1469" s="0" t="n">
        <f aca="false">IFERROR(SMALL(E367:E1087,ROW()-ROW($E$1090)+1),"")</f>
        <v>0</v>
      </c>
      <c r="F1469" s="0" t="str">
        <f aca="false">IFERROR(SMALL(F367:F1087,ROW()-ROW($F$1090)+1),"")</f>
        <v/>
      </c>
      <c r="G1469" s="0" t="n">
        <f aca="false">IFERROR(SMALL(G367:G1087,ROW()-ROW($G$1090)+1),"")</f>
        <v>0</v>
      </c>
      <c r="H1469" s="0" t="n">
        <f aca="false">IFERROR(SMALL(H367:H1087,ROW()-ROW($H$1090)+1),"")</f>
        <v>0</v>
      </c>
      <c r="K1469" s="0" t="n">
        <f aca="false">IFERROR(SMALL(K367:K1087,ROW()-ROW($K$1090)+1),"")</f>
        <v>0</v>
      </c>
      <c r="L1469" s="0" t="str">
        <f aca="false">IFERROR(SMALL(L367:L1087,ROW()-ROW($L$1090)+1),"")</f>
        <v/>
      </c>
      <c r="M1469" s="0" t="n">
        <f aca="false">IFERROR(SMALL(M367:M1087,ROW()-ROW($M$1090)+1),"")</f>
        <v>0</v>
      </c>
      <c r="N1469" s="0" t="n">
        <f aca="false">IFERROR(SMALL(N367:N1087,ROW()-ROW($N$1090)+1),"")</f>
        <v>0</v>
      </c>
    </row>
    <row r="1470" customFormat="false" ht="15" hidden="false" customHeight="false" outlineLevel="0" collapsed="false">
      <c r="E1470" s="0" t="n">
        <f aca="false">IFERROR(SMALL(E367:E1087,ROW()-ROW($E$1090)+1),"")</f>
        <v>0</v>
      </c>
      <c r="F1470" s="0" t="str">
        <f aca="false">IFERROR(SMALL(F367:F1087,ROW()-ROW($F$1090)+1),"")</f>
        <v/>
      </c>
      <c r="G1470" s="0" t="n">
        <f aca="false">IFERROR(SMALL(G367:G1087,ROW()-ROW($G$1090)+1),"")</f>
        <v>0</v>
      </c>
      <c r="H1470" s="0" t="n">
        <f aca="false">IFERROR(SMALL(H367:H1087,ROW()-ROW($H$1090)+1),"")</f>
        <v>0</v>
      </c>
      <c r="K1470" s="0" t="n">
        <f aca="false">IFERROR(SMALL(K367:K1087,ROW()-ROW($K$1090)+1),"")</f>
        <v>0</v>
      </c>
      <c r="L1470" s="0" t="str">
        <f aca="false">IFERROR(SMALL(L367:L1087,ROW()-ROW($L$1090)+1),"")</f>
        <v/>
      </c>
      <c r="M1470" s="0" t="n">
        <f aca="false">IFERROR(SMALL(M367:M1087,ROW()-ROW($M$1090)+1),"")</f>
        <v>0</v>
      </c>
      <c r="N1470" s="0" t="n">
        <f aca="false">IFERROR(SMALL(N367:N1087,ROW()-ROW($N$1090)+1),"")</f>
        <v>0</v>
      </c>
    </row>
    <row r="1471" customFormat="false" ht="15" hidden="false" customHeight="false" outlineLevel="0" collapsed="false">
      <c r="E1471" s="0" t="n">
        <f aca="false">IFERROR(SMALL(E367:E1087,ROW()-ROW($E$1090)+1),"")</f>
        <v>0</v>
      </c>
      <c r="F1471" s="0" t="str">
        <f aca="false">IFERROR(SMALL(F367:F1087,ROW()-ROW($F$1090)+1),"")</f>
        <v/>
      </c>
      <c r="G1471" s="0" t="n">
        <f aca="false">IFERROR(SMALL(G367:G1087,ROW()-ROW($G$1090)+1),"")</f>
        <v>0</v>
      </c>
      <c r="H1471" s="0" t="n">
        <f aca="false">IFERROR(SMALL(H367:H1087,ROW()-ROW($H$1090)+1),"")</f>
        <v>0</v>
      </c>
      <c r="K1471" s="0" t="n">
        <f aca="false">IFERROR(SMALL(K367:K1087,ROW()-ROW($K$1090)+1),"")</f>
        <v>0</v>
      </c>
      <c r="L1471" s="0" t="str">
        <f aca="false">IFERROR(SMALL(L367:L1087,ROW()-ROW($L$1090)+1),"")</f>
        <v/>
      </c>
      <c r="M1471" s="0" t="n">
        <f aca="false">IFERROR(SMALL(M367:M1087,ROW()-ROW($M$1090)+1),"")</f>
        <v>0</v>
      </c>
      <c r="N1471" s="0" t="n">
        <f aca="false">IFERROR(SMALL(N367:N1087,ROW()-ROW($N$1090)+1),"")</f>
        <v>0</v>
      </c>
    </row>
    <row r="1472" customFormat="false" ht="15" hidden="false" customHeight="false" outlineLevel="0" collapsed="false">
      <c r="E1472" s="0" t="n">
        <f aca="false">IFERROR(SMALL(E367:E1087,ROW()-ROW($E$1090)+1),"")</f>
        <v>0</v>
      </c>
      <c r="F1472" s="0" t="str">
        <f aca="false">IFERROR(SMALL(F367:F1087,ROW()-ROW($F$1090)+1),"")</f>
        <v/>
      </c>
      <c r="G1472" s="0" t="n">
        <f aca="false">IFERROR(SMALL(G367:G1087,ROW()-ROW($G$1090)+1),"")</f>
        <v>0</v>
      </c>
      <c r="H1472" s="0" t="n">
        <f aca="false">IFERROR(SMALL(H367:H1087,ROW()-ROW($H$1090)+1),"")</f>
        <v>0</v>
      </c>
      <c r="K1472" s="0" t="n">
        <f aca="false">IFERROR(SMALL(K367:K1087,ROW()-ROW($K$1090)+1),"")</f>
        <v>0</v>
      </c>
      <c r="L1472" s="0" t="str">
        <f aca="false">IFERROR(SMALL(L367:L1087,ROW()-ROW($L$1090)+1),"")</f>
        <v/>
      </c>
      <c r="M1472" s="0" t="n">
        <f aca="false">IFERROR(SMALL(M367:M1087,ROW()-ROW($M$1090)+1),"")</f>
        <v>0</v>
      </c>
      <c r="N1472" s="0" t="n">
        <f aca="false">IFERROR(SMALL(N367:N1087,ROW()-ROW($N$1090)+1),"")</f>
        <v>0</v>
      </c>
    </row>
    <row r="1473" customFormat="false" ht="15" hidden="false" customHeight="false" outlineLevel="0" collapsed="false">
      <c r="E1473" s="0" t="n">
        <f aca="false">IFERROR(SMALL(E367:E1087,ROW()-ROW($E$1090)+1),"")</f>
        <v>0</v>
      </c>
      <c r="F1473" s="0" t="str">
        <f aca="false">IFERROR(SMALL(F367:F1087,ROW()-ROW($F$1090)+1),"")</f>
        <v/>
      </c>
      <c r="G1473" s="0" t="n">
        <f aca="false">IFERROR(SMALL(G367:G1087,ROW()-ROW($G$1090)+1),"")</f>
        <v>0</v>
      </c>
      <c r="H1473" s="0" t="n">
        <f aca="false">IFERROR(SMALL(H367:H1087,ROW()-ROW($H$1090)+1),"")</f>
        <v>0</v>
      </c>
      <c r="K1473" s="0" t="n">
        <f aca="false">IFERROR(SMALL(K367:K1087,ROW()-ROW($K$1090)+1),"")</f>
        <v>0</v>
      </c>
      <c r="L1473" s="0" t="str">
        <f aca="false">IFERROR(SMALL(L367:L1087,ROW()-ROW($L$1090)+1),"")</f>
        <v/>
      </c>
      <c r="M1473" s="0" t="n">
        <f aca="false">IFERROR(SMALL(M367:M1087,ROW()-ROW($M$1090)+1),"")</f>
        <v>0</v>
      </c>
      <c r="N1473" s="0" t="n">
        <f aca="false">IFERROR(SMALL(N367:N1087,ROW()-ROW($N$1090)+1),"")</f>
        <v>0</v>
      </c>
    </row>
    <row r="1474" customFormat="false" ht="15" hidden="false" customHeight="false" outlineLevel="0" collapsed="false">
      <c r="E1474" s="0" t="n">
        <f aca="false">IFERROR(SMALL(E367:E1087,ROW()-ROW($E$1090)+1),"")</f>
        <v>0</v>
      </c>
      <c r="F1474" s="0" t="str">
        <f aca="false">IFERROR(SMALL(F367:F1087,ROW()-ROW($F$1090)+1),"")</f>
        <v/>
      </c>
      <c r="G1474" s="0" t="n">
        <f aca="false">IFERROR(SMALL(G367:G1087,ROW()-ROW($G$1090)+1),"")</f>
        <v>0</v>
      </c>
      <c r="H1474" s="0" t="n">
        <f aca="false">IFERROR(SMALL(H367:H1087,ROW()-ROW($H$1090)+1),"")</f>
        <v>0</v>
      </c>
      <c r="K1474" s="0" t="n">
        <f aca="false">IFERROR(SMALL(K367:K1087,ROW()-ROW($K$1090)+1),"")</f>
        <v>0</v>
      </c>
      <c r="L1474" s="0" t="str">
        <f aca="false">IFERROR(SMALL(L367:L1087,ROW()-ROW($L$1090)+1),"")</f>
        <v/>
      </c>
      <c r="M1474" s="0" t="n">
        <f aca="false">IFERROR(SMALL(M367:M1087,ROW()-ROW($M$1090)+1),"")</f>
        <v>0</v>
      </c>
      <c r="N1474" s="0" t="n">
        <f aca="false">IFERROR(SMALL(N367:N1087,ROW()-ROW($N$1090)+1),"")</f>
        <v>0</v>
      </c>
    </row>
    <row r="1475" customFormat="false" ht="15" hidden="false" customHeight="false" outlineLevel="0" collapsed="false">
      <c r="E1475" s="0" t="n">
        <f aca="false">IFERROR(SMALL(E367:E1087,ROW()-ROW($E$1090)+1),"")</f>
        <v>0</v>
      </c>
      <c r="F1475" s="0" t="str">
        <f aca="false">IFERROR(SMALL(F367:F1087,ROW()-ROW($F$1090)+1),"")</f>
        <v/>
      </c>
      <c r="G1475" s="0" t="n">
        <f aca="false">IFERROR(SMALL(G367:G1087,ROW()-ROW($G$1090)+1),"")</f>
        <v>0</v>
      </c>
      <c r="H1475" s="0" t="n">
        <f aca="false">IFERROR(SMALL(H367:H1087,ROW()-ROW($H$1090)+1),"")</f>
        <v>0</v>
      </c>
      <c r="K1475" s="0" t="n">
        <f aca="false">IFERROR(SMALL(K367:K1087,ROW()-ROW($K$1090)+1),"")</f>
        <v>0</v>
      </c>
      <c r="L1475" s="0" t="str">
        <f aca="false">IFERROR(SMALL(L367:L1087,ROW()-ROW($L$1090)+1),"")</f>
        <v/>
      </c>
      <c r="M1475" s="0" t="n">
        <f aca="false">IFERROR(SMALL(M367:M1087,ROW()-ROW($M$1090)+1),"")</f>
        <v>0</v>
      </c>
      <c r="N1475" s="0" t="n">
        <f aca="false">IFERROR(SMALL(N367:N1087,ROW()-ROW($N$1090)+1),"")</f>
        <v>0</v>
      </c>
    </row>
    <row r="1476" customFormat="false" ht="15" hidden="false" customHeight="false" outlineLevel="0" collapsed="false">
      <c r="E1476" s="0" t="n">
        <f aca="false">IFERROR(SMALL(E367:E1087,ROW()-ROW($E$1090)+1),"")</f>
        <v>0</v>
      </c>
      <c r="F1476" s="0" t="str">
        <f aca="false">IFERROR(SMALL(F367:F1087,ROW()-ROW($F$1090)+1),"")</f>
        <v/>
      </c>
      <c r="G1476" s="0" t="n">
        <f aca="false">IFERROR(SMALL(G367:G1087,ROW()-ROW($G$1090)+1),"")</f>
        <v>0</v>
      </c>
      <c r="H1476" s="0" t="n">
        <f aca="false">IFERROR(SMALL(H367:H1087,ROW()-ROW($H$1090)+1),"")</f>
        <v>0</v>
      </c>
      <c r="K1476" s="0" t="n">
        <f aca="false">IFERROR(SMALL(K367:K1087,ROW()-ROW($K$1090)+1),"")</f>
        <v>0</v>
      </c>
      <c r="L1476" s="0" t="str">
        <f aca="false">IFERROR(SMALL(L367:L1087,ROW()-ROW($L$1090)+1),"")</f>
        <v/>
      </c>
      <c r="M1476" s="0" t="n">
        <f aca="false">IFERROR(SMALL(M367:M1087,ROW()-ROW($M$1090)+1),"")</f>
        <v>0</v>
      </c>
      <c r="N1476" s="0" t="n">
        <f aca="false">IFERROR(SMALL(N367:N1087,ROW()-ROW($N$1090)+1),"")</f>
        <v>0</v>
      </c>
    </row>
    <row r="1477" customFormat="false" ht="15" hidden="false" customHeight="false" outlineLevel="0" collapsed="false">
      <c r="E1477" s="0" t="n">
        <f aca="false">IFERROR(SMALL(E367:E1087,ROW()-ROW($E$1090)+1),"")</f>
        <v>0</v>
      </c>
      <c r="F1477" s="0" t="str">
        <f aca="false">IFERROR(SMALL(F367:F1087,ROW()-ROW($F$1090)+1),"")</f>
        <v/>
      </c>
      <c r="G1477" s="0" t="n">
        <f aca="false">IFERROR(SMALL(G367:G1087,ROW()-ROW($G$1090)+1),"")</f>
        <v>0</v>
      </c>
      <c r="H1477" s="0" t="n">
        <f aca="false">IFERROR(SMALL(H367:H1087,ROW()-ROW($H$1090)+1),"")</f>
        <v>0</v>
      </c>
      <c r="K1477" s="0" t="n">
        <f aca="false">IFERROR(SMALL(K367:K1087,ROW()-ROW($K$1090)+1),"")</f>
        <v>0</v>
      </c>
      <c r="L1477" s="0" t="str">
        <f aca="false">IFERROR(SMALL(L367:L1087,ROW()-ROW($L$1090)+1),"")</f>
        <v/>
      </c>
      <c r="M1477" s="0" t="n">
        <f aca="false">IFERROR(SMALL(M367:M1087,ROW()-ROW($M$1090)+1),"")</f>
        <v>0</v>
      </c>
      <c r="N1477" s="0" t="n">
        <f aca="false">IFERROR(SMALL(N367:N1087,ROW()-ROW($N$1090)+1),"")</f>
        <v>0</v>
      </c>
    </row>
    <row r="1478" customFormat="false" ht="15" hidden="false" customHeight="false" outlineLevel="0" collapsed="false">
      <c r="E1478" s="0" t="n">
        <f aca="false">IFERROR(SMALL(E367:E1087,ROW()-ROW($E$1090)+1),"")</f>
        <v>0</v>
      </c>
      <c r="F1478" s="0" t="str">
        <f aca="false">IFERROR(SMALL(F367:F1087,ROW()-ROW($F$1090)+1),"")</f>
        <v/>
      </c>
      <c r="G1478" s="0" t="n">
        <f aca="false">IFERROR(SMALL(G367:G1087,ROW()-ROW($G$1090)+1),"")</f>
        <v>0</v>
      </c>
      <c r="H1478" s="0" t="n">
        <f aca="false">IFERROR(SMALL(H367:H1087,ROW()-ROW($H$1090)+1),"")</f>
        <v>0</v>
      </c>
      <c r="K1478" s="0" t="n">
        <f aca="false">IFERROR(SMALL(K367:K1087,ROW()-ROW($K$1090)+1),"")</f>
        <v>0</v>
      </c>
      <c r="L1478" s="0" t="str">
        <f aca="false">IFERROR(SMALL(L367:L1087,ROW()-ROW($L$1090)+1),"")</f>
        <v/>
      </c>
      <c r="M1478" s="0" t="n">
        <f aca="false">IFERROR(SMALL(M367:M1087,ROW()-ROW($M$1090)+1),"")</f>
        <v>0</v>
      </c>
      <c r="N1478" s="0" t="n">
        <f aca="false">IFERROR(SMALL(N367:N1087,ROW()-ROW($N$1090)+1),"")</f>
        <v>0</v>
      </c>
    </row>
    <row r="1479" customFormat="false" ht="15" hidden="false" customHeight="false" outlineLevel="0" collapsed="false">
      <c r="E1479" s="0" t="n">
        <f aca="false">IFERROR(SMALL(E367:E1087,ROW()-ROW($E$1090)+1),"")</f>
        <v>0</v>
      </c>
      <c r="F1479" s="0" t="str">
        <f aca="false">IFERROR(SMALL(F367:F1087,ROW()-ROW($F$1090)+1),"")</f>
        <v/>
      </c>
      <c r="G1479" s="0" t="n">
        <f aca="false">IFERROR(SMALL(G367:G1087,ROW()-ROW($G$1090)+1),"")</f>
        <v>0</v>
      </c>
      <c r="H1479" s="0" t="n">
        <f aca="false">IFERROR(SMALL(H367:H1087,ROW()-ROW($H$1090)+1),"")</f>
        <v>0</v>
      </c>
      <c r="K1479" s="0" t="n">
        <f aca="false">IFERROR(SMALL(K367:K1087,ROW()-ROW($K$1090)+1),"")</f>
        <v>0</v>
      </c>
      <c r="L1479" s="0" t="str">
        <f aca="false">IFERROR(SMALL(L367:L1087,ROW()-ROW($L$1090)+1),"")</f>
        <v/>
      </c>
      <c r="M1479" s="0" t="n">
        <f aca="false">IFERROR(SMALL(M367:M1087,ROW()-ROW($M$1090)+1),"")</f>
        <v>0</v>
      </c>
      <c r="N1479" s="0" t="n">
        <f aca="false">IFERROR(SMALL(N367:N1087,ROW()-ROW($N$1090)+1),"")</f>
        <v>0</v>
      </c>
    </row>
    <row r="1480" customFormat="false" ht="15" hidden="false" customHeight="false" outlineLevel="0" collapsed="false">
      <c r="E1480" s="0" t="n">
        <f aca="false">IFERROR(SMALL(E367:E1087,ROW()-ROW($E$1090)+1),"")</f>
        <v>0</v>
      </c>
      <c r="F1480" s="0" t="str">
        <f aca="false">IFERROR(SMALL(F367:F1087,ROW()-ROW($F$1090)+1),"")</f>
        <v/>
      </c>
      <c r="G1480" s="0" t="n">
        <f aca="false">IFERROR(SMALL(G367:G1087,ROW()-ROW($G$1090)+1),"")</f>
        <v>0</v>
      </c>
      <c r="H1480" s="0" t="n">
        <f aca="false">IFERROR(SMALL(H367:H1087,ROW()-ROW($H$1090)+1),"")</f>
        <v>0</v>
      </c>
      <c r="K1480" s="0" t="n">
        <f aca="false">IFERROR(SMALL(K367:K1087,ROW()-ROW($K$1090)+1),"")</f>
        <v>0</v>
      </c>
      <c r="L1480" s="0" t="str">
        <f aca="false">IFERROR(SMALL(L367:L1087,ROW()-ROW($L$1090)+1),"")</f>
        <v/>
      </c>
      <c r="M1480" s="0" t="n">
        <f aca="false">IFERROR(SMALL(M367:M1087,ROW()-ROW($M$1090)+1),"")</f>
        <v>0</v>
      </c>
      <c r="N1480" s="0" t="n">
        <f aca="false">IFERROR(SMALL(N367:N1087,ROW()-ROW($N$1090)+1),"")</f>
        <v>0</v>
      </c>
    </row>
    <row r="1481" customFormat="false" ht="15" hidden="false" customHeight="false" outlineLevel="0" collapsed="false">
      <c r="E1481" s="0" t="n">
        <f aca="false">IFERROR(SMALL(E367:E1087,ROW()-ROW($E$1090)+1),"")</f>
        <v>0</v>
      </c>
      <c r="F1481" s="0" t="str">
        <f aca="false">IFERROR(SMALL(F367:F1087,ROW()-ROW($F$1090)+1),"")</f>
        <v/>
      </c>
      <c r="G1481" s="0" t="n">
        <f aca="false">IFERROR(SMALL(G367:G1087,ROW()-ROW($G$1090)+1),"")</f>
        <v>0</v>
      </c>
      <c r="H1481" s="0" t="n">
        <f aca="false">IFERROR(SMALL(H367:H1087,ROW()-ROW($H$1090)+1),"")</f>
        <v>0</v>
      </c>
      <c r="K1481" s="0" t="n">
        <f aca="false">IFERROR(SMALL(K367:K1087,ROW()-ROW($K$1090)+1),"")</f>
        <v>0</v>
      </c>
      <c r="L1481" s="0" t="str">
        <f aca="false">IFERROR(SMALL(L367:L1087,ROW()-ROW($L$1090)+1),"")</f>
        <v/>
      </c>
      <c r="M1481" s="0" t="n">
        <f aca="false">IFERROR(SMALL(M367:M1087,ROW()-ROW($M$1090)+1),"")</f>
        <v>0</v>
      </c>
      <c r="N1481" s="0" t="n">
        <f aca="false">IFERROR(SMALL(N367:N1087,ROW()-ROW($N$1090)+1),"")</f>
        <v>0</v>
      </c>
    </row>
    <row r="1482" customFormat="false" ht="15" hidden="false" customHeight="false" outlineLevel="0" collapsed="false">
      <c r="E1482" s="0" t="n">
        <f aca="false">IFERROR(SMALL(E367:E1087,ROW()-ROW($E$1090)+1),"")</f>
        <v>0</v>
      </c>
      <c r="F1482" s="0" t="str">
        <f aca="false">IFERROR(SMALL(F367:F1087,ROW()-ROW($F$1090)+1),"")</f>
        <v/>
      </c>
      <c r="G1482" s="0" t="n">
        <f aca="false">IFERROR(SMALL(G367:G1087,ROW()-ROW($G$1090)+1),"")</f>
        <v>0</v>
      </c>
      <c r="H1482" s="0" t="n">
        <f aca="false">IFERROR(SMALL(H367:H1087,ROW()-ROW($H$1090)+1),"")</f>
        <v>0</v>
      </c>
      <c r="K1482" s="0" t="n">
        <f aca="false">IFERROR(SMALL(K367:K1087,ROW()-ROW($K$1090)+1),"")</f>
        <v>0</v>
      </c>
      <c r="L1482" s="0" t="str">
        <f aca="false">IFERROR(SMALL(L367:L1087,ROW()-ROW($L$1090)+1),"")</f>
        <v/>
      </c>
      <c r="M1482" s="0" t="n">
        <f aca="false">IFERROR(SMALL(M367:M1087,ROW()-ROW($M$1090)+1),"")</f>
        <v>0</v>
      </c>
      <c r="N1482" s="0" t="n">
        <f aca="false">IFERROR(SMALL(N367:N1087,ROW()-ROW($N$1090)+1),"")</f>
        <v>0</v>
      </c>
    </row>
    <row r="1483" customFormat="false" ht="15" hidden="false" customHeight="false" outlineLevel="0" collapsed="false">
      <c r="E1483" s="0" t="n">
        <f aca="false">IFERROR(SMALL(E367:E1087,ROW()-ROW($E$1090)+1),"")</f>
        <v>0</v>
      </c>
      <c r="F1483" s="0" t="str">
        <f aca="false">IFERROR(SMALL(F367:F1087,ROW()-ROW($F$1090)+1),"")</f>
        <v/>
      </c>
      <c r="G1483" s="0" t="n">
        <f aca="false">IFERROR(SMALL(G367:G1087,ROW()-ROW($G$1090)+1),"")</f>
        <v>0</v>
      </c>
      <c r="H1483" s="0" t="n">
        <f aca="false">IFERROR(SMALL(H367:H1087,ROW()-ROW($H$1090)+1),"")</f>
        <v>0</v>
      </c>
      <c r="K1483" s="0" t="n">
        <f aca="false">IFERROR(SMALL(K367:K1087,ROW()-ROW($K$1090)+1),"")</f>
        <v>0</v>
      </c>
      <c r="L1483" s="0" t="str">
        <f aca="false">IFERROR(SMALL(L367:L1087,ROW()-ROW($L$1090)+1),"")</f>
        <v/>
      </c>
      <c r="M1483" s="0" t="n">
        <f aca="false">IFERROR(SMALL(M367:M1087,ROW()-ROW($M$1090)+1),"")</f>
        <v>0</v>
      </c>
      <c r="N1483" s="0" t="n">
        <f aca="false">IFERROR(SMALL(N367:N1087,ROW()-ROW($N$1090)+1),"")</f>
        <v>0</v>
      </c>
    </row>
    <row r="1484" customFormat="false" ht="15" hidden="false" customHeight="false" outlineLevel="0" collapsed="false">
      <c r="E1484" s="0" t="n">
        <f aca="false">IFERROR(SMALL(E367:E1087,ROW()-ROW($E$1090)+1),"")</f>
        <v>0</v>
      </c>
      <c r="F1484" s="0" t="str">
        <f aca="false">IFERROR(SMALL(F367:F1087,ROW()-ROW($F$1090)+1),"")</f>
        <v/>
      </c>
      <c r="G1484" s="0" t="n">
        <f aca="false">IFERROR(SMALL(G367:G1087,ROW()-ROW($G$1090)+1),"")</f>
        <v>0</v>
      </c>
      <c r="H1484" s="0" t="n">
        <f aca="false">IFERROR(SMALL(H367:H1087,ROW()-ROW($H$1090)+1),"")</f>
        <v>0</v>
      </c>
      <c r="K1484" s="0" t="n">
        <f aca="false">IFERROR(SMALL(K367:K1087,ROW()-ROW($K$1090)+1),"")</f>
        <v>0</v>
      </c>
      <c r="L1484" s="0" t="str">
        <f aca="false">IFERROR(SMALL(L367:L1087,ROW()-ROW($L$1090)+1),"")</f>
        <v/>
      </c>
      <c r="M1484" s="0" t="n">
        <f aca="false">IFERROR(SMALL(M367:M1087,ROW()-ROW($M$1090)+1),"")</f>
        <v>0</v>
      </c>
      <c r="N1484" s="0" t="n">
        <f aca="false">IFERROR(SMALL(N367:N1087,ROW()-ROW($N$1090)+1),"")</f>
        <v>0</v>
      </c>
    </row>
    <row r="1485" customFormat="false" ht="15" hidden="false" customHeight="false" outlineLevel="0" collapsed="false">
      <c r="E1485" s="0" t="n">
        <f aca="false">IFERROR(SMALL(E367:E1087,ROW()-ROW($E$1090)+1),"")</f>
        <v>0</v>
      </c>
      <c r="F1485" s="0" t="str">
        <f aca="false">IFERROR(SMALL(F367:F1087,ROW()-ROW($F$1090)+1),"")</f>
        <v/>
      </c>
      <c r="G1485" s="0" t="n">
        <f aca="false">IFERROR(SMALL(G367:G1087,ROW()-ROW($G$1090)+1),"")</f>
        <v>0</v>
      </c>
      <c r="H1485" s="0" t="n">
        <f aca="false">IFERROR(SMALL(H367:H1087,ROW()-ROW($H$1090)+1),"")</f>
        <v>0</v>
      </c>
      <c r="K1485" s="0" t="n">
        <f aca="false">IFERROR(SMALL(K367:K1087,ROW()-ROW($K$1090)+1),"")</f>
        <v>0</v>
      </c>
      <c r="L1485" s="0" t="str">
        <f aca="false">IFERROR(SMALL(L367:L1087,ROW()-ROW($L$1090)+1),"")</f>
        <v/>
      </c>
      <c r="M1485" s="0" t="n">
        <f aca="false">IFERROR(SMALL(M367:M1087,ROW()-ROW($M$1090)+1),"")</f>
        <v>0</v>
      </c>
      <c r="N1485" s="0" t="n">
        <f aca="false">IFERROR(SMALL(N367:N1087,ROW()-ROW($N$1090)+1),"")</f>
        <v>0</v>
      </c>
    </row>
    <row r="1486" customFormat="false" ht="15" hidden="false" customHeight="false" outlineLevel="0" collapsed="false">
      <c r="E1486" s="0" t="n">
        <f aca="false">IFERROR(SMALL(E367:E1087,ROW()-ROW($E$1090)+1),"")</f>
        <v>0</v>
      </c>
      <c r="F1486" s="0" t="str">
        <f aca="false">IFERROR(SMALL(F367:F1087,ROW()-ROW($F$1090)+1),"")</f>
        <v/>
      </c>
      <c r="G1486" s="0" t="n">
        <f aca="false">IFERROR(SMALL(G367:G1087,ROW()-ROW($G$1090)+1),"")</f>
        <v>0</v>
      </c>
      <c r="H1486" s="0" t="n">
        <f aca="false">IFERROR(SMALL(H367:H1087,ROW()-ROW($H$1090)+1),"")</f>
        <v>0</v>
      </c>
      <c r="K1486" s="0" t="n">
        <f aca="false">IFERROR(SMALL(K367:K1087,ROW()-ROW($K$1090)+1),"")</f>
        <v>0</v>
      </c>
      <c r="L1486" s="0" t="str">
        <f aca="false">IFERROR(SMALL(L367:L1087,ROW()-ROW($L$1090)+1),"")</f>
        <v/>
      </c>
      <c r="M1486" s="0" t="n">
        <f aca="false">IFERROR(SMALL(M367:M1087,ROW()-ROW($M$1090)+1),"")</f>
        <v>0</v>
      </c>
      <c r="N1486" s="0" t="n">
        <f aca="false">IFERROR(SMALL(N367:N1087,ROW()-ROW($N$1090)+1),"")</f>
        <v>0</v>
      </c>
    </row>
    <row r="1487" customFormat="false" ht="15" hidden="false" customHeight="false" outlineLevel="0" collapsed="false">
      <c r="E1487" s="0" t="n">
        <f aca="false">IFERROR(SMALL(E367:E1087,ROW()-ROW($E$1090)+1),"")</f>
        <v>0</v>
      </c>
      <c r="F1487" s="0" t="str">
        <f aca="false">IFERROR(SMALL(F367:F1087,ROW()-ROW($F$1090)+1),"")</f>
        <v/>
      </c>
      <c r="G1487" s="0" t="n">
        <f aca="false">IFERROR(SMALL(G367:G1087,ROW()-ROW($G$1090)+1),"")</f>
        <v>0</v>
      </c>
      <c r="H1487" s="0" t="n">
        <f aca="false">IFERROR(SMALL(H367:H1087,ROW()-ROW($H$1090)+1),"")</f>
        <v>0</v>
      </c>
      <c r="K1487" s="0" t="n">
        <f aca="false">IFERROR(SMALL(K367:K1087,ROW()-ROW($K$1090)+1),"")</f>
        <v>0</v>
      </c>
      <c r="L1487" s="0" t="str">
        <f aca="false">IFERROR(SMALL(L367:L1087,ROW()-ROW($L$1090)+1),"")</f>
        <v/>
      </c>
      <c r="M1487" s="0" t="n">
        <f aca="false">IFERROR(SMALL(M367:M1087,ROW()-ROW($M$1090)+1),"")</f>
        <v>0</v>
      </c>
      <c r="N1487" s="0" t="n">
        <f aca="false">IFERROR(SMALL(N367:N1087,ROW()-ROW($N$1090)+1),"")</f>
        <v>0</v>
      </c>
    </row>
    <row r="1488" customFormat="false" ht="15" hidden="false" customHeight="false" outlineLevel="0" collapsed="false">
      <c r="E1488" s="0" t="n">
        <f aca="false">IFERROR(SMALL(E367:E1087,ROW()-ROW($E$1090)+1),"")</f>
        <v>0</v>
      </c>
      <c r="F1488" s="0" t="str">
        <f aca="false">IFERROR(SMALL(F367:F1087,ROW()-ROW($F$1090)+1),"")</f>
        <v/>
      </c>
      <c r="G1488" s="0" t="n">
        <f aca="false">IFERROR(SMALL(G367:G1087,ROW()-ROW($G$1090)+1),"")</f>
        <v>0</v>
      </c>
      <c r="H1488" s="0" t="n">
        <f aca="false">IFERROR(SMALL(H367:H1087,ROW()-ROW($H$1090)+1),"")</f>
        <v>0</v>
      </c>
      <c r="K1488" s="0" t="n">
        <f aca="false">IFERROR(SMALL(K367:K1087,ROW()-ROW($K$1090)+1),"")</f>
        <v>0</v>
      </c>
      <c r="L1488" s="0" t="str">
        <f aca="false">IFERROR(SMALL(L367:L1087,ROW()-ROW($L$1090)+1),"")</f>
        <v/>
      </c>
      <c r="M1488" s="0" t="n">
        <f aca="false">IFERROR(SMALL(M367:M1087,ROW()-ROW($M$1090)+1),"")</f>
        <v>0</v>
      </c>
      <c r="N1488" s="0" t="n">
        <f aca="false">IFERROR(SMALL(N367:N1087,ROW()-ROW($N$1090)+1),"")</f>
        <v>0</v>
      </c>
    </row>
    <row r="1489" customFormat="false" ht="15" hidden="false" customHeight="false" outlineLevel="0" collapsed="false">
      <c r="E1489" s="0" t="n">
        <f aca="false">IFERROR(SMALL(E367:E1087,ROW()-ROW($E$1090)+1),"")</f>
        <v>0</v>
      </c>
      <c r="F1489" s="0" t="str">
        <f aca="false">IFERROR(SMALL(F367:F1087,ROW()-ROW($F$1090)+1),"")</f>
        <v/>
      </c>
      <c r="G1489" s="0" t="n">
        <f aca="false">IFERROR(SMALL(G367:G1087,ROW()-ROW($G$1090)+1),"")</f>
        <v>0</v>
      </c>
      <c r="H1489" s="0" t="n">
        <f aca="false">IFERROR(SMALL(H367:H1087,ROW()-ROW($H$1090)+1),"")</f>
        <v>0</v>
      </c>
      <c r="K1489" s="0" t="n">
        <f aca="false">IFERROR(SMALL(K367:K1087,ROW()-ROW($K$1090)+1),"")</f>
        <v>0</v>
      </c>
      <c r="L1489" s="0" t="str">
        <f aca="false">IFERROR(SMALL(L367:L1087,ROW()-ROW($L$1090)+1),"")</f>
        <v/>
      </c>
      <c r="M1489" s="0" t="n">
        <f aca="false">IFERROR(SMALL(M367:M1087,ROW()-ROW($M$1090)+1),"")</f>
        <v>0</v>
      </c>
      <c r="N1489" s="0" t="n">
        <f aca="false">IFERROR(SMALL(N367:N1087,ROW()-ROW($N$1090)+1),"")</f>
        <v>0</v>
      </c>
    </row>
    <row r="1490" customFormat="false" ht="15" hidden="false" customHeight="false" outlineLevel="0" collapsed="false">
      <c r="E1490" s="0" t="n">
        <f aca="false">IFERROR(SMALL(E367:E1087,ROW()-ROW($E$1090)+1),"")</f>
        <v>0</v>
      </c>
      <c r="F1490" s="0" t="str">
        <f aca="false">IFERROR(SMALL(F367:F1087,ROW()-ROW($F$1090)+1),"")</f>
        <v/>
      </c>
      <c r="G1490" s="0" t="n">
        <f aca="false">IFERROR(SMALL(G367:G1087,ROW()-ROW($G$1090)+1),"")</f>
        <v>0</v>
      </c>
      <c r="H1490" s="0" t="n">
        <f aca="false">IFERROR(SMALL(H367:H1087,ROW()-ROW($H$1090)+1),"")</f>
        <v>0</v>
      </c>
      <c r="K1490" s="0" t="n">
        <f aca="false">IFERROR(SMALL(K367:K1087,ROW()-ROW($K$1090)+1),"")</f>
        <v>0</v>
      </c>
      <c r="L1490" s="0" t="str">
        <f aca="false">IFERROR(SMALL(L367:L1087,ROW()-ROW($L$1090)+1),"")</f>
        <v/>
      </c>
      <c r="M1490" s="0" t="n">
        <f aca="false">IFERROR(SMALL(M367:M1087,ROW()-ROW($M$1090)+1),"")</f>
        <v>0</v>
      </c>
      <c r="N1490" s="0" t="n">
        <f aca="false">IFERROR(SMALL(N367:N1087,ROW()-ROW($N$1090)+1),"")</f>
        <v>0</v>
      </c>
    </row>
    <row r="1491" customFormat="false" ht="15" hidden="false" customHeight="false" outlineLevel="0" collapsed="false">
      <c r="E1491" s="0" t="n">
        <f aca="false">IFERROR(SMALL(E367:E1087,ROW()-ROW($E$1090)+1),"")</f>
        <v>0</v>
      </c>
      <c r="F1491" s="0" t="str">
        <f aca="false">IFERROR(SMALL(F367:F1087,ROW()-ROW($F$1090)+1),"")</f>
        <v/>
      </c>
      <c r="G1491" s="0" t="n">
        <f aca="false">IFERROR(SMALL(G367:G1087,ROW()-ROW($G$1090)+1),"")</f>
        <v>0</v>
      </c>
      <c r="H1491" s="0" t="n">
        <f aca="false">IFERROR(SMALL(H367:H1087,ROW()-ROW($H$1090)+1),"")</f>
        <v>0</v>
      </c>
      <c r="K1491" s="0" t="n">
        <f aca="false">IFERROR(SMALL(K367:K1087,ROW()-ROW($K$1090)+1),"")</f>
        <v>0</v>
      </c>
      <c r="L1491" s="0" t="str">
        <f aca="false">IFERROR(SMALL(L367:L1087,ROW()-ROW($L$1090)+1),"")</f>
        <v/>
      </c>
      <c r="M1491" s="0" t="n">
        <f aca="false">IFERROR(SMALL(M367:M1087,ROW()-ROW($M$1090)+1),"")</f>
        <v>0</v>
      </c>
      <c r="N1491" s="0" t="n">
        <f aca="false">IFERROR(SMALL(N367:N1087,ROW()-ROW($N$1090)+1),"")</f>
        <v>0</v>
      </c>
    </row>
    <row r="1492" customFormat="false" ht="15" hidden="false" customHeight="false" outlineLevel="0" collapsed="false">
      <c r="E1492" s="0" t="n">
        <f aca="false">IFERROR(SMALL(E367:E1087,ROW()-ROW($E$1090)+1),"")</f>
        <v>0</v>
      </c>
      <c r="F1492" s="0" t="str">
        <f aca="false">IFERROR(SMALL(F367:F1087,ROW()-ROW($F$1090)+1),"")</f>
        <v/>
      </c>
      <c r="G1492" s="0" t="n">
        <f aca="false">IFERROR(SMALL(G367:G1087,ROW()-ROW($G$1090)+1),"")</f>
        <v>0</v>
      </c>
      <c r="H1492" s="0" t="n">
        <f aca="false">IFERROR(SMALL(H367:H1087,ROW()-ROW($H$1090)+1),"")</f>
        <v>0</v>
      </c>
      <c r="K1492" s="0" t="n">
        <f aca="false">IFERROR(SMALL(K367:K1087,ROW()-ROW($K$1090)+1),"")</f>
        <v>0</v>
      </c>
      <c r="L1492" s="0" t="str">
        <f aca="false">IFERROR(SMALL(L367:L1087,ROW()-ROW($L$1090)+1),"")</f>
        <v/>
      </c>
      <c r="M1492" s="0" t="n">
        <f aca="false">IFERROR(SMALL(M367:M1087,ROW()-ROW($M$1090)+1),"")</f>
        <v>0</v>
      </c>
      <c r="N1492" s="0" t="n">
        <f aca="false">IFERROR(SMALL(N367:N1087,ROW()-ROW($N$1090)+1),"")</f>
        <v>0</v>
      </c>
    </row>
    <row r="1493" customFormat="false" ht="15" hidden="false" customHeight="false" outlineLevel="0" collapsed="false">
      <c r="E1493" s="0" t="n">
        <f aca="false">IFERROR(SMALL(E367:E1087,ROW()-ROW($E$1090)+1),"")</f>
        <v>0</v>
      </c>
      <c r="F1493" s="0" t="str">
        <f aca="false">IFERROR(SMALL(F367:F1087,ROW()-ROW($F$1090)+1),"")</f>
        <v/>
      </c>
      <c r="G1493" s="0" t="n">
        <f aca="false">IFERROR(SMALL(G367:G1087,ROW()-ROW($G$1090)+1),"")</f>
        <v>0</v>
      </c>
      <c r="H1493" s="0" t="n">
        <f aca="false">IFERROR(SMALL(H367:H1087,ROW()-ROW($H$1090)+1),"")</f>
        <v>0</v>
      </c>
      <c r="K1493" s="0" t="n">
        <f aca="false">IFERROR(SMALL(K367:K1087,ROW()-ROW($K$1090)+1),"")</f>
        <v>0</v>
      </c>
      <c r="L1493" s="0" t="str">
        <f aca="false">IFERROR(SMALL(L367:L1087,ROW()-ROW($L$1090)+1),"")</f>
        <v/>
      </c>
      <c r="M1493" s="0" t="n">
        <f aca="false">IFERROR(SMALL(M367:M1087,ROW()-ROW($M$1090)+1),"")</f>
        <v>0</v>
      </c>
      <c r="N1493" s="0" t="n">
        <f aca="false">IFERROR(SMALL(N367:N1087,ROW()-ROW($N$1090)+1),"")</f>
        <v>0</v>
      </c>
    </row>
    <row r="1494" customFormat="false" ht="15" hidden="false" customHeight="false" outlineLevel="0" collapsed="false">
      <c r="E1494" s="0" t="n">
        <f aca="false">IFERROR(SMALL(E367:E1087,ROW()-ROW($E$1090)+1),"")</f>
        <v>0</v>
      </c>
      <c r="F1494" s="0" t="str">
        <f aca="false">IFERROR(SMALL(F367:F1087,ROW()-ROW($F$1090)+1),"")</f>
        <v/>
      </c>
      <c r="G1494" s="0" t="n">
        <f aca="false">IFERROR(SMALL(G367:G1087,ROW()-ROW($G$1090)+1),"")</f>
        <v>0</v>
      </c>
      <c r="H1494" s="0" t="n">
        <f aca="false">IFERROR(SMALL(H367:H1087,ROW()-ROW($H$1090)+1),"")</f>
        <v>0</v>
      </c>
      <c r="K1494" s="0" t="n">
        <f aca="false">IFERROR(SMALL(K367:K1087,ROW()-ROW($K$1090)+1),"")</f>
        <v>0</v>
      </c>
      <c r="L1494" s="0" t="str">
        <f aca="false">IFERROR(SMALL(L367:L1087,ROW()-ROW($L$1090)+1),"")</f>
        <v/>
      </c>
      <c r="M1494" s="0" t="n">
        <f aca="false">IFERROR(SMALL(M367:M1087,ROW()-ROW($M$1090)+1),"")</f>
        <v>0</v>
      </c>
      <c r="N1494" s="0" t="n">
        <f aca="false">IFERROR(SMALL(N367:N1087,ROW()-ROW($N$1090)+1),"")</f>
        <v>0</v>
      </c>
    </row>
    <row r="1495" customFormat="false" ht="15" hidden="false" customHeight="false" outlineLevel="0" collapsed="false">
      <c r="E1495" s="0" t="n">
        <f aca="false">IFERROR(SMALL(E367:E1087,ROW()-ROW($E$1090)+1),"")</f>
        <v>0</v>
      </c>
      <c r="F1495" s="0" t="str">
        <f aca="false">IFERROR(SMALL(F367:F1087,ROW()-ROW($F$1090)+1),"")</f>
        <v/>
      </c>
      <c r="G1495" s="0" t="n">
        <f aca="false">IFERROR(SMALL(G367:G1087,ROW()-ROW($G$1090)+1),"")</f>
        <v>0</v>
      </c>
      <c r="H1495" s="0" t="n">
        <f aca="false">IFERROR(SMALL(H367:H1087,ROW()-ROW($H$1090)+1),"")</f>
        <v>0</v>
      </c>
      <c r="K1495" s="0" t="n">
        <f aca="false">IFERROR(SMALL(K367:K1087,ROW()-ROW($K$1090)+1),"")</f>
        <v>0</v>
      </c>
      <c r="L1495" s="0" t="str">
        <f aca="false">IFERROR(SMALL(L367:L1087,ROW()-ROW($L$1090)+1),"")</f>
        <v/>
      </c>
      <c r="M1495" s="0" t="n">
        <f aca="false">IFERROR(SMALL(M367:M1087,ROW()-ROW($M$1090)+1),"")</f>
        <v>0</v>
      </c>
      <c r="N1495" s="0" t="n">
        <f aca="false">IFERROR(SMALL(N367:N1087,ROW()-ROW($N$1090)+1),"")</f>
        <v>0</v>
      </c>
    </row>
    <row r="1496" customFormat="false" ht="15" hidden="false" customHeight="false" outlineLevel="0" collapsed="false">
      <c r="E1496" s="0" t="n">
        <f aca="false">IFERROR(SMALL(E367:E1087,ROW()-ROW($E$1090)+1),"")</f>
        <v>0</v>
      </c>
      <c r="F1496" s="0" t="str">
        <f aca="false">IFERROR(SMALL(F367:F1087,ROW()-ROW($F$1090)+1),"")</f>
        <v/>
      </c>
      <c r="G1496" s="0" t="n">
        <f aca="false">IFERROR(SMALL(G367:G1087,ROW()-ROW($G$1090)+1),"")</f>
        <v>0</v>
      </c>
      <c r="H1496" s="0" t="n">
        <f aca="false">IFERROR(SMALL(H367:H1087,ROW()-ROW($H$1090)+1),"")</f>
        <v>0</v>
      </c>
      <c r="K1496" s="0" t="n">
        <f aca="false">IFERROR(SMALL(K367:K1087,ROW()-ROW($K$1090)+1),"")</f>
        <v>0</v>
      </c>
      <c r="L1496" s="0" t="str">
        <f aca="false">IFERROR(SMALL(L367:L1087,ROW()-ROW($L$1090)+1),"")</f>
        <v/>
      </c>
      <c r="M1496" s="0" t="n">
        <f aca="false">IFERROR(SMALL(M367:M1087,ROW()-ROW($M$1090)+1),"")</f>
        <v>0</v>
      </c>
      <c r="N1496" s="0" t="n">
        <f aca="false">IFERROR(SMALL(N367:N1087,ROW()-ROW($N$1090)+1),"")</f>
        <v>0</v>
      </c>
    </row>
    <row r="1497" customFormat="false" ht="15" hidden="false" customHeight="false" outlineLevel="0" collapsed="false">
      <c r="E1497" s="0" t="n">
        <f aca="false">IFERROR(SMALL(E367:E1087,ROW()-ROW($E$1090)+1),"")</f>
        <v>0</v>
      </c>
      <c r="F1497" s="0" t="str">
        <f aca="false">IFERROR(SMALL(F367:F1087,ROW()-ROW($F$1090)+1),"")</f>
        <v/>
      </c>
      <c r="G1497" s="0" t="n">
        <f aca="false">IFERROR(SMALL(G367:G1087,ROW()-ROW($G$1090)+1),"")</f>
        <v>0</v>
      </c>
      <c r="H1497" s="0" t="n">
        <f aca="false">IFERROR(SMALL(H367:H1087,ROW()-ROW($H$1090)+1),"")</f>
        <v>0</v>
      </c>
      <c r="K1497" s="0" t="n">
        <f aca="false">IFERROR(SMALL(K367:K1087,ROW()-ROW($K$1090)+1),"")</f>
        <v>0</v>
      </c>
      <c r="L1497" s="0" t="str">
        <f aca="false">IFERROR(SMALL(L367:L1087,ROW()-ROW($L$1090)+1),"")</f>
        <v/>
      </c>
      <c r="M1497" s="0" t="n">
        <f aca="false">IFERROR(SMALL(M367:M1087,ROW()-ROW($M$1090)+1),"")</f>
        <v>0</v>
      </c>
      <c r="N1497" s="0" t="n">
        <f aca="false">IFERROR(SMALL(N367:N1087,ROW()-ROW($N$1090)+1),"")</f>
        <v>0</v>
      </c>
    </row>
    <row r="1498" customFormat="false" ht="15" hidden="false" customHeight="false" outlineLevel="0" collapsed="false">
      <c r="E1498" s="0" t="n">
        <f aca="false">IFERROR(SMALL(E367:E1087,ROW()-ROW($E$1090)+1),"")</f>
        <v>0</v>
      </c>
      <c r="F1498" s="0" t="str">
        <f aca="false">IFERROR(SMALL(F367:F1087,ROW()-ROW($F$1090)+1),"")</f>
        <v/>
      </c>
      <c r="G1498" s="0" t="n">
        <f aca="false">IFERROR(SMALL(G367:G1087,ROW()-ROW($G$1090)+1),"")</f>
        <v>0</v>
      </c>
      <c r="H1498" s="0" t="n">
        <f aca="false">IFERROR(SMALL(H367:H1087,ROW()-ROW($H$1090)+1),"")</f>
        <v>0</v>
      </c>
      <c r="K1498" s="0" t="n">
        <f aca="false">IFERROR(SMALL(K367:K1087,ROW()-ROW($K$1090)+1),"")</f>
        <v>0</v>
      </c>
      <c r="L1498" s="0" t="str">
        <f aca="false">IFERROR(SMALL(L367:L1087,ROW()-ROW($L$1090)+1),"")</f>
        <v/>
      </c>
      <c r="M1498" s="0" t="n">
        <f aca="false">IFERROR(SMALL(M367:M1087,ROW()-ROW($M$1090)+1),"")</f>
        <v>0</v>
      </c>
      <c r="N1498" s="0" t="n">
        <f aca="false">IFERROR(SMALL(N367:N1087,ROW()-ROW($N$1090)+1),"")</f>
        <v>0</v>
      </c>
    </row>
    <row r="1499" customFormat="false" ht="15" hidden="false" customHeight="false" outlineLevel="0" collapsed="false">
      <c r="E1499" s="0" t="n">
        <f aca="false">IFERROR(SMALL(E367:E1087,ROW()-ROW($E$1090)+1),"")</f>
        <v>0</v>
      </c>
      <c r="F1499" s="0" t="str">
        <f aca="false">IFERROR(SMALL(F367:F1087,ROW()-ROW($F$1090)+1),"")</f>
        <v/>
      </c>
      <c r="G1499" s="0" t="n">
        <f aca="false">IFERROR(SMALL(G367:G1087,ROW()-ROW($G$1090)+1),"")</f>
        <v>0</v>
      </c>
      <c r="H1499" s="0" t="n">
        <f aca="false">IFERROR(SMALL(H367:H1087,ROW()-ROW($H$1090)+1),"")</f>
        <v>0</v>
      </c>
      <c r="K1499" s="0" t="n">
        <f aca="false">IFERROR(SMALL(K367:K1087,ROW()-ROW($K$1090)+1),"")</f>
        <v>0</v>
      </c>
      <c r="L1499" s="0" t="str">
        <f aca="false">IFERROR(SMALL(L367:L1087,ROW()-ROW($L$1090)+1),"")</f>
        <v/>
      </c>
      <c r="M1499" s="0" t="n">
        <f aca="false">IFERROR(SMALL(M367:M1087,ROW()-ROW($M$1090)+1),"")</f>
        <v>0</v>
      </c>
      <c r="N1499" s="0" t="n">
        <f aca="false">IFERROR(SMALL(N367:N1087,ROW()-ROW($N$1090)+1),"")</f>
        <v>0</v>
      </c>
    </row>
    <row r="1500" customFormat="false" ht="15" hidden="false" customHeight="false" outlineLevel="0" collapsed="false">
      <c r="E1500" s="0" t="n">
        <f aca="false">IFERROR(SMALL(E367:E1087,ROW()-ROW($E$1090)+1),"")</f>
        <v>0</v>
      </c>
      <c r="F1500" s="0" t="str">
        <f aca="false">IFERROR(SMALL(F367:F1087,ROW()-ROW($F$1090)+1),"")</f>
        <v/>
      </c>
      <c r="G1500" s="0" t="n">
        <f aca="false">IFERROR(SMALL(G367:G1087,ROW()-ROW($G$1090)+1),"")</f>
        <v>0</v>
      </c>
      <c r="H1500" s="0" t="n">
        <f aca="false">IFERROR(SMALL(H367:H1087,ROW()-ROW($H$1090)+1),"")</f>
        <v>0</v>
      </c>
      <c r="K1500" s="0" t="n">
        <f aca="false">IFERROR(SMALL(K367:K1087,ROW()-ROW($K$1090)+1),"")</f>
        <v>0</v>
      </c>
      <c r="L1500" s="0" t="str">
        <f aca="false">IFERROR(SMALL(L367:L1087,ROW()-ROW($L$1090)+1),"")</f>
        <v/>
      </c>
      <c r="M1500" s="0" t="n">
        <f aca="false">IFERROR(SMALL(M367:M1087,ROW()-ROW($M$1090)+1),"")</f>
        <v>0</v>
      </c>
      <c r="N1500" s="0" t="n">
        <f aca="false">IFERROR(SMALL(N367:N1087,ROW()-ROW($N$1090)+1),"")</f>
        <v>0</v>
      </c>
    </row>
    <row r="1501" customFormat="false" ht="15" hidden="false" customHeight="false" outlineLevel="0" collapsed="false">
      <c r="E1501" s="0" t="n">
        <f aca="false">IFERROR(SMALL(E367:E1087,ROW()-ROW($E$1090)+1),"")</f>
        <v>0</v>
      </c>
      <c r="F1501" s="0" t="str">
        <f aca="false">IFERROR(SMALL(F367:F1087,ROW()-ROW($F$1090)+1),"")</f>
        <v/>
      </c>
      <c r="G1501" s="0" t="n">
        <f aca="false">IFERROR(SMALL(G367:G1087,ROW()-ROW($G$1090)+1),"")</f>
        <v>0</v>
      </c>
      <c r="H1501" s="0" t="n">
        <f aca="false">IFERROR(SMALL(H367:H1087,ROW()-ROW($H$1090)+1),"")</f>
        <v>0</v>
      </c>
      <c r="K1501" s="0" t="n">
        <f aca="false">IFERROR(SMALL(K367:K1087,ROW()-ROW($K$1090)+1),"")</f>
        <v>0</v>
      </c>
      <c r="L1501" s="0" t="str">
        <f aca="false">IFERROR(SMALL(L367:L1087,ROW()-ROW($L$1090)+1),"")</f>
        <v/>
      </c>
      <c r="M1501" s="0" t="n">
        <f aca="false">IFERROR(SMALL(M367:M1087,ROW()-ROW($M$1090)+1),"")</f>
        <v>0</v>
      </c>
      <c r="N1501" s="0" t="n">
        <f aca="false">IFERROR(SMALL(N367:N1087,ROW()-ROW($N$1090)+1),"")</f>
        <v>0</v>
      </c>
    </row>
    <row r="1502" customFormat="false" ht="15" hidden="false" customHeight="false" outlineLevel="0" collapsed="false">
      <c r="E1502" s="0" t="n">
        <f aca="false">IFERROR(SMALL(E367:E1087,ROW()-ROW($E$1090)+1),"")</f>
        <v>0</v>
      </c>
      <c r="F1502" s="0" t="str">
        <f aca="false">IFERROR(SMALL(F367:F1087,ROW()-ROW($F$1090)+1),"")</f>
        <v/>
      </c>
      <c r="G1502" s="0" t="n">
        <f aca="false">IFERROR(SMALL(G367:G1087,ROW()-ROW($G$1090)+1),"")</f>
        <v>0</v>
      </c>
      <c r="H1502" s="0" t="n">
        <f aca="false">IFERROR(SMALL(H367:H1087,ROW()-ROW($H$1090)+1),"")</f>
        <v>0</v>
      </c>
      <c r="K1502" s="0" t="n">
        <f aca="false">IFERROR(SMALL(K367:K1087,ROW()-ROW($K$1090)+1),"")</f>
        <v>0</v>
      </c>
      <c r="L1502" s="0" t="str">
        <f aca="false">IFERROR(SMALL(L367:L1087,ROW()-ROW($L$1090)+1),"")</f>
        <v/>
      </c>
      <c r="M1502" s="0" t="n">
        <f aca="false">IFERROR(SMALL(M367:M1087,ROW()-ROW($M$1090)+1),"")</f>
        <v>0</v>
      </c>
      <c r="N1502" s="0" t="n">
        <f aca="false">IFERROR(SMALL(N367:N1087,ROW()-ROW($N$1090)+1),"")</f>
        <v>0</v>
      </c>
    </row>
    <row r="1503" customFormat="false" ht="15" hidden="false" customHeight="false" outlineLevel="0" collapsed="false">
      <c r="E1503" s="0" t="n">
        <f aca="false">IFERROR(SMALL(E367:E1087,ROW()-ROW($E$1090)+1),"")</f>
        <v>0</v>
      </c>
      <c r="F1503" s="0" t="str">
        <f aca="false">IFERROR(SMALL(F367:F1087,ROW()-ROW($F$1090)+1),"")</f>
        <v/>
      </c>
      <c r="G1503" s="0" t="n">
        <f aca="false">IFERROR(SMALL(G367:G1087,ROW()-ROW($G$1090)+1),"")</f>
        <v>0</v>
      </c>
      <c r="H1503" s="0" t="n">
        <f aca="false">IFERROR(SMALL(H367:H1087,ROW()-ROW($H$1090)+1),"")</f>
        <v>0</v>
      </c>
      <c r="K1503" s="0" t="n">
        <f aca="false">IFERROR(SMALL(K367:K1087,ROW()-ROW($K$1090)+1),"")</f>
        <v>0</v>
      </c>
      <c r="L1503" s="0" t="str">
        <f aca="false">IFERROR(SMALL(L367:L1087,ROW()-ROW($L$1090)+1),"")</f>
        <v/>
      </c>
      <c r="M1503" s="0" t="n">
        <f aca="false">IFERROR(SMALL(M367:M1087,ROW()-ROW($M$1090)+1),"")</f>
        <v>0</v>
      </c>
      <c r="N1503" s="0" t="n">
        <f aca="false">IFERROR(SMALL(N367:N1087,ROW()-ROW($N$1090)+1),"")</f>
        <v>0</v>
      </c>
    </row>
    <row r="1504" customFormat="false" ht="15" hidden="false" customHeight="false" outlineLevel="0" collapsed="false">
      <c r="E1504" s="0" t="n">
        <f aca="false">IFERROR(SMALL(E367:E1087,ROW()-ROW($E$1090)+1),"")</f>
        <v>0</v>
      </c>
      <c r="F1504" s="0" t="str">
        <f aca="false">IFERROR(SMALL(F367:F1087,ROW()-ROW($F$1090)+1),"")</f>
        <v/>
      </c>
      <c r="G1504" s="0" t="n">
        <f aca="false">IFERROR(SMALL(G367:G1087,ROW()-ROW($G$1090)+1),"")</f>
        <v>0</v>
      </c>
      <c r="H1504" s="0" t="n">
        <f aca="false">IFERROR(SMALL(H367:H1087,ROW()-ROW($H$1090)+1),"")</f>
        <v>0</v>
      </c>
      <c r="K1504" s="0" t="n">
        <f aca="false">IFERROR(SMALL(K367:K1087,ROW()-ROW($K$1090)+1),"")</f>
        <v>0</v>
      </c>
      <c r="L1504" s="0" t="str">
        <f aca="false">IFERROR(SMALL(L367:L1087,ROW()-ROW($L$1090)+1),"")</f>
        <v/>
      </c>
      <c r="M1504" s="0" t="n">
        <f aca="false">IFERROR(SMALL(M367:M1087,ROW()-ROW($M$1090)+1),"")</f>
        <v>0</v>
      </c>
      <c r="N1504" s="0" t="n">
        <f aca="false">IFERROR(SMALL(N367:N1087,ROW()-ROW($N$1090)+1),"")</f>
        <v>0</v>
      </c>
    </row>
    <row r="1505" customFormat="false" ht="15" hidden="false" customHeight="false" outlineLevel="0" collapsed="false">
      <c r="E1505" s="0" t="n">
        <f aca="false">IFERROR(SMALL(E367:E1087,ROW()-ROW($E$1090)+1),"")</f>
        <v>0</v>
      </c>
      <c r="F1505" s="0" t="str">
        <f aca="false">IFERROR(SMALL(F367:F1087,ROW()-ROW($F$1090)+1),"")</f>
        <v/>
      </c>
      <c r="G1505" s="0" t="n">
        <f aca="false">IFERROR(SMALL(G367:G1087,ROW()-ROW($G$1090)+1),"")</f>
        <v>0</v>
      </c>
      <c r="H1505" s="0" t="n">
        <f aca="false">IFERROR(SMALL(H367:H1087,ROW()-ROW($H$1090)+1),"")</f>
        <v>0</v>
      </c>
      <c r="K1505" s="0" t="n">
        <f aca="false">IFERROR(SMALL(K367:K1087,ROW()-ROW($K$1090)+1),"")</f>
        <v>0</v>
      </c>
      <c r="L1505" s="0" t="str">
        <f aca="false">IFERROR(SMALL(L367:L1087,ROW()-ROW($L$1090)+1),"")</f>
        <v/>
      </c>
      <c r="M1505" s="0" t="n">
        <f aca="false">IFERROR(SMALL(M367:M1087,ROW()-ROW($M$1090)+1),"")</f>
        <v>0</v>
      </c>
      <c r="N1505" s="0" t="n">
        <f aca="false">IFERROR(SMALL(N367:N1087,ROW()-ROW($N$1090)+1),"")</f>
        <v>0</v>
      </c>
    </row>
    <row r="1506" customFormat="false" ht="15" hidden="false" customHeight="false" outlineLevel="0" collapsed="false">
      <c r="E1506" s="0" t="n">
        <f aca="false">IFERROR(SMALL(E367:E1087,ROW()-ROW($E$1090)+1),"")</f>
        <v>0</v>
      </c>
      <c r="F1506" s="0" t="str">
        <f aca="false">IFERROR(SMALL(F367:F1087,ROW()-ROW($F$1090)+1),"")</f>
        <v/>
      </c>
      <c r="G1506" s="0" t="n">
        <f aca="false">IFERROR(SMALL(G367:G1087,ROW()-ROW($G$1090)+1),"")</f>
        <v>0</v>
      </c>
      <c r="H1506" s="0" t="n">
        <f aca="false">IFERROR(SMALL(H367:H1087,ROW()-ROW($H$1090)+1),"")</f>
        <v>0</v>
      </c>
      <c r="K1506" s="0" t="n">
        <f aca="false">IFERROR(SMALL(K367:K1087,ROW()-ROW($K$1090)+1),"")</f>
        <v>0</v>
      </c>
      <c r="L1506" s="0" t="str">
        <f aca="false">IFERROR(SMALL(L367:L1087,ROW()-ROW($L$1090)+1),"")</f>
        <v/>
      </c>
      <c r="M1506" s="0" t="n">
        <f aca="false">IFERROR(SMALL(M367:M1087,ROW()-ROW($M$1090)+1),"")</f>
        <v>0</v>
      </c>
      <c r="N1506" s="0" t="n">
        <f aca="false">IFERROR(SMALL(N367:N1087,ROW()-ROW($N$1090)+1),"")</f>
        <v>0</v>
      </c>
    </row>
    <row r="1507" customFormat="false" ht="15" hidden="false" customHeight="false" outlineLevel="0" collapsed="false">
      <c r="E1507" s="0" t="n">
        <f aca="false">IFERROR(SMALL(E367:E1087,ROW()-ROW($E$1090)+1),"")</f>
        <v>0</v>
      </c>
      <c r="F1507" s="0" t="str">
        <f aca="false">IFERROR(SMALL(F367:F1087,ROW()-ROW($F$1090)+1),"")</f>
        <v/>
      </c>
      <c r="G1507" s="0" t="n">
        <f aca="false">IFERROR(SMALL(G367:G1087,ROW()-ROW($G$1090)+1),"")</f>
        <v>0</v>
      </c>
      <c r="H1507" s="0" t="n">
        <f aca="false">IFERROR(SMALL(H367:H1087,ROW()-ROW($H$1090)+1),"")</f>
        <v>0</v>
      </c>
      <c r="K1507" s="0" t="n">
        <f aca="false">IFERROR(SMALL(K367:K1087,ROW()-ROW($K$1090)+1),"")</f>
        <v>0</v>
      </c>
      <c r="L1507" s="0" t="str">
        <f aca="false">IFERROR(SMALL(L367:L1087,ROW()-ROW($L$1090)+1),"")</f>
        <v/>
      </c>
      <c r="M1507" s="0" t="n">
        <f aca="false">IFERROR(SMALL(M367:M1087,ROW()-ROW($M$1090)+1),"")</f>
        <v>0</v>
      </c>
      <c r="N1507" s="0" t="n">
        <f aca="false">IFERROR(SMALL(N367:N1087,ROW()-ROW($N$1090)+1),"")</f>
        <v>0</v>
      </c>
    </row>
    <row r="1508" customFormat="false" ht="15" hidden="false" customHeight="false" outlineLevel="0" collapsed="false">
      <c r="E1508" s="0" t="n">
        <f aca="false">IFERROR(SMALL(E367:E1087,ROW()-ROW($E$1090)+1),"")</f>
        <v>0</v>
      </c>
      <c r="F1508" s="0" t="str">
        <f aca="false">IFERROR(SMALL(F367:F1087,ROW()-ROW($F$1090)+1),"")</f>
        <v/>
      </c>
      <c r="G1508" s="0" t="n">
        <f aca="false">IFERROR(SMALL(G367:G1087,ROW()-ROW($G$1090)+1),"")</f>
        <v>0</v>
      </c>
      <c r="H1508" s="0" t="n">
        <f aca="false">IFERROR(SMALL(H367:H1087,ROW()-ROW($H$1090)+1),"")</f>
        <v>0</v>
      </c>
      <c r="K1508" s="0" t="n">
        <f aca="false">IFERROR(SMALL(K367:K1087,ROW()-ROW($K$1090)+1),"")</f>
        <v>0</v>
      </c>
      <c r="L1508" s="0" t="str">
        <f aca="false">IFERROR(SMALL(L367:L1087,ROW()-ROW($L$1090)+1),"")</f>
        <v/>
      </c>
      <c r="M1508" s="0" t="n">
        <f aca="false">IFERROR(SMALL(M367:M1087,ROW()-ROW($M$1090)+1),"")</f>
        <v>0</v>
      </c>
      <c r="N1508" s="0" t="n">
        <f aca="false">IFERROR(SMALL(N367:N1087,ROW()-ROW($N$1090)+1),"")</f>
        <v>0</v>
      </c>
    </row>
    <row r="1509" customFormat="false" ht="15" hidden="false" customHeight="false" outlineLevel="0" collapsed="false">
      <c r="E1509" s="0" t="n">
        <f aca="false">IFERROR(SMALL(E367:E1087,ROW()-ROW($E$1090)+1),"")</f>
        <v>0</v>
      </c>
      <c r="F1509" s="0" t="str">
        <f aca="false">IFERROR(SMALL(F367:F1087,ROW()-ROW($F$1090)+1),"")</f>
        <v/>
      </c>
      <c r="G1509" s="0" t="n">
        <f aca="false">IFERROR(SMALL(G367:G1087,ROW()-ROW($G$1090)+1),"")</f>
        <v>0</v>
      </c>
      <c r="H1509" s="0" t="n">
        <f aca="false">IFERROR(SMALL(H367:H1087,ROW()-ROW($H$1090)+1),"")</f>
        <v>0</v>
      </c>
      <c r="K1509" s="0" t="n">
        <f aca="false">IFERROR(SMALL(K367:K1087,ROW()-ROW($K$1090)+1),"")</f>
        <v>0</v>
      </c>
      <c r="L1509" s="0" t="str">
        <f aca="false">IFERROR(SMALL(L367:L1087,ROW()-ROW($L$1090)+1),"")</f>
        <v/>
      </c>
      <c r="M1509" s="0" t="n">
        <f aca="false">IFERROR(SMALL(M367:M1087,ROW()-ROW($M$1090)+1),"")</f>
        <v>0</v>
      </c>
      <c r="N1509" s="0" t="n">
        <f aca="false">IFERROR(SMALL(N367:N1087,ROW()-ROW($N$1090)+1),"")</f>
        <v>0</v>
      </c>
    </row>
    <row r="1510" customFormat="false" ht="15" hidden="false" customHeight="false" outlineLevel="0" collapsed="false">
      <c r="E1510" s="0" t="n">
        <f aca="false">IFERROR(SMALL(E367:E1087,ROW()-ROW($E$1090)+1),"")</f>
        <v>0</v>
      </c>
      <c r="F1510" s="0" t="str">
        <f aca="false">IFERROR(SMALL(F367:F1087,ROW()-ROW($F$1090)+1),"")</f>
        <v/>
      </c>
      <c r="G1510" s="0" t="n">
        <f aca="false">IFERROR(SMALL(G367:G1087,ROW()-ROW($G$1090)+1),"")</f>
        <v>0</v>
      </c>
      <c r="H1510" s="0" t="n">
        <f aca="false">IFERROR(SMALL(H367:H1087,ROW()-ROW($H$1090)+1),"")</f>
        <v>0</v>
      </c>
      <c r="K1510" s="0" t="n">
        <f aca="false">IFERROR(SMALL(K367:K1087,ROW()-ROW($K$1090)+1),"")</f>
        <v>0</v>
      </c>
      <c r="L1510" s="0" t="str">
        <f aca="false">IFERROR(SMALL(L367:L1087,ROW()-ROW($L$1090)+1),"")</f>
        <v/>
      </c>
      <c r="M1510" s="0" t="n">
        <f aca="false">IFERROR(SMALL(M367:M1087,ROW()-ROW($M$1090)+1),"")</f>
        <v>0</v>
      </c>
      <c r="N1510" s="0" t="n">
        <f aca="false">IFERROR(SMALL(N367:N1087,ROW()-ROW($N$1090)+1),"")</f>
        <v>0</v>
      </c>
    </row>
    <row r="1511" customFormat="false" ht="15" hidden="false" customHeight="false" outlineLevel="0" collapsed="false">
      <c r="E1511" s="0" t="n">
        <f aca="false">IFERROR(SMALL(E367:E1087,ROW()-ROW($E$1090)+1),"")</f>
        <v>0</v>
      </c>
      <c r="F1511" s="0" t="str">
        <f aca="false">IFERROR(SMALL(F367:F1087,ROW()-ROW($F$1090)+1),"")</f>
        <v/>
      </c>
      <c r="G1511" s="0" t="n">
        <f aca="false">IFERROR(SMALL(G367:G1087,ROW()-ROW($G$1090)+1),"")</f>
        <v>0</v>
      </c>
      <c r="H1511" s="0" t="n">
        <f aca="false">IFERROR(SMALL(H367:H1087,ROW()-ROW($H$1090)+1),"")</f>
        <v>0</v>
      </c>
      <c r="K1511" s="0" t="n">
        <f aca="false">IFERROR(SMALL(K367:K1087,ROW()-ROW($K$1090)+1),"")</f>
        <v>0</v>
      </c>
      <c r="L1511" s="0" t="str">
        <f aca="false">IFERROR(SMALL(L367:L1087,ROW()-ROW($L$1090)+1),"")</f>
        <v/>
      </c>
      <c r="M1511" s="0" t="n">
        <f aca="false">IFERROR(SMALL(M367:M1087,ROW()-ROW($M$1090)+1),"")</f>
        <v>0</v>
      </c>
      <c r="N1511" s="0" t="n">
        <f aca="false">IFERROR(SMALL(N367:N1087,ROW()-ROW($N$1090)+1),"")</f>
        <v>0</v>
      </c>
    </row>
    <row r="1512" customFormat="false" ht="15" hidden="false" customHeight="false" outlineLevel="0" collapsed="false">
      <c r="E1512" s="0" t="n">
        <f aca="false">IFERROR(SMALL(E367:E1087,ROW()-ROW($E$1090)+1),"")</f>
        <v>0</v>
      </c>
      <c r="F1512" s="0" t="str">
        <f aca="false">IFERROR(SMALL(F367:F1087,ROW()-ROW($F$1090)+1),"")</f>
        <v/>
      </c>
      <c r="G1512" s="0" t="n">
        <f aca="false">IFERROR(SMALL(G367:G1087,ROW()-ROW($G$1090)+1),"")</f>
        <v>0</v>
      </c>
      <c r="H1512" s="0" t="n">
        <f aca="false">IFERROR(SMALL(H367:H1087,ROW()-ROW($H$1090)+1),"")</f>
        <v>0</v>
      </c>
      <c r="K1512" s="0" t="n">
        <f aca="false">IFERROR(SMALL(K367:K1087,ROW()-ROW($K$1090)+1),"")</f>
        <v>0</v>
      </c>
      <c r="L1512" s="0" t="str">
        <f aca="false">IFERROR(SMALL(L367:L1087,ROW()-ROW($L$1090)+1),"")</f>
        <v/>
      </c>
      <c r="M1512" s="0" t="n">
        <f aca="false">IFERROR(SMALL(M367:M1087,ROW()-ROW($M$1090)+1),"")</f>
        <v>0</v>
      </c>
      <c r="N1512" s="0" t="n">
        <f aca="false">IFERROR(SMALL(N367:N1087,ROW()-ROW($N$1090)+1),"")</f>
        <v>0</v>
      </c>
    </row>
    <row r="1513" customFormat="false" ht="15" hidden="false" customHeight="false" outlineLevel="0" collapsed="false">
      <c r="E1513" s="0" t="n">
        <f aca="false">IFERROR(SMALL(E367:E1087,ROW()-ROW($E$1090)+1),"")</f>
        <v>0</v>
      </c>
      <c r="F1513" s="0" t="str">
        <f aca="false">IFERROR(SMALL(F367:F1087,ROW()-ROW($F$1090)+1),"")</f>
        <v/>
      </c>
      <c r="G1513" s="0" t="n">
        <f aca="false">IFERROR(SMALL(G367:G1087,ROW()-ROW($G$1090)+1),"")</f>
        <v>0</v>
      </c>
      <c r="H1513" s="0" t="n">
        <f aca="false">IFERROR(SMALL(H367:H1087,ROW()-ROW($H$1090)+1),"")</f>
        <v>0</v>
      </c>
      <c r="K1513" s="0" t="n">
        <f aca="false">IFERROR(SMALL(K367:K1087,ROW()-ROW($K$1090)+1),"")</f>
        <v>0</v>
      </c>
      <c r="L1513" s="0" t="str">
        <f aca="false">IFERROR(SMALL(L367:L1087,ROW()-ROW($L$1090)+1),"")</f>
        <v/>
      </c>
      <c r="M1513" s="0" t="n">
        <f aca="false">IFERROR(SMALL(M367:M1087,ROW()-ROW($M$1090)+1),"")</f>
        <v>0</v>
      </c>
      <c r="N1513" s="0" t="n">
        <f aca="false">IFERROR(SMALL(N367:N1087,ROW()-ROW($N$1090)+1),"")</f>
        <v>0</v>
      </c>
    </row>
    <row r="1514" customFormat="false" ht="15" hidden="false" customHeight="false" outlineLevel="0" collapsed="false">
      <c r="E1514" s="0" t="n">
        <f aca="false">IFERROR(SMALL(E367:E1087,ROW()-ROW($E$1090)+1),"")</f>
        <v>0</v>
      </c>
      <c r="F1514" s="0" t="str">
        <f aca="false">IFERROR(SMALL(F367:F1087,ROW()-ROW($F$1090)+1),"")</f>
        <v/>
      </c>
      <c r="G1514" s="0" t="n">
        <f aca="false">IFERROR(SMALL(G367:G1087,ROW()-ROW($G$1090)+1),"")</f>
        <v>0</v>
      </c>
      <c r="H1514" s="0" t="n">
        <f aca="false">IFERROR(SMALL(H367:H1087,ROW()-ROW($H$1090)+1),"")</f>
        <v>0</v>
      </c>
      <c r="K1514" s="0" t="n">
        <f aca="false">IFERROR(SMALL(K367:K1087,ROW()-ROW($K$1090)+1),"")</f>
        <v>0</v>
      </c>
      <c r="L1514" s="0" t="str">
        <f aca="false">IFERROR(SMALL(L367:L1087,ROW()-ROW($L$1090)+1),"")</f>
        <v/>
      </c>
      <c r="M1514" s="0" t="n">
        <f aca="false">IFERROR(SMALL(M367:M1087,ROW()-ROW($M$1090)+1),"")</f>
        <v>0</v>
      </c>
      <c r="N1514" s="0" t="n">
        <f aca="false">IFERROR(SMALL(N367:N1087,ROW()-ROW($N$1090)+1),"")</f>
        <v>0</v>
      </c>
    </row>
    <row r="1515" customFormat="false" ht="15" hidden="false" customHeight="false" outlineLevel="0" collapsed="false">
      <c r="E1515" s="0" t="n">
        <f aca="false">IFERROR(SMALL(E367:E1087,ROW()-ROW($E$1090)+1),"")</f>
        <v>0</v>
      </c>
      <c r="F1515" s="0" t="str">
        <f aca="false">IFERROR(SMALL(F367:F1087,ROW()-ROW($F$1090)+1),"")</f>
        <v/>
      </c>
      <c r="G1515" s="0" t="n">
        <f aca="false">IFERROR(SMALL(G367:G1087,ROW()-ROW($G$1090)+1),"")</f>
        <v>0</v>
      </c>
      <c r="H1515" s="0" t="n">
        <f aca="false">IFERROR(SMALL(H367:H1087,ROW()-ROW($H$1090)+1),"")</f>
        <v>0</v>
      </c>
      <c r="K1515" s="0" t="n">
        <f aca="false">IFERROR(SMALL(K367:K1087,ROW()-ROW($K$1090)+1),"")</f>
        <v>0</v>
      </c>
      <c r="L1515" s="0" t="str">
        <f aca="false">IFERROR(SMALL(L367:L1087,ROW()-ROW($L$1090)+1),"")</f>
        <v/>
      </c>
      <c r="M1515" s="0" t="n">
        <f aca="false">IFERROR(SMALL(M367:M1087,ROW()-ROW($M$1090)+1),"")</f>
        <v>0</v>
      </c>
      <c r="N1515" s="0" t="n">
        <f aca="false">IFERROR(SMALL(N367:N1087,ROW()-ROW($N$1090)+1),"")</f>
        <v>0</v>
      </c>
    </row>
    <row r="1516" customFormat="false" ht="15" hidden="false" customHeight="false" outlineLevel="0" collapsed="false">
      <c r="E1516" s="0" t="n">
        <f aca="false">IFERROR(SMALL(E367:E1087,ROW()-ROW($E$1090)+1),"")</f>
        <v>0</v>
      </c>
      <c r="F1516" s="0" t="str">
        <f aca="false">IFERROR(SMALL(F367:F1087,ROW()-ROW($F$1090)+1),"")</f>
        <v/>
      </c>
      <c r="G1516" s="0" t="n">
        <f aca="false">IFERROR(SMALL(G367:G1087,ROW()-ROW($G$1090)+1),"")</f>
        <v>0</v>
      </c>
      <c r="H1516" s="0" t="n">
        <f aca="false">IFERROR(SMALL(H367:H1087,ROW()-ROW($H$1090)+1),"")</f>
        <v>0</v>
      </c>
      <c r="K1516" s="0" t="n">
        <f aca="false">IFERROR(SMALL(K367:K1087,ROW()-ROW($K$1090)+1),"")</f>
        <v>0</v>
      </c>
      <c r="L1516" s="0" t="str">
        <f aca="false">IFERROR(SMALL(L367:L1087,ROW()-ROW($L$1090)+1),"")</f>
        <v/>
      </c>
      <c r="M1516" s="0" t="n">
        <f aca="false">IFERROR(SMALL(M367:M1087,ROW()-ROW($M$1090)+1),"")</f>
        <v>0</v>
      </c>
      <c r="N1516" s="0" t="n">
        <f aca="false">IFERROR(SMALL(N367:N1087,ROW()-ROW($N$1090)+1),"")</f>
        <v>0</v>
      </c>
    </row>
    <row r="1517" customFormat="false" ht="15" hidden="false" customHeight="false" outlineLevel="0" collapsed="false">
      <c r="E1517" s="0" t="n">
        <f aca="false">IFERROR(SMALL(E367:E1087,ROW()-ROW($E$1090)+1),"")</f>
        <v>0</v>
      </c>
      <c r="F1517" s="0" t="str">
        <f aca="false">IFERROR(SMALL(F367:F1087,ROW()-ROW($F$1090)+1),"")</f>
        <v/>
      </c>
      <c r="G1517" s="0" t="n">
        <f aca="false">IFERROR(SMALL(G367:G1087,ROW()-ROW($G$1090)+1),"")</f>
        <v>0</v>
      </c>
      <c r="H1517" s="0" t="n">
        <f aca="false">IFERROR(SMALL(H367:H1087,ROW()-ROW($H$1090)+1),"")</f>
        <v>0</v>
      </c>
      <c r="K1517" s="0" t="n">
        <f aca="false">IFERROR(SMALL(K367:K1087,ROW()-ROW($K$1090)+1),"")</f>
        <v>0</v>
      </c>
      <c r="L1517" s="0" t="str">
        <f aca="false">IFERROR(SMALL(L367:L1087,ROW()-ROW($L$1090)+1),"")</f>
        <v/>
      </c>
      <c r="M1517" s="0" t="n">
        <f aca="false">IFERROR(SMALL(M367:M1087,ROW()-ROW($M$1090)+1),"")</f>
        <v>0</v>
      </c>
      <c r="N1517" s="0" t="n">
        <f aca="false">IFERROR(SMALL(N367:N1087,ROW()-ROW($N$1090)+1),"")</f>
        <v>0</v>
      </c>
    </row>
    <row r="1518" customFormat="false" ht="15" hidden="false" customHeight="false" outlineLevel="0" collapsed="false">
      <c r="E1518" s="0" t="n">
        <f aca="false">IFERROR(SMALL(E367:E1087,ROW()-ROW($E$1090)+1),"")</f>
        <v>0</v>
      </c>
      <c r="F1518" s="0" t="str">
        <f aca="false">IFERROR(SMALL(F367:F1087,ROW()-ROW($F$1090)+1),"")</f>
        <v/>
      </c>
      <c r="G1518" s="0" t="n">
        <f aca="false">IFERROR(SMALL(G367:G1087,ROW()-ROW($G$1090)+1),"")</f>
        <v>0</v>
      </c>
      <c r="H1518" s="0" t="n">
        <f aca="false">IFERROR(SMALL(H367:H1087,ROW()-ROW($H$1090)+1),"")</f>
        <v>0</v>
      </c>
      <c r="K1518" s="0" t="n">
        <f aca="false">IFERROR(SMALL(K367:K1087,ROW()-ROW($K$1090)+1),"")</f>
        <v>0</v>
      </c>
      <c r="L1518" s="0" t="str">
        <f aca="false">IFERROR(SMALL(L367:L1087,ROW()-ROW($L$1090)+1),"")</f>
        <v/>
      </c>
      <c r="M1518" s="0" t="n">
        <f aca="false">IFERROR(SMALL(M367:M1087,ROW()-ROW($M$1090)+1),"")</f>
        <v>0</v>
      </c>
      <c r="N1518" s="0" t="n">
        <f aca="false">IFERROR(SMALL(N367:N1087,ROW()-ROW($N$1090)+1),"")</f>
        <v>0</v>
      </c>
    </row>
    <row r="1519" customFormat="false" ht="15" hidden="false" customHeight="false" outlineLevel="0" collapsed="false">
      <c r="E1519" s="0" t="n">
        <f aca="false">IFERROR(SMALL(E367:E1087,ROW()-ROW($E$1090)+1),"")</f>
        <v>0</v>
      </c>
      <c r="F1519" s="0" t="str">
        <f aca="false">IFERROR(SMALL(F367:F1087,ROW()-ROW($F$1090)+1),"")</f>
        <v/>
      </c>
      <c r="G1519" s="0" t="n">
        <f aca="false">IFERROR(SMALL(G367:G1087,ROW()-ROW($G$1090)+1),"")</f>
        <v>0</v>
      </c>
      <c r="H1519" s="0" t="n">
        <f aca="false">IFERROR(SMALL(H367:H1087,ROW()-ROW($H$1090)+1),"")</f>
        <v>0</v>
      </c>
      <c r="K1519" s="0" t="n">
        <f aca="false">IFERROR(SMALL(K367:K1087,ROW()-ROW($K$1090)+1),"")</f>
        <v>0</v>
      </c>
      <c r="L1519" s="0" t="str">
        <f aca="false">IFERROR(SMALL(L367:L1087,ROW()-ROW($L$1090)+1),"")</f>
        <v/>
      </c>
      <c r="M1519" s="0" t="n">
        <f aca="false">IFERROR(SMALL(M367:M1087,ROW()-ROW($M$1090)+1),"")</f>
        <v>0</v>
      </c>
      <c r="N1519" s="0" t="n">
        <f aca="false">IFERROR(SMALL(N367:N1087,ROW()-ROW($N$1090)+1),"")</f>
        <v>0</v>
      </c>
    </row>
    <row r="1520" customFormat="false" ht="15" hidden="false" customHeight="false" outlineLevel="0" collapsed="false">
      <c r="E1520" s="0" t="n">
        <f aca="false">IFERROR(SMALL(E367:E1087,ROW()-ROW($E$1090)+1),"")</f>
        <v>0</v>
      </c>
      <c r="F1520" s="0" t="str">
        <f aca="false">IFERROR(SMALL(F367:F1087,ROW()-ROW($F$1090)+1),"")</f>
        <v/>
      </c>
      <c r="G1520" s="0" t="n">
        <f aca="false">IFERROR(SMALL(G367:G1087,ROW()-ROW($G$1090)+1),"")</f>
        <v>0</v>
      </c>
      <c r="H1520" s="0" t="n">
        <f aca="false">IFERROR(SMALL(H367:H1087,ROW()-ROW($H$1090)+1),"")</f>
        <v>0</v>
      </c>
      <c r="K1520" s="0" t="n">
        <f aca="false">IFERROR(SMALL(K367:K1087,ROW()-ROW($K$1090)+1),"")</f>
        <v>0</v>
      </c>
      <c r="L1520" s="0" t="str">
        <f aca="false">IFERROR(SMALL(L367:L1087,ROW()-ROW($L$1090)+1),"")</f>
        <v/>
      </c>
      <c r="M1520" s="0" t="n">
        <f aca="false">IFERROR(SMALL(M367:M1087,ROW()-ROW($M$1090)+1),"")</f>
        <v>0</v>
      </c>
      <c r="N1520" s="0" t="n">
        <f aca="false">IFERROR(SMALL(N367:N1087,ROW()-ROW($N$1090)+1),"")</f>
        <v>0</v>
      </c>
    </row>
    <row r="1521" customFormat="false" ht="15" hidden="false" customHeight="false" outlineLevel="0" collapsed="false">
      <c r="E1521" s="0" t="n">
        <f aca="false">IFERROR(SMALL(E367:E1087,ROW()-ROW($E$1090)+1),"")</f>
        <v>0</v>
      </c>
      <c r="F1521" s="0" t="str">
        <f aca="false">IFERROR(SMALL(F367:F1087,ROW()-ROW($F$1090)+1),"")</f>
        <v/>
      </c>
      <c r="G1521" s="0" t="n">
        <f aca="false">IFERROR(SMALL(G367:G1087,ROW()-ROW($G$1090)+1),"")</f>
        <v>0</v>
      </c>
      <c r="H1521" s="0" t="n">
        <f aca="false">IFERROR(SMALL(H367:H1087,ROW()-ROW($H$1090)+1),"")</f>
        <v>0</v>
      </c>
      <c r="K1521" s="0" t="n">
        <f aca="false">IFERROR(SMALL(K367:K1087,ROW()-ROW($K$1090)+1),"")</f>
        <v>0</v>
      </c>
      <c r="L1521" s="0" t="str">
        <f aca="false">IFERROR(SMALL(L367:L1087,ROW()-ROW($L$1090)+1),"")</f>
        <v/>
      </c>
      <c r="M1521" s="0" t="n">
        <f aca="false">IFERROR(SMALL(M367:M1087,ROW()-ROW($M$1090)+1),"")</f>
        <v>0</v>
      </c>
      <c r="N1521" s="0" t="n">
        <f aca="false">IFERROR(SMALL(N367:N1087,ROW()-ROW($N$1090)+1),"")</f>
        <v>0</v>
      </c>
    </row>
    <row r="1522" customFormat="false" ht="15" hidden="false" customHeight="false" outlineLevel="0" collapsed="false">
      <c r="E1522" s="0" t="n">
        <f aca="false">IFERROR(SMALL(E367:E1087,ROW()-ROW($E$1090)+1),"")</f>
        <v>0</v>
      </c>
      <c r="F1522" s="0" t="str">
        <f aca="false">IFERROR(SMALL(F367:F1087,ROW()-ROW($F$1090)+1),"")</f>
        <v/>
      </c>
      <c r="G1522" s="0" t="n">
        <f aca="false">IFERROR(SMALL(G367:G1087,ROW()-ROW($G$1090)+1),"")</f>
        <v>0</v>
      </c>
      <c r="H1522" s="0" t="n">
        <f aca="false">IFERROR(SMALL(H367:H1087,ROW()-ROW($H$1090)+1),"")</f>
        <v>0</v>
      </c>
      <c r="K1522" s="0" t="n">
        <f aca="false">IFERROR(SMALL(K367:K1087,ROW()-ROW($K$1090)+1),"")</f>
        <v>0</v>
      </c>
      <c r="L1522" s="0" t="str">
        <f aca="false">IFERROR(SMALL(L367:L1087,ROW()-ROW($L$1090)+1),"")</f>
        <v/>
      </c>
      <c r="M1522" s="0" t="n">
        <f aca="false">IFERROR(SMALL(M367:M1087,ROW()-ROW($M$1090)+1),"")</f>
        <v>0</v>
      </c>
      <c r="N1522" s="0" t="n">
        <f aca="false">IFERROR(SMALL(N367:N1087,ROW()-ROW($N$1090)+1),"")</f>
        <v>0</v>
      </c>
    </row>
    <row r="1523" customFormat="false" ht="15" hidden="false" customHeight="false" outlineLevel="0" collapsed="false">
      <c r="E1523" s="0" t="n">
        <f aca="false">IFERROR(SMALL(E367:E1087,ROW()-ROW($E$1090)+1),"")</f>
        <v>0</v>
      </c>
      <c r="F1523" s="0" t="str">
        <f aca="false">IFERROR(SMALL(F367:F1087,ROW()-ROW($F$1090)+1),"")</f>
        <v/>
      </c>
      <c r="G1523" s="0" t="n">
        <f aca="false">IFERROR(SMALL(G367:G1087,ROW()-ROW($G$1090)+1),"")</f>
        <v>0</v>
      </c>
      <c r="H1523" s="0" t="n">
        <f aca="false">IFERROR(SMALL(H367:H1087,ROW()-ROW($H$1090)+1),"")</f>
        <v>0</v>
      </c>
      <c r="K1523" s="0" t="n">
        <f aca="false">IFERROR(SMALL(K367:K1087,ROW()-ROW($K$1090)+1),"")</f>
        <v>0</v>
      </c>
      <c r="L1523" s="0" t="str">
        <f aca="false">IFERROR(SMALL(L367:L1087,ROW()-ROW($L$1090)+1),"")</f>
        <v/>
      </c>
      <c r="M1523" s="0" t="n">
        <f aca="false">IFERROR(SMALL(M367:M1087,ROW()-ROW($M$1090)+1),"")</f>
        <v>0</v>
      </c>
      <c r="N1523" s="0" t="n">
        <f aca="false">IFERROR(SMALL(N367:N1087,ROW()-ROW($N$1090)+1),"")</f>
        <v>0</v>
      </c>
    </row>
    <row r="1524" customFormat="false" ht="15" hidden="false" customHeight="false" outlineLevel="0" collapsed="false">
      <c r="E1524" s="0" t="n">
        <f aca="false">IFERROR(SMALL(E367:E1087,ROW()-ROW($E$1090)+1),"")</f>
        <v>0</v>
      </c>
      <c r="F1524" s="0" t="str">
        <f aca="false">IFERROR(SMALL(F367:F1087,ROW()-ROW($F$1090)+1),"")</f>
        <v/>
      </c>
      <c r="G1524" s="0" t="n">
        <f aca="false">IFERROR(SMALL(G367:G1087,ROW()-ROW($G$1090)+1),"")</f>
        <v>0</v>
      </c>
      <c r="H1524" s="0" t="n">
        <f aca="false">IFERROR(SMALL(H367:H1087,ROW()-ROW($H$1090)+1),"")</f>
        <v>0</v>
      </c>
      <c r="K1524" s="0" t="n">
        <f aca="false">IFERROR(SMALL(K367:K1087,ROW()-ROW($K$1090)+1),"")</f>
        <v>0</v>
      </c>
      <c r="L1524" s="0" t="str">
        <f aca="false">IFERROR(SMALL(L367:L1087,ROW()-ROW($L$1090)+1),"")</f>
        <v/>
      </c>
      <c r="M1524" s="0" t="n">
        <f aca="false">IFERROR(SMALL(M367:M1087,ROW()-ROW($M$1090)+1),"")</f>
        <v>0</v>
      </c>
      <c r="N1524" s="0" t="n">
        <f aca="false">IFERROR(SMALL(N367:N1087,ROW()-ROW($N$1090)+1),"")</f>
        <v>0</v>
      </c>
    </row>
    <row r="1525" customFormat="false" ht="15" hidden="false" customHeight="false" outlineLevel="0" collapsed="false">
      <c r="E1525" s="0" t="n">
        <f aca="false">IFERROR(SMALL(E367:E1087,ROW()-ROW($E$1090)+1),"")</f>
        <v>0</v>
      </c>
      <c r="F1525" s="0" t="str">
        <f aca="false">IFERROR(SMALL(F367:F1087,ROW()-ROW($F$1090)+1),"")</f>
        <v/>
      </c>
      <c r="G1525" s="0" t="n">
        <f aca="false">IFERROR(SMALL(G367:G1087,ROW()-ROW($G$1090)+1),"")</f>
        <v>0</v>
      </c>
      <c r="H1525" s="0" t="n">
        <f aca="false">IFERROR(SMALL(H367:H1087,ROW()-ROW($H$1090)+1),"")</f>
        <v>0</v>
      </c>
      <c r="K1525" s="0" t="n">
        <f aca="false">IFERROR(SMALL(K367:K1087,ROW()-ROW($K$1090)+1),"")</f>
        <v>0</v>
      </c>
      <c r="L1525" s="0" t="str">
        <f aca="false">IFERROR(SMALL(L367:L1087,ROW()-ROW($L$1090)+1),"")</f>
        <v/>
      </c>
      <c r="M1525" s="0" t="n">
        <f aca="false">IFERROR(SMALL(M367:M1087,ROW()-ROW($M$1090)+1),"")</f>
        <v>0</v>
      </c>
      <c r="N1525" s="0" t="n">
        <f aca="false">IFERROR(SMALL(N367:N1087,ROW()-ROW($N$1090)+1),"")</f>
        <v>0</v>
      </c>
    </row>
    <row r="1526" customFormat="false" ht="15" hidden="false" customHeight="false" outlineLevel="0" collapsed="false">
      <c r="E1526" s="0" t="n">
        <f aca="false">IFERROR(SMALL(E367:E1087,ROW()-ROW($E$1090)+1),"")</f>
        <v>0</v>
      </c>
      <c r="F1526" s="0" t="str">
        <f aca="false">IFERROR(SMALL(F367:F1087,ROW()-ROW($F$1090)+1),"")</f>
        <v/>
      </c>
      <c r="G1526" s="0" t="n">
        <f aca="false">IFERROR(SMALL(G367:G1087,ROW()-ROW($G$1090)+1),"")</f>
        <v>0</v>
      </c>
      <c r="H1526" s="0" t="n">
        <f aca="false">IFERROR(SMALL(H367:H1087,ROW()-ROW($H$1090)+1),"")</f>
        <v>0</v>
      </c>
      <c r="K1526" s="0" t="n">
        <f aca="false">IFERROR(SMALL(K367:K1087,ROW()-ROW($K$1090)+1),"")</f>
        <v>0</v>
      </c>
      <c r="L1526" s="0" t="str">
        <f aca="false">IFERROR(SMALL(L367:L1087,ROW()-ROW($L$1090)+1),"")</f>
        <v/>
      </c>
      <c r="M1526" s="0" t="n">
        <f aca="false">IFERROR(SMALL(M367:M1087,ROW()-ROW($M$1090)+1),"")</f>
        <v>0</v>
      </c>
      <c r="N1526" s="0" t="n">
        <f aca="false">IFERROR(SMALL(N367:N1087,ROW()-ROW($N$1090)+1),"")</f>
        <v>0</v>
      </c>
    </row>
    <row r="1527" customFormat="false" ht="15" hidden="false" customHeight="false" outlineLevel="0" collapsed="false">
      <c r="E1527" s="0" t="n">
        <f aca="false">IFERROR(SMALL(E367:E1087,ROW()-ROW($E$1090)+1),"")</f>
        <v>0</v>
      </c>
      <c r="F1527" s="0" t="str">
        <f aca="false">IFERROR(SMALL(F367:F1087,ROW()-ROW($F$1090)+1),"")</f>
        <v/>
      </c>
      <c r="G1527" s="0" t="n">
        <f aca="false">IFERROR(SMALL(G367:G1087,ROW()-ROW($G$1090)+1),"")</f>
        <v>0</v>
      </c>
      <c r="H1527" s="0" t="n">
        <f aca="false">IFERROR(SMALL(H367:H1087,ROW()-ROW($H$1090)+1),"")</f>
        <v>0</v>
      </c>
      <c r="K1527" s="0" t="n">
        <f aca="false">IFERROR(SMALL(K367:K1087,ROW()-ROW($K$1090)+1),"")</f>
        <v>0</v>
      </c>
      <c r="L1527" s="0" t="str">
        <f aca="false">IFERROR(SMALL(L367:L1087,ROW()-ROW($L$1090)+1),"")</f>
        <v/>
      </c>
      <c r="M1527" s="0" t="n">
        <f aca="false">IFERROR(SMALL(M367:M1087,ROW()-ROW($M$1090)+1),"")</f>
        <v>0</v>
      </c>
      <c r="N1527" s="0" t="n">
        <f aca="false">IFERROR(SMALL(N367:N1087,ROW()-ROW($N$1090)+1),"")</f>
        <v>0</v>
      </c>
    </row>
    <row r="1528" customFormat="false" ht="15" hidden="false" customHeight="false" outlineLevel="0" collapsed="false">
      <c r="E1528" s="0" t="n">
        <f aca="false">IFERROR(SMALL(E367:E1087,ROW()-ROW($E$1090)+1),"")</f>
        <v>0</v>
      </c>
      <c r="F1528" s="0" t="str">
        <f aca="false">IFERROR(SMALL(F367:F1087,ROW()-ROW($F$1090)+1),"")</f>
        <v/>
      </c>
      <c r="G1528" s="0" t="n">
        <f aca="false">IFERROR(SMALL(G367:G1087,ROW()-ROW($G$1090)+1),"")</f>
        <v>0</v>
      </c>
      <c r="H1528" s="0" t="n">
        <f aca="false">IFERROR(SMALL(H367:H1087,ROW()-ROW($H$1090)+1),"")</f>
        <v>0</v>
      </c>
      <c r="K1528" s="0" t="n">
        <f aca="false">IFERROR(SMALL(K367:K1087,ROW()-ROW($K$1090)+1),"")</f>
        <v>0</v>
      </c>
      <c r="L1528" s="0" t="str">
        <f aca="false">IFERROR(SMALL(L367:L1087,ROW()-ROW($L$1090)+1),"")</f>
        <v/>
      </c>
      <c r="M1528" s="0" t="n">
        <f aca="false">IFERROR(SMALL(M367:M1087,ROW()-ROW($M$1090)+1),"")</f>
        <v>0</v>
      </c>
      <c r="N1528" s="0" t="n">
        <f aca="false">IFERROR(SMALL(N367:N1087,ROW()-ROW($N$1090)+1),"")</f>
        <v>0</v>
      </c>
    </row>
    <row r="1529" customFormat="false" ht="15" hidden="false" customHeight="false" outlineLevel="0" collapsed="false">
      <c r="E1529" s="0" t="n">
        <f aca="false">IFERROR(SMALL(E367:E1087,ROW()-ROW($E$1090)+1),"")</f>
        <v>0</v>
      </c>
      <c r="F1529" s="0" t="str">
        <f aca="false">IFERROR(SMALL(F367:F1087,ROW()-ROW($F$1090)+1),"")</f>
        <v/>
      </c>
      <c r="G1529" s="0" t="n">
        <f aca="false">IFERROR(SMALL(G367:G1087,ROW()-ROW($G$1090)+1),"")</f>
        <v>0</v>
      </c>
      <c r="H1529" s="0" t="n">
        <f aca="false">IFERROR(SMALL(H367:H1087,ROW()-ROW($H$1090)+1),"")</f>
        <v>0</v>
      </c>
      <c r="K1529" s="0" t="n">
        <f aca="false">IFERROR(SMALL(K367:K1087,ROW()-ROW($K$1090)+1),"")</f>
        <v>0</v>
      </c>
      <c r="L1529" s="0" t="str">
        <f aca="false">IFERROR(SMALL(L367:L1087,ROW()-ROW($L$1090)+1),"")</f>
        <v/>
      </c>
      <c r="M1529" s="0" t="n">
        <f aca="false">IFERROR(SMALL(M367:M1087,ROW()-ROW($M$1090)+1),"")</f>
        <v>0</v>
      </c>
      <c r="N1529" s="0" t="n">
        <f aca="false">IFERROR(SMALL(N367:N1087,ROW()-ROW($N$1090)+1),"")</f>
        <v>0</v>
      </c>
    </row>
    <row r="1530" customFormat="false" ht="15" hidden="false" customHeight="false" outlineLevel="0" collapsed="false">
      <c r="E1530" s="0" t="n">
        <f aca="false">IFERROR(SMALL(E367:E1087,ROW()-ROW($E$1090)+1),"")</f>
        <v>0</v>
      </c>
      <c r="F1530" s="0" t="str">
        <f aca="false">IFERROR(SMALL(F367:F1087,ROW()-ROW($F$1090)+1),"")</f>
        <v/>
      </c>
      <c r="G1530" s="0" t="n">
        <f aca="false">IFERROR(SMALL(G367:G1087,ROW()-ROW($G$1090)+1),"")</f>
        <v>0</v>
      </c>
      <c r="H1530" s="0" t="n">
        <f aca="false">IFERROR(SMALL(H367:H1087,ROW()-ROW($H$1090)+1),"")</f>
        <v>0</v>
      </c>
      <c r="K1530" s="0" t="n">
        <f aca="false">IFERROR(SMALL(K367:K1087,ROW()-ROW($K$1090)+1),"")</f>
        <v>0</v>
      </c>
      <c r="L1530" s="0" t="str">
        <f aca="false">IFERROR(SMALL(L367:L1087,ROW()-ROW($L$1090)+1),"")</f>
        <v/>
      </c>
      <c r="M1530" s="0" t="n">
        <f aca="false">IFERROR(SMALL(M367:M1087,ROW()-ROW($M$1090)+1),"")</f>
        <v>0</v>
      </c>
      <c r="N1530" s="0" t="n">
        <f aca="false">IFERROR(SMALL(N367:N1087,ROW()-ROW($N$1090)+1),"")</f>
        <v>0</v>
      </c>
    </row>
    <row r="1531" customFormat="false" ht="15" hidden="false" customHeight="false" outlineLevel="0" collapsed="false">
      <c r="E1531" s="0" t="n">
        <f aca="false">IFERROR(SMALL(E367:E1087,ROW()-ROW($E$1090)+1),"")</f>
        <v>0</v>
      </c>
      <c r="F1531" s="0" t="str">
        <f aca="false">IFERROR(SMALL(F367:F1087,ROW()-ROW($F$1090)+1),"")</f>
        <v/>
      </c>
      <c r="G1531" s="0" t="n">
        <f aca="false">IFERROR(SMALL(G367:G1087,ROW()-ROW($G$1090)+1),"")</f>
        <v>0</v>
      </c>
      <c r="H1531" s="0" t="n">
        <f aca="false">IFERROR(SMALL(H367:H1087,ROW()-ROW($H$1090)+1),"")</f>
        <v>0</v>
      </c>
      <c r="K1531" s="0" t="n">
        <f aca="false">IFERROR(SMALL(K367:K1087,ROW()-ROW($K$1090)+1),"")</f>
        <v>0</v>
      </c>
      <c r="L1531" s="0" t="str">
        <f aca="false">IFERROR(SMALL(L367:L1087,ROW()-ROW($L$1090)+1),"")</f>
        <v/>
      </c>
      <c r="M1531" s="0" t="n">
        <f aca="false">IFERROR(SMALL(M367:M1087,ROW()-ROW($M$1090)+1),"")</f>
        <v>0</v>
      </c>
      <c r="N1531" s="0" t="n">
        <f aca="false">IFERROR(SMALL(N367:N1087,ROW()-ROW($N$1090)+1),"")</f>
        <v>0</v>
      </c>
    </row>
    <row r="1532" customFormat="false" ht="15" hidden="false" customHeight="false" outlineLevel="0" collapsed="false">
      <c r="E1532" s="0" t="n">
        <f aca="false">IFERROR(SMALL(E367:E1087,ROW()-ROW($E$1090)+1),"")</f>
        <v>0</v>
      </c>
      <c r="F1532" s="0" t="str">
        <f aca="false">IFERROR(SMALL(F367:F1087,ROW()-ROW($F$1090)+1),"")</f>
        <v/>
      </c>
      <c r="G1532" s="0" t="n">
        <f aca="false">IFERROR(SMALL(G367:G1087,ROW()-ROW($G$1090)+1),"")</f>
        <v>0</v>
      </c>
      <c r="H1532" s="0" t="n">
        <f aca="false">IFERROR(SMALL(H367:H1087,ROW()-ROW($H$1090)+1),"")</f>
        <v>0</v>
      </c>
      <c r="K1532" s="0" t="n">
        <f aca="false">IFERROR(SMALL(K367:K1087,ROW()-ROW($K$1090)+1),"")</f>
        <v>0</v>
      </c>
      <c r="L1532" s="0" t="str">
        <f aca="false">IFERROR(SMALL(L367:L1087,ROW()-ROW($L$1090)+1),"")</f>
        <v/>
      </c>
      <c r="M1532" s="0" t="n">
        <f aca="false">IFERROR(SMALL(M367:M1087,ROW()-ROW($M$1090)+1),"")</f>
        <v>0</v>
      </c>
      <c r="N1532" s="0" t="n">
        <f aca="false">IFERROR(SMALL(N367:N1087,ROW()-ROW($N$1090)+1),"")</f>
        <v>0</v>
      </c>
    </row>
    <row r="1533" customFormat="false" ht="15" hidden="false" customHeight="false" outlineLevel="0" collapsed="false">
      <c r="E1533" s="0" t="n">
        <f aca="false">IFERROR(SMALL(E367:E1087,ROW()-ROW($E$1090)+1),"")</f>
        <v>0</v>
      </c>
      <c r="F1533" s="0" t="str">
        <f aca="false">IFERROR(SMALL(F367:F1087,ROW()-ROW($F$1090)+1),"")</f>
        <v/>
      </c>
      <c r="G1533" s="0" t="n">
        <f aca="false">IFERROR(SMALL(G367:G1087,ROW()-ROW($G$1090)+1),"")</f>
        <v>0</v>
      </c>
      <c r="H1533" s="0" t="n">
        <f aca="false">IFERROR(SMALL(H367:H1087,ROW()-ROW($H$1090)+1),"")</f>
        <v>0</v>
      </c>
      <c r="K1533" s="0" t="n">
        <f aca="false">IFERROR(SMALL(K367:K1087,ROW()-ROW($K$1090)+1),"")</f>
        <v>0</v>
      </c>
      <c r="L1533" s="0" t="str">
        <f aca="false">IFERROR(SMALL(L367:L1087,ROW()-ROW($L$1090)+1),"")</f>
        <v/>
      </c>
      <c r="M1533" s="0" t="n">
        <f aca="false">IFERROR(SMALL(M367:M1087,ROW()-ROW($M$1090)+1),"")</f>
        <v>0</v>
      </c>
      <c r="N1533" s="0" t="n">
        <f aca="false">IFERROR(SMALL(N367:N1087,ROW()-ROW($N$1090)+1),"")</f>
        <v>0</v>
      </c>
    </row>
    <row r="1534" customFormat="false" ht="15" hidden="false" customHeight="false" outlineLevel="0" collapsed="false">
      <c r="E1534" s="0" t="n">
        <f aca="false">IFERROR(SMALL(E367:E1087,ROW()-ROW($E$1090)+1),"")</f>
        <v>0</v>
      </c>
      <c r="F1534" s="0" t="str">
        <f aca="false">IFERROR(SMALL(F367:F1087,ROW()-ROW($F$1090)+1),"")</f>
        <v/>
      </c>
      <c r="G1534" s="0" t="n">
        <f aca="false">IFERROR(SMALL(G367:G1087,ROW()-ROW($G$1090)+1),"")</f>
        <v>0</v>
      </c>
      <c r="H1534" s="0" t="n">
        <f aca="false">IFERROR(SMALL(H367:H1087,ROW()-ROW($H$1090)+1),"")</f>
        <v>0</v>
      </c>
      <c r="K1534" s="0" t="n">
        <f aca="false">IFERROR(SMALL(K367:K1087,ROW()-ROW($K$1090)+1),"")</f>
        <v>0</v>
      </c>
      <c r="L1534" s="0" t="str">
        <f aca="false">IFERROR(SMALL(L367:L1087,ROW()-ROW($L$1090)+1),"")</f>
        <v/>
      </c>
      <c r="M1534" s="0" t="n">
        <f aca="false">IFERROR(SMALL(M367:M1087,ROW()-ROW($M$1090)+1),"")</f>
        <v>0</v>
      </c>
      <c r="N1534" s="0" t="n">
        <f aca="false">IFERROR(SMALL(N367:N1087,ROW()-ROW($N$1090)+1),"")</f>
        <v>0</v>
      </c>
    </row>
    <row r="1535" customFormat="false" ht="15" hidden="false" customHeight="false" outlineLevel="0" collapsed="false">
      <c r="E1535" s="0" t="n">
        <f aca="false">IFERROR(SMALL(E367:E1087,ROW()-ROW($E$1090)+1),"")</f>
        <v>0</v>
      </c>
      <c r="F1535" s="0" t="str">
        <f aca="false">IFERROR(SMALL(F367:F1087,ROW()-ROW($F$1090)+1),"")</f>
        <v/>
      </c>
      <c r="G1535" s="0" t="n">
        <f aca="false">IFERROR(SMALL(G367:G1087,ROW()-ROW($G$1090)+1),"")</f>
        <v>0</v>
      </c>
      <c r="H1535" s="0" t="n">
        <f aca="false">IFERROR(SMALL(H367:H1087,ROW()-ROW($H$1090)+1),"")</f>
        <v>0</v>
      </c>
      <c r="K1535" s="0" t="n">
        <f aca="false">IFERROR(SMALL(K367:K1087,ROW()-ROW($K$1090)+1),"")</f>
        <v>0</v>
      </c>
      <c r="L1535" s="0" t="str">
        <f aca="false">IFERROR(SMALL(L367:L1087,ROW()-ROW($L$1090)+1),"")</f>
        <v/>
      </c>
      <c r="M1535" s="0" t="n">
        <f aca="false">IFERROR(SMALL(M367:M1087,ROW()-ROW($M$1090)+1),"")</f>
        <v>0</v>
      </c>
      <c r="N1535" s="0" t="n">
        <f aca="false">IFERROR(SMALL(N367:N1087,ROW()-ROW($N$1090)+1),"")</f>
        <v>0</v>
      </c>
    </row>
    <row r="1536" customFormat="false" ht="15" hidden="false" customHeight="false" outlineLevel="0" collapsed="false">
      <c r="E1536" s="0" t="n">
        <f aca="false">IFERROR(SMALL(E367:E1087,ROW()-ROW($E$1090)+1),"")</f>
        <v>0</v>
      </c>
      <c r="F1536" s="0" t="str">
        <f aca="false">IFERROR(SMALL(F367:F1087,ROW()-ROW($F$1090)+1),"")</f>
        <v/>
      </c>
      <c r="G1536" s="0" t="n">
        <f aca="false">IFERROR(SMALL(G367:G1087,ROW()-ROW($G$1090)+1),"")</f>
        <v>0</v>
      </c>
      <c r="H1536" s="0" t="n">
        <f aca="false">IFERROR(SMALL(H367:H1087,ROW()-ROW($H$1090)+1),"")</f>
        <v>0</v>
      </c>
      <c r="K1536" s="0" t="n">
        <f aca="false">IFERROR(SMALL(K367:K1087,ROW()-ROW($K$1090)+1),"")</f>
        <v>0</v>
      </c>
      <c r="L1536" s="0" t="str">
        <f aca="false">IFERROR(SMALL(L367:L1087,ROW()-ROW($L$1090)+1),"")</f>
        <v/>
      </c>
      <c r="M1536" s="0" t="n">
        <f aca="false">IFERROR(SMALL(M367:M1087,ROW()-ROW($M$1090)+1),"")</f>
        <v>0</v>
      </c>
      <c r="N1536" s="0" t="n">
        <f aca="false">IFERROR(SMALL(N367:N1087,ROW()-ROW($N$1090)+1),"")</f>
        <v>0</v>
      </c>
    </row>
    <row r="1537" customFormat="false" ht="15" hidden="false" customHeight="false" outlineLevel="0" collapsed="false">
      <c r="E1537" s="0" t="n">
        <f aca="false">IFERROR(SMALL(E367:E1087,ROW()-ROW($E$1090)+1),"")</f>
        <v>0</v>
      </c>
      <c r="F1537" s="0" t="str">
        <f aca="false">IFERROR(SMALL(F367:F1087,ROW()-ROW($F$1090)+1),"")</f>
        <v/>
      </c>
      <c r="G1537" s="0" t="n">
        <f aca="false">IFERROR(SMALL(G367:G1087,ROW()-ROW($G$1090)+1),"")</f>
        <v>0</v>
      </c>
      <c r="H1537" s="0" t="n">
        <f aca="false">IFERROR(SMALL(H367:H1087,ROW()-ROW($H$1090)+1),"")</f>
        <v>0</v>
      </c>
      <c r="K1537" s="0" t="n">
        <f aca="false">IFERROR(SMALL(K367:K1087,ROW()-ROW($K$1090)+1),"")</f>
        <v>0</v>
      </c>
      <c r="L1537" s="0" t="str">
        <f aca="false">IFERROR(SMALL(L367:L1087,ROW()-ROW($L$1090)+1),"")</f>
        <v/>
      </c>
      <c r="M1537" s="0" t="n">
        <f aca="false">IFERROR(SMALL(M367:M1087,ROW()-ROW($M$1090)+1),"")</f>
        <v>0</v>
      </c>
      <c r="N1537" s="0" t="n">
        <f aca="false">IFERROR(SMALL(N367:N1087,ROW()-ROW($N$1090)+1),"")</f>
        <v>0</v>
      </c>
    </row>
    <row r="1538" customFormat="false" ht="15" hidden="false" customHeight="false" outlineLevel="0" collapsed="false">
      <c r="E1538" s="0" t="n">
        <f aca="false">IFERROR(SMALL(E367:E1087,ROW()-ROW($E$1090)+1),"")</f>
        <v>0</v>
      </c>
      <c r="F1538" s="0" t="str">
        <f aca="false">IFERROR(SMALL(F367:F1087,ROW()-ROW($F$1090)+1),"")</f>
        <v/>
      </c>
      <c r="G1538" s="0" t="n">
        <f aca="false">IFERROR(SMALL(G367:G1087,ROW()-ROW($G$1090)+1),"")</f>
        <v>0</v>
      </c>
      <c r="H1538" s="0" t="n">
        <f aca="false">IFERROR(SMALL(H367:H1087,ROW()-ROW($H$1090)+1),"")</f>
        <v>0</v>
      </c>
      <c r="K1538" s="0" t="n">
        <f aca="false">IFERROR(SMALL(K367:K1087,ROW()-ROW($K$1090)+1),"")</f>
        <v>0</v>
      </c>
      <c r="L1538" s="0" t="str">
        <f aca="false">IFERROR(SMALL(L367:L1087,ROW()-ROW($L$1090)+1),"")</f>
        <v/>
      </c>
      <c r="M1538" s="0" t="n">
        <f aca="false">IFERROR(SMALL(M367:M1087,ROW()-ROW($M$1090)+1),"")</f>
        <v>0</v>
      </c>
      <c r="N1538" s="0" t="n">
        <f aca="false">IFERROR(SMALL(N367:N1087,ROW()-ROW($N$1090)+1),"")</f>
        <v>0</v>
      </c>
    </row>
    <row r="1539" customFormat="false" ht="15" hidden="false" customHeight="false" outlineLevel="0" collapsed="false">
      <c r="E1539" s="0" t="n">
        <f aca="false">IFERROR(SMALL(E367:E1087,ROW()-ROW($E$1090)+1),"")</f>
        <v>0</v>
      </c>
      <c r="F1539" s="0" t="str">
        <f aca="false">IFERROR(SMALL(F367:F1087,ROW()-ROW($F$1090)+1),"")</f>
        <v/>
      </c>
      <c r="G1539" s="0" t="n">
        <f aca="false">IFERROR(SMALL(G367:G1087,ROW()-ROW($G$1090)+1),"")</f>
        <v>0</v>
      </c>
      <c r="H1539" s="0" t="n">
        <f aca="false">IFERROR(SMALL(H367:H1087,ROW()-ROW($H$1090)+1),"")</f>
        <v>0</v>
      </c>
      <c r="K1539" s="0" t="n">
        <f aca="false">IFERROR(SMALL(K367:K1087,ROW()-ROW($K$1090)+1),"")</f>
        <v>0</v>
      </c>
      <c r="L1539" s="0" t="str">
        <f aca="false">IFERROR(SMALL(L367:L1087,ROW()-ROW($L$1090)+1),"")</f>
        <v/>
      </c>
      <c r="M1539" s="0" t="n">
        <f aca="false">IFERROR(SMALL(M367:M1087,ROW()-ROW($M$1090)+1),"")</f>
        <v>0</v>
      </c>
      <c r="N1539" s="0" t="n">
        <f aca="false">IFERROR(SMALL(N367:N1087,ROW()-ROW($N$1090)+1),"")</f>
        <v>0</v>
      </c>
    </row>
    <row r="1540" customFormat="false" ht="15" hidden="false" customHeight="false" outlineLevel="0" collapsed="false">
      <c r="E1540" s="0" t="n">
        <f aca="false">IFERROR(SMALL(E367:E1087,ROW()-ROW($E$1090)+1),"")</f>
        <v>0</v>
      </c>
      <c r="F1540" s="0" t="str">
        <f aca="false">IFERROR(SMALL(F367:F1087,ROW()-ROW($F$1090)+1),"")</f>
        <v/>
      </c>
      <c r="G1540" s="0" t="n">
        <f aca="false">IFERROR(SMALL(G367:G1087,ROW()-ROW($G$1090)+1),"")</f>
        <v>0</v>
      </c>
      <c r="H1540" s="0" t="n">
        <f aca="false">IFERROR(SMALL(H367:H1087,ROW()-ROW($H$1090)+1),"")</f>
        <v>0</v>
      </c>
      <c r="K1540" s="0" t="n">
        <f aca="false">IFERROR(SMALL(K367:K1087,ROW()-ROW($K$1090)+1),"")</f>
        <v>0</v>
      </c>
      <c r="L1540" s="0" t="str">
        <f aca="false">IFERROR(SMALL(L367:L1087,ROW()-ROW($L$1090)+1),"")</f>
        <v/>
      </c>
      <c r="M1540" s="0" t="n">
        <f aca="false">IFERROR(SMALL(M367:M1087,ROW()-ROW($M$1090)+1),"")</f>
        <v>0</v>
      </c>
      <c r="N1540" s="0" t="n">
        <f aca="false">IFERROR(SMALL(N367:N1087,ROW()-ROW($N$1090)+1),"")</f>
        <v>0</v>
      </c>
    </row>
    <row r="1541" customFormat="false" ht="15" hidden="false" customHeight="false" outlineLevel="0" collapsed="false">
      <c r="E1541" s="0" t="n">
        <f aca="false">IFERROR(SMALL(E367:E1087,ROW()-ROW($E$1090)+1),"")</f>
        <v>0</v>
      </c>
      <c r="F1541" s="0" t="str">
        <f aca="false">IFERROR(SMALL(F367:F1087,ROW()-ROW($F$1090)+1),"")</f>
        <v/>
      </c>
      <c r="G1541" s="0" t="n">
        <f aca="false">IFERROR(SMALL(G367:G1087,ROW()-ROW($G$1090)+1),"")</f>
        <v>0</v>
      </c>
      <c r="H1541" s="0" t="n">
        <f aca="false">IFERROR(SMALL(H367:H1087,ROW()-ROW($H$1090)+1),"")</f>
        <v>0</v>
      </c>
      <c r="K1541" s="0" t="n">
        <f aca="false">IFERROR(SMALL(K367:K1087,ROW()-ROW($K$1090)+1),"")</f>
        <v>0</v>
      </c>
      <c r="L1541" s="0" t="str">
        <f aca="false">IFERROR(SMALL(L367:L1087,ROW()-ROW($L$1090)+1),"")</f>
        <v/>
      </c>
      <c r="M1541" s="0" t="n">
        <f aca="false">IFERROR(SMALL(M367:M1087,ROW()-ROW($M$1090)+1),"")</f>
        <v>0</v>
      </c>
      <c r="N1541" s="0" t="n">
        <f aca="false">IFERROR(SMALL(N367:N1087,ROW()-ROW($N$1090)+1),"")</f>
        <v>0</v>
      </c>
    </row>
    <row r="1542" customFormat="false" ht="15" hidden="false" customHeight="false" outlineLevel="0" collapsed="false">
      <c r="E1542" s="0" t="n">
        <f aca="false">IFERROR(SMALL(E367:E1087,ROW()-ROW($E$1090)+1),"")</f>
        <v>0</v>
      </c>
      <c r="F1542" s="0" t="str">
        <f aca="false">IFERROR(SMALL(F367:F1087,ROW()-ROW($F$1090)+1),"")</f>
        <v/>
      </c>
      <c r="G1542" s="0" t="n">
        <f aca="false">IFERROR(SMALL(G367:G1087,ROW()-ROW($G$1090)+1),"")</f>
        <v>0</v>
      </c>
      <c r="H1542" s="0" t="n">
        <f aca="false">IFERROR(SMALL(H367:H1087,ROW()-ROW($H$1090)+1),"")</f>
        <v>0</v>
      </c>
      <c r="K1542" s="0" t="n">
        <f aca="false">IFERROR(SMALL(K367:K1087,ROW()-ROW($K$1090)+1),"")</f>
        <v>0</v>
      </c>
      <c r="L1542" s="0" t="str">
        <f aca="false">IFERROR(SMALL(L367:L1087,ROW()-ROW($L$1090)+1),"")</f>
        <v/>
      </c>
      <c r="M1542" s="0" t="n">
        <f aca="false">IFERROR(SMALL(M367:M1087,ROW()-ROW($M$1090)+1),"")</f>
        <v>0</v>
      </c>
      <c r="N1542" s="0" t="n">
        <f aca="false">IFERROR(SMALL(N367:N1087,ROW()-ROW($N$1090)+1),"")</f>
        <v>0</v>
      </c>
    </row>
    <row r="1543" customFormat="false" ht="15" hidden="false" customHeight="false" outlineLevel="0" collapsed="false">
      <c r="E1543" s="0" t="n">
        <f aca="false">IFERROR(SMALL(E367:E1087,ROW()-ROW($E$1090)+1),"")</f>
        <v>0</v>
      </c>
      <c r="F1543" s="0" t="str">
        <f aca="false">IFERROR(SMALL(F367:F1087,ROW()-ROW($F$1090)+1),"")</f>
        <v/>
      </c>
      <c r="G1543" s="0" t="n">
        <f aca="false">IFERROR(SMALL(G367:G1087,ROW()-ROW($G$1090)+1),"")</f>
        <v>0</v>
      </c>
      <c r="H1543" s="0" t="n">
        <f aca="false">IFERROR(SMALL(H367:H1087,ROW()-ROW($H$1090)+1),"")</f>
        <v>0</v>
      </c>
      <c r="K1543" s="0" t="n">
        <f aca="false">IFERROR(SMALL(K367:K1087,ROW()-ROW($K$1090)+1),"")</f>
        <v>0</v>
      </c>
      <c r="L1543" s="0" t="str">
        <f aca="false">IFERROR(SMALL(L367:L1087,ROW()-ROW($L$1090)+1),"")</f>
        <v/>
      </c>
      <c r="M1543" s="0" t="n">
        <f aca="false">IFERROR(SMALL(M367:M1087,ROW()-ROW($M$1090)+1),"")</f>
        <v>0</v>
      </c>
      <c r="N1543" s="0" t="n">
        <f aca="false">IFERROR(SMALL(N367:N1087,ROW()-ROW($N$1090)+1),"")</f>
        <v>0</v>
      </c>
    </row>
    <row r="1544" customFormat="false" ht="15" hidden="false" customHeight="false" outlineLevel="0" collapsed="false">
      <c r="E1544" s="0" t="n">
        <f aca="false">IFERROR(SMALL(E367:E1087,ROW()-ROW($E$1090)+1),"")</f>
        <v>0</v>
      </c>
      <c r="F1544" s="0" t="str">
        <f aca="false">IFERROR(SMALL(F367:F1087,ROW()-ROW($F$1090)+1),"")</f>
        <v/>
      </c>
      <c r="G1544" s="0" t="n">
        <f aca="false">IFERROR(SMALL(G367:G1087,ROW()-ROW($G$1090)+1),"")</f>
        <v>0</v>
      </c>
      <c r="H1544" s="0" t="n">
        <f aca="false">IFERROR(SMALL(H367:H1087,ROW()-ROW($H$1090)+1),"")</f>
        <v>0</v>
      </c>
      <c r="K1544" s="0" t="n">
        <f aca="false">IFERROR(SMALL(K367:K1087,ROW()-ROW($K$1090)+1),"")</f>
        <v>0</v>
      </c>
      <c r="L1544" s="0" t="str">
        <f aca="false">IFERROR(SMALL(L367:L1087,ROW()-ROW($L$1090)+1),"")</f>
        <v/>
      </c>
      <c r="M1544" s="0" t="n">
        <f aca="false">IFERROR(SMALL(M367:M1087,ROW()-ROW($M$1090)+1),"")</f>
        <v>0</v>
      </c>
      <c r="N1544" s="0" t="n">
        <f aca="false">IFERROR(SMALL(N367:N1087,ROW()-ROW($N$1090)+1),"")</f>
        <v>0</v>
      </c>
    </row>
    <row r="1545" customFormat="false" ht="15" hidden="false" customHeight="false" outlineLevel="0" collapsed="false">
      <c r="E1545" s="0" t="n">
        <f aca="false">IFERROR(SMALL(E367:E1087,ROW()-ROW($E$1090)+1),"")</f>
        <v>0</v>
      </c>
      <c r="F1545" s="0" t="str">
        <f aca="false">IFERROR(SMALL(F367:F1087,ROW()-ROW($F$1090)+1),"")</f>
        <v/>
      </c>
      <c r="G1545" s="0" t="n">
        <f aca="false">IFERROR(SMALL(G367:G1087,ROW()-ROW($G$1090)+1),"")</f>
        <v>0</v>
      </c>
      <c r="H1545" s="0" t="n">
        <f aca="false">IFERROR(SMALL(H367:H1087,ROW()-ROW($H$1090)+1),"")</f>
        <v>0</v>
      </c>
      <c r="K1545" s="0" t="n">
        <f aca="false">IFERROR(SMALL(K367:K1087,ROW()-ROW($K$1090)+1),"")</f>
        <v>0</v>
      </c>
      <c r="L1545" s="0" t="str">
        <f aca="false">IFERROR(SMALL(L367:L1087,ROW()-ROW($L$1090)+1),"")</f>
        <v/>
      </c>
      <c r="M1545" s="0" t="n">
        <f aca="false">IFERROR(SMALL(M367:M1087,ROW()-ROW($M$1090)+1),"")</f>
        <v>0</v>
      </c>
      <c r="N1545" s="0" t="n">
        <f aca="false">IFERROR(SMALL(N367:N1087,ROW()-ROW($N$1090)+1),"")</f>
        <v>0</v>
      </c>
    </row>
    <row r="1546" customFormat="false" ht="15" hidden="false" customHeight="false" outlineLevel="0" collapsed="false">
      <c r="E1546" s="0" t="n">
        <f aca="false">IFERROR(SMALL(E367:E1087,ROW()-ROW($E$1090)+1),"")</f>
        <v>0</v>
      </c>
      <c r="F1546" s="0" t="str">
        <f aca="false">IFERROR(SMALL(F367:F1087,ROW()-ROW($F$1090)+1),"")</f>
        <v/>
      </c>
      <c r="G1546" s="0" t="n">
        <f aca="false">IFERROR(SMALL(G367:G1087,ROW()-ROW($G$1090)+1),"")</f>
        <v>0</v>
      </c>
      <c r="H1546" s="0" t="n">
        <f aca="false">IFERROR(SMALL(H367:H1087,ROW()-ROW($H$1090)+1),"")</f>
        <v>0</v>
      </c>
      <c r="K1546" s="0" t="n">
        <f aca="false">IFERROR(SMALL(K367:K1087,ROW()-ROW($K$1090)+1),"")</f>
        <v>0</v>
      </c>
      <c r="L1546" s="0" t="str">
        <f aca="false">IFERROR(SMALL(L367:L1087,ROW()-ROW($L$1090)+1),"")</f>
        <v/>
      </c>
      <c r="M1546" s="0" t="n">
        <f aca="false">IFERROR(SMALL(M367:M1087,ROW()-ROW($M$1090)+1),"")</f>
        <v>0</v>
      </c>
      <c r="N1546" s="0" t="n">
        <f aca="false">IFERROR(SMALL(N367:N1087,ROW()-ROW($N$1090)+1),"")</f>
        <v>0</v>
      </c>
    </row>
    <row r="1547" customFormat="false" ht="15" hidden="false" customHeight="false" outlineLevel="0" collapsed="false">
      <c r="E1547" s="0" t="n">
        <f aca="false">IFERROR(SMALL(E367:E1087,ROW()-ROW($E$1090)+1),"")</f>
        <v>0</v>
      </c>
      <c r="F1547" s="0" t="str">
        <f aca="false">IFERROR(SMALL(F367:F1087,ROW()-ROW($F$1090)+1),"")</f>
        <v/>
      </c>
      <c r="G1547" s="0" t="n">
        <f aca="false">IFERROR(SMALL(G367:G1087,ROW()-ROW($G$1090)+1),"")</f>
        <v>0</v>
      </c>
      <c r="H1547" s="0" t="n">
        <f aca="false">IFERROR(SMALL(H367:H1087,ROW()-ROW($H$1090)+1),"")</f>
        <v>0</v>
      </c>
      <c r="K1547" s="0" t="n">
        <f aca="false">IFERROR(SMALL(K367:K1087,ROW()-ROW($K$1090)+1),"")</f>
        <v>0</v>
      </c>
      <c r="L1547" s="0" t="str">
        <f aca="false">IFERROR(SMALL(L367:L1087,ROW()-ROW($L$1090)+1),"")</f>
        <v/>
      </c>
      <c r="M1547" s="0" t="n">
        <f aca="false">IFERROR(SMALL(M367:M1087,ROW()-ROW($M$1090)+1),"")</f>
        <v>0</v>
      </c>
      <c r="N1547" s="0" t="n">
        <f aca="false">IFERROR(SMALL(N367:N1087,ROW()-ROW($N$1090)+1),"")</f>
        <v>0</v>
      </c>
    </row>
    <row r="1548" customFormat="false" ht="15" hidden="false" customHeight="false" outlineLevel="0" collapsed="false">
      <c r="E1548" s="0" t="n">
        <f aca="false">IFERROR(SMALL(E367:E1087,ROW()-ROW($E$1090)+1),"")</f>
        <v>0</v>
      </c>
      <c r="F1548" s="0" t="str">
        <f aca="false">IFERROR(SMALL(F367:F1087,ROW()-ROW($F$1090)+1),"")</f>
        <v/>
      </c>
      <c r="G1548" s="0" t="n">
        <f aca="false">IFERROR(SMALL(G367:G1087,ROW()-ROW($G$1090)+1),"")</f>
        <v>0</v>
      </c>
      <c r="H1548" s="0" t="n">
        <f aca="false">IFERROR(SMALL(H367:H1087,ROW()-ROW($H$1090)+1),"")</f>
        <v>0</v>
      </c>
      <c r="K1548" s="0" t="n">
        <f aca="false">IFERROR(SMALL(K367:K1087,ROW()-ROW($K$1090)+1),"")</f>
        <v>0</v>
      </c>
      <c r="L1548" s="0" t="str">
        <f aca="false">IFERROR(SMALL(L367:L1087,ROW()-ROW($L$1090)+1),"")</f>
        <v/>
      </c>
      <c r="M1548" s="0" t="n">
        <f aca="false">IFERROR(SMALL(M367:M1087,ROW()-ROW($M$1090)+1),"")</f>
        <v>0</v>
      </c>
      <c r="N1548" s="0" t="n">
        <f aca="false">IFERROR(SMALL(N367:N1087,ROW()-ROW($N$1090)+1),"")</f>
        <v>0</v>
      </c>
    </row>
    <row r="1549" customFormat="false" ht="15" hidden="false" customHeight="false" outlineLevel="0" collapsed="false">
      <c r="E1549" s="0" t="n">
        <f aca="false">IFERROR(SMALL(E367:E1087,ROW()-ROW($E$1090)+1),"")</f>
        <v>0</v>
      </c>
      <c r="F1549" s="0" t="str">
        <f aca="false">IFERROR(SMALL(F367:F1087,ROW()-ROW($F$1090)+1),"")</f>
        <v/>
      </c>
      <c r="G1549" s="0" t="n">
        <f aca="false">IFERROR(SMALL(G367:G1087,ROW()-ROW($G$1090)+1),"")</f>
        <v>0</v>
      </c>
      <c r="H1549" s="0" t="n">
        <f aca="false">IFERROR(SMALL(H367:H1087,ROW()-ROW($H$1090)+1),"")</f>
        <v>0</v>
      </c>
      <c r="K1549" s="0" t="n">
        <f aca="false">IFERROR(SMALL(K367:K1087,ROW()-ROW($K$1090)+1),"")</f>
        <v>0</v>
      </c>
      <c r="L1549" s="0" t="str">
        <f aca="false">IFERROR(SMALL(L367:L1087,ROW()-ROW($L$1090)+1),"")</f>
        <v/>
      </c>
      <c r="M1549" s="0" t="n">
        <f aca="false">IFERROR(SMALL(M367:M1087,ROW()-ROW($M$1090)+1),"")</f>
        <v>0</v>
      </c>
      <c r="N1549" s="0" t="n">
        <f aca="false">IFERROR(SMALL(N367:N1087,ROW()-ROW($N$1090)+1),"")</f>
        <v>0</v>
      </c>
    </row>
    <row r="1550" customFormat="false" ht="15" hidden="false" customHeight="false" outlineLevel="0" collapsed="false">
      <c r="E1550" s="0" t="n">
        <f aca="false">IFERROR(SMALL(E367:E1087,ROW()-ROW($E$1090)+1),"")</f>
        <v>0</v>
      </c>
      <c r="F1550" s="0" t="str">
        <f aca="false">IFERROR(SMALL(F367:F1087,ROW()-ROW($F$1090)+1),"")</f>
        <v/>
      </c>
      <c r="G1550" s="0" t="n">
        <f aca="false">IFERROR(SMALL(G367:G1087,ROW()-ROW($G$1090)+1),"")</f>
        <v>0</v>
      </c>
      <c r="H1550" s="0" t="n">
        <f aca="false">IFERROR(SMALL(H367:H1087,ROW()-ROW($H$1090)+1),"")</f>
        <v>0</v>
      </c>
      <c r="K1550" s="0" t="n">
        <f aca="false">IFERROR(SMALL(K367:K1087,ROW()-ROW($K$1090)+1),"")</f>
        <v>0</v>
      </c>
      <c r="L1550" s="0" t="str">
        <f aca="false">IFERROR(SMALL(L367:L1087,ROW()-ROW($L$1090)+1),"")</f>
        <v/>
      </c>
      <c r="M1550" s="0" t="n">
        <f aca="false">IFERROR(SMALL(M367:M1087,ROW()-ROW($M$1090)+1),"")</f>
        <v>0</v>
      </c>
      <c r="N1550" s="0" t="n">
        <f aca="false">IFERROR(SMALL(N367:N1087,ROW()-ROW($N$1090)+1),"")</f>
        <v>0</v>
      </c>
    </row>
    <row r="1551" customFormat="false" ht="15" hidden="false" customHeight="false" outlineLevel="0" collapsed="false">
      <c r="E1551" s="0" t="n">
        <f aca="false">IFERROR(SMALL(E367:E1087,ROW()-ROW($E$1090)+1),"")</f>
        <v>0</v>
      </c>
      <c r="F1551" s="0" t="str">
        <f aca="false">IFERROR(SMALL(F367:F1087,ROW()-ROW($F$1090)+1),"")</f>
        <v/>
      </c>
      <c r="G1551" s="0" t="n">
        <f aca="false">IFERROR(SMALL(G367:G1087,ROW()-ROW($G$1090)+1),"")</f>
        <v>0</v>
      </c>
      <c r="H1551" s="0" t="n">
        <f aca="false">IFERROR(SMALL(H367:H1087,ROW()-ROW($H$1090)+1),"")</f>
        <v>0</v>
      </c>
      <c r="K1551" s="0" t="n">
        <f aca="false">IFERROR(SMALL(K367:K1087,ROW()-ROW($K$1090)+1),"")</f>
        <v>0</v>
      </c>
      <c r="L1551" s="0" t="str">
        <f aca="false">IFERROR(SMALL(L367:L1087,ROW()-ROW($L$1090)+1),"")</f>
        <v/>
      </c>
      <c r="M1551" s="0" t="n">
        <f aca="false">IFERROR(SMALL(M367:M1087,ROW()-ROW($M$1090)+1),"")</f>
        <v>0</v>
      </c>
      <c r="N1551" s="0" t="n">
        <f aca="false">IFERROR(SMALL(N367:N1087,ROW()-ROW($N$1090)+1),"")</f>
        <v>0</v>
      </c>
    </row>
    <row r="1552" customFormat="false" ht="15" hidden="false" customHeight="false" outlineLevel="0" collapsed="false">
      <c r="E1552" s="0" t="n">
        <f aca="false">IFERROR(SMALL(E367:E1087,ROW()-ROW($E$1090)+1),"")</f>
        <v>0</v>
      </c>
      <c r="F1552" s="0" t="str">
        <f aca="false">IFERROR(SMALL(F367:F1087,ROW()-ROW($F$1090)+1),"")</f>
        <v/>
      </c>
      <c r="G1552" s="0" t="n">
        <f aca="false">IFERROR(SMALL(G367:G1087,ROW()-ROW($G$1090)+1),"")</f>
        <v>0</v>
      </c>
      <c r="H1552" s="0" t="n">
        <f aca="false">IFERROR(SMALL(H367:H1087,ROW()-ROW($H$1090)+1),"")</f>
        <v>0</v>
      </c>
      <c r="K1552" s="0" t="n">
        <f aca="false">IFERROR(SMALL(K367:K1087,ROW()-ROW($K$1090)+1),"")</f>
        <v>0</v>
      </c>
      <c r="L1552" s="0" t="str">
        <f aca="false">IFERROR(SMALL(L367:L1087,ROW()-ROW($L$1090)+1),"")</f>
        <v/>
      </c>
      <c r="M1552" s="0" t="n">
        <f aca="false">IFERROR(SMALL(M367:M1087,ROW()-ROW($M$1090)+1),"")</f>
        <v>0</v>
      </c>
      <c r="N1552" s="0" t="n">
        <f aca="false">IFERROR(SMALL(N367:N1087,ROW()-ROW($N$1090)+1),"")</f>
        <v>0</v>
      </c>
    </row>
    <row r="1553" customFormat="false" ht="15" hidden="false" customHeight="false" outlineLevel="0" collapsed="false">
      <c r="E1553" s="0" t="n">
        <f aca="false">IFERROR(SMALL(E367:E1087,ROW()-ROW($E$1090)+1),"")</f>
        <v>0</v>
      </c>
      <c r="F1553" s="0" t="str">
        <f aca="false">IFERROR(SMALL(F367:F1087,ROW()-ROW($F$1090)+1),"")</f>
        <v/>
      </c>
      <c r="G1553" s="0" t="n">
        <f aca="false">IFERROR(SMALL(G367:G1087,ROW()-ROW($G$1090)+1),"")</f>
        <v>0</v>
      </c>
      <c r="H1553" s="0" t="n">
        <f aca="false">IFERROR(SMALL(H367:H1087,ROW()-ROW($H$1090)+1),"")</f>
        <v>0</v>
      </c>
      <c r="K1553" s="0" t="n">
        <f aca="false">IFERROR(SMALL(K367:K1087,ROW()-ROW($K$1090)+1),"")</f>
        <v>0</v>
      </c>
      <c r="L1553" s="0" t="str">
        <f aca="false">IFERROR(SMALL(L367:L1087,ROW()-ROW($L$1090)+1),"")</f>
        <v/>
      </c>
      <c r="M1553" s="0" t="n">
        <f aca="false">IFERROR(SMALL(M367:M1087,ROW()-ROW($M$1090)+1),"")</f>
        <v>0</v>
      </c>
      <c r="N1553" s="0" t="n">
        <f aca="false">IFERROR(SMALL(N367:N1087,ROW()-ROW($N$1090)+1),"")</f>
        <v>0</v>
      </c>
    </row>
    <row r="1554" customFormat="false" ht="15" hidden="false" customHeight="false" outlineLevel="0" collapsed="false">
      <c r="E1554" s="0" t="n">
        <f aca="false">IFERROR(SMALL(E367:E1087,ROW()-ROW($E$1090)+1),"")</f>
        <v>0</v>
      </c>
      <c r="F1554" s="0" t="str">
        <f aca="false">IFERROR(SMALL(F367:F1087,ROW()-ROW($F$1090)+1),"")</f>
        <v/>
      </c>
      <c r="G1554" s="0" t="n">
        <f aca="false">IFERROR(SMALL(G367:G1087,ROW()-ROW($G$1090)+1),"")</f>
        <v>0</v>
      </c>
      <c r="H1554" s="0" t="n">
        <f aca="false">IFERROR(SMALL(H367:H1087,ROW()-ROW($H$1090)+1),"")</f>
        <v>0</v>
      </c>
      <c r="K1554" s="0" t="n">
        <f aca="false">IFERROR(SMALL(K367:K1087,ROW()-ROW($K$1090)+1),"")</f>
        <v>0</v>
      </c>
      <c r="L1554" s="0" t="str">
        <f aca="false">IFERROR(SMALL(L367:L1087,ROW()-ROW($L$1090)+1),"")</f>
        <v/>
      </c>
      <c r="M1554" s="0" t="n">
        <f aca="false">IFERROR(SMALL(M367:M1087,ROW()-ROW($M$1090)+1),"")</f>
        <v>0</v>
      </c>
      <c r="N1554" s="0" t="n">
        <f aca="false">IFERROR(SMALL(N367:N1087,ROW()-ROW($N$1090)+1),"")</f>
        <v>0</v>
      </c>
    </row>
    <row r="1555" customFormat="false" ht="15" hidden="false" customHeight="false" outlineLevel="0" collapsed="false">
      <c r="E1555" s="0" t="n">
        <f aca="false">IFERROR(SMALL(E367:E1087,ROW()-ROW($E$1090)+1),"")</f>
        <v>0</v>
      </c>
      <c r="F1555" s="0" t="str">
        <f aca="false">IFERROR(SMALL(F367:F1087,ROW()-ROW($F$1090)+1),"")</f>
        <v/>
      </c>
      <c r="G1555" s="0" t="n">
        <f aca="false">IFERROR(SMALL(G367:G1087,ROW()-ROW($G$1090)+1),"")</f>
        <v>0</v>
      </c>
      <c r="H1555" s="0" t="n">
        <f aca="false">IFERROR(SMALL(H367:H1087,ROW()-ROW($H$1090)+1),"")</f>
        <v>0</v>
      </c>
      <c r="K1555" s="0" t="n">
        <f aca="false">IFERROR(SMALL(K367:K1087,ROW()-ROW($K$1090)+1),"")</f>
        <v>0</v>
      </c>
      <c r="L1555" s="0" t="str">
        <f aca="false">IFERROR(SMALL(L367:L1087,ROW()-ROW($L$1090)+1),"")</f>
        <v/>
      </c>
      <c r="M1555" s="0" t="n">
        <f aca="false">IFERROR(SMALL(M367:M1087,ROW()-ROW($M$1090)+1),"")</f>
        <v>0</v>
      </c>
      <c r="N1555" s="0" t="n">
        <f aca="false">IFERROR(SMALL(N367:N1087,ROW()-ROW($N$1090)+1),"")</f>
        <v>0</v>
      </c>
    </row>
    <row r="1556" customFormat="false" ht="15" hidden="false" customHeight="false" outlineLevel="0" collapsed="false">
      <c r="E1556" s="0" t="n">
        <f aca="false">IFERROR(SMALL(E367:E1087,ROW()-ROW($E$1090)+1),"")</f>
        <v>0</v>
      </c>
      <c r="F1556" s="0" t="str">
        <f aca="false">IFERROR(SMALL(F367:F1087,ROW()-ROW($F$1090)+1),"")</f>
        <v/>
      </c>
      <c r="G1556" s="0" t="n">
        <f aca="false">IFERROR(SMALL(G367:G1087,ROW()-ROW($G$1090)+1),"")</f>
        <v>0</v>
      </c>
      <c r="H1556" s="0" t="n">
        <f aca="false">IFERROR(SMALL(H367:H1087,ROW()-ROW($H$1090)+1),"")</f>
        <v>0</v>
      </c>
      <c r="K1556" s="0" t="n">
        <f aca="false">IFERROR(SMALL(K367:K1087,ROW()-ROW($K$1090)+1),"")</f>
        <v>0</v>
      </c>
      <c r="L1556" s="0" t="str">
        <f aca="false">IFERROR(SMALL(L367:L1087,ROW()-ROW($L$1090)+1),"")</f>
        <v/>
      </c>
      <c r="M1556" s="0" t="n">
        <f aca="false">IFERROR(SMALL(M367:M1087,ROW()-ROW($M$1090)+1),"")</f>
        <v>0</v>
      </c>
      <c r="N1556" s="0" t="n">
        <f aca="false">IFERROR(SMALL(N367:N1087,ROW()-ROW($N$1090)+1),"")</f>
        <v>0</v>
      </c>
    </row>
    <row r="1557" customFormat="false" ht="15" hidden="false" customHeight="false" outlineLevel="0" collapsed="false">
      <c r="E1557" s="0" t="n">
        <f aca="false">IFERROR(SMALL(E367:E1087,ROW()-ROW($E$1090)+1),"")</f>
        <v>0</v>
      </c>
      <c r="F1557" s="0" t="str">
        <f aca="false">IFERROR(SMALL(F367:F1087,ROW()-ROW($F$1090)+1),"")</f>
        <v/>
      </c>
      <c r="G1557" s="0" t="n">
        <f aca="false">IFERROR(SMALL(G367:G1087,ROW()-ROW($G$1090)+1),"")</f>
        <v>0</v>
      </c>
      <c r="H1557" s="0" t="n">
        <f aca="false">IFERROR(SMALL(H367:H1087,ROW()-ROW($H$1090)+1),"")</f>
        <v>0</v>
      </c>
      <c r="K1557" s="0" t="n">
        <f aca="false">IFERROR(SMALL(K367:K1087,ROW()-ROW($K$1090)+1),"")</f>
        <v>0</v>
      </c>
      <c r="L1557" s="0" t="str">
        <f aca="false">IFERROR(SMALL(L367:L1087,ROW()-ROW($L$1090)+1),"")</f>
        <v/>
      </c>
      <c r="M1557" s="0" t="n">
        <f aca="false">IFERROR(SMALL(M367:M1087,ROW()-ROW($M$1090)+1),"")</f>
        <v>0</v>
      </c>
      <c r="N1557" s="0" t="n">
        <f aca="false">IFERROR(SMALL(N367:N1087,ROW()-ROW($N$1090)+1),"")</f>
        <v>0</v>
      </c>
    </row>
    <row r="1558" customFormat="false" ht="15" hidden="false" customHeight="false" outlineLevel="0" collapsed="false">
      <c r="E1558" s="0" t="n">
        <f aca="false">IFERROR(SMALL(E367:E1087,ROW()-ROW($E$1090)+1),"")</f>
        <v>0</v>
      </c>
      <c r="F1558" s="0" t="str">
        <f aca="false">IFERROR(SMALL(F367:F1087,ROW()-ROW($F$1090)+1),"")</f>
        <v/>
      </c>
      <c r="G1558" s="0" t="n">
        <f aca="false">IFERROR(SMALL(G367:G1087,ROW()-ROW($G$1090)+1),"")</f>
        <v>0</v>
      </c>
      <c r="H1558" s="0" t="n">
        <f aca="false">IFERROR(SMALL(H367:H1087,ROW()-ROW($H$1090)+1),"")</f>
        <v>0</v>
      </c>
      <c r="K1558" s="0" t="n">
        <f aca="false">IFERROR(SMALL(K367:K1087,ROW()-ROW($K$1090)+1),"")</f>
        <v>0</v>
      </c>
      <c r="L1558" s="0" t="str">
        <f aca="false">IFERROR(SMALL(L367:L1087,ROW()-ROW($L$1090)+1),"")</f>
        <v/>
      </c>
      <c r="M1558" s="0" t="n">
        <f aca="false">IFERROR(SMALL(M367:M1087,ROW()-ROW($M$1090)+1),"")</f>
        <v>0</v>
      </c>
      <c r="N1558" s="0" t="n">
        <f aca="false">IFERROR(SMALL(N367:N1087,ROW()-ROW($N$1090)+1),"")</f>
        <v>0</v>
      </c>
    </row>
    <row r="1559" customFormat="false" ht="15" hidden="false" customHeight="false" outlineLevel="0" collapsed="false">
      <c r="E1559" s="0" t="n">
        <f aca="false">IFERROR(SMALL(E367:E1087,ROW()-ROW($E$1090)+1),"")</f>
        <v>0</v>
      </c>
      <c r="F1559" s="0" t="str">
        <f aca="false">IFERROR(SMALL(F367:F1087,ROW()-ROW($F$1090)+1),"")</f>
        <v/>
      </c>
      <c r="G1559" s="0" t="n">
        <f aca="false">IFERROR(SMALL(G367:G1087,ROW()-ROW($G$1090)+1),"")</f>
        <v>0</v>
      </c>
      <c r="H1559" s="0" t="n">
        <f aca="false">IFERROR(SMALL(H367:H1087,ROW()-ROW($H$1090)+1),"")</f>
        <v>0</v>
      </c>
      <c r="K1559" s="0" t="n">
        <f aca="false">IFERROR(SMALL(K367:K1087,ROW()-ROW($K$1090)+1),"")</f>
        <v>0</v>
      </c>
      <c r="L1559" s="0" t="str">
        <f aca="false">IFERROR(SMALL(L367:L1087,ROW()-ROW($L$1090)+1),"")</f>
        <v/>
      </c>
      <c r="M1559" s="0" t="n">
        <f aca="false">IFERROR(SMALL(M367:M1087,ROW()-ROW($M$1090)+1),"")</f>
        <v>0</v>
      </c>
      <c r="N1559" s="0" t="n">
        <f aca="false">IFERROR(SMALL(N367:N1087,ROW()-ROW($N$1090)+1),"")</f>
        <v>0</v>
      </c>
    </row>
    <row r="1560" customFormat="false" ht="15" hidden="false" customHeight="false" outlineLevel="0" collapsed="false">
      <c r="E1560" s="0" t="n">
        <f aca="false">IFERROR(SMALL(E367:E1087,ROW()-ROW($E$1090)+1),"")</f>
        <v>0</v>
      </c>
      <c r="F1560" s="0" t="str">
        <f aca="false">IFERROR(SMALL(F367:F1087,ROW()-ROW($F$1090)+1),"")</f>
        <v/>
      </c>
      <c r="G1560" s="0" t="n">
        <f aca="false">IFERROR(SMALL(G367:G1087,ROW()-ROW($G$1090)+1),"")</f>
        <v>0</v>
      </c>
      <c r="H1560" s="0" t="n">
        <f aca="false">IFERROR(SMALL(H367:H1087,ROW()-ROW($H$1090)+1),"")</f>
        <v>0</v>
      </c>
      <c r="K1560" s="0" t="n">
        <f aca="false">IFERROR(SMALL(K367:K1087,ROW()-ROW($K$1090)+1),"")</f>
        <v>0</v>
      </c>
      <c r="L1560" s="0" t="str">
        <f aca="false">IFERROR(SMALL(L367:L1087,ROW()-ROW($L$1090)+1),"")</f>
        <v/>
      </c>
      <c r="M1560" s="0" t="n">
        <f aca="false">IFERROR(SMALL(M367:M1087,ROW()-ROW($M$1090)+1),"")</f>
        <v>0</v>
      </c>
      <c r="N1560" s="0" t="n">
        <f aca="false">IFERROR(SMALL(N367:N1087,ROW()-ROW($N$1090)+1),"")</f>
        <v>0</v>
      </c>
    </row>
    <row r="1561" customFormat="false" ht="15" hidden="false" customHeight="false" outlineLevel="0" collapsed="false">
      <c r="E1561" s="0" t="n">
        <f aca="false">IFERROR(SMALL(E367:E1087,ROW()-ROW($E$1090)+1),"")</f>
        <v>0</v>
      </c>
      <c r="F1561" s="0" t="str">
        <f aca="false">IFERROR(SMALL(F367:F1087,ROW()-ROW($F$1090)+1),"")</f>
        <v/>
      </c>
      <c r="G1561" s="0" t="n">
        <f aca="false">IFERROR(SMALL(G367:G1087,ROW()-ROW($G$1090)+1),"")</f>
        <v>0</v>
      </c>
      <c r="H1561" s="0" t="n">
        <f aca="false">IFERROR(SMALL(H367:H1087,ROW()-ROW($H$1090)+1),"")</f>
        <v>0</v>
      </c>
      <c r="K1561" s="0" t="n">
        <f aca="false">IFERROR(SMALL(K367:K1087,ROW()-ROW($K$1090)+1),"")</f>
        <v>0</v>
      </c>
      <c r="L1561" s="0" t="str">
        <f aca="false">IFERROR(SMALL(L367:L1087,ROW()-ROW($L$1090)+1),"")</f>
        <v/>
      </c>
      <c r="M1561" s="0" t="n">
        <f aca="false">IFERROR(SMALL(M367:M1087,ROW()-ROW($M$1090)+1),"")</f>
        <v>0</v>
      </c>
      <c r="N1561" s="0" t="n">
        <f aca="false">IFERROR(SMALL(N367:N1087,ROW()-ROW($N$1090)+1),"")</f>
        <v>0</v>
      </c>
    </row>
    <row r="1562" customFormat="false" ht="15" hidden="false" customHeight="false" outlineLevel="0" collapsed="false">
      <c r="E1562" s="0" t="n">
        <f aca="false">IFERROR(SMALL(E367:E1087,ROW()-ROW($E$1090)+1),"")</f>
        <v>0</v>
      </c>
      <c r="F1562" s="0" t="str">
        <f aca="false">IFERROR(SMALL(F367:F1087,ROW()-ROW($F$1090)+1),"")</f>
        <v/>
      </c>
      <c r="G1562" s="0" t="n">
        <f aca="false">IFERROR(SMALL(G367:G1087,ROW()-ROW($G$1090)+1),"")</f>
        <v>0</v>
      </c>
      <c r="H1562" s="0" t="n">
        <f aca="false">IFERROR(SMALL(H367:H1087,ROW()-ROW($H$1090)+1),"")</f>
        <v>0</v>
      </c>
      <c r="K1562" s="0" t="n">
        <f aca="false">IFERROR(SMALL(K367:K1087,ROW()-ROW($K$1090)+1),"")</f>
        <v>0</v>
      </c>
      <c r="L1562" s="0" t="str">
        <f aca="false">IFERROR(SMALL(L367:L1087,ROW()-ROW($L$1090)+1),"")</f>
        <v/>
      </c>
      <c r="M1562" s="0" t="n">
        <f aca="false">IFERROR(SMALL(M367:M1087,ROW()-ROW($M$1090)+1),"")</f>
        <v>0</v>
      </c>
      <c r="N1562" s="0" t="n">
        <f aca="false">IFERROR(SMALL(N367:N1087,ROW()-ROW($N$1090)+1),"")</f>
        <v>0</v>
      </c>
    </row>
    <row r="1563" customFormat="false" ht="15" hidden="false" customHeight="false" outlineLevel="0" collapsed="false">
      <c r="E1563" s="0" t="n">
        <f aca="false">IFERROR(SMALL(E367:E1087,ROW()-ROW($E$1090)+1),"")</f>
        <v>0</v>
      </c>
      <c r="F1563" s="0" t="str">
        <f aca="false">IFERROR(SMALL(F367:F1087,ROW()-ROW($F$1090)+1),"")</f>
        <v/>
      </c>
      <c r="G1563" s="0" t="n">
        <f aca="false">IFERROR(SMALL(G367:G1087,ROW()-ROW($G$1090)+1),"")</f>
        <v>0</v>
      </c>
      <c r="H1563" s="0" t="n">
        <f aca="false">IFERROR(SMALL(H367:H1087,ROW()-ROW($H$1090)+1),"")</f>
        <v>0</v>
      </c>
      <c r="K1563" s="0" t="n">
        <f aca="false">IFERROR(SMALL(K367:K1087,ROW()-ROW($K$1090)+1),"")</f>
        <v>0</v>
      </c>
      <c r="L1563" s="0" t="str">
        <f aca="false">IFERROR(SMALL(L367:L1087,ROW()-ROW($L$1090)+1),"")</f>
        <v/>
      </c>
      <c r="M1563" s="0" t="n">
        <f aca="false">IFERROR(SMALL(M367:M1087,ROW()-ROW($M$1090)+1),"")</f>
        <v>0</v>
      </c>
      <c r="N1563" s="0" t="n">
        <f aca="false">IFERROR(SMALL(N367:N1087,ROW()-ROW($N$1090)+1),"")</f>
        <v>0</v>
      </c>
    </row>
    <row r="1564" customFormat="false" ht="15" hidden="false" customHeight="false" outlineLevel="0" collapsed="false">
      <c r="E1564" s="0" t="n">
        <f aca="false">IFERROR(SMALL(E367:E1087,ROW()-ROW($E$1090)+1),"")</f>
        <v>0</v>
      </c>
      <c r="F1564" s="0" t="str">
        <f aca="false">IFERROR(SMALL(F367:F1087,ROW()-ROW($F$1090)+1),"")</f>
        <v/>
      </c>
      <c r="G1564" s="0" t="n">
        <f aca="false">IFERROR(SMALL(G367:G1087,ROW()-ROW($G$1090)+1),"")</f>
        <v>0</v>
      </c>
      <c r="H1564" s="0" t="n">
        <f aca="false">IFERROR(SMALL(H367:H1087,ROW()-ROW($H$1090)+1),"")</f>
        <v>0</v>
      </c>
      <c r="K1564" s="0" t="n">
        <f aca="false">IFERROR(SMALL(K367:K1087,ROW()-ROW($K$1090)+1),"")</f>
        <v>0</v>
      </c>
      <c r="L1564" s="0" t="str">
        <f aca="false">IFERROR(SMALL(L367:L1087,ROW()-ROW($L$1090)+1),"")</f>
        <v/>
      </c>
      <c r="M1564" s="0" t="n">
        <f aca="false">IFERROR(SMALL(M367:M1087,ROW()-ROW($M$1090)+1),"")</f>
        <v>0</v>
      </c>
      <c r="N1564" s="0" t="n">
        <f aca="false">IFERROR(SMALL(N367:N1087,ROW()-ROW($N$1090)+1),"")</f>
        <v>0</v>
      </c>
    </row>
    <row r="1565" customFormat="false" ht="15" hidden="false" customHeight="false" outlineLevel="0" collapsed="false">
      <c r="E1565" s="0" t="n">
        <f aca="false">IFERROR(SMALL(E367:E1087,ROW()-ROW($E$1090)+1),"")</f>
        <v>0</v>
      </c>
      <c r="F1565" s="0" t="str">
        <f aca="false">IFERROR(SMALL(F367:F1087,ROW()-ROW($F$1090)+1),"")</f>
        <v/>
      </c>
      <c r="G1565" s="0" t="n">
        <f aca="false">IFERROR(SMALL(G367:G1087,ROW()-ROW($G$1090)+1),"")</f>
        <v>0</v>
      </c>
      <c r="H1565" s="0" t="n">
        <f aca="false">IFERROR(SMALL(H367:H1087,ROW()-ROW($H$1090)+1),"")</f>
        <v>0</v>
      </c>
      <c r="K1565" s="0" t="n">
        <f aca="false">IFERROR(SMALL(K367:K1087,ROW()-ROW($K$1090)+1),"")</f>
        <v>0</v>
      </c>
      <c r="L1565" s="0" t="str">
        <f aca="false">IFERROR(SMALL(L367:L1087,ROW()-ROW($L$1090)+1),"")</f>
        <v/>
      </c>
      <c r="M1565" s="0" t="n">
        <f aca="false">IFERROR(SMALL(M367:M1087,ROW()-ROW($M$1090)+1),"")</f>
        <v>0</v>
      </c>
      <c r="N1565" s="0" t="n">
        <f aca="false">IFERROR(SMALL(N367:N1087,ROW()-ROW($N$1090)+1),"")</f>
        <v>0</v>
      </c>
    </row>
    <row r="1566" customFormat="false" ht="15" hidden="false" customHeight="false" outlineLevel="0" collapsed="false">
      <c r="E1566" s="0" t="n">
        <f aca="false">IFERROR(SMALL(E367:E1087,ROW()-ROW($E$1090)+1),"")</f>
        <v>0</v>
      </c>
      <c r="F1566" s="0" t="str">
        <f aca="false">IFERROR(SMALL(F367:F1087,ROW()-ROW($F$1090)+1),"")</f>
        <v/>
      </c>
      <c r="G1566" s="0" t="n">
        <f aca="false">IFERROR(SMALL(G367:G1087,ROW()-ROW($G$1090)+1),"")</f>
        <v>0</v>
      </c>
      <c r="H1566" s="0" t="n">
        <f aca="false">IFERROR(SMALL(H367:H1087,ROW()-ROW($H$1090)+1),"")</f>
        <v>0</v>
      </c>
      <c r="K1566" s="0" t="n">
        <f aca="false">IFERROR(SMALL(K367:K1087,ROW()-ROW($K$1090)+1),"")</f>
        <v>0</v>
      </c>
      <c r="L1566" s="0" t="str">
        <f aca="false">IFERROR(SMALL(L367:L1087,ROW()-ROW($L$1090)+1),"")</f>
        <v/>
      </c>
      <c r="M1566" s="0" t="n">
        <f aca="false">IFERROR(SMALL(M367:M1087,ROW()-ROW($M$1090)+1),"")</f>
        <v>0</v>
      </c>
      <c r="N1566" s="0" t="n">
        <f aca="false">IFERROR(SMALL(N367:N1087,ROW()-ROW($N$1090)+1),"")</f>
        <v>0</v>
      </c>
    </row>
    <row r="1567" customFormat="false" ht="15" hidden="false" customHeight="false" outlineLevel="0" collapsed="false">
      <c r="E1567" s="0" t="n">
        <f aca="false">IFERROR(SMALL(E367:E1087,ROW()-ROW($E$1090)+1),"")</f>
        <v>0</v>
      </c>
      <c r="F1567" s="0" t="str">
        <f aca="false">IFERROR(SMALL(F367:F1087,ROW()-ROW($F$1090)+1),"")</f>
        <v/>
      </c>
      <c r="G1567" s="0" t="n">
        <f aca="false">IFERROR(SMALL(G367:G1087,ROW()-ROW($G$1090)+1),"")</f>
        <v>0</v>
      </c>
      <c r="H1567" s="0" t="n">
        <f aca="false">IFERROR(SMALL(H367:H1087,ROW()-ROW($H$1090)+1),"")</f>
        <v>0</v>
      </c>
      <c r="K1567" s="0" t="n">
        <f aca="false">IFERROR(SMALL(K367:K1087,ROW()-ROW($K$1090)+1),"")</f>
        <v>0</v>
      </c>
      <c r="L1567" s="0" t="str">
        <f aca="false">IFERROR(SMALL(L367:L1087,ROW()-ROW($L$1090)+1),"")</f>
        <v/>
      </c>
      <c r="M1567" s="0" t="n">
        <f aca="false">IFERROR(SMALL(M367:M1087,ROW()-ROW($M$1090)+1),"")</f>
        <v>0</v>
      </c>
      <c r="N1567" s="0" t="n">
        <f aca="false">IFERROR(SMALL(N367:N1087,ROW()-ROW($N$1090)+1),"")</f>
        <v>0</v>
      </c>
    </row>
    <row r="1568" customFormat="false" ht="15" hidden="false" customHeight="false" outlineLevel="0" collapsed="false">
      <c r="E1568" s="0" t="n">
        <f aca="false">IFERROR(SMALL(E367:E1087,ROW()-ROW($E$1090)+1),"")</f>
        <v>0</v>
      </c>
      <c r="F1568" s="0" t="str">
        <f aca="false">IFERROR(SMALL(F367:F1087,ROW()-ROW($F$1090)+1),"")</f>
        <v/>
      </c>
      <c r="G1568" s="0" t="n">
        <f aca="false">IFERROR(SMALL(G367:G1087,ROW()-ROW($G$1090)+1),"")</f>
        <v>0</v>
      </c>
      <c r="H1568" s="0" t="n">
        <f aca="false">IFERROR(SMALL(H367:H1087,ROW()-ROW($H$1090)+1),"")</f>
        <v>0</v>
      </c>
      <c r="K1568" s="0" t="n">
        <f aca="false">IFERROR(SMALL(K367:K1087,ROW()-ROW($K$1090)+1),"")</f>
        <v>0</v>
      </c>
      <c r="L1568" s="0" t="str">
        <f aca="false">IFERROR(SMALL(L367:L1087,ROW()-ROW($L$1090)+1),"")</f>
        <v/>
      </c>
      <c r="M1568" s="0" t="n">
        <f aca="false">IFERROR(SMALL(M367:M1087,ROW()-ROW($M$1090)+1),"")</f>
        <v>0</v>
      </c>
      <c r="N1568" s="0" t="n">
        <f aca="false">IFERROR(SMALL(N367:N1087,ROW()-ROW($N$1090)+1),"")</f>
        <v>0</v>
      </c>
    </row>
    <row r="1569" customFormat="false" ht="15" hidden="false" customHeight="false" outlineLevel="0" collapsed="false">
      <c r="E1569" s="0" t="n">
        <f aca="false">IFERROR(SMALL(E367:E1087,ROW()-ROW($E$1090)+1),"")</f>
        <v>0</v>
      </c>
      <c r="F1569" s="0" t="str">
        <f aca="false">IFERROR(SMALL(F367:F1087,ROW()-ROW($F$1090)+1),"")</f>
        <v/>
      </c>
      <c r="G1569" s="0" t="n">
        <f aca="false">IFERROR(SMALL(G367:G1087,ROW()-ROW($G$1090)+1),"")</f>
        <v>0</v>
      </c>
      <c r="H1569" s="0" t="n">
        <f aca="false">IFERROR(SMALL(H367:H1087,ROW()-ROW($H$1090)+1),"")</f>
        <v>0</v>
      </c>
      <c r="K1569" s="0" t="n">
        <f aca="false">IFERROR(SMALL(K367:K1087,ROW()-ROW($K$1090)+1),"")</f>
        <v>0</v>
      </c>
      <c r="L1569" s="0" t="str">
        <f aca="false">IFERROR(SMALL(L367:L1087,ROW()-ROW($L$1090)+1),"")</f>
        <v/>
      </c>
      <c r="M1569" s="0" t="n">
        <f aca="false">IFERROR(SMALL(M367:M1087,ROW()-ROW($M$1090)+1),"")</f>
        <v>0</v>
      </c>
      <c r="N1569" s="0" t="n">
        <f aca="false">IFERROR(SMALL(N367:N1087,ROW()-ROW($N$1090)+1),"")</f>
        <v>0</v>
      </c>
    </row>
    <row r="1570" customFormat="false" ht="15" hidden="false" customHeight="false" outlineLevel="0" collapsed="false">
      <c r="E1570" s="0" t="n">
        <f aca="false">IFERROR(SMALL(E367:E1087,ROW()-ROW($E$1090)+1),"")</f>
        <v>0</v>
      </c>
      <c r="F1570" s="0" t="str">
        <f aca="false">IFERROR(SMALL(F367:F1087,ROW()-ROW($F$1090)+1),"")</f>
        <v/>
      </c>
      <c r="G1570" s="0" t="n">
        <f aca="false">IFERROR(SMALL(G367:G1087,ROW()-ROW($G$1090)+1),"")</f>
        <v>0</v>
      </c>
      <c r="H1570" s="0" t="n">
        <f aca="false">IFERROR(SMALL(H367:H1087,ROW()-ROW($H$1090)+1),"")</f>
        <v>0</v>
      </c>
      <c r="K1570" s="0" t="n">
        <f aca="false">IFERROR(SMALL(K367:K1087,ROW()-ROW($K$1090)+1),"")</f>
        <v>0</v>
      </c>
      <c r="L1570" s="0" t="str">
        <f aca="false">IFERROR(SMALL(L367:L1087,ROW()-ROW($L$1090)+1),"")</f>
        <v/>
      </c>
      <c r="M1570" s="0" t="n">
        <f aca="false">IFERROR(SMALL(M367:M1087,ROW()-ROW($M$1090)+1),"")</f>
        <v>0</v>
      </c>
      <c r="N1570" s="0" t="n">
        <f aca="false">IFERROR(SMALL(N367:N1087,ROW()-ROW($N$1090)+1),"")</f>
        <v>0</v>
      </c>
    </row>
    <row r="1571" customFormat="false" ht="15" hidden="false" customHeight="false" outlineLevel="0" collapsed="false">
      <c r="E1571" s="0" t="n">
        <f aca="false">IFERROR(SMALL(E367:E1087,ROW()-ROW($E$1090)+1),"")</f>
        <v>0</v>
      </c>
      <c r="F1571" s="0" t="str">
        <f aca="false">IFERROR(SMALL(F367:F1087,ROW()-ROW($F$1090)+1),"")</f>
        <v/>
      </c>
      <c r="G1571" s="0" t="n">
        <f aca="false">IFERROR(SMALL(G367:G1087,ROW()-ROW($G$1090)+1),"")</f>
        <v>0</v>
      </c>
      <c r="H1571" s="0" t="n">
        <f aca="false">IFERROR(SMALL(H367:H1087,ROW()-ROW($H$1090)+1),"")</f>
        <v>0</v>
      </c>
      <c r="K1571" s="0" t="n">
        <f aca="false">IFERROR(SMALL(K367:K1087,ROW()-ROW($K$1090)+1),"")</f>
        <v>0</v>
      </c>
      <c r="L1571" s="0" t="str">
        <f aca="false">IFERROR(SMALL(L367:L1087,ROW()-ROW($L$1090)+1),"")</f>
        <v/>
      </c>
      <c r="M1571" s="0" t="n">
        <f aca="false">IFERROR(SMALL(M367:M1087,ROW()-ROW($M$1090)+1),"")</f>
        <v>0</v>
      </c>
      <c r="N1571" s="0" t="n">
        <f aca="false">IFERROR(SMALL(N367:N1087,ROW()-ROW($N$1090)+1),"")</f>
        <v>0</v>
      </c>
    </row>
    <row r="1572" customFormat="false" ht="15" hidden="false" customHeight="false" outlineLevel="0" collapsed="false">
      <c r="E1572" s="0" t="n">
        <f aca="false">IFERROR(SMALL(E367:E1087,ROW()-ROW($E$1090)+1),"")</f>
        <v>0</v>
      </c>
      <c r="F1572" s="0" t="str">
        <f aca="false">IFERROR(SMALL(F367:F1087,ROW()-ROW($F$1090)+1),"")</f>
        <v/>
      </c>
      <c r="G1572" s="0" t="n">
        <f aca="false">IFERROR(SMALL(G367:G1087,ROW()-ROW($G$1090)+1),"")</f>
        <v>0</v>
      </c>
      <c r="H1572" s="0" t="n">
        <f aca="false">IFERROR(SMALL(H367:H1087,ROW()-ROW($H$1090)+1),"")</f>
        <v>0</v>
      </c>
      <c r="K1572" s="0" t="n">
        <f aca="false">IFERROR(SMALL(K367:K1087,ROW()-ROW($K$1090)+1),"")</f>
        <v>0</v>
      </c>
      <c r="L1572" s="0" t="str">
        <f aca="false">IFERROR(SMALL(L367:L1087,ROW()-ROW($L$1090)+1),"")</f>
        <v/>
      </c>
      <c r="M1572" s="0" t="n">
        <f aca="false">IFERROR(SMALL(M367:M1087,ROW()-ROW($M$1090)+1),"")</f>
        <v>0</v>
      </c>
      <c r="N1572" s="0" t="n">
        <f aca="false">IFERROR(SMALL(N367:N1087,ROW()-ROW($N$1090)+1),"")</f>
        <v>0</v>
      </c>
    </row>
    <row r="1573" customFormat="false" ht="15" hidden="false" customHeight="false" outlineLevel="0" collapsed="false">
      <c r="E1573" s="0" t="n">
        <f aca="false">IFERROR(SMALL(E367:E1087,ROW()-ROW($E$1090)+1),"")</f>
        <v>0</v>
      </c>
      <c r="F1573" s="0" t="str">
        <f aca="false">IFERROR(SMALL(F367:F1087,ROW()-ROW($F$1090)+1),"")</f>
        <v/>
      </c>
      <c r="G1573" s="0" t="n">
        <f aca="false">IFERROR(SMALL(G367:G1087,ROW()-ROW($G$1090)+1),"")</f>
        <v>0</v>
      </c>
      <c r="H1573" s="0" t="n">
        <f aca="false">IFERROR(SMALL(H367:H1087,ROW()-ROW($H$1090)+1),"")</f>
        <v>0</v>
      </c>
      <c r="K1573" s="0" t="n">
        <f aca="false">IFERROR(SMALL(K367:K1087,ROW()-ROW($K$1090)+1),"")</f>
        <v>0</v>
      </c>
      <c r="L1573" s="0" t="str">
        <f aca="false">IFERROR(SMALL(L367:L1087,ROW()-ROW($L$1090)+1),"")</f>
        <v/>
      </c>
      <c r="M1573" s="0" t="n">
        <f aca="false">IFERROR(SMALL(M367:M1087,ROW()-ROW($M$1090)+1),"")</f>
        <v>0</v>
      </c>
      <c r="N1573" s="0" t="n">
        <f aca="false">IFERROR(SMALL(N367:N1087,ROW()-ROW($N$1090)+1),"")</f>
        <v>0</v>
      </c>
    </row>
    <row r="1574" customFormat="false" ht="15" hidden="false" customHeight="false" outlineLevel="0" collapsed="false">
      <c r="E1574" s="0" t="n">
        <f aca="false">IFERROR(SMALL(E367:E1087,ROW()-ROW($E$1090)+1),"")</f>
        <v>0</v>
      </c>
      <c r="F1574" s="0" t="str">
        <f aca="false">IFERROR(SMALL(F367:F1087,ROW()-ROW($F$1090)+1),"")</f>
        <v/>
      </c>
      <c r="G1574" s="0" t="n">
        <f aca="false">IFERROR(SMALL(G367:G1087,ROW()-ROW($G$1090)+1),"")</f>
        <v>0</v>
      </c>
      <c r="H1574" s="0" t="n">
        <f aca="false">IFERROR(SMALL(H367:H1087,ROW()-ROW($H$1090)+1),"")</f>
        <v>0</v>
      </c>
      <c r="K1574" s="0" t="n">
        <f aca="false">IFERROR(SMALL(K367:K1087,ROW()-ROW($K$1090)+1),"")</f>
        <v>0</v>
      </c>
      <c r="L1574" s="0" t="str">
        <f aca="false">IFERROR(SMALL(L367:L1087,ROW()-ROW($L$1090)+1),"")</f>
        <v/>
      </c>
      <c r="M1574" s="0" t="n">
        <f aca="false">IFERROR(SMALL(M367:M1087,ROW()-ROW($M$1090)+1),"")</f>
        <v>0</v>
      </c>
      <c r="N1574" s="0" t="n">
        <f aca="false">IFERROR(SMALL(N367:N1087,ROW()-ROW($N$1090)+1),"")</f>
        <v>0</v>
      </c>
    </row>
    <row r="1575" customFormat="false" ht="15" hidden="false" customHeight="false" outlineLevel="0" collapsed="false">
      <c r="E1575" s="0" t="n">
        <f aca="false">IFERROR(SMALL(E367:E1087,ROW()-ROW($E$1090)+1),"")</f>
        <v>0</v>
      </c>
      <c r="F1575" s="0" t="str">
        <f aca="false">IFERROR(SMALL(F367:F1087,ROW()-ROW($F$1090)+1),"")</f>
        <v/>
      </c>
      <c r="G1575" s="0" t="n">
        <f aca="false">IFERROR(SMALL(G367:G1087,ROW()-ROW($G$1090)+1),"")</f>
        <v>0</v>
      </c>
      <c r="H1575" s="0" t="n">
        <f aca="false">IFERROR(SMALL(H367:H1087,ROW()-ROW($H$1090)+1),"")</f>
        <v>0</v>
      </c>
      <c r="K1575" s="0" t="n">
        <f aca="false">IFERROR(SMALL(K367:K1087,ROW()-ROW($K$1090)+1),"")</f>
        <v>0</v>
      </c>
      <c r="L1575" s="0" t="str">
        <f aca="false">IFERROR(SMALL(L367:L1087,ROW()-ROW($L$1090)+1),"")</f>
        <v/>
      </c>
      <c r="M1575" s="0" t="n">
        <f aca="false">IFERROR(SMALL(M367:M1087,ROW()-ROW($M$1090)+1),"")</f>
        <v>0</v>
      </c>
      <c r="N1575" s="0" t="n">
        <f aca="false">IFERROR(SMALL(N367:N1087,ROW()-ROW($N$1090)+1),"")</f>
        <v>0</v>
      </c>
    </row>
    <row r="1576" customFormat="false" ht="15" hidden="false" customHeight="false" outlineLevel="0" collapsed="false">
      <c r="E1576" s="0" t="n">
        <f aca="false">IFERROR(SMALL(E367:E1087,ROW()-ROW($E$1090)+1),"")</f>
        <v>0</v>
      </c>
      <c r="F1576" s="0" t="str">
        <f aca="false">IFERROR(SMALL(F367:F1087,ROW()-ROW($F$1090)+1),"")</f>
        <v/>
      </c>
      <c r="G1576" s="0" t="n">
        <f aca="false">IFERROR(SMALL(G367:G1087,ROW()-ROW($G$1090)+1),"")</f>
        <v>0</v>
      </c>
      <c r="H1576" s="0" t="n">
        <f aca="false">IFERROR(SMALL(H367:H1087,ROW()-ROW($H$1090)+1),"")</f>
        <v>0</v>
      </c>
      <c r="K1576" s="0" t="n">
        <f aca="false">IFERROR(SMALL(K367:K1087,ROW()-ROW($K$1090)+1),"")</f>
        <v>0</v>
      </c>
      <c r="L1576" s="0" t="str">
        <f aca="false">IFERROR(SMALL(L367:L1087,ROW()-ROW($L$1090)+1),"")</f>
        <v/>
      </c>
      <c r="M1576" s="0" t="n">
        <f aca="false">IFERROR(SMALL(M367:M1087,ROW()-ROW($M$1090)+1),"")</f>
        <v>0</v>
      </c>
      <c r="N1576" s="0" t="n">
        <f aca="false">IFERROR(SMALL(N367:N1087,ROW()-ROW($N$1090)+1),"")</f>
        <v>0</v>
      </c>
    </row>
    <row r="1577" customFormat="false" ht="15" hidden="false" customHeight="false" outlineLevel="0" collapsed="false">
      <c r="E1577" s="0" t="n">
        <f aca="false">IFERROR(SMALL(E367:E1087,ROW()-ROW($E$1090)+1),"")</f>
        <v>0</v>
      </c>
      <c r="F1577" s="0" t="str">
        <f aca="false">IFERROR(SMALL(F367:F1087,ROW()-ROW($F$1090)+1),"")</f>
        <v/>
      </c>
      <c r="G1577" s="0" t="n">
        <f aca="false">IFERROR(SMALL(G367:G1087,ROW()-ROW($G$1090)+1),"")</f>
        <v>0</v>
      </c>
      <c r="H1577" s="0" t="n">
        <f aca="false">IFERROR(SMALL(H367:H1087,ROW()-ROW($H$1090)+1),"")</f>
        <v>0</v>
      </c>
      <c r="K1577" s="0" t="n">
        <f aca="false">IFERROR(SMALL(K367:K1087,ROW()-ROW($K$1090)+1),"")</f>
        <v>0</v>
      </c>
      <c r="L1577" s="0" t="str">
        <f aca="false">IFERROR(SMALL(L367:L1087,ROW()-ROW($L$1090)+1),"")</f>
        <v/>
      </c>
      <c r="M1577" s="0" t="n">
        <f aca="false">IFERROR(SMALL(M367:M1087,ROW()-ROW($M$1090)+1),"")</f>
        <v>0</v>
      </c>
      <c r="N1577" s="0" t="n">
        <f aca="false">IFERROR(SMALL(N367:N1087,ROW()-ROW($N$1090)+1),"")</f>
        <v>0</v>
      </c>
    </row>
    <row r="1578" customFormat="false" ht="15" hidden="false" customHeight="false" outlineLevel="0" collapsed="false">
      <c r="E1578" s="0" t="n">
        <f aca="false">IFERROR(SMALL(E367:E1087,ROW()-ROW($E$1090)+1),"")</f>
        <v>0</v>
      </c>
      <c r="F1578" s="0" t="str">
        <f aca="false">IFERROR(SMALL(F367:F1087,ROW()-ROW($F$1090)+1),"")</f>
        <v/>
      </c>
      <c r="G1578" s="0" t="n">
        <f aca="false">IFERROR(SMALL(G367:G1087,ROW()-ROW($G$1090)+1),"")</f>
        <v>0</v>
      </c>
      <c r="H1578" s="0" t="n">
        <f aca="false">IFERROR(SMALL(H367:H1087,ROW()-ROW($H$1090)+1),"")</f>
        <v>0</v>
      </c>
      <c r="K1578" s="0" t="n">
        <f aca="false">IFERROR(SMALL(K367:K1087,ROW()-ROW($K$1090)+1),"")</f>
        <v>0</v>
      </c>
      <c r="L1578" s="0" t="str">
        <f aca="false">IFERROR(SMALL(L367:L1087,ROW()-ROW($L$1090)+1),"")</f>
        <v/>
      </c>
      <c r="M1578" s="0" t="n">
        <f aca="false">IFERROR(SMALL(M367:M1087,ROW()-ROW($M$1090)+1),"")</f>
        <v>0</v>
      </c>
      <c r="N1578" s="0" t="n">
        <f aca="false">IFERROR(SMALL(N367:N1087,ROW()-ROW($N$1090)+1),"")</f>
        <v>0</v>
      </c>
    </row>
    <row r="1579" customFormat="false" ht="15" hidden="false" customHeight="false" outlineLevel="0" collapsed="false">
      <c r="E1579" s="0" t="n">
        <f aca="false">IFERROR(SMALL(E367:E1087,ROW()-ROW($E$1090)+1),"")</f>
        <v>0</v>
      </c>
      <c r="F1579" s="0" t="str">
        <f aca="false">IFERROR(SMALL(F367:F1087,ROW()-ROW($F$1090)+1),"")</f>
        <v/>
      </c>
      <c r="G1579" s="0" t="n">
        <f aca="false">IFERROR(SMALL(G367:G1087,ROW()-ROW($G$1090)+1),"")</f>
        <v>0</v>
      </c>
      <c r="H1579" s="0" t="n">
        <f aca="false">IFERROR(SMALL(H367:H1087,ROW()-ROW($H$1090)+1),"")</f>
        <v>0</v>
      </c>
      <c r="K1579" s="0" t="n">
        <f aca="false">IFERROR(SMALL(K367:K1087,ROW()-ROW($K$1090)+1),"")</f>
        <v>0</v>
      </c>
      <c r="L1579" s="0" t="str">
        <f aca="false">IFERROR(SMALL(L367:L1087,ROW()-ROW($L$1090)+1),"")</f>
        <v/>
      </c>
      <c r="M1579" s="0" t="n">
        <f aca="false">IFERROR(SMALL(M367:M1087,ROW()-ROW($M$1090)+1),"")</f>
        <v>0</v>
      </c>
      <c r="N1579" s="0" t="n">
        <f aca="false">IFERROR(SMALL(N367:N1087,ROW()-ROW($N$1090)+1),"")</f>
        <v>0</v>
      </c>
    </row>
    <row r="1580" customFormat="false" ht="15" hidden="false" customHeight="false" outlineLevel="0" collapsed="false">
      <c r="E1580" s="0" t="n">
        <f aca="false">IFERROR(SMALL(E367:E1087,ROW()-ROW($E$1090)+1),"")</f>
        <v>0</v>
      </c>
      <c r="F1580" s="0" t="str">
        <f aca="false">IFERROR(SMALL(F367:F1087,ROW()-ROW($F$1090)+1),"")</f>
        <v/>
      </c>
      <c r="G1580" s="0" t="n">
        <f aca="false">IFERROR(SMALL(G367:G1087,ROW()-ROW($G$1090)+1),"")</f>
        <v>0</v>
      </c>
      <c r="H1580" s="0" t="n">
        <f aca="false">IFERROR(SMALL(H367:H1087,ROW()-ROW($H$1090)+1),"")</f>
        <v>0</v>
      </c>
      <c r="K1580" s="0" t="n">
        <f aca="false">IFERROR(SMALL(K367:K1087,ROW()-ROW($K$1090)+1),"")</f>
        <v>0</v>
      </c>
      <c r="L1580" s="0" t="str">
        <f aca="false">IFERROR(SMALL(L367:L1087,ROW()-ROW($L$1090)+1),"")</f>
        <v/>
      </c>
      <c r="M1580" s="0" t="n">
        <f aca="false">IFERROR(SMALL(M367:M1087,ROW()-ROW($M$1090)+1),"")</f>
        <v>0</v>
      </c>
      <c r="N1580" s="0" t="n">
        <f aca="false">IFERROR(SMALL(N367:N1087,ROW()-ROW($N$1090)+1),"")</f>
        <v>0</v>
      </c>
    </row>
    <row r="1581" customFormat="false" ht="15" hidden="false" customHeight="false" outlineLevel="0" collapsed="false">
      <c r="E1581" s="0" t="n">
        <f aca="false">IFERROR(SMALL(E367:E1087,ROW()-ROW($E$1090)+1),"")</f>
        <v>0</v>
      </c>
      <c r="F1581" s="0" t="str">
        <f aca="false">IFERROR(SMALL(F367:F1087,ROW()-ROW($F$1090)+1),"")</f>
        <v/>
      </c>
      <c r="G1581" s="0" t="n">
        <f aca="false">IFERROR(SMALL(G367:G1087,ROW()-ROW($G$1090)+1),"")</f>
        <v>0</v>
      </c>
      <c r="H1581" s="0" t="n">
        <f aca="false">IFERROR(SMALL(H367:H1087,ROW()-ROW($H$1090)+1),"")</f>
        <v>0</v>
      </c>
      <c r="K1581" s="0" t="n">
        <f aca="false">IFERROR(SMALL(K367:K1087,ROW()-ROW($K$1090)+1),"")</f>
        <v>0</v>
      </c>
      <c r="L1581" s="0" t="str">
        <f aca="false">IFERROR(SMALL(L367:L1087,ROW()-ROW($L$1090)+1),"")</f>
        <v/>
      </c>
      <c r="M1581" s="0" t="n">
        <f aca="false">IFERROR(SMALL(M367:M1087,ROW()-ROW($M$1090)+1),"")</f>
        <v>0</v>
      </c>
      <c r="N1581" s="0" t="n">
        <f aca="false">IFERROR(SMALL(N367:N1087,ROW()-ROW($N$1090)+1),"")</f>
        <v>0</v>
      </c>
    </row>
    <row r="1582" customFormat="false" ht="15" hidden="false" customHeight="false" outlineLevel="0" collapsed="false">
      <c r="E1582" s="0" t="n">
        <f aca="false">IFERROR(SMALL(E367:E1087,ROW()-ROW($E$1090)+1),"")</f>
        <v>0</v>
      </c>
      <c r="F1582" s="0" t="str">
        <f aca="false">IFERROR(SMALL(F367:F1087,ROW()-ROW($F$1090)+1),"")</f>
        <v/>
      </c>
      <c r="G1582" s="0" t="n">
        <f aca="false">IFERROR(SMALL(G367:G1087,ROW()-ROW($G$1090)+1),"")</f>
        <v>0</v>
      </c>
      <c r="H1582" s="0" t="n">
        <f aca="false">IFERROR(SMALL(H367:H1087,ROW()-ROW($H$1090)+1),"")</f>
        <v>0</v>
      </c>
      <c r="K1582" s="0" t="n">
        <f aca="false">IFERROR(SMALL(K367:K1087,ROW()-ROW($K$1090)+1),"")</f>
        <v>0</v>
      </c>
      <c r="L1582" s="0" t="str">
        <f aca="false">IFERROR(SMALL(L367:L1087,ROW()-ROW($L$1090)+1),"")</f>
        <v/>
      </c>
      <c r="M1582" s="0" t="n">
        <f aca="false">IFERROR(SMALL(M367:M1087,ROW()-ROW($M$1090)+1),"")</f>
        <v>0</v>
      </c>
      <c r="N1582" s="0" t="n">
        <f aca="false">IFERROR(SMALL(N367:N1087,ROW()-ROW($N$1090)+1),"")</f>
        <v>0</v>
      </c>
    </row>
    <row r="1583" customFormat="false" ht="15" hidden="false" customHeight="false" outlineLevel="0" collapsed="false">
      <c r="E1583" s="0" t="n">
        <f aca="false">IFERROR(SMALL(E367:E1087,ROW()-ROW($E$1090)+1),"")</f>
        <v>0</v>
      </c>
      <c r="F1583" s="0" t="str">
        <f aca="false">IFERROR(SMALL(F367:F1087,ROW()-ROW($F$1090)+1),"")</f>
        <v/>
      </c>
      <c r="G1583" s="0" t="n">
        <f aca="false">IFERROR(SMALL(G367:G1087,ROW()-ROW($G$1090)+1),"")</f>
        <v>0</v>
      </c>
      <c r="H1583" s="0" t="n">
        <f aca="false">IFERROR(SMALL(H367:H1087,ROW()-ROW($H$1090)+1),"")</f>
        <v>0</v>
      </c>
      <c r="K1583" s="0" t="n">
        <f aca="false">IFERROR(SMALL(K367:K1087,ROW()-ROW($K$1090)+1),"")</f>
        <v>0</v>
      </c>
      <c r="L1583" s="0" t="str">
        <f aca="false">IFERROR(SMALL(L367:L1087,ROW()-ROW($L$1090)+1),"")</f>
        <v/>
      </c>
      <c r="M1583" s="0" t="n">
        <f aca="false">IFERROR(SMALL(M367:M1087,ROW()-ROW($M$1090)+1),"")</f>
        <v>0</v>
      </c>
      <c r="N1583" s="0" t="n">
        <f aca="false">IFERROR(SMALL(N367:N1087,ROW()-ROW($N$1090)+1),"")</f>
        <v>0</v>
      </c>
    </row>
    <row r="1584" customFormat="false" ht="15" hidden="false" customHeight="false" outlineLevel="0" collapsed="false">
      <c r="E1584" s="0" t="n">
        <f aca="false">IFERROR(SMALL(E367:E1087,ROW()-ROW($E$1090)+1),"")</f>
        <v>0</v>
      </c>
      <c r="F1584" s="0" t="str">
        <f aca="false">IFERROR(SMALL(F367:F1087,ROW()-ROW($F$1090)+1),"")</f>
        <v/>
      </c>
      <c r="G1584" s="0" t="n">
        <f aca="false">IFERROR(SMALL(G367:G1087,ROW()-ROW($G$1090)+1),"")</f>
        <v>0</v>
      </c>
      <c r="H1584" s="0" t="n">
        <f aca="false">IFERROR(SMALL(H367:H1087,ROW()-ROW($H$1090)+1),"")</f>
        <v>0</v>
      </c>
      <c r="K1584" s="0" t="n">
        <f aca="false">IFERROR(SMALL(K367:K1087,ROW()-ROW($K$1090)+1),"")</f>
        <v>0</v>
      </c>
      <c r="L1584" s="0" t="str">
        <f aca="false">IFERROR(SMALL(L367:L1087,ROW()-ROW($L$1090)+1),"")</f>
        <v/>
      </c>
      <c r="M1584" s="0" t="n">
        <f aca="false">IFERROR(SMALL(M367:M1087,ROW()-ROW($M$1090)+1),"")</f>
        <v>0</v>
      </c>
      <c r="N1584" s="0" t="n">
        <f aca="false">IFERROR(SMALL(N367:N1087,ROW()-ROW($N$1090)+1),"")</f>
        <v>0</v>
      </c>
    </row>
    <row r="1585" customFormat="false" ht="15" hidden="false" customHeight="false" outlineLevel="0" collapsed="false">
      <c r="E1585" s="0" t="n">
        <f aca="false">IFERROR(SMALL(E367:E1087,ROW()-ROW($E$1090)+1),"")</f>
        <v>0</v>
      </c>
      <c r="F1585" s="0" t="str">
        <f aca="false">IFERROR(SMALL(F367:F1087,ROW()-ROW($F$1090)+1),"")</f>
        <v/>
      </c>
      <c r="G1585" s="0" t="n">
        <f aca="false">IFERROR(SMALL(G367:G1087,ROW()-ROW($G$1090)+1),"")</f>
        <v>0</v>
      </c>
      <c r="H1585" s="0" t="n">
        <f aca="false">IFERROR(SMALL(H367:H1087,ROW()-ROW($H$1090)+1),"")</f>
        <v>0</v>
      </c>
      <c r="K1585" s="0" t="n">
        <f aca="false">IFERROR(SMALL(K367:K1087,ROW()-ROW($K$1090)+1),"")</f>
        <v>0</v>
      </c>
      <c r="L1585" s="0" t="str">
        <f aca="false">IFERROR(SMALL(L367:L1087,ROW()-ROW($L$1090)+1),"")</f>
        <v/>
      </c>
      <c r="M1585" s="0" t="n">
        <f aca="false">IFERROR(SMALL(M367:M1087,ROW()-ROW($M$1090)+1),"")</f>
        <v>0</v>
      </c>
      <c r="N1585" s="0" t="n">
        <f aca="false">IFERROR(SMALL(N367:N1087,ROW()-ROW($N$1090)+1),"")</f>
        <v>0</v>
      </c>
    </row>
    <row r="1586" customFormat="false" ht="15" hidden="false" customHeight="false" outlineLevel="0" collapsed="false">
      <c r="E1586" s="0" t="n">
        <f aca="false">IFERROR(SMALL(E367:E1087,ROW()-ROW($E$1090)+1),"")</f>
        <v>0</v>
      </c>
      <c r="F1586" s="0" t="str">
        <f aca="false">IFERROR(SMALL(F367:F1087,ROW()-ROW($F$1090)+1),"")</f>
        <v/>
      </c>
      <c r="G1586" s="0" t="n">
        <f aca="false">IFERROR(SMALL(G367:G1087,ROW()-ROW($G$1090)+1),"")</f>
        <v>0</v>
      </c>
      <c r="H1586" s="0" t="n">
        <f aca="false">IFERROR(SMALL(H367:H1087,ROW()-ROW($H$1090)+1),"")</f>
        <v>0</v>
      </c>
      <c r="K1586" s="0" t="n">
        <f aca="false">IFERROR(SMALL(K367:K1087,ROW()-ROW($K$1090)+1),"")</f>
        <v>0</v>
      </c>
      <c r="L1586" s="0" t="str">
        <f aca="false">IFERROR(SMALL(L367:L1087,ROW()-ROW($L$1090)+1),"")</f>
        <v/>
      </c>
      <c r="M1586" s="0" t="n">
        <f aca="false">IFERROR(SMALL(M367:M1087,ROW()-ROW($M$1090)+1),"")</f>
        <v>0</v>
      </c>
      <c r="N1586" s="0" t="n">
        <f aca="false">IFERROR(SMALL(N367:N1087,ROW()-ROW($N$1090)+1),"")</f>
        <v>0</v>
      </c>
    </row>
    <row r="1587" customFormat="false" ht="15" hidden="false" customHeight="false" outlineLevel="0" collapsed="false">
      <c r="E1587" s="0" t="n">
        <f aca="false">IFERROR(SMALL(E367:E1087,ROW()-ROW($E$1090)+1),"")</f>
        <v>0</v>
      </c>
      <c r="F1587" s="0" t="str">
        <f aca="false">IFERROR(SMALL(F367:F1087,ROW()-ROW($F$1090)+1),"")</f>
        <v/>
      </c>
      <c r="G1587" s="0" t="n">
        <f aca="false">IFERROR(SMALL(G367:G1087,ROW()-ROW($G$1090)+1),"")</f>
        <v>0</v>
      </c>
      <c r="H1587" s="0" t="n">
        <f aca="false">IFERROR(SMALL(H367:H1087,ROW()-ROW($H$1090)+1),"")</f>
        <v>0</v>
      </c>
      <c r="K1587" s="0" t="n">
        <f aca="false">IFERROR(SMALL(K367:K1087,ROW()-ROW($K$1090)+1),"")</f>
        <v>0</v>
      </c>
      <c r="L1587" s="0" t="str">
        <f aca="false">IFERROR(SMALL(L367:L1087,ROW()-ROW($L$1090)+1),"")</f>
        <v/>
      </c>
      <c r="M1587" s="0" t="n">
        <f aca="false">IFERROR(SMALL(M367:M1087,ROW()-ROW($M$1090)+1),"")</f>
        <v>0</v>
      </c>
      <c r="N1587" s="0" t="n">
        <f aca="false">IFERROR(SMALL(N367:N1087,ROW()-ROW($N$1090)+1),"")</f>
        <v>0</v>
      </c>
    </row>
    <row r="1588" customFormat="false" ht="15" hidden="false" customHeight="false" outlineLevel="0" collapsed="false">
      <c r="E1588" s="0" t="n">
        <f aca="false">IFERROR(SMALL(E367:E1087,ROW()-ROW($E$1090)+1),"")</f>
        <v>0</v>
      </c>
      <c r="F1588" s="0" t="str">
        <f aca="false">IFERROR(SMALL(F367:F1087,ROW()-ROW($F$1090)+1),"")</f>
        <v/>
      </c>
      <c r="G1588" s="0" t="n">
        <f aca="false">IFERROR(SMALL(G367:G1087,ROW()-ROW($G$1090)+1),"")</f>
        <v>0</v>
      </c>
      <c r="H1588" s="0" t="n">
        <f aca="false">IFERROR(SMALL(H367:H1087,ROW()-ROW($H$1090)+1),"")</f>
        <v>0</v>
      </c>
      <c r="K1588" s="0" t="n">
        <f aca="false">IFERROR(SMALL(K367:K1087,ROW()-ROW($K$1090)+1),"")</f>
        <v>0</v>
      </c>
      <c r="L1588" s="0" t="str">
        <f aca="false">IFERROR(SMALL(L367:L1087,ROW()-ROW($L$1090)+1),"")</f>
        <v/>
      </c>
      <c r="M1588" s="0" t="n">
        <f aca="false">IFERROR(SMALL(M367:M1087,ROW()-ROW($M$1090)+1),"")</f>
        <v>0</v>
      </c>
      <c r="N1588" s="0" t="n">
        <f aca="false">IFERROR(SMALL(N367:N1087,ROW()-ROW($N$1090)+1),"")</f>
        <v>0</v>
      </c>
    </row>
    <row r="1589" customFormat="false" ht="15" hidden="false" customHeight="false" outlineLevel="0" collapsed="false">
      <c r="E1589" s="0" t="n">
        <f aca="false">IFERROR(SMALL(E367:E1087,ROW()-ROW($E$1090)+1),"")</f>
        <v>0</v>
      </c>
      <c r="F1589" s="0" t="str">
        <f aca="false">IFERROR(SMALL(F367:F1087,ROW()-ROW($F$1090)+1),"")</f>
        <v/>
      </c>
      <c r="G1589" s="0" t="n">
        <f aca="false">IFERROR(SMALL(G367:G1087,ROW()-ROW($G$1090)+1),"")</f>
        <v>0</v>
      </c>
      <c r="H1589" s="0" t="n">
        <f aca="false">IFERROR(SMALL(H367:H1087,ROW()-ROW($H$1090)+1),"")</f>
        <v>0</v>
      </c>
      <c r="K1589" s="0" t="n">
        <f aca="false">IFERROR(SMALL(K367:K1087,ROW()-ROW($K$1090)+1),"")</f>
        <v>0</v>
      </c>
      <c r="L1589" s="0" t="str">
        <f aca="false">IFERROR(SMALL(L367:L1087,ROW()-ROW($L$1090)+1),"")</f>
        <v/>
      </c>
      <c r="M1589" s="0" t="n">
        <f aca="false">IFERROR(SMALL(M367:M1087,ROW()-ROW($M$1090)+1),"")</f>
        <v>0</v>
      </c>
      <c r="N1589" s="0" t="n">
        <f aca="false">IFERROR(SMALL(N367:N1087,ROW()-ROW($N$1090)+1),"")</f>
        <v>0</v>
      </c>
    </row>
    <row r="1590" customFormat="false" ht="15" hidden="false" customHeight="false" outlineLevel="0" collapsed="false">
      <c r="E1590" s="0" t="n">
        <f aca="false">IFERROR(SMALL(E367:E1087,ROW()-ROW($E$1090)+1),"")</f>
        <v>0</v>
      </c>
      <c r="F1590" s="0" t="str">
        <f aca="false">IFERROR(SMALL(F367:F1087,ROW()-ROW($F$1090)+1),"")</f>
        <v/>
      </c>
      <c r="G1590" s="0" t="n">
        <f aca="false">IFERROR(SMALL(G367:G1087,ROW()-ROW($G$1090)+1),"")</f>
        <v>0</v>
      </c>
      <c r="H1590" s="0" t="n">
        <f aca="false">IFERROR(SMALL(H367:H1087,ROW()-ROW($H$1090)+1),"")</f>
        <v>0</v>
      </c>
      <c r="K1590" s="0" t="n">
        <f aca="false">IFERROR(SMALL(K367:K1087,ROW()-ROW($K$1090)+1),"")</f>
        <v>0</v>
      </c>
      <c r="L1590" s="0" t="str">
        <f aca="false">IFERROR(SMALL(L367:L1087,ROW()-ROW($L$1090)+1),"")</f>
        <v/>
      </c>
      <c r="M1590" s="0" t="n">
        <f aca="false">IFERROR(SMALL(M367:M1087,ROW()-ROW($M$1090)+1),"")</f>
        <v>0</v>
      </c>
      <c r="N1590" s="0" t="n">
        <f aca="false">IFERROR(SMALL(N367:N1087,ROW()-ROW($N$1090)+1),"")</f>
        <v>0</v>
      </c>
    </row>
    <row r="1591" customFormat="false" ht="15" hidden="false" customHeight="false" outlineLevel="0" collapsed="false">
      <c r="E1591" s="0" t="n">
        <f aca="false">IFERROR(SMALL(E367:E1087,ROW()-ROW($E$1090)+1),"")</f>
        <v>0</v>
      </c>
      <c r="F1591" s="0" t="str">
        <f aca="false">IFERROR(SMALL(F367:F1087,ROW()-ROW($F$1090)+1),"")</f>
        <v/>
      </c>
      <c r="G1591" s="0" t="n">
        <f aca="false">IFERROR(SMALL(G367:G1087,ROW()-ROW($G$1090)+1),"")</f>
        <v>0</v>
      </c>
      <c r="H1591" s="0" t="n">
        <f aca="false">IFERROR(SMALL(H367:H1087,ROW()-ROW($H$1090)+1),"")</f>
        <v>0</v>
      </c>
      <c r="K1591" s="0" t="n">
        <f aca="false">IFERROR(SMALL(K367:K1087,ROW()-ROW($K$1090)+1),"")</f>
        <v>0</v>
      </c>
      <c r="L1591" s="0" t="str">
        <f aca="false">IFERROR(SMALL(L367:L1087,ROW()-ROW($L$1090)+1),"")</f>
        <v/>
      </c>
      <c r="M1591" s="0" t="n">
        <f aca="false">IFERROR(SMALL(M367:M1087,ROW()-ROW($M$1090)+1),"")</f>
        <v>0</v>
      </c>
      <c r="N1591" s="0" t="n">
        <f aca="false">IFERROR(SMALL(N367:N1087,ROW()-ROW($N$1090)+1),"")</f>
        <v>0</v>
      </c>
    </row>
    <row r="1592" customFormat="false" ht="15" hidden="false" customHeight="false" outlineLevel="0" collapsed="false">
      <c r="E1592" s="0" t="n">
        <f aca="false">IFERROR(SMALL(E367:E1087,ROW()-ROW($E$1090)+1),"")</f>
        <v>0</v>
      </c>
      <c r="F1592" s="0" t="str">
        <f aca="false">IFERROR(SMALL(F367:F1087,ROW()-ROW($F$1090)+1),"")</f>
        <v/>
      </c>
      <c r="G1592" s="0" t="n">
        <f aca="false">IFERROR(SMALL(G367:G1087,ROW()-ROW($G$1090)+1),"")</f>
        <v>0</v>
      </c>
      <c r="H1592" s="0" t="n">
        <f aca="false">IFERROR(SMALL(H367:H1087,ROW()-ROW($H$1090)+1),"")</f>
        <v>0</v>
      </c>
      <c r="K1592" s="0" t="n">
        <f aca="false">IFERROR(SMALL(K367:K1087,ROW()-ROW($K$1090)+1),"")</f>
        <v>0</v>
      </c>
      <c r="L1592" s="0" t="str">
        <f aca="false">IFERROR(SMALL(L367:L1087,ROW()-ROW($L$1090)+1),"")</f>
        <v/>
      </c>
      <c r="M1592" s="0" t="n">
        <f aca="false">IFERROR(SMALL(M367:M1087,ROW()-ROW($M$1090)+1),"")</f>
        <v>0</v>
      </c>
      <c r="N1592" s="0" t="n">
        <f aca="false">IFERROR(SMALL(N367:N1087,ROW()-ROW($N$1090)+1),"")</f>
        <v>0</v>
      </c>
    </row>
    <row r="1593" customFormat="false" ht="15" hidden="false" customHeight="false" outlineLevel="0" collapsed="false">
      <c r="E1593" s="0" t="n">
        <f aca="false">IFERROR(SMALL(E367:E1087,ROW()-ROW($E$1090)+1),"")</f>
        <v>0</v>
      </c>
      <c r="F1593" s="0" t="str">
        <f aca="false">IFERROR(SMALL(F367:F1087,ROW()-ROW($F$1090)+1),"")</f>
        <v/>
      </c>
      <c r="G1593" s="0" t="n">
        <f aca="false">IFERROR(SMALL(G367:G1087,ROW()-ROW($G$1090)+1),"")</f>
        <v>0</v>
      </c>
      <c r="H1593" s="0" t="n">
        <f aca="false">IFERROR(SMALL(H367:H1087,ROW()-ROW($H$1090)+1),"")</f>
        <v>0</v>
      </c>
      <c r="K1593" s="0" t="n">
        <f aca="false">IFERROR(SMALL(K367:K1087,ROW()-ROW($K$1090)+1),"")</f>
        <v>0</v>
      </c>
      <c r="L1593" s="0" t="str">
        <f aca="false">IFERROR(SMALL(L367:L1087,ROW()-ROW($L$1090)+1),"")</f>
        <v/>
      </c>
      <c r="M1593" s="0" t="n">
        <f aca="false">IFERROR(SMALL(M367:M1087,ROW()-ROW($M$1090)+1),"")</f>
        <v>0</v>
      </c>
      <c r="N1593" s="0" t="n">
        <f aca="false">IFERROR(SMALL(N367:N1087,ROW()-ROW($N$1090)+1),"")</f>
        <v>0</v>
      </c>
    </row>
    <row r="1594" customFormat="false" ht="15" hidden="false" customHeight="false" outlineLevel="0" collapsed="false">
      <c r="E1594" s="0" t="n">
        <f aca="false">IFERROR(SMALL(E367:E1087,ROW()-ROW($E$1090)+1),"")</f>
        <v>0</v>
      </c>
      <c r="F1594" s="0" t="str">
        <f aca="false">IFERROR(SMALL(F367:F1087,ROW()-ROW($F$1090)+1),"")</f>
        <v/>
      </c>
      <c r="G1594" s="0" t="n">
        <f aca="false">IFERROR(SMALL(G367:G1087,ROW()-ROW($G$1090)+1),"")</f>
        <v>0</v>
      </c>
      <c r="H1594" s="0" t="n">
        <f aca="false">IFERROR(SMALL(H367:H1087,ROW()-ROW($H$1090)+1),"")</f>
        <v>0</v>
      </c>
      <c r="K1594" s="0" t="n">
        <f aca="false">IFERROR(SMALL(K367:K1087,ROW()-ROW($K$1090)+1),"")</f>
        <v>0</v>
      </c>
      <c r="L1594" s="0" t="str">
        <f aca="false">IFERROR(SMALL(L367:L1087,ROW()-ROW($L$1090)+1),"")</f>
        <v/>
      </c>
      <c r="M1594" s="0" t="n">
        <f aca="false">IFERROR(SMALL(M367:M1087,ROW()-ROW($M$1090)+1),"")</f>
        <v>0</v>
      </c>
      <c r="N1594" s="0" t="n">
        <f aca="false">IFERROR(SMALL(N367:N1087,ROW()-ROW($N$1090)+1),"")</f>
        <v>0</v>
      </c>
    </row>
    <row r="1595" customFormat="false" ht="15" hidden="false" customHeight="false" outlineLevel="0" collapsed="false">
      <c r="E1595" s="0" t="n">
        <f aca="false">IFERROR(SMALL(E367:E1087,ROW()-ROW($E$1090)+1),"")</f>
        <v>0</v>
      </c>
      <c r="F1595" s="0" t="str">
        <f aca="false">IFERROR(SMALL(F367:F1087,ROW()-ROW($F$1090)+1),"")</f>
        <v/>
      </c>
      <c r="G1595" s="0" t="n">
        <f aca="false">IFERROR(SMALL(G367:G1087,ROW()-ROW($G$1090)+1),"")</f>
        <v>0</v>
      </c>
      <c r="H1595" s="0" t="n">
        <f aca="false">IFERROR(SMALL(H367:H1087,ROW()-ROW($H$1090)+1),"")</f>
        <v>0</v>
      </c>
      <c r="K1595" s="0" t="n">
        <f aca="false">IFERROR(SMALL(K367:K1087,ROW()-ROW($K$1090)+1),"")</f>
        <v>0</v>
      </c>
      <c r="L1595" s="0" t="str">
        <f aca="false">IFERROR(SMALL(L367:L1087,ROW()-ROW($L$1090)+1),"")</f>
        <v/>
      </c>
      <c r="M1595" s="0" t="n">
        <f aca="false">IFERROR(SMALL(M367:M1087,ROW()-ROW($M$1090)+1),"")</f>
        <v>0</v>
      </c>
      <c r="N1595" s="0" t="n">
        <f aca="false">IFERROR(SMALL(N367:N1087,ROW()-ROW($N$1090)+1),"")</f>
        <v>0</v>
      </c>
    </row>
    <row r="1596" customFormat="false" ht="15" hidden="false" customHeight="false" outlineLevel="0" collapsed="false">
      <c r="E1596" s="0" t="n">
        <f aca="false">IFERROR(SMALL(E367:E1087,ROW()-ROW($E$1090)+1),"")</f>
        <v>0</v>
      </c>
      <c r="F1596" s="0" t="str">
        <f aca="false">IFERROR(SMALL(F367:F1087,ROW()-ROW($F$1090)+1),"")</f>
        <v/>
      </c>
      <c r="G1596" s="0" t="n">
        <f aca="false">IFERROR(SMALL(G367:G1087,ROW()-ROW($G$1090)+1),"")</f>
        <v>0</v>
      </c>
      <c r="H1596" s="0" t="n">
        <f aca="false">IFERROR(SMALL(H367:H1087,ROW()-ROW($H$1090)+1),"")</f>
        <v>0</v>
      </c>
      <c r="K1596" s="0" t="n">
        <f aca="false">IFERROR(SMALL(K367:K1087,ROW()-ROW($K$1090)+1),"")</f>
        <v>0</v>
      </c>
      <c r="L1596" s="0" t="str">
        <f aca="false">IFERROR(SMALL(L367:L1087,ROW()-ROW($L$1090)+1),"")</f>
        <v/>
      </c>
      <c r="M1596" s="0" t="n">
        <f aca="false">IFERROR(SMALL(M367:M1087,ROW()-ROW($M$1090)+1),"")</f>
        <v>0</v>
      </c>
      <c r="N1596" s="0" t="n">
        <f aca="false">IFERROR(SMALL(N367:N1087,ROW()-ROW($N$1090)+1),"")</f>
        <v>0</v>
      </c>
    </row>
    <row r="1597" customFormat="false" ht="15" hidden="false" customHeight="false" outlineLevel="0" collapsed="false">
      <c r="E1597" s="0" t="n">
        <f aca="false">IFERROR(SMALL(E367:E1087,ROW()-ROW($E$1090)+1),"")</f>
        <v>0</v>
      </c>
      <c r="F1597" s="0" t="str">
        <f aca="false">IFERROR(SMALL(F367:F1087,ROW()-ROW($F$1090)+1),"")</f>
        <v/>
      </c>
      <c r="G1597" s="0" t="n">
        <f aca="false">IFERROR(SMALL(G367:G1087,ROW()-ROW($G$1090)+1),"")</f>
        <v>0</v>
      </c>
      <c r="H1597" s="0" t="n">
        <f aca="false">IFERROR(SMALL(H367:H1087,ROW()-ROW($H$1090)+1),"")</f>
        <v>0</v>
      </c>
      <c r="K1597" s="0" t="n">
        <f aca="false">IFERROR(SMALL(K367:K1087,ROW()-ROW($K$1090)+1),"")</f>
        <v>0</v>
      </c>
      <c r="L1597" s="0" t="str">
        <f aca="false">IFERROR(SMALL(L367:L1087,ROW()-ROW($L$1090)+1),"")</f>
        <v/>
      </c>
      <c r="M1597" s="0" t="n">
        <f aca="false">IFERROR(SMALL(M367:M1087,ROW()-ROW($M$1090)+1),"")</f>
        <v>0</v>
      </c>
      <c r="N1597" s="0" t="n">
        <f aca="false">IFERROR(SMALL(N367:N1087,ROW()-ROW($N$1090)+1),"")</f>
        <v>0</v>
      </c>
    </row>
    <row r="1598" customFormat="false" ht="15" hidden="false" customHeight="false" outlineLevel="0" collapsed="false">
      <c r="E1598" s="0" t="n">
        <f aca="false">IFERROR(SMALL(E367:E1087,ROW()-ROW($E$1090)+1),"")</f>
        <v>0</v>
      </c>
      <c r="F1598" s="0" t="str">
        <f aca="false">IFERROR(SMALL(F367:F1087,ROW()-ROW($F$1090)+1),"")</f>
        <v/>
      </c>
      <c r="G1598" s="0" t="n">
        <f aca="false">IFERROR(SMALL(G367:G1087,ROW()-ROW($G$1090)+1),"")</f>
        <v>0</v>
      </c>
      <c r="H1598" s="0" t="n">
        <f aca="false">IFERROR(SMALL(H367:H1087,ROW()-ROW($H$1090)+1),"")</f>
        <v>0</v>
      </c>
      <c r="K1598" s="0" t="n">
        <f aca="false">IFERROR(SMALL(K367:K1087,ROW()-ROW($K$1090)+1),"")</f>
        <v>0</v>
      </c>
      <c r="L1598" s="0" t="str">
        <f aca="false">IFERROR(SMALL(L367:L1087,ROW()-ROW($L$1090)+1),"")</f>
        <v/>
      </c>
      <c r="M1598" s="0" t="n">
        <f aca="false">IFERROR(SMALL(M367:M1087,ROW()-ROW($M$1090)+1),"")</f>
        <v>0</v>
      </c>
      <c r="N1598" s="0" t="n">
        <f aca="false">IFERROR(SMALL(N367:N1087,ROW()-ROW($N$1090)+1),"")</f>
        <v>0</v>
      </c>
    </row>
    <row r="1599" customFormat="false" ht="15" hidden="false" customHeight="false" outlineLevel="0" collapsed="false">
      <c r="E1599" s="0" t="n">
        <f aca="false">IFERROR(SMALL(E367:E1087,ROW()-ROW($E$1090)+1),"")</f>
        <v>0</v>
      </c>
      <c r="F1599" s="0" t="str">
        <f aca="false">IFERROR(SMALL(F367:F1087,ROW()-ROW($F$1090)+1),"")</f>
        <v/>
      </c>
      <c r="G1599" s="0" t="n">
        <f aca="false">IFERROR(SMALL(G367:G1087,ROW()-ROW($G$1090)+1),"")</f>
        <v>0</v>
      </c>
      <c r="H1599" s="0" t="n">
        <f aca="false">IFERROR(SMALL(H367:H1087,ROW()-ROW($H$1090)+1),"")</f>
        <v>0</v>
      </c>
      <c r="K1599" s="0" t="n">
        <f aca="false">IFERROR(SMALL(K367:K1087,ROW()-ROW($K$1090)+1),"")</f>
        <v>0</v>
      </c>
      <c r="L1599" s="0" t="str">
        <f aca="false">IFERROR(SMALL(L367:L1087,ROW()-ROW($L$1090)+1),"")</f>
        <v/>
      </c>
      <c r="M1599" s="0" t="n">
        <f aca="false">IFERROR(SMALL(M367:M1087,ROW()-ROW($M$1090)+1),"")</f>
        <v>0</v>
      </c>
      <c r="N1599" s="0" t="n">
        <f aca="false">IFERROR(SMALL(N367:N1087,ROW()-ROW($N$1090)+1),"")</f>
        <v>0</v>
      </c>
    </row>
    <row r="1600" customFormat="false" ht="15" hidden="false" customHeight="false" outlineLevel="0" collapsed="false">
      <c r="E1600" s="0" t="n">
        <f aca="false">IFERROR(SMALL(E367:E1087,ROW()-ROW($E$1090)+1),"")</f>
        <v>0</v>
      </c>
      <c r="F1600" s="0" t="str">
        <f aca="false">IFERROR(SMALL(F367:F1087,ROW()-ROW($F$1090)+1),"")</f>
        <v/>
      </c>
      <c r="G1600" s="0" t="n">
        <f aca="false">IFERROR(SMALL(G367:G1087,ROW()-ROW($G$1090)+1),"")</f>
        <v>0</v>
      </c>
      <c r="H1600" s="0" t="n">
        <f aca="false">IFERROR(SMALL(H367:H1087,ROW()-ROW($H$1090)+1),"")</f>
        <v>0</v>
      </c>
      <c r="K1600" s="0" t="n">
        <f aca="false">IFERROR(SMALL(K367:K1087,ROW()-ROW($K$1090)+1),"")</f>
        <v>0</v>
      </c>
      <c r="L1600" s="0" t="str">
        <f aca="false">IFERROR(SMALL(L367:L1087,ROW()-ROW($L$1090)+1),"")</f>
        <v/>
      </c>
      <c r="M1600" s="0" t="n">
        <f aca="false">IFERROR(SMALL(M367:M1087,ROW()-ROW($M$1090)+1),"")</f>
        <v>0</v>
      </c>
      <c r="N1600" s="0" t="n">
        <f aca="false">IFERROR(SMALL(N367:N1087,ROW()-ROW($N$1090)+1),"")</f>
        <v>0</v>
      </c>
    </row>
    <row r="1601" customFormat="false" ht="15" hidden="false" customHeight="false" outlineLevel="0" collapsed="false">
      <c r="E1601" s="0" t="n">
        <f aca="false">IFERROR(SMALL(E367:E1087,ROW()-ROW($E$1090)+1),"")</f>
        <v>0</v>
      </c>
      <c r="F1601" s="0" t="str">
        <f aca="false">IFERROR(SMALL(F367:F1087,ROW()-ROW($F$1090)+1),"")</f>
        <v/>
      </c>
      <c r="G1601" s="0" t="n">
        <f aca="false">IFERROR(SMALL(G367:G1087,ROW()-ROW($G$1090)+1),"")</f>
        <v>0</v>
      </c>
      <c r="H1601" s="0" t="n">
        <f aca="false">IFERROR(SMALL(H367:H1087,ROW()-ROW($H$1090)+1),"")</f>
        <v>0</v>
      </c>
      <c r="K1601" s="0" t="n">
        <f aca="false">IFERROR(SMALL(K367:K1087,ROW()-ROW($K$1090)+1),"")</f>
        <v>0</v>
      </c>
      <c r="L1601" s="0" t="str">
        <f aca="false">IFERROR(SMALL(L367:L1087,ROW()-ROW($L$1090)+1),"")</f>
        <v/>
      </c>
      <c r="M1601" s="0" t="n">
        <f aca="false">IFERROR(SMALL(M367:M1087,ROW()-ROW($M$1090)+1),"")</f>
        <v>0</v>
      </c>
      <c r="N1601" s="0" t="n">
        <f aca="false">IFERROR(SMALL(N367:N1087,ROW()-ROW($N$1090)+1),"")</f>
        <v>0</v>
      </c>
    </row>
    <row r="1602" customFormat="false" ht="15" hidden="false" customHeight="false" outlineLevel="0" collapsed="false">
      <c r="E1602" s="0" t="n">
        <f aca="false">IFERROR(SMALL(E367:E1087,ROW()-ROW($E$1090)+1),"")</f>
        <v>0</v>
      </c>
      <c r="F1602" s="0" t="str">
        <f aca="false">IFERROR(SMALL(F367:F1087,ROW()-ROW($F$1090)+1),"")</f>
        <v/>
      </c>
      <c r="G1602" s="0" t="n">
        <f aca="false">IFERROR(SMALL(G367:G1087,ROW()-ROW($G$1090)+1),"")</f>
        <v>0</v>
      </c>
      <c r="H1602" s="0" t="n">
        <f aca="false">IFERROR(SMALL(H367:H1087,ROW()-ROW($H$1090)+1),"")</f>
        <v>0</v>
      </c>
      <c r="K1602" s="0" t="n">
        <f aca="false">IFERROR(SMALL(K367:K1087,ROW()-ROW($K$1090)+1),"")</f>
        <v>0</v>
      </c>
      <c r="L1602" s="0" t="str">
        <f aca="false">IFERROR(SMALL(L367:L1087,ROW()-ROW($L$1090)+1),"")</f>
        <v/>
      </c>
      <c r="M1602" s="0" t="n">
        <f aca="false">IFERROR(SMALL(M367:M1087,ROW()-ROW($M$1090)+1),"")</f>
        <v>0</v>
      </c>
      <c r="N1602" s="0" t="n">
        <f aca="false">IFERROR(SMALL(N367:N1087,ROW()-ROW($N$1090)+1),"")</f>
        <v>0</v>
      </c>
    </row>
    <row r="1603" customFormat="false" ht="15" hidden="false" customHeight="false" outlineLevel="0" collapsed="false">
      <c r="E1603" s="0" t="n">
        <f aca="false">IFERROR(SMALL(E367:E1087,ROW()-ROW($E$1090)+1),"")</f>
        <v>0</v>
      </c>
      <c r="F1603" s="0" t="str">
        <f aca="false">IFERROR(SMALL(F367:F1087,ROW()-ROW($F$1090)+1),"")</f>
        <v/>
      </c>
      <c r="G1603" s="0" t="n">
        <f aca="false">IFERROR(SMALL(G367:G1087,ROW()-ROW($G$1090)+1),"")</f>
        <v>0</v>
      </c>
      <c r="H1603" s="0" t="n">
        <f aca="false">IFERROR(SMALL(H367:H1087,ROW()-ROW($H$1090)+1),"")</f>
        <v>0</v>
      </c>
      <c r="K1603" s="0" t="n">
        <f aca="false">IFERROR(SMALL(K367:K1087,ROW()-ROW($K$1090)+1),"")</f>
        <v>0</v>
      </c>
      <c r="L1603" s="0" t="str">
        <f aca="false">IFERROR(SMALL(L367:L1087,ROW()-ROW($L$1090)+1),"")</f>
        <v/>
      </c>
      <c r="M1603" s="0" t="n">
        <f aca="false">IFERROR(SMALL(M367:M1087,ROW()-ROW($M$1090)+1),"")</f>
        <v>0</v>
      </c>
      <c r="N1603" s="0" t="n">
        <f aca="false">IFERROR(SMALL(N367:N1087,ROW()-ROW($N$1090)+1),"")</f>
        <v>0</v>
      </c>
    </row>
    <row r="1604" customFormat="false" ht="15" hidden="false" customHeight="false" outlineLevel="0" collapsed="false">
      <c r="E1604" s="0" t="n">
        <f aca="false">IFERROR(SMALL(E367:E1087,ROW()-ROW($E$1090)+1),"")</f>
        <v>0</v>
      </c>
      <c r="F1604" s="0" t="str">
        <f aca="false">IFERROR(SMALL(F367:F1087,ROW()-ROW($F$1090)+1),"")</f>
        <v/>
      </c>
      <c r="G1604" s="0" t="n">
        <f aca="false">IFERROR(SMALL(G367:G1087,ROW()-ROW($G$1090)+1),"")</f>
        <v>0</v>
      </c>
      <c r="H1604" s="0" t="n">
        <f aca="false">IFERROR(SMALL(H367:H1087,ROW()-ROW($H$1090)+1),"")</f>
        <v>0</v>
      </c>
      <c r="K1604" s="0" t="n">
        <f aca="false">IFERROR(SMALL(K367:K1087,ROW()-ROW($K$1090)+1),"")</f>
        <v>0</v>
      </c>
      <c r="L1604" s="0" t="str">
        <f aca="false">IFERROR(SMALL(L367:L1087,ROW()-ROW($L$1090)+1),"")</f>
        <v/>
      </c>
      <c r="M1604" s="0" t="n">
        <f aca="false">IFERROR(SMALL(M367:M1087,ROW()-ROW($M$1090)+1),"")</f>
        <v>0</v>
      </c>
      <c r="N1604" s="0" t="n">
        <f aca="false">IFERROR(SMALL(N367:N1087,ROW()-ROW($N$1090)+1),"")</f>
        <v>0</v>
      </c>
    </row>
    <row r="1605" customFormat="false" ht="15" hidden="false" customHeight="false" outlineLevel="0" collapsed="false">
      <c r="E1605" s="0" t="n">
        <f aca="false">IFERROR(SMALL(E367:E1087,ROW()-ROW($E$1090)+1),"")</f>
        <v>0</v>
      </c>
      <c r="F1605" s="0" t="str">
        <f aca="false">IFERROR(SMALL(F367:F1087,ROW()-ROW($F$1090)+1),"")</f>
        <v/>
      </c>
      <c r="G1605" s="0" t="n">
        <f aca="false">IFERROR(SMALL(G367:G1087,ROW()-ROW($G$1090)+1),"")</f>
        <v>0</v>
      </c>
      <c r="H1605" s="0" t="n">
        <f aca="false">IFERROR(SMALL(H367:H1087,ROW()-ROW($H$1090)+1),"")</f>
        <v>0</v>
      </c>
      <c r="K1605" s="0" t="n">
        <f aca="false">IFERROR(SMALL(K367:K1087,ROW()-ROW($K$1090)+1),"")</f>
        <v>0</v>
      </c>
      <c r="L1605" s="0" t="str">
        <f aca="false">IFERROR(SMALL(L367:L1087,ROW()-ROW($L$1090)+1),"")</f>
        <v/>
      </c>
      <c r="M1605" s="0" t="n">
        <f aca="false">IFERROR(SMALL(M367:M1087,ROW()-ROW($M$1090)+1),"")</f>
        <v>0</v>
      </c>
      <c r="N1605" s="0" t="n">
        <f aca="false">IFERROR(SMALL(N367:N1087,ROW()-ROW($N$1090)+1),"")</f>
        <v>0</v>
      </c>
    </row>
    <row r="1606" customFormat="false" ht="15" hidden="false" customHeight="false" outlineLevel="0" collapsed="false">
      <c r="E1606" s="0" t="n">
        <f aca="false">IFERROR(SMALL(E367:E1087,ROW()-ROW($E$1090)+1),"")</f>
        <v>0</v>
      </c>
      <c r="F1606" s="0" t="str">
        <f aca="false">IFERROR(SMALL(F367:F1087,ROW()-ROW($F$1090)+1),"")</f>
        <v/>
      </c>
      <c r="G1606" s="0" t="n">
        <f aca="false">IFERROR(SMALL(G367:G1087,ROW()-ROW($G$1090)+1),"")</f>
        <v>0</v>
      </c>
      <c r="H1606" s="0" t="n">
        <f aca="false">IFERROR(SMALL(H367:H1087,ROW()-ROW($H$1090)+1),"")</f>
        <v>0</v>
      </c>
      <c r="K1606" s="0" t="n">
        <f aca="false">IFERROR(SMALL(K367:K1087,ROW()-ROW($K$1090)+1),"")</f>
        <v>0</v>
      </c>
      <c r="L1606" s="0" t="str">
        <f aca="false">IFERROR(SMALL(L367:L1087,ROW()-ROW($L$1090)+1),"")</f>
        <v/>
      </c>
      <c r="M1606" s="0" t="n">
        <f aca="false">IFERROR(SMALL(M367:M1087,ROW()-ROW($M$1090)+1),"")</f>
        <v>0</v>
      </c>
      <c r="N1606" s="0" t="n">
        <f aca="false">IFERROR(SMALL(N367:N1087,ROW()-ROW($N$1090)+1),"")</f>
        <v>0</v>
      </c>
    </row>
    <row r="1607" customFormat="false" ht="15" hidden="false" customHeight="false" outlineLevel="0" collapsed="false">
      <c r="E1607" s="0" t="n">
        <f aca="false">IFERROR(SMALL(E367:E1087,ROW()-ROW($E$1090)+1),"")</f>
        <v>0</v>
      </c>
      <c r="F1607" s="0" t="str">
        <f aca="false">IFERROR(SMALL(F367:F1087,ROW()-ROW($F$1090)+1),"")</f>
        <v/>
      </c>
      <c r="G1607" s="0" t="n">
        <f aca="false">IFERROR(SMALL(G367:G1087,ROW()-ROW($G$1090)+1),"")</f>
        <v>0</v>
      </c>
      <c r="H1607" s="0" t="n">
        <f aca="false">IFERROR(SMALL(H367:H1087,ROW()-ROW($H$1090)+1),"")</f>
        <v>0</v>
      </c>
      <c r="K1607" s="0" t="n">
        <f aca="false">IFERROR(SMALL(K367:K1087,ROW()-ROW($K$1090)+1),"")</f>
        <v>0</v>
      </c>
      <c r="L1607" s="0" t="str">
        <f aca="false">IFERROR(SMALL(L367:L1087,ROW()-ROW($L$1090)+1),"")</f>
        <v/>
      </c>
      <c r="M1607" s="0" t="n">
        <f aca="false">IFERROR(SMALL(M367:M1087,ROW()-ROW($M$1090)+1),"")</f>
        <v>0</v>
      </c>
      <c r="N1607" s="0" t="n">
        <f aca="false">IFERROR(SMALL(N367:N1087,ROW()-ROW($N$1090)+1),"")</f>
        <v>0</v>
      </c>
    </row>
    <row r="1608" customFormat="false" ht="15" hidden="false" customHeight="false" outlineLevel="0" collapsed="false">
      <c r="E1608" s="0" t="n">
        <f aca="false">IFERROR(SMALL(E367:E1087,ROW()-ROW($E$1090)+1),"")</f>
        <v>0</v>
      </c>
      <c r="F1608" s="0" t="str">
        <f aca="false">IFERROR(SMALL(F367:F1087,ROW()-ROW($F$1090)+1),"")</f>
        <v/>
      </c>
      <c r="G1608" s="0" t="n">
        <f aca="false">IFERROR(SMALL(G367:G1087,ROW()-ROW($G$1090)+1),"")</f>
        <v>0</v>
      </c>
      <c r="H1608" s="0" t="n">
        <f aca="false">IFERROR(SMALL(H367:H1087,ROW()-ROW($H$1090)+1),"")</f>
        <v>0</v>
      </c>
      <c r="K1608" s="0" t="n">
        <f aca="false">IFERROR(SMALL(K367:K1087,ROW()-ROW($K$1090)+1),"")</f>
        <v>0</v>
      </c>
      <c r="L1608" s="0" t="str">
        <f aca="false">IFERROR(SMALL(L367:L1087,ROW()-ROW($L$1090)+1),"")</f>
        <v/>
      </c>
      <c r="M1608" s="0" t="n">
        <f aca="false">IFERROR(SMALL(M367:M1087,ROW()-ROW($M$1090)+1),"")</f>
        <v>0</v>
      </c>
      <c r="N1608" s="0" t="n">
        <f aca="false">IFERROR(SMALL(N367:N1087,ROW()-ROW($N$1090)+1),"")</f>
        <v>0</v>
      </c>
    </row>
    <row r="1609" customFormat="false" ht="15" hidden="false" customHeight="false" outlineLevel="0" collapsed="false">
      <c r="E1609" s="0" t="n">
        <f aca="false">IFERROR(SMALL(E367:E1087,ROW()-ROW($E$1090)+1),"")</f>
        <v>0</v>
      </c>
      <c r="F1609" s="0" t="str">
        <f aca="false">IFERROR(SMALL(F367:F1087,ROW()-ROW($F$1090)+1),"")</f>
        <v/>
      </c>
      <c r="G1609" s="0" t="n">
        <f aca="false">IFERROR(SMALL(G367:G1087,ROW()-ROW($G$1090)+1),"")</f>
        <v>0</v>
      </c>
      <c r="H1609" s="0" t="n">
        <f aca="false">IFERROR(SMALL(H367:H1087,ROW()-ROW($H$1090)+1),"")</f>
        <v>0</v>
      </c>
      <c r="K1609" s="0" t="n">
        <f aca="false">IFERROR(SMALL(K367:K1087,ROW()-ROW($K$1090)+1),"")</f>
        <v>0</v>
      </c>
      <c r="L1609" s="0" t="str">
        <f aca="false">IFERROR(SMALL(L367:L1087,ROW()-ROW($L$1090)+1),"")</f>
        <v/>
      </c>
      <c r="M1609" s="0" t="n">
        <f aca="false">IFERROR(SMALL(M367:M1087,ROW()-ROW($M$1090)+1),"")</f>
        <v>0</v>
      </c>
      <c r="N1609" s="0" t="n">
        <f aca="false">IFERROR(SMALL(N367:N1087,ROW()-ROW($N$1090)+1),"")</f>
        <v>0</v>
      </c>
    </row>
    <row r="1610" customFormat="false" ht="15" hidden="false" customHeight="false" outlineLevel="0" collapsed="false">
      <c r="E1610" s="0" t="n">
        <f aca="false">IFERROR(SMALL(E367:E1087,ROW()-ROW($E$1090)+1),"")</f>
        <v>0</v>
      </c>
      <c r="F1610" s="0" t="str">
        <f aca="false">IFERROR(SMALL(F367:F1087,ROW()-ROW($F$1090)+1),"")</f>
        <v/>
      </c>
      <c r="G1610" s="0" t="n">
        <f aca="false">IFERROR(SMALL(G367:G1087,ROW()-ROW($G$1090)+1),"")</f>
        <v>0</v>
      </c>
      <c r="H1610" s="0" t="n">
        <f aca="false">IFERROR(SMALL(H367:H1087,ROW()-ROW($H$1090)+1),"")</f>
        <v>0</v>
      </c>
      <c r="K1610" s="0" t="n">
        <f aca="false">IFERROR(SMALL(K367:K1087,ROW()-ROW($K$1090)+1),"")</f>
        <v>0</v>
      </c>
      <c r="L1610" s="0" t="str">
        <f aca="false">IFERROR(SMALL(L367:L1087,ROW()-ROW($L$1090)+1),"")</f>
        <v/>
      </c>
      <c r="M1610" s="0" t="n">
        <f aca="false">IFERROR(SMALL(M367:M1087,ROW()-ROW($M$1090)+1),"")</f>
        <v>0</v>
      </c>
      <c r="N1610" s="0" t="n">
        <f aca="false">IFERROR(SMALL(N367:N1087,ROW()-ROW($N$1090)+1),"")</f>
        <v>0</v>
      </c>
    </row>
    <row r="1611" customFormat="false" ht="15" hidden="false" customHeight="false" outlineLevel="0" collapsed="false">
      <c r="E1611" s="0" t="n">
        <f aca="false">IFERROR(SMALL(E367:E1087,ROW()-ROW($E$1090)+1),"")</f>
        <v>0</v>
      </c>
      <c r="F1611" s="0" t="str">
        <f aca="false">IFERROR(SMALL(F367:F1087,ROW()-ROW($F$1090)+1),"")</f>
        <v/>
      </c>
      <c r="G1611" s="0" t="n">
        <f aca="false">IFERROR(SMALL(G367:G1087,ROW()-ROW($G$1090)+1),"")</f>
        <v>0</v>
      </c>
      <c r="H1611" s="0" t="n">
        <f aca="false">IFERROR(SMALL(H367:H1087,ROW()-ROW($H$1090)+1),"")</f>
        <v>0</v>
      </c>
      <c r="K1611" s="0" t="n">
        <f aca="false">IFERROR(SMALL(K367:K1087,ROW()-ROW($K$1090)+1),"")</f>
        <v>0</v>
      </c>
      <c r="L1611" s="0" t="str">
        <f aca="false">IFERROR(SMALL(L367:L1087,ROW()-ROW($L$1090)+1),"")</f>
        <v/>
      </c>
      <c r="M1611" s="0" t="n">
        <f aca="false">IFERROR(SMALL(M367:M1087,ROW()-ROW($M$1090)+1),"")</f>
        <v>0</v>
      </c>
      <c r="N1611" s="0" t="n">
        <f aca="false">IFERROR(SMALL(N367:N1087,ROW()-ROW($N$1090)+1),"")</f>
        <v>0</v>
      </c>
    </row>
    <row r="1612" customFormat="false" ht="15" hidden="false" customHeight="false" outlineLevel="0" collapsed="false">
      <c r="E1612" s="0" t="n">
        <f aca="false">IFERROR(SMALL(E367:E1087,ROW()-ROW($E$1090)+1),"")</f>
        <v>0</v>
      </c>
      <c r="F1612" s="0" t="str">
        <f aca="false">IFERROR(SMALL(F367:F1087,ROW()-ROW($F$1090)+1),"")</f>
        <v/>
      </c>
      <c r="G1612" s="0" t="n">
        <f aca="false">IFERROR(SMALL(G367:G1087,ROW()-ROW($G$1090)+1),"")</f>
        <v>0</v>
      </c>
      <c r="H1612" s="0" t="n">
        <f aca="false">IFERROR(SMALL(H367:H1087,ROW()-ROW($H$1090)+1),"")</f>
        <v>0</v>
      </c>
      <c r="K1612" s="0" t="n">
        <f aca="false">IFERROR(SMALL(K367:K1087,ROW()-ROW($K$1090)+1),"")</f>
        <v>0</v>
      </c>
      <c r="L1612" s="0" t="str">
        <f aca="false">IFERROR(SMALL(L367:L1087,ROW()-ROW($L$1090)+1),"")</f>
        <v/>
      </c>
      <c r="M1612" s="0" t="n">
        <f aca="false">IFERROR(SMALL(M367:M1087,ROW()-ROW($M$1090)+1),"")</f>
        <v>0</v>
      </c>
      <c r="N1612" s="0" t="n">
        <f aca="false">IFERROR(SMALL(N367:N1087,ROW()-ROW($N$1090)+1),"")</f>
        <v>0</v>
      </c>
    </row>
    <row r="1613" customFormat="false" ht="15" hidden="false" customHeight="false" outlineLevel="0" collapsed="false">
      <c r="E1613" s="0" t="n">
        <f aca="false">IFERROR(SMALL(E367:E1087,ROW()-ROW($E$1090)+1),"")</f>
        <v>0</v>
      </c>
      <c r="F1613" s="0" t="str">
        <f aca="false">IFERROR(SMALL(F367:F1087,ROW()-ROW($F$1090)+1),"")</f>
        <v/>
      </c>
      <c r="G1613" s="0" t="n">
        <f aca="false">IFERROR(SMALL(G367:G1087,ROW()-ROW($G$1090)+1),"")</f>
        <v>0</v>
      </c>
      <c r="H1613" s="0" t="n">
        <f aca="false">IFERROR(SMALL(H367:H1087,ROW()-ROW($H$1090)+1),"")</f>
        <v>0</v>
      </c>
      <c r="K1613" s="0" t="n">
        <f aca="false">IFERROR(SMALL(K367:K1087,ROW()-ROW($K$1090)+1),"")</f>
        <v>0</v>
      </c>
      <c r="L1613" s="0" t="str">
        <f aca="false">IFERROR(SMALL(L367:L1087,ROW()-ROW($L$1090)+1),"")</f>
        <v/>
      </c>
      <c r="M1613" s="0" t="n">
        <f aca="false">IFERROR(SMALL(M367:M1087,ROW()-ROW($M$1090)+1),"")</f>
        <v>0</v>
      </c>
      <c r="N1613" s="0" t="n">
        <f aca="false">IFERROR(SMALL(N367:N1087,ROW()-ROW($N$1090)+1),"")</f>
        <v>0</v>
      </c>
    </row>
    <row r="1614" customFormat="false" ht="15" hidden="false" customHeight="false" outlineLevel="0" collapsed="false">
      <c r="E1614" s="0" t="n">
        <f aca="false">IFERROR(SMALL(E367:E1087,ROW()-ROW($E$1090)+1),"")</f>
        <v>0</v>
      </c>
      <c r="F1614" s="0" t="str">
        <f aca="false">IFERROR(SMALL(F367:F1087,ROW()-ROW($F$1090)+1),"")</f>
        <v/>
      </c>
      <c r="G1614" s="0" t="n">
        <f aca="false">IFERROR(SMALL(G367:G1087,ROW()-ROW($G$1090)+1),"")</f>
        <v>0</v>
      </c>
      <c r="H1614" s="0" t="n">
        <f aca="false">IFERROR(SMALL(H367:H1087,ROW()-ROW($H$1090)+1),"")</f>
        <v>0</v>
      </c>
      <c r="K1614" s="0" t="n">
        <f aca="false">IFERROR(SMALL(K367:K1087,ROW()-ROW($K$1090)+1),"")</f>
        <v>0</v>
      </c>
      <c r="L1614" s="0" t="str">
        <f aca="false">IFERROR(SMALL(L367:L1087,ROW()-ROW($L$1090)+1),"")</f>
        <v/>
      </c>
      <c r="M1614" s="0" t="n">
        <f aca="false">IFERROR(SMALL(M367:M1087,ROW()-ROW($M$1090)+1),"")</f>
        <v>0</v>
      </c>
      <c r="N1614" s="0" t="n">
        <f aca="false">IFERROR(SMALL(N367:N1087,ROW()-ROW($N$1090)+1),"")</f>
        <v>0</v>
      </c>
    </row>
    <row r="1615" customFormat="false" ht="15" hidden="false" customHeight="false" outlineLevel="0" collapsed="false">
      <c r="E1615" s="0" t="n">
        <f aca="false">IFERROR(SMALL(E367:E1087,ROW()-ROW($E$1090)+1),"")</f>
        <v>0</v>
      </c>
      <c r="F1615" s="0" t="str">
        <f aca="false">IFERROR(SMALL(F367:F1087,ROW()-ROW($F$1090)+1),"")</f>
        <v/>
      </c>
      <c r="G1615" s="0" t="n">
        <f aca="false">IFERROR(SMALL(G367:G1087,ROW()-ROW($G$1090)+1),"")</f>
        <v>0</v>
      </c>
      <c r="H1615" s="0" t="n">
        <f aca="false">IFERROR(SMALL(H367:H1087,ROW()-ROW($H$1090)+1),"")</f>
        <v>0</v>
      </c>
      <c r="K1615" s="0" t="n">
        <f aca="false">IFERROR(SMALL(K367:K1087,ROW()-ROW($K$1090)+1),"")</f>
        <v>0</v>
      </c>
      <c r="L1615" s="0" t="str">
        <f aca="false">IFERROR(SMALL(L367:L1087,ROW()-ROW($L$1090)+1),"")</f>
        <v/>
      </c>
      <c r="M1615" s="0" t="n">
        <f aca="false">IFERROR(SMALL(M367:M1087,ROW()-ROW($M$1090)+1),"")</f>
        <v>0</v>
      </c>
      <c r="N1615" s="0" t="n">
        <f aca="false">IFERROR(SMALL(N367:N1087,ROW()-ROW($N$1090)+1),"")</f>
        <v>0</v>
      </c>
    </row>
    <row r="1616" customFormat="false" ht="15" hidden="false" customHeight="false" outlineLevel="0" collapsed="false">
      <c r="E1616" s="0" t="n">
        <f aca="false">IFERROR(SMALL(E367:E1087,ROW()-ROW($E$1090)+1),"")</f>
        <v>0</v>
      </c>
      <c r="F1616" s="0" t="str">
        <f aca="false">IFERROR(SMALL(F367:F1087,ROW()-ROW($F$1090)+1),"")</f>
        <v/>
      </c>
      <c r="G1616" s="0" t="n">
        <f aca="false">IFERROR(SMALL(G367:G1087,ROW()-ROW($G$1090)+1),"")</f>
        <v>0</v>
      </c>
      <c r="H1616" s="0" t="n">
        <f aca="false">IFERROR(SMALL(H367:H1087,ROW()-ROW($H$1090)+1),"")</f>
        <v>0</v>
      </c>
      <c r="K1616" s="0" t="n">
        <f aca="false">IFERROR(SMALL(K367:K1087,ROW()-ROW($K$1090)+1),"")</f>
        <v>0</v>
      </c>
      <c r="L1616" s="0" t="str">
        <f aca="false">IFERROR(SMALL(L367:L1087,ROW()-ROW($L$1090)+1),"")</f>
        <v/>
      </c>
      <c r="M1616" s="0" t="n">
        <f aca="false">IFERROR(SMALL(M367:M1087,ROW()-ROW($M$1090)+1),"")</f>
        <v>0</v>
      </c>
      <c r="N1616" s="0" t="n">
        <f aca="false">IFERROR(SMALL(N367:N1087,ROW()-ROW($N$1090)+1),"")</f>
        <v>0</v>
      </c>
    </row>
    <row r="1617" customFormat="false" ht="15" hidden="false" customHeight="false" outlineLevel="0" collapsed="false">
      <c r="E1617" s="0" t="n">
        <f aca="false">IFERROR(SMALL(E367:E1087,ROW()-ROW($E$1090)+1),"")</f>
        <v>0</v>
      </c>
      <c r="F1617" s="0" t="str">
        <f aca="false">IFERROR(SMALL(F367:F1087,ROW()-ROW($F$1090)+1),"")</f>
        <v/>
      </c>
      <c r="G1617" s="0" t="n">
        <f aca="false">IFERROR(SMALL(G367:G1087,ROW()-ROW($G$1090)+1),"")</f>
        <v>0</v>
      </c>
      <c r="H1617" s="0" t="n">
        <f aca="false">IFERROR(SMALL(H367:H1087,ROW()-ROW($H$1090)+1),"")</f>
        <v>0</v>
      </c>
      <c r="K1617" s="0" t="n">
        <f aca="false">IFERROR(SMALL(K367:K1087,ROW()-ROW($K$1090)+1),"")</f>
        <v>0</v>
      </c>
      <c r="L1617" s="0" t="str">
        <f aca="false">IFERROR(SMALL(L367:L1087,ROW()-ROW($L$1090)+1),"")</f>
        <v/>
      </c>
      <c r="M1617" s="0" t="n">
        <f aca="false">IFERROR(SMALL(M367:M1087,ROW()-ROW($M$1090)+1),"")</f>
        <v>0</v>
      </c>
      <c r="N1617" s="0" t="n">
        <f aca="false">IFERROR(SMALL(N367:N1087,ROW()-ROW($N$1090)+1),"")</f>
        <v>0</v>
      </c>
    </row>
    <row r="1618" customFormat="false" ht="15" hidden="false" customHeight="false" outlineLevel="0" collapsed="false">
      <c r="E1618" s="0" t="n">
        <f aca="false">IFERROR(SMALL(E367:E1087,ROW()-ROW($E$1090)+1),"")</f>
        <v>0</v>
      </c>
      <c r="F1618" s="0" t="str">
        <f aca="false">IFERROR(SMALL(F367:F1087,ROW()-ROW($F$1090)+1),"")</f>
        <v/>
      </c>
      <c r="G1618" s="0" t="n">
        <f aca="false">IFERROR(SMALL(G367:G1087,ROW()-ROW($G$1090)+1),"")</f>
        <v>0</v>
      </c>
      <c r="H1618" s="0" t="n">
        <f aca="false">IFERROR(SMALL(H367:H1087,ROW()-ROW($H$1090)+1),"")</f>
        <v>0</v>
      </c>
      <c r="K1618" s="0" t="n">
        <f aca="false">IFERROR(SMALL(K367:K1087,ROW()-ROW($K$1090)+1),"")</f>
        <v>0</v>
      </c>
      <c r="L1618" s="0" t="str">
        <f aca="false">IFERROR(SMALL(L367:L1087,ROW()-ROW($L$1090)+1),"")</f>
        <v/>
      </c>
      <c r="M1618" s="0" t="n">
        <f aca="false">IFERROR(SMALL(M367:M1087,ROW()-ROW($M$1090)+1),"")</f>
        <v>0</v>
      </c>
      <c r="N1618" s="0" t="n">
        <f aca="false">IFERROR(SMALL(N367:N1087,ROW()-ROW($N$1090)+1),"")</f>
        <v>0</v>
      </c>
    </row>
    <row r="1619" customFormat="false" ht="15" hidden="false" customHeight="false" outlineLevel="0" collapsed="false">
      <c r="E1619" s="0" t="n">
        <f aca="false">IFERROR(SMALL(E367:E1087,ROW()-ROW($E$1090)+1),"")</f>
        <v>0</v>
      </c>
      <c r="F1619" s="0" t="str">
        <f aca="false">IFERROR(SMALL(F367:F1087,ROW()-ROW($F$1090)+1),"")</f>
        <v/>
      </c>
      <c r="G1619" s="0" t="n">
        <f aca="false">IFERROR(SMALL(G367:G1087,ROW()-ROW($G$1090)+1),"")</f>
        <v>0</v>
      </c>
      <c r="H1619" s="0" t="n">
        <f aca="false">IFERROR(SMALL(H367:H1087,ROW()-ROW($H$1090)+1),"")</f>
        <v>0</v>
      </c>
      <c r="K1619" s="0" t="n">
        <f aca="false">IFERROR(SMALL(K367:K1087,ROW()-ROW($K$1090)+1),"")</f>
        <v>0</v>
      </c>
      <c r="L1619" s="0" t="str">
        <f aca="false">IFERROR(SMALL(L367:L1087,ROW()-ROW($L$1090)+1),"")</f>
        <v/>
      </c>
      <c r="M1619" s="0" t="n">
        <f aca="false">IFERROR(SMALL(M367:M1087,ROW()-ROW($M$1090)+1),"")</f>
        <v>0</v>
      </c>
      <c r="N1619" s="0" t="n">
        <f aca="false">IFERROR(SMALL(N367:N1087,ROW()-ROW($N$1090)+1),"")</f>
        <v>0</v>
      </c>
    </row>
    <row r="1620" customFormat="false" ht="15" hidden="false" customHeight="false" outlineLevel="0" collapsed="false">
      <c r="E1620" s="0" t="n">
        <f aca="false">IFERROR(SMALL(E367:E1087,ROW()-ROW($E$1090)+1),"")</f>
        <v>0</v>
      </c>
      <c r="F1620" s="0" t="str">
        <f aca="false">IFERROR(SMALL(F367:F1087,ROW()-ROW($F$1090)+1),"")</f>
        <v/>
      </c>
      <c r="G1620" s="0" t="n">
        <f aca="false">IFERROR(SMALL(G367:G1087,ROW()-ROW($G$1090)+1),"")</f>
        <v>0</v>
      </c>
      <c r="H1620" s="0" t="n">
        <f aca="false">IFERROR(SMALL(H367:H1087,ROW()-ROW($H$1090)+1),"")</f>
        <v>0</v>
      </c>
      <c r="K1620" s="0" t="n">
        <f aca="false">IFERROR(SMALL(K367:K1087,ROW()-ROW($K$1090)+1),"")</f>
        <v>0</v>
      </c>
      <c r="L1620" s="0" t="str">
        <f aca="false">IFERROR(SMALL(L367:L1087,ROW()-ROW($L$1090)+1),"")</f>
        <v/>
      </c>
      <c r="M1620" s="0" t="n">
        <f aca="false">IFERROR(SMALL(M367:M1087,ROW()-ROW($M$1090)+1),"")</f>
        <v>0</v>
      </c>
      <c r="N1620" s="0" t="n">
        <f aca="false">IFERROR(SMALL(N367:N1087,ROW()-ROW($N$1090)+1),"")</f>
        <v>0</v>
      </c>
    </row>
    <row r="1621" customFormat="false" ht="15" hidden="false" customHeight="false" outlineLevel="0" collapsed="false">
      <c r="E1621" s="0" t="n">
        <f aca="false">IFERROR(SMALL(E367:E1087,ROW()-ROW($E$1090)+1),"")</f>
        <v>0</v>
      </c>
      <c r="F1621" s="0" t="str">
        <f aca="false">IFERROR(SMALL(F367:F1087,ROW()-ROW($F$1090)+1),"")</f>
        <v/>
      </c>
      <c r="G1621" s="0" t="n">
        <f aca="false">IFERROR(SMALL(G367:G1087,ROW()-ROW($G$1090)+1),"")</f>
        <v>0</v>
      </c>
      <c r="H1621" s="0" t="n">
        <f aca="false">IFERROR(SMALL(H367:H1087,ROW()-ROW($H$1090)+1),"")</f>
        <v>0</v>
      </c>
      <c r="K1621" s="0" t="n">
        <f aca="false">IFERROR(SMALL(K367:K1087,ROW()-ROW($K$1090)+1),"")</f>
        <v>0</v>
      </c>
      <c r="L1621" s="0" t="str">
        <f aca="false">IFERROR(SMALL(L367:L1087,ROW()-ROW($L$1090)+1),"")</f>
        <v/>
      </c>
      <c r="M1621" s="0" t="n">
        <f aca="false">IFERROR(SMALL(M367:M1087,ROW()-ROW($M$1090)+1),"")</f>
        <v>0</v>
      </c>
      <c r="N1621" s="0" t="n">
        <f aca="false">IFERROR(SMALL(N367:N1087,ROW()-ROW($N$1090)+1),"")</f>
        <v>0</v>
      </c>
    </row>
    <row r="1622" customFormat="false" ht="15" hidden="false" customHeight="false" outlineLevel="0" collapsed="false">
      <c r="E1622" s="0" t="n">
        <f aca="false">IFERROR(SMALL(E367:E1087,ROW()-ROW($E$1090)+1),"")</f>
        <v>0</v>
      </c>
      <c r="F1622" s="0" t="str">
        <f aca="false">IFERROR(SMALL(F367:F1087,ROW()-ROW($F$1090)+1),"")</f>
        <v/>
      </c>
      <c r="G1622" s="0" t="n">
        <f aca="false">IFERROR(SMALL(G367:G1087,ROW()-ROW($G$1090)+1),"")</f>
        <v>0</v>
      </c>
      <c r="H1622" s="0" t="n">
        <f aca="false">IFERROR(SMALL(H367:H1087,ROW()-ROW($H$1090)+1),"")</f>
        <v>0</v>
      </c>
      <c r="K1622" s="0" t="n">
        <f aca="false">IFERROR(SMALL(K367:K1087,ROW()-ROW($K$1090)+1),"")</f>
        <v>0</v>
      </c>
      <c r="L1622" s="0" t="str">
        <f aca="false">IFERROR(SMALL(L367:L1087,ROW()-ROW($L$1090)+1),"")</f>
        <v/>
      </c>
      <c r="M1622" s="0" t="n">
        <f aca="false">IFERROR(SMALL(M367:M1087,ROW()-ROW($M$1090)+1),"")</f>
        <v>0</v>
      </c>
      <c r="N1622" s="0" t="n">
        <f aca="false">IFERROR(SMALL(N367:N1087,ROW()-ROW($N$1090)+1),"")</f>
        <v>0</v>
      </c>
    </row>
    <row r="1623" customFormat="false" ht="15" hidden="false" customHeight="false" outlineLevel="0" collapsed="false">
      <c r="E1623" s="0" t="n">
        <f aca="false">IFERROR(SMALL(E367:E1087,ROW()-ROW($E$1090)+1),"")</f>
        <v>0</v>
      </c>
      <c r="F1623" s="0" t="str">
        <f aca="false">IFERROR(SMALL(F367:F1087,ROW()-ROW($F$1090)+1),"")</f>
        <v/>
      </c>
      <c r="G1623" s="0" t="n">
        <f aca="false">IFERROR(SMALL(G367:G1087,ROW()-ROW($G$1090)+1),"")</f>
        <v>0</v>
      </c>
      <c r="H1623" s="0" t="n">
        <f aca="false">IFERROR(SMALL(H367:H1087,ROW()-ROW($H$1090)+1),"")</f>
        <v>0</v>
      </c>
      <c r="K1623" s="0" t="n">
        <f aca="false">IFERROR(SMALL(K367:K1087,ROW()-ROW($K$1090)+1),"")</f>
        <v>0</v>
      </c>
      <c r="L1623" s="0" t="str">
        <f aca="false">IFERROR(SMALL(L367:L1087,ROW()-ROW($L$1090)+1),"")</f>
        <v/>
      </c>
      <c r="M1623" s="0" t="n">
        <f aca="false">IFERROR(SMALL(M367:M1087,ROW()-ROW($M$1090)+1),"")</f>
        <v>0</v>
      </c>
      <c r="N1623" s="0" t="n">
        <f aca="false">IFERROR(SMALL(N367:N1087,ROW()-ROW($N$1090)+1),"")</f>
        <v>0</v>
      </c>
    </row>
    <row r="1624" customFormat="false" ht="15" hidden="false" customHeight="false" outlineLevel="0" collapsed="false">
      <c r="E1624" s="0" t="n">
        <f aca="false">IFERROR(SMALL(E367:E1087,ROW()-ROW($E$1090)+1),"")</f>
        <v>0</v>
      </c>
      <c r="F1624" s="0" t="str">
        <f aca="false">IFERROR(SMALL(F367:F1087,ROW()-ROW($F$1090)+1),"")</f>
        <v/>
      </c>
      <c r="G1624" s="0" t="n">
        <f aca="false">IFERROR(SMALL(G367:G1087,ROW()-ROW($G$1090)+1),"")</f>
        <v>0</v>
      </c>
      <c r="H1624" s="0" t="n">
        <f aca="false">IFERROR(SMALL(H367:H1087,ROW()-ROW($H$1090)+1),"")</f>
        <v>0</v>
      </c>
      <c r="K1624" s="0" t="n">
        <f aca="false">IFERROR(SMALL(K367:K1087,ROW()-ROW($K$1090)+1),"")</f>
        <v>0</v>
      </c>
      <c r="L1624" s="0" t="str">
        <f aca="false">IFERROR(SMALL(L367:L1087,ROW()-ROW($L$1090)+1),"")</f>
        <v/>
      </c>
      <c r="M1624" s="0" t="n">
        <f aca="false">IFERROR(SMALL(M367:M1087,ROW()-ROW($M$1090)+1),"")</f>
        <v>0</v>
      </c>
      <c r="N1624" s="0" t="n">
        <f aca="false">IFERROR(SMALL(N367:N1087,ROW()-ROW($N$1090)+1),"")</f>
        <v>0</v>
      </c>
    </row>
    <row r="1625" customFormat="false" ht="15" hidden="false" customHeight="false" outlineLevel="0" collapsed="false">
      <c r="E1625" s="0" t="n">
        <f aca="false">IFERROR(SMALL(E367:E1087,ROW()-ROW($E$1090)+1),"")</f>
        <v>0</v>
      </c>
      <c r="F1625" s="0" t="str">
        <f aca="false">IFERROR(SMALL(F367:F1087,ROW()-ROW($F$1090)+1),"")</f>
        <v/>
      </c>
      <c r="G1625" s="0" t="n">
        <f aca="false">IFERROR(SMALL(G367:G1087,ROW()-ROW($G$1090)+1),"")</f>
        <v>0</v>
      </c>
      <c r="H1625" s="0" t="n">
        <f aca="false">IFERROR(SMALL(H367:H1087,ROW()-ROW($H$1090)+1),"")</f>
        <v>0</v>
      </c>
      <c r="K1625" s="0" t="n">
        <f aca="false">IFERROR(SMALL(K367:K1087,ROW()-ROW($K$1090)+1),"")</f>
        <v>0</v>
      </c>
      <c r="L1625" s="0" t="str">
        <f aca="false">IFERROR(SMALL(L367:L1087,ROW()-ROW($L$1090)+1),"")</f>
        <v/>
      </c>
      <c r="M1625" s="0" t="n">
        <f aca="false">IFERROR(SMALL(M367:M1087,ROW()-ROW($M$1090)+1),"")</f>
        <v>0</v>
      </c>
      <c r="N1625" s="0" t="n">
        <f aca="false">IFERROR(SMALL(N367:N1087,ROW()-ROW($N$1090)+1),"")</f>
        <v>0</v>
      </c>
    </row>
    <row r="1626" customFormat="false" ht="15" hidden="false" customHeight="false" outlineLevel="0" collapsed="false">
      <c r="E1626" s="0" t="n">
        <f aca="false">IFERROR(SMALL(E367:E1087,ROW()-ROW($E$1090)+1),"")</f>
        <v>0</v>
      </c>
      <c r="F1626" s="0" t="str">
        <f aca="false">IFERROR(SMALL(F367:F1087,ROW()-ROW($F$1090)+1),"")</f>
        <v/>
      </c>
      <c r="G1626" s="0" t="n">
        <f aca="false">IFERROR(SMALL(G367:G1087,ROW()-ROW($G$1090)+1),"")</f>
        <v>0</v>
      </c>
      <c r="H1626" s="0" t="n">
        <f aca="false">IFERROR(SMALL(H367:H1087,ROW()-ROW($H$1090)+1),"")</f>
        <v>0</v>
      </c>
      <c r="K1626" s="0" t="n">
        <f aca="false">IFERROR(SMALL(K367:K1087,ROW()-ROW($K$1090)+1),"")</f>
        <v>0</v>
      </c>
      <c r="L1626" s="0" t="str">
        <f aca="false">IFERROR(SMALL(L367:L1087,ROW()-ROW($L$1090)+1),"")</f>
        <v/>
      </c>
      <c r="M1626" s="0" t="n">
        <f aca="false">IFERROR(SMALL(M367:M1087,ROW()-ROW($M$1090)+1),"")</f>
        <v>0</v>
      </c>
      <c r="N1626" s="0" t="n">
        <f aca="false">IFERROR(SMALL(N367:N1087,ROW()-ROW($N$1090)+1),"")</f>
        <v>0</v>
      </c>
    </row>
    <row r="1627" customFormat="false" ht="15" hidden="false" customHeight="false" outlineLevel="0" collapsed="false">
      <c r="E1627" s="0" t="n">
        <f aca="false">IFERROR(SMALL(E367:E1087,ROW()-ROW($E$1090)+1),"")</f>
        <v>0</v>
      </c>
      <c r="F1627" s="0" t="str">
        <f aca="false">IFERROR(SMALL(F367:F1087,ROW()-ROW($F$1090)+1),"")</f>
        <v/>
      </c>
      <c r="G1627" s="0" t="n">
        <f aca="false">IFERROR(SMALL(G367:G1087,ROW()-ROW($G$1090)+1),"")</f>
        <v>0</v>
      </c>
      <c r="H1627" s="0" t="n">
        <f aca="false">IFERROR(SMALL(H367:H1087,ROW()-ROW($H$1090)+1),"")</f>
        <v>0</v>
      </c>
      <c r="K1627" s="0" t="n">
        <f aca="false">IFERROR(SMALL(K367:K1087,ROW()-ROW($K$1090)+1),"")</f>
        <v>0</v>
      </c>
      <c r="L1627" s="0" t="str">
        <f aca="false">IFERROR(SMALL(L367:L1087,ROW()-ROW($L$1090)+1),"")</f>
        <v/>
      </c>
      <c r="M1627" s="0" t="n">
        <f aca="false">IFERROR(SMALL(M367:M1087,ROW()-ROW($M$1090)+1),"")</f>
        <v>0</v>
      </c>
      <c r="N1627" s="0" t="n">
        <f aca="false">IFERROR(SMALL(N367:N1087,ROW()-ROW($N$1090)+1),"")</f>
        <v>0</v>
      </c>
    </row>
    <row r="1628" customFormat="false" ht="15" hidden="false" customHeight="false" outlineLevel="0" collapsed="false">
      <c r="E1628" s="0" t="n">
        <f aca="false">IFERROR(SMALL(E367:E1087,ROW()-ROW($E$1090)+1),"")</f>
        <v>0</v>
      </c>
      <c r="F1628" s="0" t="str">
        <f aca="false">IFERROR(SMALL(F367:F1087,ROW()-ROW($F$1090)+1),"")</f>
        <v/>
      </c>
      <c r="G1628" s="0" t="n">
        <f aca="false">IFERROR(SMALL(G367:G1087,ROW()-ROW($G$1090)+1),"")</f>
        <v>0</v>
      </c>
      <c r="H1628" s="0" t="n">
        <f aca="false">IFERROR(SMALL(H367:H1087,ROW()-ROW($H$1090)+1),"")</f>
        <v>0</v>
      </c>
      <c r="K1628" s="0" t="n">
        <f aca="false">IFERROR(SMALL(K367:K1087,ROW()-ROW($K$1090)+1),"")</f>
        <v>0</v>
      </c>
      <c r="L1628" s="0" t="str">
        <f aca="false">IFERROR(SMALL(L367:L1087,ROW()-ROW($L$1090)+1),"")</f>
        <v/>
      </c>
      <c r="M1628" s="0" t="n">
        <f aca="false">IFERROR(SMALL(M367:M1087,ROW()-ROW($M$1090)+1),"")</f>
        <v>0</v>
      </c>
      <c r="N1628" s="0" t="n">
        <f aca="false">IFERROR(SMALL(N367:N1087,ROW()-ROW($N$1090)+1),"")</f>
        <v>0</v>
      </c>
    </row>
    <row r="1629" customFormat="false" ht="15" hidden="false" customHeight="false" outlineLevel="0" collapsed="false">
      <c r="E1629" s="0" t="n">
        <f aca="false">IFERROR(SMALL(E367:E1087,ROW()-ROW($E$1090)+1),"")</f>
        <v>0</v>
      </c>
      <c r="F1629" s="0" t="str">
        <f aca="false">IFERROR(SMALL(F367:F1087,ROW()-ROW($F$1090)+1),"")</f>
        <v/>
      </c>
      <c r="G1629" s="0" t="n">
        <f aca="false">IFERROR(SMALL(G367:G1087,ROW()-ROW($G$1090)+1),"")</f>
        <v>0</v>
      </c>
      <c r="H1629" s="0" t="n">
        <f aca="false">IFERROR(SMALL(H367:H1087,ROW()-ROW($H$1090)+1),"")</f>
        <v>0</v>
      </c>
      <c r="K1629" s="0" t="n">
        <f aca="false">IFERROR(SMALL(K367:K1087,ROW()-ROW($K$1090)+1),"")</f>
        <v>0</v>
      </c>
      <c r="L1629" s="0" t="str">
        <f aca="false">IFERROR(SMALL(L367:L1087,ROW()-ROW($L$1090)+1),"")</f>
        <v/>
      </c>
      <c r="M1629" s="0" t="n">
        <f aca="false">IFERROR(SMALL(M367:M1087,ROW()-ROW($M$1090)+1),"")</f>
        <v>0</v>
      </c>
      <c r="N1629" s="0" t="n">
        <f aca="false">IFERROR(SMALL(N367:N1087,ROW()-ROW($N$1090)+1),"")</f>
        <v>0</v>
      </c>
    </row>
    <row r="1630" customFormat="false" ht="15" hidden="false" customHeight="false" outlineLevel="0" collapsed="false">
      <c r="E1630" s="0" t="n">
        <f aca="false">IFERROR(SMALL(E367:E1087,ROW()-ROW($E$1090)+1),"")</f>
        <v>0</v>
      </c>
      <c r="F1630" s="0" t="str">
        <f aca="false">IFERROR(SMALL(F367:F1087,ROW()-ROW($F$1090)+1),"")</f>
        <v/>
      </c>
      <c r="G1630" s="0" t="n">
        <f aca="false">IFERROR(SMALL(G367:G1087,ROW()-ROW($G$1090)+1),"")</f>
        <v>0</v>
      </c>
      <c r="H1630" s="0" t="n">
        <f aca="false">IFERROR(SMALL(H367:H1087,ROW()-ROW($H$1090)+1),"")</f>
        <v>0</v>
      </c>
      <c r="K1630" s="0" t="n">
        <f aca="false">IFERROR(SMALL(K367:K1087,ROW()-ROW($K$1090)+1),"")</f>
        <v>0</v>
      </c>
      <c r="L1630" s="0" t="str">
        <f aca="false">IFERROR(SMALL(L367:L1087,ROW()-ROW($L$1090)+1),"")</f>
        <v/>
      </c>
      <c r="M1630" s="0" t="n">
        <f aca="false">IFERROR(SMALL(M367:M1087,ROW()-ROW($M$1090)+1),"")</f>
        <v>0</v>
      </c>
      <c r="N1630" s="0" t="n">
        <f aca="false">IFERROR(SMALL(N367:N1087,ROW()-ROW($N$1090)+1),"")</f>
        <v>0</v>
      </c>
    </row>
    <row r="1631" customFormat="false" ht="15" hidden="false" customHeight="false" outlineLevel="0" collapsed="false">
      <c r="E1631" s="0" t="n">
        <f aca="false">IFERROR(SMALL(E367:E1087,ROW()-ROW($E$1090)+1),"")</f>
        <v>0</v>
      </c>
      <c r="F1631" s="0" t="str">
        <f aca="false">IFERROR(SMALL(F367:F1087,ROW()-ROW($F$1090)+1),"")</f>
        <v/>
      </c>
      <c r="G1631" s="0" t="n">
        <f aca="false">IFERROR(SMALL(G367:G1087,ROW()-ROW($G$1090)+1),"")</f>
        <v>0</v>
      </c>
      <c r="H1631" s="0" t="n">
        <f aca="false">IFERROR(SMALL(H367:H1087,ROW()-ROW($H$1090)+1),"")</f>
        <v>0</v>
      </c>
      <c r="K1631" s="0" t="n">
        <f aca="false">IFERROR(SMALL(K367:K1087,ROW()-ROW($K$1090)+1),"")</f>
        <v>0</v>
      </c>
      <c r="L1631" s="0" t="str">
        <f aca="false">IFERROR(SMALL(L367:L1087,ROW()-ROW($L$1090)+1),"")</f>
        <v/>
      </c>
      <c r="M1631" s="0" t="n">
        <f aca="false">IFERROR(SMALL(M367:M1087,ROW()-ROW($M$1090)+1),"")</f>
        <v>0</v>
      </c>
      <c r="N1631" s="0" t="n">
        <f aca="false">IFERROR(SMALL(N367:N1087,ROW()-ROW($N$1090)+1),"")</f>
        <v>0</v>
      </c>
    </row>
    <row r="1632" customFormat="false" ht="15" hidden="false" customHeight="false" outlineLevel="0" collapsed="false">
      <c r="E1632" s="0" t="n">
        <f aca="false">IFERROR(SMALL(E367:E1087,ROW()-ROW($E$1090)+1),"")</f>
        <v>0</v>
      </c>
      <c r="F1632" s="0" t="str">
        <f aca="false">IFERROR(SMALL(F367:F1087,ROW()-ROW($F$1090)+1),"")</f>
        <v/>
      </c>
      <c r="G1632" s="0" t="n">
        <f aca="false">IFERROR(SMALL(G367:G1087,ROW()-ROW($G$1090)+1),"")</f>
        <v>0</v>
      </c>
      <c r="H1632" s="0" t="n">
        <f aca="false">IFERROR(SMALL(H367:H1087,ROW()-ROW($H$1090)+1),"")</f>
        <v>0</v>
      </c>
      <c r="K1632" s="0" t="n">
        <f aca="false">IFERROR(SMALL(K367:K1087,ROW()-ROW($K$1090)+1),"")</f>
        <v>0</v>
      </c>
      <c r="L1632" s="0" t="str">
        <f aca="false">IFERROR(SMALL(L367:L1087,ROW()-ROW($L$1090)+1),"")</f>
        <v/>
      </c>
      <c r="M1632" s="0" t="n">
        <f aca="false">IFERROR(SMALL(M367:M1087,ROW()-ROW($M$1090)+1),"")</f>
        <v>0</v>
      </c>
      <c r="N1632" s="0" t="n">
        <f aca="false">IFERROR(SMALL(N367:N1087,ROW()-ROW($N$1090)+1),"")</f>
        <v>0</v>
      </c>
    </row>
    <row r="1633" customFormat="false" ht="15" hidden="false" customHeight="false" outlineLevel="0" collapsed="false">
      <c r="E1633" s="0" t="n">
        <f aca="false">IFERROR(SMALL(E367:E1087,ROW()-ROW($E$1090)+1),"")</f>
        <v>0</v>
      </c>
      <c r="F1633" s="0" t="str">
        <f aca="false">IFERROR(SMALL(F367:F1087,ROW()-ROW($F$1090)+1),"")</f>
        <v/>
      </c>
      <c r="G1633" s="0" t="n">
        <f aca="false">IFERROR(SMALL(G367:G1087,ROW()-ROW($G$1090)+1),"")</f>
        <v>0</v>
      </c>
      <c r="H1633" s="0" t="n">
        <f aca="false">IFERROR(SMALL(H367:H1087,ROW()-ROW($H$1090)+1),"")</f>
        <v>0</v>
      </c>
      <c r="K1633" s="0" t="n">
        <f aca="false">IFERROR(SMALL(K367:K1087,ROW()-ROW($K$1090)+1),"")</f>
        <v>0</v>
      </c>
      <c r="L1633" s="0" t="str">
        <f aca="false">IFERROR(SMALL(L367:L1087,ROW()-ROW($L$1090)+1),"")</f>
        <v/>
      </c>
      <c r="M1633" s="0" t="n">
        <f aca="false">IFERROR(SMALL(M367:M1087,ROW()-ROW($M$1090)+1),"")</f>
        <v>0</v>
      </c>
      <c r="N1633" s="0" t="n">
        <f aca="false">IFERROR(SMALL(N367:N1087,ROW()-ROW($N$1090)+1),"")</f>
        <v>0</v>
      </c>
    </row>
    <row r="1634" customFormat="false" ht="15" hidden="false" customHeight="false" outlineLevel="0" collapsed="false">
      <c r="E1634" s="0" t="n">
        <f aca="false">IFERROR(SMALL(E367:E1087,ROW()-ROW($E$1090)+1),"")</f>
        <v>0</v>
      </c>
      <c r="F1634" s="0" t="str">
        <f aca="false">IFERROR(SMALL(F367:F1087,ROW()-ROW($F$1090)+1),"")</f>
        <v/>
      </c>
      <c r="G1634" s="0" t="n">
        <f aca="false">IFERROR(SMALL(G367:G1087,ROW()-ROW($G$1090)+1),"")</f>
        <v>0</v>
      </c>
      <c r="H1634" s="0" t="n">
        <f aca="false">IFERROR(SMALL(H367:H1087,ROW()-ROW($H$1090)+1),"")</f>
        <v>0</v>
      </c>
      <c r="K1634" s="0" t="n">
        <f aca="false">IFERROR(SMALL(K367:K1087,ROW()-ROW($K$1090)+1),"")</f>
        <v>0</v>
      </c>
      <c r="L1634" s="0" t="str">
        <f aca="false">IFERROR(SMALL(L367:L1087,ROW()-ROW($L$1090)+1),"")</f>
        <v/>
      </c>
      <c r="M1634" s="0" t="n">
        <f aca="false">IFERROR(SMALL(M367:M1087,ROW()-ROW($M$1090)+1),"")</f>
        <v>0</v>
      </c>
      <c r="N1634" s="0" t="n">
        <f aca="false">IFERROR(SMALL(N367:N1087,ROW()-ROW($N$1090)+1),"")</f>
        <v>0</v>
      </c>
    </row>
    <row r="1635" customFormat="false" ht="15" hidden="false" customHeight="false" outlineLevel="0" collapsed="false">
      <c r="E1635" s="0" t="n">
        <f aca="false">IFERROR(SMALL(E367:E1087,ROW()-ROW($E$1090)+1),"")</f>
        <v>0</v>
      </c>
      <c r="F1635" s="0" t="str">
        <f aca="false">IFERROR(SMALL(F367:F1087,ROW()-ROW($F$1090)+1),"")</f>
        <v/>
      </c>
      <c r="G1635" s="0" t="n">
        <f aca="false">IFERROR(SMALL(G367:G1087,ROW()-ROW($G$1090)+1),"")</f>
        <v>0</v>
      </c>
      <c r="H1635" s="0" t="n">
        <f aca="false">IFERROR(SMALL(H367:H1087,ROW()-ROW($H$1090)+1),"")</f>
        <v>0</v>
      </c>
      <c r="K1635" s="0" t="n">
        <f aca="false">IFERROR(SMALL(K367:K1087,ROW()-ROW($K$1090)+1),"")</f>
        <v>0</v>
      </c>
      <c r="L1635" s="0" t="str">
        <f aca="false">IFERROR(SMALL(L367:L1087,ROW()-ROW($L$1090)+1),"")</f>
        <v/>
      </c>
      <c r="M1635" s="0" t="n">
        <f aca="false">IFERROR(SMALL(M367:M1087,ROW()-ROW($M$1090)+1),"")</f>
        <v>0</v>
      </c>
      <c r="N1635" s="0" t="n">
        <f aca="false">IFERROR(SMALL(N367:N1087,ROW()-ROW($N$1090)+1),"")</f>
        <v>0</v>
      </c>
    </row>
    <row r="1636" customFormat="false" ht="15" hidden="false" customHeight="false" outlineLevel="0" collapsed="false">
      <c r="E1636" s="0" t="n">
        <f aca="false">IFERROR(SMALL(E367:E1087,ROW()-ROW($E$1090)+1),"")</f>
        <v>0</v>
      </c>
      <c r="F1636" s="0" t="str">
        <f aca="false">IFERROR(SMALL(F367:F1087,ROW()-ROW($F$1090)+1),"")</f>
        <v/>
      </c>
      <c r="G1636" s="0" t="n">
        <f aca="false">IFERROR(SMALL(G367:G1087,ROW()-ROW($G$1090)+1),"")</f>
        <v>0</v>
      </c>
      <c r="H1636" s="0" t="n">
        <f aca="false">IFERROR(SMALL(H367:H1087,ROW()-ROW($H$1090)+1),"")</f>
        <v>0</v>
      </c>
      <c r="K1636" s="0" t="n">
        <f aca="false">IFERROR(SMALL(K367:K1087,ROW()-ROW($K$1090)+1),"")</f>
        <v>0</v>
      </c>
      <c r="L1636" s="0" t="str">
        <f aca="false">IFERROR(SMALL(L367:L1087,ROW()-ROW($L$1090)+1),"")</f>
        <v/>
      </c>
      <c r="M1636" s="0" t="n">
        <f aca="false">IFERROR(SMALL(M367:M1087,ROW()-ROW($M$1090)+1),"")</f>
        <v>0</v>
      </c>
      <c r="N1636" s="0" t="n">
        <f aca="false">IFERROR(SMALL(N367:N1087,ROW()-ROW($N$1090)+1),"")</f>
        <v>0</v>
      </c>
    </row>
    <row r="1637" customFormat="false" ht="15" hidden="false" customHeight="false" outlineLevel="0" collapsed="false">
      <c r="E1637" s="0" t="n">
        <f aca="false">IFERROR(SMALL(E367:E1087,ROW()-ROW($E$1090)+1),"")</f>
        <v>0</v>
      </c>
      <c r="F1637" s="0" t="str">
        <f aca="false">IFERROR(SMALL(F367:F1087,ROW()-ROW($F$1090)+1),"")</f>
        <v/>
      </c>
      <c r="G1637" s="0" t="n">
        <f aca="false">IFERROR(SMALL(G367:G1087,ROW()-ROW($G$1090)+1),"")</f>
        <v>0</v>
      </c>
      <c r="H1637" s="0" t="n">
        <f aca="false">IFERROR(SMALL(H367:H1087,ROW()-ROW($H$1090)+1),"")</f>
        <v>0</v>
      </c>
      <c r="K1637" s="0" t="n">
        <f aca="false">IFERROR(SMALL(K367:K1087,ROW()-ROW($K$1090)+1),"")</f>
        <v>0</v>
      </c>
      <c r="L1637" s="0" t="str">
        <f aca="false">IFERROR(SMALL(L367:L1087,ROW()-ROW($L$1090)+1),"")</f>
        <v/>
      </c>
      <c r="M1637" s="0" t="n">
        <f aca="false">IFERROR(SMALL(M367:M1087,ROW()-ROW($M$1090)+1),"")</f>
        <v>0</v>
      </c>
      <c r="N1637" s="0" t="n">
        <f aca="false">IFERROR(SMALL(N367:N1087,ROW()-ROW($N$1090)+1),"")</f>
        <v>0</v>
      </c>
    </row>
    <row r="1638" customFormat="false" ht="15" hidden="false" customHeight="false" outlineLevel="0" collapsed="false">
      <c r="E1638" s="0" t="n">
        <f aca="false">IFERROR(SMALL(E367:E1087,ROW()-ROW($E$1090)+1),"")</f>
        <v>0</v>
      </c>
      <c r="F1638" s="0" t="str">
        <f aca="false">IFERROR(SMALL(F367:F1087,ROW()-ROW($F$1090)+1),"")</f>
        <v/>
      </c>
      <c r="G1638" s="0" t="n">
        <f aca="false">IFERROR(SMALL(G367:G1087,ROW()-ROW($G$1090)+1),"")</f>
        <v>0</v>
      </c>
      <c r="H1638" s="0" t="n">
        <f aca="false">IFERROR(SMALL(H367:H1087,ROW()-ROW($H$1090)+1),"")</f>
        <v>0</v>
      </c>
      <c r="K1638" s="0" t="n">
        <f aca="false">IFERROR(SMALL(K367:K1087,ROW()-ROW($K$1090)+1),"")</f>
        <v>0</v>
      </c>
      <c r="L1638" s="0" t="str">
        <f aca="false">IFERROR(SMALL(L367:L1087,ROW()-ROW($L$1090)+1),"")</f>
        <v/>
      </c>
      <c r="M1638" s="0" t="n">
        <f aca="false">IFERROR(SMALL(M367:M1087,ROW()-ROW($M$1090)+1),"")</f>
        <v>0</v>
      </c>
      <c r="N1638" s="0" t="n">
        <f aca="false">IFERROR(SMALL(N367:N1087,ROW()-ROW($N$1090)+1),"")</f>
        <v>0</v>
      </c>
    </row>
    <row r="1639" customFormat="false" ht="15" hidden="false" customHeight="false" outlineLevel="0" collapsed="false">
      <c r="E1639" s="0" t="n">
        <f aca="false">IFERROR(SMALL(E367:E1087,ROW()-ROW($E$1090)+1),"")</f>
        <v>0</v>
      </c>
      <c r="F1639" s="0" t="str">
        <f aca="false">IFERROR(SMALL(F367:F1087,ROW()-ROW($F$1090)+1),"")</f>
        <v/>
      </c>
      <c r="G1639" s="0" t="n">
        <f aca="false">IFERROR(SMALL(G367:G1087,ROW()-ROW($G$1090)+1),"")</f>
        <v>0</v>
      </c>
      <c r="H1639" s="0" t="n">
        <f aca="false">IFERROR(SMALL(H367:H1087,ROW()-ROW($H$1090)+1),"")</f>
        <v>0</v>
      </c>
      <c r="K1639" s="0" t="n">
        <f aca="false">IFERROR(SMALL(K367:K1087,ROW()-ROW($K$1090)+1),"")</f>
        <v>0</v>
      </c>
      <c r="L1639" s="0" t="str">
        <f aca="false">IFERROR(SMALL(L367:L1087,ROW()-ROW($L$1090)+1),"")</f>
        <v/>
      </c>
      <c r="M1639" s="0" t="n">
        <f aca="false">IFERROR(SMALL(M367:M1087,ROW()-ROW($M$1090)+1),"")</f>
        <v>0</v>
      </c>
      <c r="N1639" s="0" t="n">
        <f aca="false">IFERROR(SMALL(N367:N1087,ROW()-ROW($N$1090)+1),"")</f>
        <v>0</v>
      </c>
    </row>
    <row r="1640" customFormat="false" ht="15" hidden="false" customHeight="false" outlineLevel="0" collapsed="false">
      <c r="E1640" s="0" t="n">
        <f aca="false">IFERROR(SMALL(E367:E1087,ROW()-ROW($E$1090)+1),"")</f>
        <v>0</v>
      </c>
      <c r="F1640" s="0" t="str">
        <f aca="false">IFERROR(SMALL(F367:F1087,ROW()-ROW($F$1090)+1),"")</f>
        <v/>
      </c>
      <c r="G1640" s="0" t="n">
        <f aca="false">IFERROR(SMALL(G367:G1087,ROW()-ROW($G$1090)+1),"")</f>
        <v>0</v>
      </c>
      <c r="H1640" s="0" t="n">
        <f aca="false">IFERROR(SMALL(H367:H1087,ROW()-ROW($H$1090)+1),"")</f>
        <v>0</v>
      </c>
      <c r="K1640" s="0" t="n">
        <f aca="false">IFERROR(SMALL(K367:K1087,ROW()-ROW($K$1090)+1),"")</f>
        <v>0</v>
      </c>
      <c r="L1640" s="0" t="str">
        <f aca="false">IFERROR(SMALL(L367:L1087,ROW()-ROW($L$1090)+1),"")</f>
        <v/>
      </c>
      <c r="M1640" s="0" t="n">
        <f aca="false">IFERROR(SMALL(M367:M1087,ROW()-ROW($M$1090)+1),"")</f>
        <v>0</v>
      </c>
      <c r="N1640" s="0" t="n">
        <f aca="false">IFERROR(SMALL(N367:N1087,ROW()-ROW($N$1090)+1),"")</f>
        <v>0</v>
      </c>
    </row>
    <row r="1641" customFormat="false" ht="15" hidden="false" customHeight="false" outlineLevel="0" collapsed="false">
      <c r="E1641" s="0" t="n">
        <f aca="false">IFERROR(SMALL(E367:E1087,ROW()-ROW($E$1090)+1),"")</f>
        <v>0</v>
      </c>
      <c r="F1641" s="0" t="str">
        <f aca="false">IFERROR(SMALL(F367:F1087,ROW()-ROW($F$1090)+1),"")</f>
        <v/>
      </c>
      <c r="G1641" s="0" t="n">
        <f aca="false">IFERROR(SMALL(G367:G1087,ROW()-ROW($G$1090)+1),"")</f>
        <v>0</v>
      </c>
      <c r="H1641" s="0" t="n">
        <f aca="false">IFERROR(SMALL(H367:H1087,ROW()-ROW($H$1090)+1),"")</f>
        <v>0</v>
      </c>
      <c r="K1641" s="0" t="n">
        <f aca="false">IFERROR(SMALL(K367:K1087,ROW()-ROW($K$1090)+1),"")</f>
        <v>0</v>
      </c>
      <c r="L1641" s="0" t="str">
        <f aca="false">IFERROR(SMALL(L367:L1087,ROW()-ROW($L$1090)+1),"")</f>
        <v/>
      </c>
      <c r="M1641" s="0" t="n">
        <f aca="false">IFERROR(SMALL(M367:M1087,ROW()-ROW($M$1090)+1),"")</f>
        <v>0</v>
      </c>
      <c r="N1641" s="0" t="n">
        <f aca="false">IFERROR(SMALL(N367:N1087,ROW()-ROW($N$1090)+1),"")</f>
        <v>0</v>
      </c>
    </row>
    <row r="1642" customFormat="false" ht="15" hidden="false" customHeight="false" outlineLevel="0" collapsed="false">
      <c r="E1642" s="0" t="n">
        <f aca="false">IFERROR(SMALL(E367:E1087,ROW()-ROW($E$1090)+1),"")</f>
        <v>0</v>
      </c>
      <c r="F1642" s="0" t="str">
        <f aca="false">IFERROR(SMALL(F367:F1087,ROW()-ROW($F$1090)+1),"")</f>
        <v/>
      </c>
      <c r="G1642" s="0" t="n">
        <f aca="false">IFERROR(SMALL(G367:G1087,ROW()-ROW($G$1090)+1),"")</f>
        <v>0</v>
      </c>
      <c r="H1642" s="0" t="n">
        <f aca="false">IFERROR(SMALL(H367:H1087,ROW()-ROW($H$1090)+1),"")</f>
        <v>0</v>
      </c>
      <c r="K1642" s="0" t="n">
        <f aca="false">IFERROR(SMALL(K367:K1087,ROW()-ROW($K$1090)+1),"")</f>
        <v>0</v>
      </c>
      <c r="L1642" s="0" t="str">
        <f aca="false">IFERROR(SMALL(L367:L1087,ROW()-ROW($L$1090)+1),"")</f>
        <v/>
      </c>
      <c r="M1642" s="0" t="n">
        <f aca="false">IFERROR(SMALL(M367:M1087,ROW()-ROW($M$1090)+1),"")</f>
        <v>0</v>
      </c>
      <c r="N1642" s="0" t="n">
        <f aca="false">IFERROR(SMALL(N367:N1087,ROW()-ROW($N$1090)+1),"")</f>
        <v>0</v>
      </c>
    </row>
    <row r="1643" customFormat="false" ht="15" hidden="false" customHeight="false" outlineLevel="0" collapsed="false">
      <c r="E1643" s="0" t="n">
        <f aca="false">IFERROR(SMALL(E367:E1087,ROW()-ROW($E$1090)+1),"")</f>
        <v>0</v>
      </c>
      <c r="F1643" s="0" t="str">
        <f aca="false">IFERROR(SMALL(F367:F1087,ROW()-ROW($F$1090)+1),"")</f>
        <v/>
      </c>
      <c r="G1643" s="0" t="n">
        <f aca="false">IFERROR(SMALL(G367:G1087,ROW()-ROW($G$1090)+1),"")</f>
        <v>0</v>
      </c>
      <c r="H1643" s="0" t="n">
        <f aca="false">IFERROR(SMALL(H367:H1087,ROW()-ROW($H$1090)+1),"")</f>
        <v>0</v>
      </c>
      <c r="K1643" s="0" t="n">
        <f aca="false">IFERROR(SMALL(K367:K1087,ROW()-ROW($K$1090)+1),"")</f>
        <v>0</v>
      </c>
      <c r="L1643" s="0" t="str">
        <f aca="false">IFERROR(SMALL(L367:L1087,ROW()-ROW($L$1090)+1),"")</f>
        <v/>
      </c>
      <c r="M1643" s="0" t="n">
        <f aca="false">IFERROR(SMALL(M367:M1087,ROW()-ROW($M$1090)+1),"")</f>
        <v>0</v>
      </c>
      <c r="N1643" s="0" t="n">
        <f aca="false">IFERROR(SMALL(N367:N1087,ROW()-ROW($N$1090)+1),"")</f>
        <v>0</v>
      </c>
    </row>
    <row r="1644" customFormat="false" ht="15" hidden="false" customHeight="false" outlineLevel="0" collapsed="false">
      <c r="E1644" s="0" t="n">
        <f aca="false">IFERROR(SMALL(E367:E1087,ROW()-ROW($E$1090)+1),"")</f>
        <v>0</v>
      </c>
      <c r="F1644" s="0" t="str">
        <f aca="false">IFERROR(SMALL(F367:F1087,ROW()-ROW($F$1090)+1),"")</f>
        <v/>
      </c>
      <c r="G1644" s="0" t="n">
        <f aca="false">IFERROR(SMALL(G367:G1087,ROW()-ROW($G$1090)+1),"")</f>
        <v>0</v>
      </c>
      <c r="H1644" s="0" t="n">
        <f aca="false">IFERROR(SMALL(H367:H1087,ROW()-ROW($H$1090)+1),"")</f>
        <v>0</v>
      </c>
      <c r="K1644" s="0" t="n">
        <f aca="false">IFERROR(SMALL(K367:K1087,ROW()-ROW($K$1090)+1),"")</f>
        <v>0</v>
      </c>
      <c r="L1644" s="0" t="str">
        <f aca="false">IFERROR(SMALL(L367:L1087,ROW()-ROW($L$1090)+1),"")</f>
        <v/>
      </c>
      <c r="M1644" s="0" t="n">
        <f aca="false">IFERROR(SMALL(M367:M1087,ROW()-ROW($M$1090)+1),"")</f>
        <v>0</v>
      </c>
      <c r="N1644" s="0" t="n">
        <f aca="false">IFERROR(SMALL(N367:N1087,ROW()-ROW($N$1090)+1),"")</f>
        <v>0</v>
      </c>
    </row>
    <row r="1645" customFormat="false" ht="15" hidden="false" customHeight="false" outlineLevel="0" collapsed="false">
      <c r="E1645" s="0" t="n">
        <f aca="false">IFERROR(SMALL(E367:E1087,ROW()-ROW($E$1090)+1),"")</f>
        <v>0</v>
      </c>
      <c r="F1645" s="0" t="str">
        <f aca="false">IFERROR(SMALL(F367:F1087,ROW()-ROW($F$1090)+1),"")</f>
        <v/>
      </c>
      <c r="G1645" s="0" t="n">
        <f aca="false">IFERROR(SMALL(G367:G1087,ROW()-ROW($G$1090)+1),"")</f>
        <v>0</v>
      </c>
      <c r="H1645" s="0" t="n">
        <f aca="false">IFERROR(SMALL(H367:H1087,ROW()-ROW($H$1090)+1),"")</f>
        <v>0</v>
      </c>
      <c r="K1645" s="0" t="n">
        <f aca="false">IFERROR(SMALL(K367:K1087,ROW()-ROW($K$1090)+1),"")</f>
        <v>0</v>
      </c>
      <c r="L1645" s="0" t="str">
        <f aca="false">IFERROR(SMALL(L367:L1087,ROW()-ROW($L$1090)+1),"")</f>
        <v/>
      </c>
      <c r="M1645" s="0" t="n">
        <f aca="false">IFERROR(SMALL(M367:M1087,ROW()-ROW($M$1090)+1),"")</f>
        <v>0</v>
      </c>
      <c r="N1645" s="0" t="n">
        <f aca="false">IFERROR(SMALL(N367:N1087,ROW()-ROW($N$1090)+1),"")</f>
        <v>0</v>
      </c>
    </row>
    <row r="1646" customFormat="false" ht="15" hidden="false" customHeight="false" outlineLevel="0" collapsed="false">
      <c r="E1646" s="0" t="n">
        <f aca="false">IFERROR(SMALL(E367:E1087,ROW()-ROW($E$1090)+1),"")</f>
        <v>0</v>
      </c>
      <c r="F1646" s="0" t="str">
        <f aca="false">IFERROR(SMALL(F367:F1087,ROW()-ROW($F$1090)+1),"")</f>
        <v/>
      </c>
      <c r="G1646" s="0" t="n">
        <f aca="false">IFERROR(SMALL(G367:G1087,ROW()-ROW($G$1090)+1),"")</f>
        <v>0</v>
      </c>
      <c r="H1646" s="0" t="n">
        <f aca="false">IFERROR(SMALL(H367:H1087,ROW()-ROW($H$1090)+1),"")</f>
        <v>0</v>
      </c>
      <c r="K1646" s="0" t="n">
        <f aca="false">IFERROR(SMALL(K367:K1087,ROW()-ROW($K$1090)+1),"")</f>
        <v>0</v>
      </c>
      <c r="L1646" s="0" t="str">
        <f aca="false">IFERROR(SMALL(L367:L1087,ROW()-ROW($L$1090)+1),"")</f>
        <v/>
      </c>
      <c r="M1646" s="0" t="n">
        <f aca="false">IFERROR(SMALL(M367:M1087,ROW()-ROW($M$1090)+1),"")</f>
        <v>0</v>
      </c>
      <c r="N1646" s="0" t="n">
        <f aca="false">IFERROR(SMALL(N367:N1087,ROW()-ROW($N$1090)+1),"")</f>
        <v>0</v>
      </c>
    </row>
    <row r="1647" customFormat="false" ht="15" hidden="false" customHeight="false" outlineLevel="0" collapsed="false">
      <c r="E1647" s="0" t="n">
        <f aca="false">IFERROR(SMALL(E367:E1087,ROW()-ROW($E$1090)+1),"")</f>
        <v>0</v>
      </c>
      <c r="F1647" s="0" t="str">
        <f aca="false">IFERROR(SMALL(F367:F1087,ROW()-ROW($F$1090)+1),"")</f>
        <v/>
      </c>
      <c r="G1647" s="0" t="n">
        <f aca="false">IFERROR(SMALL(G367:G1087,ROW()-ROW($G$1090)+1),"")</f>
        <v>0</v>
      </c>
      <c r="H1647" s="0" t="n">
        <f aca="false">IFERROR(SMALL(H367:H1087,ROW()-ROW($H$1090)+1),"")</f>
        <v>0</v>
      </c>
      <c r="K1647" s="0" t="n">
        <f aca="false">IFERROR(SMALL(K367:K1087,ROW()-ROW($K$1090)+1),"")</f>
        <v>0</v>
      </c>
      <c r="L1647" s="0" t="str">
        <f aca="false">IFERROR(SMALL(L367:L1087,ROW()-ROW($L$1090)+1),"")</f>
        <v/>
      </c>
      <c r="M1647" s="0" t="n">
        <f aca="false">IFERROR(SMALL(M367:M1087,ROW()-ROW($M$1090)+1),"")</f>
        <v>0</v>
      </c>
      <c r="N1647" s="0" t="n">
        <f aca="false">IFERROR(SMALL(N367:N1087,ROW()-ROW($N$1090)+1),"")</f>
        <v>0</v>
      </c>
    </row>
    <row r="1648" customFormat="false" ht="15" hidden="false" customHeight="false" outlineLevel="0" collapsed="false">
      <c r="E1648" s="0" t="n">
        <f aca="false">IFERROR(SMALL(E367:E1087,ROW()-ROW($E$1090)+1),"")</f>
        <v>0</v>
      </c>
      <c r="F1648" s="0" t="str">
        <f aca="false">IFERROR(SMALL(F367:F1087,ROW()-ROW($F$1090)+1),"")</f>
        <v/>
      </c>
      <c r="G1648" s="0" t="n">
        <f aca="false">IFERROR(SMALL(G367:G1087,ROW()-ROW($G$1090)+1),"")</f>
        <v>0</v>
      </c>
      <c r="H1648" s="0" t="n">
        <f aca="false">IFERROR(SMALL(H367:H1087,ROW()-ROW($H$1090)+1),"")</f>
        <v>0</v>
      </c>
      <c r="K1648" s="0" t="n">
        <f aca="false">IFERROR(SMALL(K367:K1087,ROW()-ROW($K$1090)+1),"")</f>
        <v>0</v>
      </c>
      <c r="L1648" s="0" t="str">
        <f aca="false">IFERROR(SMALL(L367:L1087,ROW()-ROW($L$1090)+1),"")</f>
        <v/>
      </c>
      <c r="M1648" s="0" t="n">
        <f aca="false">IFERROR(SMALL(M367:M1087,ROW()-ROW($M$1090)+1),"")</f>
        <v>0</v>
      </c>
      <c r="N1648" s="0" t="n">
        <f aca="false">IFERROR(SMALL(N367:N1087,ROW()-ROW($N$1090)+1),"")</f>
        <v>0</v>
      </c>
    </row>
    <row r="1649" customFormat="false" ht="15" hidden="false" customHeight="false" outlineLevel="0" collapsed="false">
      <c r="E1649" s="0" t="n">
        <f aca="false">IFERROR(SMALL(E367:E1087,ROW()-ROW($E$1090)+1),"")</f>
        <v>0</v>
      </c>
      <c r="F1649" s="0" t="str">
        <f aca="false">IFERROR(SMALL(F367:F1087,ROW()-ROW($F$1090)+1),"")</f>
        <v/>
      </c>
      <c r="G1649" s="0" t="n">
        <f aca="false">IFERROR(SMALL(G367:G1087,ROW()-ROW($G$1090)+1),"")</f>
        <v>0</v>
      </c>
      <c r="H1649" s="0" t="n">
        <f aca="false">IFERROR(SMALL(H367:H1087,ROW()-ROW($H$1090)+1),"")</f>
        <v>0</v>
      </c>
      <c r="K1649" s="0" t="n">
        <f aca="false">IFERROR(SMALL(K367:K1087,ROW()-ROW($K$1090)+1),"")</f>
        <v>0</v>
      </c>
      <c r="L1649" s="0" t="str">
        <f aca="false">IFERROR(SMALL(L367:L1087,ROW()-ROW($L$1090)+1),"")</f>
        <v/>
      </c>
      <c r="M1649" s="0" t="n">
        <f aca="false">IFERROR(SMALL(M367:M1087,ROW()-ROW($M$1090)+1),"")</f>
        <v>0</v>
      </c>
      <c r="N1649" s="0" t="n">
        <f aca="false">IFERROR(SMALL(N367:N1087,ROW()-ROW($N$1090)+1),"")</f>
        <v>0</v>
      </c>
    </row>
    <row r="1650" customFormat="false" ht="15" hidden="false" customHeight="false" outlineLevel="0" collapsed="false">
      <c r="E1650" s="0" t="n">
        <f aca="false">IFERROR(SMALL(E367:E1087,ROW()-ROW($E$1090)+1),"")</f>
        <v>0</v>
      </c>
      <c r="F1650" s="0" t="str">
        <f aca="false">IFERROR(SMALL(F367:F1087,ROW()-ROW($F$1090)+1),"")</f>
        <v/>
      </c>
      <c r="G1650" s="0" t="n">
        <f aca="false">IFERROR(SMALL(G367:G1087,ROW()-ROW($G$1090)+1),"")</f>
        <v>0</v>
      </c>
      <c r="H1650" s="0" t="n">
        <f aca="false">IFERROR(SMALL(H367:H1087,ROW()-ROW($H$1090)+1),"")</f>
        <v>0</v>
      </c>
      <c r="K1650" s="0" t="n">
        <f aca="false">IFERROR(SMALL(K367:K1087,ROW()-ROW($K$1090)+1),"")</f>
        <v>0</v>
      </c>
      <c r="L1650" s="0" t="str">
        <f aca="false">IFERROR(SMALL(L367:L1087,ROW()-ROW($L$1090)+1),"")</f>
        <v/>
      </c>
      <c r="M1650" s="0" t="n">
        <f aca="false">IFERROR(SMALL(M367:M1087,ROW()-ROW($M$1090)+1),"")</f>
        <v>0</v>
      </c>
      <c r="N1650" s="0" t="n">
        <f aca="false">IFERROR(SMALL(N367:N1087,ROW()-ROW($N$1090)+1),"")</f>
        <v>0</v>
      </c>
    </row>
    <row r="1651" customFormat="false" ht="15" hidden="false" customHeight="false" outlineLevel="0" collapsed="false">
      <c r="E1651" s="0" t="n">
        <f aca="false">IFERROR(SMALL(E367:E1087,ROW()-ROW($E$1090)+1),"")</f>
        <v>0</v>
      </c>
      <c r="F1651" s="0" t="str">
        <f aca="false">IFERROR(SMALL(F367:F1087,ROW()-ROW($F$1090)+1),"")</f>
        <v/>
      </c>
      <c r="G1651" s="0" t="n">
        <f aca="false">IFERROR(SMALL(G367:G1087,ROW()-ROW($G$1090)+1),"")</f>
        <v>0</v>
      </c>
      <c r="H1651" s="0" t="n">
        <f aca="false">IFERROR(SMALL(H367:H1087,ROW()-ROW($H$1090)+1),"")</f>
        <v>0</v>
      </c>
      <c r="K1651" s="0" t="n">
        <f aca="false">IFERROR(SMALL(K367:K1087,ROW()-ROW($K$1090)+1),"")</f>
        <v>0</v>
      </c>
      <c r="L1651" s="0" t="str">
        <f aca="false">IFERROR(SMALL(L367:L1087,ROW()-ROW($L$1090)+1),"")</f>
        <v/>
      </c>
      <c r="M1651" s="0" t="n">
        <f aca="false">IFERROR(SMALL(M367:M1087,ROW()-ROW($M$1090)+1),"")</f>
        <v>0</v>
      </c>
      <c r="N1651" s="0" t="n">
        <f aca="false">IFERROR(SMALL(N367:N1087,ROW()-ROW($N$1090)+1),"")</f>
        <v>0</v>
      </c>
    </row>
    <row r="1652" customFormat="false" ht="15" hidden="false" customHeight="false" outlineLevel="0" collapsed="false">
      <c r="E1652" s="0" t="n">
        <f aca="false">IFERROR(SMALL(E367:E1087,ROW()-ROW($E$1090)+1),"")</f>
        <v>0</v>
      </c>
      <c r="F1652" s="0" t="str">
        <f aca="false">IFERROR(SMALL(F367:F1087,ROW()-ROW($F$1090)+1),"")</f>
        <v/>
      </c>
      <c r="G1652" s="0" t="n">
        <f aca="false">IFERROR(SMALL(G367:G1087,ROW()-ROW($G$1090)+1),"")</f>
        <v>0</v>
      </c>
      <c r="H1652" s="0" t="n">
        <f aca="false">IFERROR(SMALL(H367:H1087,ROW()-ROW($H$1090)+1),"")</f>
        <v>0</v>
      </c>
      <c r="K1652" s="0" t="n">
        <f aca="false">IFERROR(SMALL(K367:K1087,ROW()-ROW($K$1090)+1),"")</f>
        <v>0</v>
      </c>
      <c r="L1652" s="0" t="str">
        <f aca="false">IFERROR(SMALL(L367:L1087,ROW()-ROW($L$1090)+1),"")</f>
        <v/>
      </c>
      <c r="M1652" s="0" t="n">
        <f aca="false">IFERROR(SMALL(M367:M1087,ROW()-ROW($M$1090)+1),"")</f>
        <v>0</v>
      </c>
      <c r="N1652" s="0" t="n">
        <f aca="false">IFERROR(SMALL(N367:N1087,ROW()-ROW($N$1090)+1),"")</f>
        <v>0</v>
      </c>
    </row>
    <row r="1653" customFormat="false" ht="15" hidden="false" customHeight="false" outlineLevel="0" collapsed="false">
      <c r="E1653" s="0" t="n">
        <f aca="false">IFERROR(SMALL(E367:E1087,ROW()-ROW($E$1090)+1),"")</f>
        <v>0</v>
      </c>
      <c r="F1653" s="0" t="str">
        <f aca="false">IFERROR(SMALL(F367:F1087,ROW()-ROW($F$1090)+1),"")</f>
        <v/>
      </c>
      <c r="G1653" s="0" t="n">
        <f aca="false">IFERROR(SMALL(G367:G1087,ROW()-ROW($G$1090)+1),"")</f>
        <v>0</v>
      </c>
      <c r="H1653" s="0" t="n">
        <f aca="false">IFERROR(SMALL(H367:H1087,ROW()-ROW($H$1090)+1),"")</f>
        <v>0</v>
      </c>
      <c r="K1653" s="0" t="n">
        <f aca="false">IFERROR(SMALL(K367:K1087,ROW()-ROW($K$1090)+1),"")</f>
        <v>0</v>
      </c>
      <c r="L1653" s="0" t="str">
        <f aca="false">IFERROR(SMALL(L367:L1087,ROW()-ROW($L$1090)+1),"")</f>
        <v/>
      </c>
      <c r="M1653" s="0" t="n">
        <f aca="false">IFERROR(SMALL(M367:M1087,ROW()-ROW($M$1090)+1),"")</f>
        <v>0</v>
      </c>
      <c r="N1653" s="0" t="n">
        <f aca="false">IFERROR(SMALL(N367:N1087,ROW()-ROW($N$1090)+1),"")</f>
        <v>0</v>
      </c>
    </row>
    <row r="1654" customFormat="false" ht="15" hidden="false" customHeight="false" outlineLevel="0" collapsed="false">
      <c r="E1654" s="0" t="n">
        <f aca="false">IFERROR(SMALL(E367:E1087,ROW()-ROW($E$1090)+1),"")</f>
        <v>0</v>
      </c>
      <c r="F1654" s="0" t="str">
        <f aca="false">IFERROR(SMALL(F367:F1087,ROW()-ROW($F$1090)+1),"")</f>
        <v/>
      </c>
      <c r="G1654" s="0" t="n">
        <f aca="false">IFERROR(SMALL(G367:G1087,ROW()-ROW($G$1090)+1),"")</f>
        <v>0</v>
      </c>
      <c r="H1654" s="0" t="n">
        <f aca="false">IFERROR(SMALL(H367:H1087,ROW()-ROW($H$1090)+1),"")</f>
        <v>0</v>
      </c>
      <c r="K1654" s="0" t="n">
        <f aca="false">IFERROR(SMALL(K367:K1087,ROW()-ROW($K$1090)+1),"")</f>
        <v>0</v>
      </c>
      <c r="L1654" s="0" t="str">
        <f aca="false">IFERROR(SMALL(L367:L1087,ROW()-ROW($L$1090)+1),"")</f>
        <v/>
      </c>
      <c r="M1654" s="0" t="n">
        <f aca="false">IFERROR(SMALL(M367:M1087,ROW()-ROW($M$1090)+1),"")</f>
        <v>0</v>
      </c>
      <c r="N1654" s="0" t="n">
        <f aca="false">IFERROR(SMALL(N367:N1087,ROW()-ROW($N$1090)+1),"")</f>
        <v>0</v>
      </c>
    </row>
    <row r="1655" customFormat="false" ht="15" hidden="false" customHeight="false" outlineLevel="0" collapsed="false">
      <c r="E1655" s="0" t="n">
        <f aca="false">IFERROR(SMALL(E367:E1087,ROW()-ROW($E$1090)+1),"")</f>
        <v>0</v>
      </c>
      <c r="F1655" s="0" t="str">
        <f aca="false">IFERROR(SMALL(F367:F1087,ROW()-ROW($F$1090)+1),"")</f>
        <v/>
      </c>
      <c r="G1655" s="0" t="n">
        <f aca="false">IFERROR(SMALL(G367:G1087,ROW()-ROW($G$1090)+1),"")</f>
        <v>0</v>
      </c>
      <c r="H1655" s="0" t="n">
        <f aca="false">IFERROR(SMALL(H367:H1087,ROW()-ROW($H$1090)+1),"")</f>
        <v>0</v>
      </c>
      <c r="K1655" s="0" t="n">
        <f aca="false">IFERROR(SMALL(K367:K1087,ROW()-ROW($K$1090)+1),"")</f>
        <v>0</v>
      </c>
      <c r="L1655" s="0" t="str">
        <f aca="false">IFERROR(SMALL(L367:L1087,ROW()-ROW($L$1090)+1),"")</f>
        <v/>
      </c>
      <c r="M1655" s="0" t="n">
        <f aca="false">IFERROR(SMALL(M367:M1087,ROW()-ROW($M$1090)+1),"")</f>
        <v>0</v>
      </c>
      <c r="N1655" s="0" t="n">
        <f aca="false">IFERROR(SMALL(N367:N1087,ROW()-ROW($N$1090)+1),"")</f>
        <v>0</v>
      </c>
    </row>
    <row r="1656" customFormat="false" ht="15" hidden="false" customHeight="false" outlineLevel="0" collapsed="false">
      <c r="E1656" s="0" t="n">
        <f aca="false">IFERROR(SMALL(E367:E1087,ROW()-ROW($E$1090)+1),"")</f>
        <v>0</v>
      </c>
      <c r="F1656" s="0" t="str">
        <f aca="false">IFERROR(SMALL(F367:F1087,ROW()-ROW($F$1090)+1),"")</f>
        <v/>
      </c>
      <c r="G1656" s="0" t="n">
        <f aca="false">IFERROR(SMALL(G367:G1087,ROW()-ROW($G$1090)+1),"")</f>
        <v>0</v>
      </c>
      <c r="H1656" s="0" t="n">
        <f aca="false">IFERROR(SMALL(H367:H1087,ROW()-ROW($H$1090)+1),"")</f>
        <v>0</v>
      </c>
      <c r="K1656" s="0" t="n">
        <f aca="false">IFERROR(SMALL(K367:K1087,ROW()-ROW($K$1090)+1),"")</f>
        <v>0</v>
      </c>
      <c r="L1656" s="0" t="str">
        <f aca="false">IFERROR(SMALL(L367:L1087,ROW()-ROW($L$1090)+1),"")</f>
        <v/>
      </c>
      <c r="M1656" s="0" t="n">
        <f aca="false">IFERROR(SMALL(M367:M1087,ROW()-ROW($M$1090)+1),"")</f>
        <v>0</v>
      </c>
      <c r="N1656" s="0" t="n">
        <f aca="false">IFERROR(SMALL(N367:N1087,ROW()-ROW($N$1090)+1),"")</f>
        <v>0</v>
      </c>
    </row>
    <row r="1657" customFormat="false" ht="15" hidden="false" customHeight="false" outlineLevel="0" collapsed="false">
      <c r="E1657" s="0" t="n">
        <f aca="false">IFERROR(SMALL(E367:E1087,ROW()-ROW($E$1090)+1),"")</f>
        <v>0</v>
      </c>
      <c r="F1657" s="0" t="str">
        <f aca="false">IFERROR(SMALL(F367:F1087,ROW()-ROW($F$1090)+1),"")</f>
        <v/>
      </c>
      <c r="G1657" s="0" t="n">
        <f aca="false">IFERROR(SMALL(G367:G1087,ROW()-ROW($G$1090)+1),"")</f>
        <v>0</v>
      </c>
      <c r="H1657" s="0" t="n">
        <f aca="false">IFERROR(SMALL(H367:H1087,ROW()-ROW($H$1090)+1),"")</f>
        <v>0</v>
      </c>
      <c r="K1657" s="0" t="n">
        <f aca="false">IFERROR(SMALL(K367:K1087,ROW()-ROW($K$1090)+1),"")</f>
        <v>0</v>
      </c>
      <c r="L1657" s="0" t="str">
        <f aca="false">IFERROR(SMALL(L367:L1087,ROW()-ROW($L$1090)+1),"")</f>
        <v/>
      </c>
      <c r="M1657" s="0" t="n">
        <f aca="false">IFERROR(SMALL(M367:M1087,ROW()-ROW($M$1090)+1),"")</f>
        <v>0</v>
      </c>
      <c r="N1657" s="0" t="n">
        <f aca="false">IFERROR(SMALL(N367:N1087,ROW()-ROW($N$1090)+1),"")</f>
        <v>0</v>
      </c>
    </row>
    <row r="1658" customFormat="false" ht="15" hidden="false" customHeight="false" outlineLevel="0" collapsed="false">
      <c r="E1658" s="0" t="n">
        <f aca="false">IFERROR(SMALL(E367:E1087,ROW()-ROW($E$1090)+1),"")</f>
        <v>0</v>
      </c>
      <c r="F1658" s="0" t="str">
        <f aca="false">IFERROR(SMALL(F367:F1087,ROW()-ROW($F$1090)+1),"")</f>
        <v/>
      </c>
      <c r="G1658" s="0" t="n">
        <f aca="false">IFERROR(SMALL(G367:G1087,ROW()-ROW($G$1090)+1),"")</f>
        <v>0</v>
      </c>
      <c r="H1658" s="0" t="n">
        <f aca="false">IFERROR(SMALL(H367:H1087,ROW()-ROW($H$1090)+1),"")</f>
        <v>0</v>
      </c>
      <c r="K1658" s="0" t="n">
        <f aca="false">IFERROR(SMALL(K367:K1087,ROW()-ROW($K$1090)+1),"")</f>
        <v>0</v>
      </c>
      <c r="L1658" s="0" t="str">
        <f aca="false">IFERROR(SMALL(L367:L1087,ROW()-ROW($L$1090)+1),"")</f>
        <v/>
      </c>
      <c r="M1658" s="0" t="n">
        <f aca="false">IFERROR(SMALL(M367:M1087,ROW()-ROW($M$1090)+1),"")</f>
        <v>0</v>
      </c>
      <c r="N1658" s="0" t="n">
        <f aca="false">IFERROR(SMALL(N367:N1087,ROW()-ROW($N$1090)+1),"")</f>
        <v>0</v>
      </c>
    </row>
    <row r="1659" customFormat="false" ht="15" hidden="false" customHeight="false" outlineLevel="0" collapsed="false">
      <c r="E1659" s="0" t="n">
        <f aca="false">IFERROR(SMALL(E367:E1087,ROW()-ROW($E$1090)+1),"")</f>
        <v>0</v>
      </c>
      <c r="F1659" s="0" t="str">
        <f aca="false">IFERROR(SMALL(F367:F1087,ROW()-ROW($F$1090)+1),"")</f>
        <v/>
      </c>
      <c r="G1659" s="0" t="n">
        <f aca="false">IFERROR(SMALL(G367:G1087,ROW()-ROW($G$1090)+1),"")</f>
        <v>0</v>
      </c>
      <c r="H1659" s="0" t="n">
        <f aca="false">IFERROR(SMALL(H367:H1087,ROW()-ROW($H$1090)+1),"")</f>
        <v>0</v>
      </c>
      <c r="K1659" s="0" t="n">
        <f aca="false">IFERROR(SMALL(K367:K1087,ROW()-ROW($K$1090)+1),"")</f>
        <v>0</v>
      </c>
      <c r="L1659" s="0" t="str">
        <f aca="false">IFERROR(SMALL(L367:L1087,ROW()-ROW($L$1090)+1),"")</f>
        <v/>
      </c>
      <c r="M1659" s="0" t="n">
        <f aca="false">IFERROR(SMALL(M367:M1087,ROW()-ROW($M$1090)+1),"")</f>
        <v>0</v>
      </c>
      <c r="N1659" s="0" t="n">
        <f aca="false">IFERROR(SMALL(N367:N1087,ROW()-ROW($N$1090)+1),"")</f>
        <v>0</v>
      </c>
    </row>
    <row r="1660" customFormat="false" ht="15" hidden="false" customHeight="false" outlineLevel="0" collapsed="false">
      <c r="E1660" s="0" t="n">
        <f aca="false">IFERROR(SMALL(E367:E1087,ROW()-ROW($E$1090)+1),"")</f>
        <v>0</v>
      </c>
      <c r="F1660" s="0" t="str">
        <f aca="false">IFERROR(SMALL(F367:F1087,ROW()-ROW($F$1090)+1),"")</f>
        <v/>
      </c>
      <c r="G1660" s="0" t="n">
        <f aca="false">IFERROR(SMALL(G367:G1087,ROW()-ROW($G$1090)+1),"")</f>
        <v>0</v>
      </c>
      <c r="H1660" s="0" t="n">
        <f aca="false">IFERROR(SMALL(H367:H1087,ROW()-ROW($H$1090)+1),"")</f>
        <v>0</v>
      </c>
      <c r="K1660" s="0" t="n">
        <f aca="false">IFERROR(SMALL(K367:K1087,ROW()-ROW($K$1090)+1),"")</f>
        <v>0</v>
      </c>
      <c r="L1660" s="0" t="str">
        <f aca="false">IFERROR(SMALL(L367:L1087,ROW()-ROW($L$1090)+1),"")</f>
        <v/>
      </c>
      <c r="M1660" s="0" t="n">
        <f aca="false">IFERROR(SMALL(M367:M1087,ROW()-ROW($M$1090)+1),"")</f>
        <v>0</v>
      </c>
      <c r="N1660" s="0" t="n">
        <f aca="false">IFERROR(SMALL(N367:N1087,ROW()-ROW($N$1090)+1),"")</f>
        <v>0</v>
      </c>
    </row>
    <row r="1661" customFormat="false" ht="15" hidden="false" customHeight="false" outlineLevel="0" collapsed="false">
      <c r="E1661" s="0" t="n">
        <f aca="false">IFERROR(SMALL(E367:E1087,ROW()-ROW($E$1090)+1),"")</f>
        <v>0</v>
      </c>
      <c r="F1661" s="0" t="str">
        <f aca="false">IFERROR(SMALL(F367:F1087,ROW()-ROW($F$1090)+1),"")</f>
        <v/>
      </c>
      <c r="G1661" s="0" t="n">
        <f aca="false">IFERROR(SMALL(G367:G1087,ROW()-ROW($G$1090)+1),"")</f>
        <v>0</v>
      </c>
      <c r="H1661" s="0" t="n">
        <f aca="false">IFERROR(SMALL(H367:H1087,ROW()-ROW($H$1090)+1),"")</f>
        <v>0</v>
      </c>
      <c r="K1661" s="0" t="n">
        <f aca="false">IFERROR(SMALL(K367:K1087,ROW()-ROW($K$1090)+1),"")</f>
        <v>0</v>
      </c>
      <c r="L1661" s="0" t="str">
        <f aca="false">IFERROR(SMALL(L367:L1087,ROW()-ROW($L$1090)+1),"")</f>
        <v/>
      </c>
      <c r="M1661" s="0" t="n">
        <f aca="false">IFERROR(SMALL(M367:M1087,ROW()-ROW($M$1090)+1),"")</f>
        <v>0</v>
      </c>
      <c r="N1661" s="0" t="n">
        <f aca="false">IFERROR(SMALL(N367:N1087,ROW()-ROW($N$1090)+1),"")</f>
        <v>0</v>
      </c>
    </row>
    <row r="1662" customFormat="false" ht="15" hidden="false" customHeight="false" outlineLevel="0" collapsed="false">
      <c r="E1662" s="0" t="n">
        <f aca="false">IFERROR(SMALL(E367:E1087,ROW()-ROW($E$1090)+1),"")</f>
        <v>0</v>
      </c>
      <c r="F1662" s="0" t="str">
        <f aca="false">IFERROR(SMALL(F367:F1087,ROW()-ROW($F$1090)+1),"")</f>
        <v/>
      </c>
      <c r="G1662" s="0" t="n">
        <f aca="false">IFERROR(SMALL(G367:G1087,ROW()-ROW($G$1090)+1),"")</f>
        <v>0</v>
      </c>
      <c r="H1662" s="0" t="n">
        <f aca="false">IFERROR(SMALL(H367:H1087,ROW()-ROW($H$1090)+1),"")</f>
        <v>0</v>
      </c>
      <c r="K1662" s="0" t="n">
        <f aca="false">IFERROR(SMALL(K367:K1087,ROW()-ROW($K$1090)+1),"")</f>
        <v>0</v>
      </c>
      <c r="L1662" s="0" t="str">
        <f aca="false">IFERROR(SMALL(L367:L1087,ROW()-ROW($L$1090)+1),"")</f>
        <v/>
      </c>
      <c r="M1662" s="0" t="n">
        <f aca="false">IFERROR(SMALL(M367:M1087,ROW()-ROW($M$1090)+1),"")</f>
        <v>0</v>
      </c>
      <c r="N1662" s="0" t="n">
        <f aca="false">IFERROR(SMALL(N367:N1087,ROW()-ROW($N$1090)+1),"")</f>
        <v>0</v>
      </c>
    </row>
    <row r="1663" customFormat="false" ht="15" hidden="false" customHeight="false" outlineLevel="0" collapsed="false">
      <c r="E1663" s="0" t="n">
        <f aca="false">IFERROR(SMALL(E367:E1087,ROW()-ROW($E$1090)+1),"")</f>
        <v>0</v>
      </c>
      <c r="F1663" s="0" t="str">
        <f aca="false">IFERROR(SMALL(F367:F1087,ROW()-ROW($F$1090)+1),"")</f>
        <v/>
      </c>
      <c r="G1663" s="0" t="n">
        <f aca="false">IFERROR(SMALL(G367:G1087,ROW()-ROW($G$1090)+1),"")</f>
        <v>0</v>
      </c>
      <c r="H1663" s="0" t="n">
        <f aca="false">IFERROR(SMALL(H367:H1087,ROW()-ROW($H$1090)+1),"")</f>
        <v>0</v>
      </c>
      <c r="K1663" s="0" t="n">
        <f aca="false">IFERROR(SMALL(K367:K1087,ROW()-ROW($K$1090)+1),"")</f>
        <v>0</v>
      </c>
      <c r="L1663" s="0" t="str">
        <f aca="false">IFERROR(SMALL(L367:L1087,ROW()-ROW($L$1090)+1),"")</f>
        <v/>
      </c>
      <c r="M1663" s="0" t="n">
        <f aca="false">IFERROR(SMALL(M367:M1087,ROW()-ROW($M$1090)+1),"")</f>
        <v>0</v>
      </c>
      <c r="N1663" s="0" t="n">
        <f aca="false">IFERROR(SMALL(N367:N1087,ROW()-ROW($N$1090)+1),"")</f>
        <v>0</v>
      </c>
    </row>
    <row r="1664" customFormat="false" ht="15" hidden="false" customHeight="false" outlineLevel="0" collapsed="false">
      <c r="E1664" s="0" t="n">
        <f aca="false">IFERROR(SMALL(E367:E1087,ROW()-ROW($E$1090)+1),"")</f>
        <v>0</v>
      </c>
      <c r="F1664" s="0" t="str">
        <f aca="false">IFERROR(SMALL(F367:F1087,ROW()-ROW($F$1090)+1),"")</f>
        <v/>
      </c>
      <c r="G1664" s="0" t="n">
        <f aca="false">IFERROR(SMALL(G367:G1087,ROW()-ROW($G$1090)+1),"")</f>
        <v>0</v>
      </c>
      <c r="H1664" s="0" t="n">
        <f aca="false">IFERROR(SMALL(H367:H1087,ROW()-ROW($H$1090)+1),"")</f>
        <v>0</v>
      </c>
      <c r="K1664" s="0" t="n">
        <f aca="false">IFERROR(SMALL(K367:K1087,ROW()-ROW($K$1090)+1),"")</f>
        <v>0</v>
      </c>
      <c r="L1664" s="0" t="str">
        <f aca="false">IFERROR(SMALL(L367:L1087,ROW()-ROW($L$1090)+1),"")</f>
        <v/>
      </c>
      <c r="M1664" s="0" t="n">
        <f aca="false">IFERROR(SMALL(M367:M1087,ROW()-ROW($M$1090)+1),"")</f>
        <v>0</v>
      </c>
      <c r="N1664" s="0" t="n">
        <f aca="false">IFERROR(SMALL(N367:N1087,ROW()-ROW($N$1090)+1),"")</f>
        <v>0</v>
      </c>
    </row>
    <row r="1665" customFormat="false" ht="15" hidden="false" customHeight="false" outlineLevel="0" collapsed="false">
      <c r="E1665" s="0" t="n">
        <f aca="false">IFERROR(SMALL(E367:E1087,ROW()-ROW($E$1090)+1),"")</f>
        <v>0</v>
      </c>
      <c r="F1665" s="0" t="str">
        <f aca="false">IFERROR(SMALL(F367:F1087,ROW()-ROW($F$1090)+1),"")</f>
        <v/>
      </c>
      <c r="G1665" s="0" t="n">
        <f aca="false">IFERROR(SMALL(G367:G1087,ROW()-ROW($G$1090)+1),"")</f>
        <v>0</v>
      </c>
      <c r="H1665" s="0" t="n">
        <f aca="false">IFERROR(SMALL(H367:H1087,ROW()-ROW($H$1090)+1),"")</f>
        <v>0</v>
      </c>
      <c r="K1665" s="0" t="n">
        <f aca="false">IFERROR(SMALL(K367:K1087,ROW()-ROW($K$1090)+1),"")</f>
        <v>0</v>
      </c>
      <c r="L1665" s="0" t="str">
        <f aca="false">IFERROR(SMALL(L367:L1087,ROW()-ROW($L$1090)+1),"")</f>
        <v/>
      </c>
      <c r="M1665" s="0" t="n">
        <f aca="false">IFERROR(SMALL(M367:M1087,ROW()-ROW($M$1090)+1),"")</f>
        <v>0</v>
      </c>
      <c r="N1665" s="0" t="n">
        <f aca="false">IFERROR(SMALL(N367:N1087,ROW()-ROW($N$1090)+1),"")</f>
        <v>0</v>
      </c>
    </row>
    <row r="1666" customFormat="false" ht="15" hidden="false" customHeight="false" outlineLevel="0" collapsed="false">
      <c r="E1666" s="0" t="n">
        <f aca="false">IFERROR(SMALL(E367:E1087,ROW()-ROW($E$1090)+1),"")</f>
        <v>0</v>
      </c>
      <c r="F1666" s="0" t="str">
        <f aca="false">IFERROR(SMALL(F367:F1087,ROW()-ROW($F$1090)+1),"")</f>
        <v/>
      </c>
      <c r="G1666" s="0" t="n">
        <f aca="false">IFERROR(SMALL(G367:G1087,ROW()-ROW($G$1090)+1),"")</f>
        <v>0</v>
      </c>
      <c r="H1666" s="0" t="n">
        <f aca="false">IFERROR(SMALL(H367:H1087,ROW()-ROW($H$1090)+1),"")</f>
        <v>0</v>
      </c>
      <c r="K1666" s="0" t="n">
        <f aca="false">IFERROR(SMALL(K367:K1087,ROW()-ROW($K$1090)+1),"")</f>
        <v>0</v>
      </c>
      <c r="L1666" s="0" t="str">
        <f aca="false">IFERROR(SMALL(L367:L1087,ROW()-ROW($L$1090)+1),"")</f>
        <v/>
      </c>
      <c r="M1666" s="0" t="n">
        <f aca="false">IFERROR(SMALL(M367:M1087,ROW()-ROW($M$1090)+1),"")</f>
        <v>0</v>
      </c>
      <c r="N1666" s="0" t="n">
        <f aca="false">IFERROR(SMALL(N367:N1087,ROW()-ROW($N$1090)+1),"")</f>
        <v>0</v>
      </c>
    </row>
    <row r="1667" customFormat="false" ht="15" hidden="false" customHeight="false" outlineLevel="0" collapsed="false">
      <c r="E1667" s="0" t="n">
        <f aca="false">IFERROR(SMALL(E367:E1087,ROW()-ROW($E$1090)+1),"")</f>
        <v>0</v>
      </c>
      <c r="F1667" s="0" t="str">
        <f aca="false">IFERROR(SMALL(F367:F1087,ROW()-ROW($F$1090)+1),"")</f>
        <v/>
      </c>
      <c r="G1667" s="0" t="n">
        <f aca="false">IFERROR(SMALL(G367:G1087,ROW()-ROW($G$1090)+1),"")</f>
        <v>0</v>
      </c>
      <c r="H1667" s="0" t="n">
        <f aca="false">IFERROR(SMALL(H367:H1087,ROW()-ROW($H$1090)+1),"")</f>
        <v>0</v>
      </c>
      <c r="K1667" s="0" t="n">
        <f aca="false">IFERROR(SMALL(K367:K1087,ROW()-ROW($K$1090)+1),"")</f>
        <v>0</v>
      </c>
      <c r="L1667" s="0" t="str">
        <f aca="false">IFERROR(SMALL(L367:L1087,ROW()-ROW($L$1090)+1),"")</f>
        <v/>
      </c>
      <c r="M1667" s="0" t="n">
        <f aca="false">IFERROR(SMALL(M367:M1087,ROW()-ROW($M$1090)+1),"")</f>
        <v>0</v>
      </c>
      <c r="N1667" s="0" t="n">
        <f aca="false">IFERROR(SMALL(N367:N1087,ROW()-ROW($N$1090)+1),"")</f>
        <v>0</v>
      </c>
    </row>
    <row r="1668" customFormat="false" ht="15" hidden="false" customHeight="false" outlineLevel="0" collapsed="false">
      <c r="E1668" s="0" t="n">
        <f aca="false">IFERROR(SMALL(E367:E1087,ROW()-ROW($E$1090)+1),"")</f>
        <v>0</v>
      </c>
      <c r="F1668" s="0" t="str">
        <f aca="false">IFERROR(SMALL(F367:F1087,ROW()-ROW($F$1090)+1),"")</f>
        <v/>
      </c>
      <c r="G1668" s="0" t="n">
        <f aca="false">IFERROR(SMALL(G367:G1087,ROW()-ROW($G$1090)+1),"")</f>
        <v>0</v>
      </c>
      <c r="H1668" s="0" t="n">
        <f aca="false">IFERROR(SMALL(H367:H1087,ROW()-ROW($H$1090)+1),"")</f>
        <v>0</v>
      </c>
      <c r="K1668" s="0" t="n">
        <f aca="false">IFERROR(SMALL(K367:K1087,ROW()-ROW($K$1090)+1),"")</f>
        <v>0</v>
      </c>
      <c r="L1668" s="0" t="str">
        <f aca="false">IFERROR(SMALL(L367:L1087,ROW()-ROW($L$1090)+1),"")</f>
        <v/>
      </c>
      <c r="M1668" s="0" t="n">
        <f aca="false">IFERROR(SMALL(M367:M1087,ROW()-ROW($M$1090)+1),"")</f>
        <v>0</v>
      </c>
      <c r="N1668" s="0" t="n">
        <f aca="false">IFERROR(SMALL(N367:N1087,ROW()-ROW($N$1090)+1),"")</f>
        <v>0</v>
      </c>
    </row>
    <row r="1669" customFormat="false" ht="15" hidden="false" customHeight="false" outlineLevel="0" collapsed="false">
      <c r="E1669" s="0" t="n">
        <f aca="false">IFERROR(SMALL(E367:E1087,ROW()-ROW($E$1090)+1),"")</f>
        <v>0</v>
      </c>
      <c r="F1669" s="0" t="str">
        <f aca="false">IFERROR(SMALL(F367:F1087,ROW()-ROW($F$1090)+1),"")</f>
        <v/>
      </c>
      <c r="G1669" s="0" t="n">
        <f aca="false">IFERROR(SMALL(G367:G1087,ROW()-ROW($G$1090)+1),"")</f>
        <v>0</v>
      </c>
      <c r="H1669" s="0" t="n">
        <f aca="false">IFERROR(SMALL(H367:H1087,ROW()-ROW($H$1090)+1),"")</f>
        <v>0</v>
      </c>
      <c r="K1669" s="0" t="n">
        <f aca="false">IFERROR(SMALL(K367:K1087,ROW()-ROW($K$1090)+1),"")</f>
        <v>0</v>
      </c>
      <c r="L1669" s="0" t="str">
        <f aca="false">IFERROR(SMALL(L367:L1087,ROW()-ROW($L$1090)+1),"")</f>
        <v/>
      </c>
      <c r="M1669" s="0" t="n">
        <f aca="false">IFERROR(SMALL(M367:M1087,ROW()-ROW($M$1090)+1),"")</f>
        <v>0</v>
      </c>
      <c r="N1669" s="0" t="n">
        <f aca="false">IFERROR(SMALL(N367:N1087,ROW()-ROW($N$1090)+1),"")</f>
        <v>0</v>
      </c>
    </row>
    <row r="1670" customFormat="false" ht="15" hidden="false" customHeight="false" outlineLevel="0" collapsed="false">
      <c r="E1670" s="0" t="n">
        <f aca="false">IFERROR(SMALL(E367:E1087,ROW()-ROW($E$1090)+1),"")</f>
        <v>0</v>
      </c>
      <c r="F1670" s="0" t="str">
        <f aca="false">IFERROR(SMALL(F367:F1087,ROW()-ROW($F$1090)+1),"")</f>
        <v/>
      </c>
      <c r="G1670" s="0" t="n">
        <f aca="false">IFERROR(SMALL(G367:G1087,ROW()-ROW($G$1090)+1),"")</f>
        <v>0</v>
      </c>
      <c r="H1670" s="0" t="n">
        <f aca="false">IFERROR(SMALL(H367:H1087,ROW()-ROW($H$1090)+1),"")</f>
        <v>0</v>
      </c>
      <c r="K1670" s="0" t="n">
        <f aca="false">IFERROR(SMALL(K367:K1087,ROW()-ROW($K$1090)+1),"")</f>
        <v>0</v>
      </c>
      <c r="L1670" s="0" t="str">
        <f aca="false">IFERROR(SMALL(L367:L1087,ROW()-ROW($L$1090)+1),"")</f>
        <v/>
      </c>
      <c r="M1670" s="0" t="n">
        <f aca="false">IFERROR(SMALL(M367:M1087,ROW()-ROW($M$1090)+1),"")</f>
        <v>0</v>
      </c>
      <c r="N1670" s="0" t="n">
        <f aca="false">IFERROR(SMALL(N367:N1087,ROW()-ROW($N$1090)+1),"")</f>
        <v>0</v>
      </c>
    </row>
    <row r="1671" customFormat="false" ht="15" hidden="false" customHeight="false" outlineLevel="0" collapsed="false">
      <c r="E1671" s="0" t="n">
        <f aca="false">IFERROR(SMALL(E367:E1087,ROW()-ROW($E$1090)+1),"")</f>
        <v>0</v>
      </c>
      <c r="F1671" s="0" t="str">
        <f aca="false">IFERROR(SMALL(F367:F1087,ROW()-ROW($F$1090)+1),"")</f>
        <v/>
      </c>
      <c r="G1671" s="0" t="n">
        <f aca="false">IFERROR(SMALL(G367:G1087,ROW()-ROW($G$1090)+1),"")</f>
        <v>0</v>
      </c>
      <c r="H1671" s="0" t="n">
        <f aca="false">IFERROR(SMALL(H367:H1087,ROW()-ROW($H$1090)+1),"")</f>
        <v>0</v>
      </c>
      <c r="K1671" s="0" t="n">
        <f aca="false">IFERROR(SMALL(K367:K1087,ROW()-ROW($K$1090)+1),"")</f>
        <v>0</v>
      </c>
      <c r="L1671" s="0" t="str">
        <f aca="false">IFERROR(SMALL(L367:L1087,ROW()-ROW($L$1090)+1),"")</f>
        <v/>
      </c>
      <c r="M1671" s="0" t="n">
        <f aca="false">IFERROR(SMALL(M367:M1087,ROW()-ROW($M$1090)+1),"")</f>
        <v>0</v>
      </c>
      <c r="N1671" s="0" t="n">
        <f aca="false">IFERROR(SMALL(N367:N1087,ROW()-ROW($N$1090)+1),"")</f>
        <v>0</v>
      </c>
    </row>
    <row r="1672" customFormat="false" ht="15" hidden="false" customHeight="false" outlineLevel="0" collapsed="false">
      <c r="E1672" s="0" t="n">
        <f aca="false">IFERROR(SMALL(E367:E1087,ROW()-ROW($E$1090)+1),"")</f>
        <v>0</v>
      </c>
      <c r="F1672" s="0" t="str">
        <f aca="false">IFERROR(SMALL(F367:F1087,ROW()-ROW($F$1090)+1),"")</f>
        <v/>
      </c>
      <c r="G1672" s="0" t="n">
        <f aca="false">IFERROR(SMALL(G367:G1087,ROW()-ROW($G$1090)+1),"")</f>
        <v>0</v>
      </c>
      <c r="H1672" s="0" t="n">
        <f aca="false">IFERROR(SMALL(H367:H1087,ROW()-ROW($H$1090)+1),"")</f>
        <v>0</v>
      </c>
      <c r="K1672" s="0" t="n">
        <f aca="false">IFERROR(SMALL(K367:K1087,ROW()-ROW($K$1090)+1),"")</f>
        <v>0</v>
      </c>
      <c r="L1672" s="0" t="str">
        <f aca="false">IFERROR(SMALL(L367:L1087,ROW()-ROW($L$1090)+1),"")</f>
        <v/>
      </c>
      <c r="M1672" s="0" t="n">
        <f aca="false">IFERROR(SMALL(M367:M1087,ROW()-ROW($M$1090)+1),"")</f>
        <v>0</v>
      </c>
      <c r="N1672" s="0" t="n">
        <f aca="false">IFERROR(SMALL(N367:N1087,ROW()-ROW($N$1090)+1),"")</f>
        <v>0</v>
      </c>
    </row>
    <row r="1673" customFormat="false" ht="15" hidden="false" customHeight="false" outlineLevel="0" collapsed="false">
      <c r="E1673" s="0" t="n">
        <f aca="false">IFERROR(SMALL(E367:E1087,ROW()-ROW($E$1090)+1),"")</f>
        <v>0</v>
      </c>
      <c r="F1673" s="0" t="str">
        <f aca="false">IFERROR(SMALL(F367:F1087,ROW()-ROW($F$1090)+1),"")</f>
        <v/>
      </c>
      <c r="G1673" s="0" t="n">
        <f aca="false">IFERROR(SMALL(G367:G1087,ROW()-ROW($G$1090)+1),"")</f>
        <v>0</v>
      </c>
      <c r="H1673" s="0" t="n">
        <f aca="false">IFERROR(SMALL(H367:H1087,ROW()-ROW($H$1090)+1),"")</f>
        <v>0</v>
      </c>
      <c r="K1673" s="0" t="n">
        <f aca="false">IFERROR(SMALL(K367:K1087,ROW()-ROW($K$1090)+1),"")</f>
        <v>0</v>
      </c>
      <c r="L1673" s="0" t="str">
        <f aca="false">IFERROR(SMALL(L367:L1087,ROW()-ROW($L$1090)+1),"")</f>
        <v/>
      </c>
      <c r="M1673" s="0" t="n">
        <f aca="false">IFERROR(SMALL(M367:M1087,ROW()-ROW($M$1090)+1),"")</f>
        <v>0</v>
      </c>
      <c r="N1673" s="0" t="n">
        <f aca="false">IFERROR(SMALL(N367:N1087,ROW()-ROW($N$1090)+1),"")</f>
        <v>0</v>
      </c>
    </row>
    <row r="1674" customFormat="false" ht="15" hidden="false" customHeight="false" outlineLevel="0" collapsed="false">
      <c r="E1674" s="0" t="n">
        <f aca="false">IFERROR(SMALL(E367:E1087,ROW()-ROW($E$1090)+1),"")</f>
        <v>0</v>
      </c>
      <c r="F1674" s="0" t="str">
        <f aca="false">IFERROR(SMALL(F367:F1087,ROW()-ROW($F$1090)+1),"")</f>
        <v/>
      </c>
      <c r="G1674" s="0" t="n">
        <f aca="false">IFERROR(SMALL(G367:G1087,ROW()-ROW($G$1090)+1),"")</f>
        <v>0</v>
      </c>
      <c r="H1674" s="0" t="n">
        <f aca="false">IFERROR(SMALL(H367:H1087,ROW()-ROW($H$1090)+1),"")</f>
        <v>0</v>
      </c>
      <c r="K1674" s="0" t="n">
        <f aca="false">IFERROR(SMALL(K367:K1087,ROW()-ROW($K$1090)+1),"")</f>
        <v>0</v>
      </c>
      <c r="L1674" s="0" t="str">
        <f aca="false">IFERROR(SMALL(L367:L1087,ROW()-ROW($L$1090)+1),"")</f>
        <v/>
      </c>
      <c r="M1674" s="0" t="n">
        <f aca="false">IFERROR(SMALL(M367:M1087,ROW()-ROW($M$1090)+1),"")</f>
        <v>0</v>
      </c>
      <c r="N1674" s="0" t="n">
        <f aca="false">IFERROR(SMALL(N367:N1087,ROW()-ROW($N$1090)+1),"")</f>
        <v>0</v>
      </c>
    </row>
    <row r="1675" customFormat="false" ht="15" hidden="false" customHeight="false" outlineLevel="0" collapsed="false">
      <c r="E1675" s="0" t="n">
        <f aca="false">IFERROR(SMALL(E367:E1087,ROW()-ROW($E$1090)+1),"")</f>
        <v>0</v>
      </c>
      <c r="F1675" s="0" t="str">
        <f aca="false">IFERROR(SMALL(F367:F1087,ROW()-ROW($F$1090)+1),"")</f>
        <v/>
      </c>
      <c r="G1675" s="0" t="n">
        <f aca="false">IFERROR(SMALL(G367:G1087,ROW()-ROW($G$1090)+1),"")</f>
        <v>0</v>
      </c>
      <c r="H1675" s="0" t="n">
        <f aca="false">IFERROR(SMALL(H367:H1087,ROW()-ROW($H$1090)+1),"")</f>
        <v>0</v>
      </c>
      <c r="K1675" s="0" t="n">
        <f aca="false">IFERROR(SMALL(K367:K1087,ROW()-ROW($K$1090)+1),"")</f>
        <v>0</v>
      </c>
      <c r="L1675" s="0" t="str">
        <f aca="false">IFERROR(SMALL(L367:L1087,ROW()-ROW($L$1090)+1),"")</f>
        <v/>
      </c>
      <c r="M1675" s="0" t="n">
        <f aca="false">IFERROR(SMALL(M367:M1087,ROW()-ROW($M$1090)+1),"")</f>
        <v>0</v>
      </c>
      <c r="N1675" s="0" t="n">
        <f aca="false">IFERROR(SMALL(N367:N1087,ROW()-ROW($N$1090)+1),"")</f>
        <v>0</v>
      </c>
    </row>
    <row r="1676" customFormat="false" ht="15" hidden="false" customHeight="false" outlineLevel="0" collapsed="false">
      <c r="E1676" s="0" t="n">
        <f aca="false">IFERROR(SMALL(E367:E1087,ROW()-ROW($E$1090)+1),"")</f>
        <v>0</v>
      </c>
      <c r="F1676" s="0" t="str">
        <f aca="false">IFERROR(SMALL(F367:F1087,ROW()-ROW($F$1090)+1),"")</f>
        <v/>
      </c>
      <c r="G1676" s="0" t="n">
        <f aca="false">IFERROR(SMALL(G367:G1087,ROW()-ROW($G$1090)+1),"")</f>
        <v>0</v>
      </c>
      <c r="H1676" s="0" t="n">
        <f aca="false">IFERROR(SMALL(H367:H1087,ROW()-ROW($H$1090)+1),"")</f>
        <v>0</v>
      </c>
      <c r="K1676" s="0" t="n">
        <f aca="false">IFERROR(SMALL(K367:K1087,ROW()-ROW($K$1090)+1),"")</f>
        <v>0</v>
      </c>
      <c r="L1676" s="0" t="str">
        <f aca="false">IFERROR(SMALL(L367:L1087,ROW()-ROW($L$1090)+1),"")</f>
        <v/>
      </c>
      <c r="M1676" s="0" t="n">
        <f aca="false">IFERROR(SMALL(M367:M1087,ROW()-ROW($M$1090)+1),"")</f>
        <v>0</v>
      </c>
      <c r="N1676" s="0" t="n">
        <f aca="false">IFERROR(SMALL(N367:N1087,ROW()-ROW($N$1090)+1),"")</f>
        <v>0</v>
      </c>
    </row>
    <row r="1677" customFormat="false" ht="15" hidden="false" customHeight="false" outlineLevel="0" collapsed="false">
      <c r="E1677" s="0" t="n">
        <f aca="false">IFERROR(SMALL(E367:E1087,ROW()-ROW($E$1090)+1),"")</f>
        <v>0</v>
      </c>
      <c r="F1677" s="0" t="str">
        <f aca="false">IFERROR(SMALL(F367:F1087,ROW()-ROW($F$1090)+1),"")</f>
        <v/>
      </c>
      <c r="G1677" s="0" t="n">
        <f aca="false">IFERROR(SMALL(G367:G1087,ROW()-ROW($G$1090)+1),"")</f>
        <v>0</v>
      </c>
      <c r="H1677" s="0" t="n">
        <f aca="false">IFERROR(SMALL(H367:H1087,ROW()-ROW($H$1090)+1),"")</f>
        <v>0</v>
      </c>
      <c r="K1677" s="0" t="n">
        <f aca="false">IFERROR(SMALL(K367:K1087,ROW()-ROW($K$1090)+1),"")</f>
        <v>0</v>
      </c>
      <c r="L1677" s="0" t="str">
        <f aca="false">IFERROR(SMALL(L367:L1087,ROW()-ROW($L$1090)+1),"")</f>
        <v/>
      </c>
      <c r="M1677" s="0" t="n">
        <f aca="false">IFERROR(SMALL(M367:M1087,ROW()-ROW($M$1090)+1),"")</f>
        <v>0</v>
      </c>
      <c r="N1677" s="0" t="n">
        <f aca="false">IFERROR(SMALL(N367:N1087,ROW()-ROW($N$1090)+1),"")</f>
        <v>0</v>
      </c>
    </row>
    <row r="1678" customFormat="false" ht="15" hidden="false" customHeight="false" outlineLevel="0" collapsed="false">
      <c r="E1678" s="0" t="n">
        <f aca="false">IFERROR(SMALL(E367:E1087,ROW()-ROW($E$1090)+1),"")</f>
        <v>0</v>
      </c>
      <c r="F1678" s="0" t="str">
        <f aca="false">IFERROR(SMALL(F367:F1087,ROW()-ROW($F$1090)+1),"")</f>
        <v/>
      </c>
      <c r="G1678" s="0" t="n">
        <f aca="false">IFERROR(SMALL(G367:G1087,ROW()-ROW($G$1090)+1),"")</f>
        <v>0</v>
      </c>
      <c r="H1678" s="0" t="n">
        <f aca="false">IFERROR(SMALL(H367:H1087,ROW()-ROW($H$1090)+1),"")</f>
        <v>0</v>
      </c>
      <c r="K1678" s="0" t="n">
        <f aca="false">IFERROR(SMALL(K367:K1087,ROW()-ROW($K$1090)+1),"")</f>
        <v>0</v>
      </c>
      <c r="L1678" s="0" t="str">
        <f aca="false">IFERROR(SMALL(L367:L1087,ROW()-ROW($L$1090)+1),"")</f>
        <v/>
      </c>
      <c r="M1678" s="0" t="n">
        <f aca="false">IFERROR(SMALL(M367:M1087,ROW()-ROW($M$1090)+1),"")</f>
        <v>0</v>
      </c>
      <c r="N1678" s="0" t="n">
        <f aca="false">IFERROR(SMALL(N367:N1087,ROW()-ROW($N$1090)+1),"")</f>
        <v>0</v>
      </c>
    </row>
    <row r="1679" customFormat="false" ht="15" hidden="false" customHeight="false" outlineLevel="0" collapsed="false">
      <c r="E1679" s="0" t="n">
        <f aca="false">IFERROR(SMALL(E367:E1087,ROW()-ROW($E$1090)+1),"")</f>
        <v>0</v>
      </c>
      <c r="F1679" s="0" t="str">
        <f aca="false">IFERROR(SMALL(F367:F1087,ROW()-ROW($F$1090)+1),"")</f>
        <v/>
      </c>
      <c r="G1679" s="0" t="n">
        <f aca="false">IFERROR(SMALL(G367:G1087,ROW()-ROW($G$1090)+1),"")</f>
        <v>0</v>
      </c>
      <c r="H1679" s="0" t="n">
        <f aca="false">IFERROR(SMALL(H367:H1087,ROW()-ROW($H$1090)+1),"")</f>
        <v>0</v>
      </c>
      <c r="K1679" s="0" t="n">
        <f aca="false">IFERROR(SMALL(K367:K1087,ROW()-ROW($K$1090)+1),"")</f>
        <v>0</v>
      </c>
      <c r="L1679" s="0" t="str">
        <f aca="false">IFERROR(SMALL(L367:L1087,ROW()-ROW($L$1090)+1),"")</f>
        <v/>
      </c>
      <c r="M1679" s="0" t="n">
        <f aca="false">IFERROR(SMALL(M367:M1087,ROW()-ROW($M$1090)+1),"")</f>
        <v>0</v>
      </c>
      <c r="N1679" s="0" t="n">
        <f aca="false">IFERROR(SMALL(N367:N1087,ROW()-ROW($N$1090)+1),"")</f>
        <v>0</v>
      </c>
    </row>
    <row r="1680" customFormat="false" ht="15" hidden="false" customHeight="false" outlineLevel="0" collapsed="false">
      <c r="E1680" s="0" t="n">
        <f aca="false">IFERROR(SMALL(E367:E1087,ROW()-ROW($E$1090)+1),"")</f>
        <v>0</v>
      </c>
      <c r="F1680" s="0" t="str">
        <f aca="false">IFERROR(SMALL(F367:F1087,ROW()-ROW($F$1090)+1),"")</f>
        <v/>
      </c>
      <c r="G1680" s="0" t="n">
        <f aca="false">IFERROR(SMALL(G367:G1087,ROW()-ROW($G$1090)+1),"")</f>
        <v>0</v>
      </c>
      <c r="H1680" s="0" t="n">
        <f aca="false">IFERROR(SMALL(H367:H1087,ROW()-ROW($H$1090)+1),"")</f>
        <v>0</v>
      </c>
      <c r="K1680" s="0" t="n">
        <f aca="false">IFERROR(SMALL(K367:K1087,ROW()-ROW($K$1090)+1),"")</f>
        <v>0</v>
      </c>
      <c r="L1680" s="0" t="str">
        <f aca="false">IFERROR(SMALL(L367:L1087,ROW()-ROW($L$1090)+1),"")</f>
        <v/>
      </c>
      <c r="M1680" s="0" t="n">
        <f aca="false">IFERROR(SMALL(M367:M1087,ROW()-ROW($M$1090)+1),"")</f>
        <v>0</v>
      </c>
      <c r="N1680" s="0" t="n">
        <f aca="false">IFERROR(SMALL(N367:N1087,ROW()-ROW($N$1090)+1),"")</f>
        <v>0</v>
      </c>
    </row>
    <row r="1681" customFormat="false" ht="15" hidden="false" customHeight="false" outlineLevel="0" collapsed="false">
      <c r="E1681" s="0" t="n">
        <f aca="false">IFERROR(SMALL(E367:E1087,ROW()-ROW($E$1090)+1),"")</f>
        <v>0</v>
      </c>
      <c r="F1681" s="0" t="str">
        <f aca="false">IFERROR(SMALL(F367:F1087,ROW()-ROW($F$1090)+1),"")</f>
        <v/>
      </c>
      <c r="G1681" s="0" t="n">
        <f aca="false">IFERROR(SMALL(G367:G1087,ROW()-ROW($G$1090)+1),"")</f>
        <v>0</v>
      </c>
      <c r="H1681" s="0" t="n">
        <f aca="false">IFERROR(SMALL(H367:H1087,ROW()-ROW($H$1090)+1),"")</f>
        <v>0</v>
      </c>
      <c r="K1681" s="0" t="n">
        <f aca="false">IFERROR(SMALL(K367:K1087,ROW()-ROW($K$1090)+1),"")</f>
        <v>0</v>
      </c>
      <c r="L1681" s="0" t="str">
        <f aca="false">IFERROR(SMALL(L367:L1087,ROW()-ROW($L$1090)+1),"")</f>
        <v/>
      </c>
      <c r="M1681" s="0" t="n">
        <f aca="false">IFERROR(SMALL(M367:M1087,ROW()-ROW($M$1090)+1),"")</f>
        <v>0</v>
      </c>
      <c r="N1681" s="0" t="n">
        <f aca="false">IFERROR(SMALL(N367:N1087,ROW()-ROW($N$1090)+1),"")</f>
        <v>0</v>
      </c>
    </row>
    <row r="1682" customFormat="false" ht="15" hidden="false" customHeight="false" outlineLevel="0" collapsed="false">
      <c r="E1682" s="0" t="n">
        <f aca="false">IFERROR(SMALL(E367:E1087,ROW()-ROW($E$1090)+1),"")</f>
        <v>0</v>
      </c>
      <c r="F1682" s="0" t="str">
        <f aca="false">IFERROR(SMALL(F367:F1087,ROW()-ROW($F$1090)+1),"")</f>
        <v/>
      </c>
      <c r="G1682" s="0" t="n">
        <f aca="false">IFERROR(SMALL(G367:G1087,ROW()-ROW($G$1090)+1),"")</f>
        <v>0</v>
      </c>
      <c r="H1682" s="0" t="n">
        <f aca="false">IFERROR(SMALL(H367:H1087,ROW()-ROW($H$1090)+1),"")</f>
        <v>0</v>
      </c>
      <c r="K1682" s="0" t="n">
        <f aca="false">IFERROR(SMALL(K367:K1087,ROW()-ROW($K$1090)+1),"")</f>
        <v>0</v>
      </c>
      <c r="L1682" s="0" t="str">
        <f aca="false">IFERROR(SMALL(L367:L1087,ROW()-ROW($L$1090)+1),"")</f>
        <v/>
      </c>
      <c r="M1682" s="0" t="n">
        <f aca="false">IFERROR(SMALL(M367:M1087,ROW()-ROW($M$1090)+1),"")</f>
        <v>0</v>
      </c>
      <c r="N1682" s="0" t="n">
        <f aca="false">IFERROR(SMALL(N367:N1087,ROW()-ROW($N$1090)+1),"")</f>
        <v>0</v>
      </c>
    </row>
    <row r="1683" customFormat="false" ht="15" hidden="false" customHeight="false" outlineLevel="0" collapsed="false">
      <c r="E1683" s="0" t="n">
        <f aca="false">IFERROR(SMALL(E367:E1087,ROW()-ROW($E$1090)+1),"")</f>
        <v>0</v>
      </c>
      <c r="F1683" s="0" t="str">
        <f aca="false">IFERROR(SMALL(F367:F1087,ROW()-ROW($F$1090)+1),"")</f>
        <v/>
      </c>
      <c r="G1683" s="0" t="n">
        <f aca="false">IFERROR(SMALL(G367:G1087,ROW()-ROW($G$1090)+1),"")</f>
        <v>0</v>
      </c>
      <c r="H1683" s="0" t="n">
        <f aca="false">IFERROR(SMALL(H367:H1087,ROW()-ROW($H$1090)+1),"")</f>
        <v>0</v>
      </c>
      <c r="K1683" s="0" t="n">
        <f aca="false">IFERROR(SMALL(K367:K1087,ROW()-ROW($K$1090)+1),"")</f>
        <v>0</v>
      </c>
      <c r="L1683" s="0" t="str">
        <f aca="false">IFERROR(SMALL(L367:L1087,ROW()-ROW($L$1090)+1),"")</f>
        <v/>
      </c>
      <c r="M1683" s="0" t="n">
        <f aca="false">IFERROR(SMALL(M367:M1087,ROW()-ROW($M$1090)+1),"")</f>
        <v>0</v>
      </c>
      <c r="N1683" s="0" t="n">
        <f aca="false">IFERROR(SMALL(N367:N1087,ROW()-ROW($N$1090)+1),"")</f>
        <v>0</v>
      </c>
    </row>
    <row r="1684" customFormat="false" ht="15" hidden="false" customHeight="false" outlineLevel="0" collapsed="false">
      <c r="E1684" s="0" t="n">
        <f aca="false">IFERROR(SMALL(E367:E1087,ROW()-ROW($E$1090)+1),"")</f>
        <v>0</v>
      </c>
      <c r="F1684" s="0" t="str">
        <f aca="false">IFERROR(SMALL(F367:F1087,ROW()-ROW($F$1090)+1),"")</f>
        <v/>
      </c>
      <c r="G1684" s="0" t="n">
        <f aca="false">IFERROR(SMALL(G367:G1087,ROW()-ROW($G$1090)+1),"")</f>
        <v>0</v>
      </c>
      <c r="H1684" s="0" t="n">
        <f aca="false">IFERROR(SMALL(H367:H1087,ROW()-ROW($H$1090)+1),"")</f>
        <v>0</v>
      </c>
      <c r="K1684" s="0" t="n">
        <f aca="false">IFERROR(SMALL(K367:K1087,ROW()-ROW($K$1090)+1),"")</f>
        <v>0</v>
      </c>
      <c r="L1684" s="0" t="str">
        <f aca="false">IFERROR(SMALL(L367:L1087,ROW()-ROW($L$1090)+1),"")</f>
        <v/>
      </c>
      <c r="M1684" s="0" t="n">
        <f aca="false">IFERROR(SMALL(M367:M1087,ROW()-ROW($M$1090)+1),"")</f>
        <v>0</v>
      </c>
      <c r="N1684" s="0" t="n">
        <f aca="false">IFERROR(SMALL(N367:N1087,ROW()-ROW($N$1090)+1),"")</f>
        <v>0</v>
      </c>
    </row>
    <row r="1685" customFormat="false" ht="15" hidden="false" customHeight="false" outlineLevel="0" collapsed="false">
      <c r="E1685" s="0" t="n">
        <f aca="false">IFERROR(SMALL(E367:E1087,ROW()-ROW($E$1090)+1),"")</f>
        <v>0</v>
      </c>
      <c r="F1685" s="0" t="str">
        <f aca="false">IFERROR(SMALL(F367:F1087,ROW()-ROW($F$1090)+1),"")</f>
        <v/>
      </c>
      <c r="G1685" s="0" t="n">
        <f aca="false">IFERROR(SMALL(G367:G1087,ROW()-ROW($G$1090)+1),"")</f>
        <v>0</v>
      </c>
      <c r="H1685" s="0" t="n">
        <f aca="false">IFERROR(SMALL(H367:H1087,ROW()-ROW($H$1090)+1),"")</f>
        <v>0</v>
      </c>
      <c r="K1685" s="0" t="n">
        <f aca="false">IFERROR(SMALL(K367:K1087,ROW()-ROW($K$1090)+1),"")</f>
        <v>0</v>
      </c>
      <c r="L1685" s="0" t="str">
        <f aca="false">IFERROR(SMALL(L367:L1087,ROW()-ROW($L$1090)+1),"")</f>
        <v/>
      </c>
      <c r="M1685" s="0" t="n">
        <f aca="false">IFERROR(SMALL(M367:M1087,ROW()-ROW($M$1090)+1),"")</f>
        <v>0</v>
      </c>
      <c r="N1685" s="0" t="n">
        <f aca="false">IFERROR(SMALL(N367:N1087,ROW()-ROW($N$1090)+1),"")</f>
        <v>0</v>
      </c>
    </row>
    <row r="1686" customFormat="false" ht="15" hidden="false" customHeight="false" outlineLevel="0" collapsed="false">
      <c r="E1686" s="0" t="n">
        <f aca="false">IFERROR(SMALL(E367:E1087,ROW()-ROW($E$1090)+1),"")</f>
        <v>0</v>
      </c>
      <c r="F1686" s="0" t="str">
        <f aca="false">IFERROR(SMALL(F367:F1087,ROW()-ROW($F$1090)+1),"")</f>
        <v/>
      </c>
      <c r="G1686" s="0" t="n">
        <f aca="false">IFERROR(SMALL(G367:G1087,ROW()-ROW($G$1090)+1),"")</f>
        <v>0</v>
      </c>
      <c r="H1686" s="0" t="n">
        <f aca="false">IFERROR(SMALL(H367:H1087,ROW()-ROW($H$1090)+1),"")</f>
        <v>0</v>
      </c>
      <c r="K1686" s="0" t="n">
        <f aca="false">IFERROR(SMALL(K367:K1087,ROW()-ROW($K$1090)+1),"")</f>
        <v>0</v>
      </c>
      <c r="L1686" s="0" t="str">
        <f aca="false">IFERROR(SMALL(L367:L1087,ROW()-ROW($L$1090)+1),"")</f>
        <v/>
      </c>
      <c r="M1686" s="0" t="n">
        <f aca="false">IFERROR(SMALL(M367:M1087,ROW()-ROW($M$1090)+1),"")</f>
        <v>0</v>
      </c>
      <c r="N1686" s="0" t="n">
        <f aca="false">IFERROR(SMALL(N367:N1087,ROW()-ROW($N$1090)+1),"")</f>
        <v>0</v>
      </c>
    </row>
    <row r="1687" customFormat="false" ht="15" hidden="false" customHeight="false" outlineLevel="0" collapsed="false">
      <c r="E1687" s="0" t="n">
        <f aca="false">IFERROR(SMALL(E367:E1087,ROW()-ROW($E$1090)+1),"")</f>
        <v>0</v>
      </c>
      <c r="F1687" s="0" t="str">
        <f aca="false">IFERROR(SMALL(F367:F1087,ROW()-ROW($F$1090)+1),"")</f>
        <v/>
      </c>
      <c r="G1687" s="0" t="n">
        <f aca="false">IFERROR(SMALL(G367:G1087,ROW()-ROW($G$1090)+1),"")</f>
        <v>0</v>
      </c>
      <c r="H1687" s="0" t="n">
        <f aca="false">IFERROR(SMALL(H367:H1087,ROW()-ROW($H$1090)+1),"")</f>
        <v>0</v>
      </c>
      <c r="K1687" s="0" t="n">
        <f aca="false">IFERROR(SMALL(K367:K1087,ROW()-ROW($K$1090)+1),"")</f>
        <v>0</v>
      </c>
      <c r="L1687" s="0" t="str">
        <f aca="false">IFERROR(SMALL(L367:L1087,ROW()-ROW($L$1090)+1),"")</f>
        <v/>
      </c>
      <c r="M1687" s="0" t="n">
        <f aca="false">IFERROR(SMALL(M367:M1087,ROW()-ROW($M$1090)+1),"")</f>
        <v>0</v>
      </c>
      <c r="N1687" s="0" t="n">
        <f aca="false">IFERROR(SMALL(N367:N1087,ROW()-ROW($N$1090)+1),"")</f>
        <v>0</v>
      </c>
    </row>
    <row r="1688" customFormat="false" ht="15" hidden="false" customHeight="false" outlineLevel="0" collapsed="false">
      <c r="E1688" s="0" t="n">
        <f aca="false">IFERROR(SMALL(E367:E1087,ROW()-ROW($E$1090)+1),"")</f>
        <v>0</v>
      </c>
      <c r="F1688" s="0" t="str">
        <f aca="false">IFERROR(SMALL(F367:F1087,ROW()-ROW($F$1090)+1),"")</f>
        <v/>
      </c>
      <c r="G1688" s="0" t="n">
        <f aca="false">IFERROR(SMALL(G367:G1087,ROW()-ROW($G$1090)+1),"")</f>
        <v>0</v>
      </c>
      <c r="H1688" s="0" t="n">
        <f aca="false">IFERROR(SMALL(H367:H1087,ROW()-ROW($H$1090)+1),"")</f>
        <v>0</v>
      </c>
      <c r="K1688" s="0" t="n">
        <f aca="false">IFERROR(SMALL(K367:K1087,ROW()-ROW($K$1090)+1),"")</f>
        <v>0</v>
      </c>
      <c r="L1688" s="0" t="str">
        <f aca="false">IFERROR(SMALL(L367:L1087,ROW()-ROW($L$1090)+1),"")</f>
        <v/>
      </c>
      <c r="M1688" s="0" t="n">
        <f aca="false">IFERROR(SMALL(M367:M1087,ROW()-ROW($M$1090)+1),"")</f>
        <v>0</v>
      </c>
      <c r="N1688" s="0" t="n">
        <f aca="false">IFERROR(SMALL(N367:N1087,ROW()-ROW($N$1090)+1),"")</f>
        <v>0</v>
      </c>
    </row>
    <row r="1689" customFormat="false" ht="15" hidden="false" customHeight="false" outlineLevel="0" collapsed="false">
      <c r="E1689" s="0" t="n">
        <f aca="false">IFERROR(SMALL(E367:E1087,ROW()-ROW($E$1090)+1),"")</f>
        <v>0</v>
      </c>
      <c r="F1689" s="0" t="str">
        <f aca="false">IFERROR(SMALL(F367:F1087,ROW()-ROW($F$1090)+1),"")</f>
        <v/>
      </c>
      <c r="G1689" s="0" t="n">
        <f aca="false">IFERROR(SMALL(G367:G1087,ROW()-ROW($G$1090)+1),"")</f>
        <v>0</v>
      </c>
      <c r="H1689" s="0" t="n">
        <f aca="false">IFERROR(SMALL(H367:H1087,ROW()-ROW($H$1090)+1),"")</f>
        <v>0</v>
      </c>
      <c r="K1689" s="0" t="n">
        <f aca="false">IFERROR(SMALL(K367:K1087,ROW()-ROW($K$1090)+1),"")</f>
        <v>0</v>
      </c>
      <c r="L1689" s="0" t="str">
        <f aca="false">IFERROR(SMALL(L367:L1087,ROW()-ROW($L$1090)+1),"")</f>
        <v/>
      </c>
      <c r="M1689" s="0" t="n">
        <f aca="false">IFERROR(SMALL(M367:M1087,ROW()-ROW($M$1090)+1),"")</f>
        <v>0</v>
      </c>
      <c r="N1689" s="0" t="n">
        <f aca="false">IFERROR(SMALL(N367:N1087,ROW()-ROW($N$1090)+1),"")</f>
        <v>0</v>
      </c>
    </row>
    <row r="1690" customFormat="false" ht="15" hidden="false" customHeight="false" outlineLevel="0" collapsed="false">
      <c r="E1690" s="0" t="n">
        <f aca="false">IFERROR(SMALL(E367:E1087,ROW()-ROW($E$1090)+1),"")</f>
        <v>0</v>
      </c>
      <c r="F1690" s="0" t="str">
        <f aca="false">IFERROR(SMALL(F367:F1087,ROW()-ROW($F$1090)+1),"")</f>
        <v/>
      </c>
      <c r="G1690" s="0" t="n">
        <f aca="false">IFERROR(SMALL(G367:G1087,ROW()-ROW($G$1090)+1),"")</f>
        <v>0</v>
      </c>
      <c r="H1690" s="0" t="n">
        <f aca="false">IFERROR(SMALL(H367:H1087,ROW()-ROW($H$1090)+1),"")</f>
        <v>0</v>
      </c>
      <c r="K1690" s="0" t="n">
        <f aca="false">IFERROR(SMALL(K367:K1087,ROW()-ROW($K$1090)+1),"")</f>
        <v>0</v>
      </c>
      <c r="L1690" s="0" t="str">
        <f aca="false">IFERROR(SMALL(L367:L1087,ROW()-ROW($L$1090)+1),"")</f>
        <v/>
      </c>
      <c r="M1690" s="0" t="n">
        <f aca="false">IFERROR(SMALL(M367:M1087,ROW()-ROW($M$1090)+1),"")</f>
        <v>0</v>
      </c>
      <c r="N1690" s="0" t="n">
        <f aca="false">IFERROR(SMALL(N367:N1087,ROW()-ROW($N$1090)+1),"")</f>
        <v>0</v>
      </c>
    </row>
    <row r="1691" customFormat="false" ht="15" hidden="false" customHeight="false" outlineLevel="0" collapsed="false">
      <c r="E1691" s="0" t="n">
        <f aca="false">IFERROR(SMALL(E367:E1087,ROW()-ROW($E$1090)+1),"")</f>
        <v>0</v>
      </c>
      <c r="F1691" s="0" t="str">
        <f aca="false">IFERROR(SMALL(F367:F1087,ROW()-ROW($F$1090)+1),"")</f>
        <v/>
      </c>
      <c r="G1691" s="0" t="n">
        <f aca="false">IFERROR(SMALL(G367:G1087,ROW()-ROW($G$1090)+1),"")</f>
        <v>0</v>
      </c>
      <c r="H1691" s="0" t="n">
        <f aca="false">IFERROR(SMALL(H367:H1087,ROW()-ROW($H$1090)+1),"")</f>
        <v>0</v>
      </c>
      <c r="K1691" s="0" t="n">
        <f aca="false">IFERROR(SMALL(K367:K1087,ROW()-ROW($K$1090)+1),"")</f>
        <v>0</v>
      </c>
      <c r="L1691" s="0" t="str">
        <f aca="false">IFERROR(SMALL(L367:L1087,ROW()-ROW($L$1090)+1),"")</f>
        <v/>
      </c>
      <c r="M1691" s="0" t="n">
        <f aca="false">IFERROR(SMALL(M367:M1087,ROW()-ROW($M$1090)+1),"")</f>
        <v>0</v>
      </c>
      <c r="N1691" s="0" t="n">
        <f aca="false">IFERROR(SMALL(N367:N1087,ROW()-ROW($N$1090)+1),"")</f>
        <v>0</v>
      </c>
    </row>
    <row r="1692" customFormat="false" ht="15" hidden="false" customHeight="false" outlineLevel="0" collapsed="false">
      <c r="E1692" s="0" t="n">
        <f aca="false">IFERROR(SMALL(E367:E1087,ROW()-ROW($E$1090)+1),"")</f>
        <v>0</v>
      </c>
      <c r="F1692" s="0" t="str">
        <f aca="false">IFERROR(SMALL(F367:F1087,ROW()-ROW($F$1090)+1),"")</f>
        <v/>
      </c>
      <c r="G1692" s="0" t="n">
        <f aca="false">IFERROR(SMALL(G367:G1087,ROW()-ROW($G$1090)+1),"")</f>
        <v>0</v>
      </c>
      <c r="H1692" s="0" t="n">
        <f aca="false">IFERROR(SMALL(H367:H1087,ROW()-ROW($H$1090)+1),"")</f>
        <v>0</v>
      </c>
      <c r="K1692" s="0" t="n">
        <f aca="false">IFERROR(SMALL(K367:K1087,ROW()-ROW($K$1090)+1),"")</f>
        <v>0</v>
      </c>
      <c r="L1692" s="0" t="str">
        <f aca="false">IFERROR(SMALL(L367:L1087,ROW()-ROW($L$1090)+1),"")</f>
        <v/>
      </c>
      <c r="M1692" s="0" t="n">
        <f aca="false">IFERROR(SMALL(M367:M1087,ROW()-ROW($M$1090)+1),"")</f>
        <v>0</v>
      </c>
      <c r="N1692" s="0" t="n">
        <f aca="false">IFERROR(SMALL(N367:N1087,ROW()-ROW($N$1090)+1),"")</f>
        <v>0</v>
      </c>
    </row>
    <row r="1693" customFormat="false" ht="15" hidden="false" customHeight="false" outlineLevel="0" collapsed="false">
      <c r="E1693" s="0" t="n">
        <f aca="false">IFERROR(SMALL(E367:E1087,ROW()-ROW($E$1090)+1),"")</f>
        <v>0</v>
      </c>
      <c r="F1693" s="0" t="str">
        <f aca="false">IFERROR(SMALL(F367:F1087,ROW()-ROW($F$1090)+1),"")</f>
        <v/>
      </c>
      <c r="G1693" s="0" t="n">
        <f aca="false">IFERROR(SMALL(G367:G1087,ROW()-ROW($G$1090)+1),"")</f>
        <v>0</v>
      </c>
      <c r="H1693" s="0" t="n">
        <f aca="false">IFERROR(SMALL(H367:H1087,ROW()-ROW($H$1090)+1),"")</f>
        <v>0</v>
      </c>
      <c r="K1693" s="0" t="n">
        <f aca="false">IFERROR(SMALL(K367:K1087,ROW()-ROW($K$1090)+1),"")</f>
        <v>0</v>
      </c>
      <c r="L1693" s="0" t="str">
        <f aca="false">IFERROR(SMALL(L367:L1087,ROW()-ROW($L$1090)+1),"")</f>
        <v/>
      </c>
      <c r="M1693" s="0" t="n">
        <f aca="false">IFERROR(SMALL(M367:M1087,ROW()-ROW($M$1090)+1),"")</f>
        <v>0</v>
      </c>
      <c r="N1693" s="0" t="n">
        <f aca="false">IFERROR(SMALL(N367:N1087,ROW()-ROW($N$1090)+1),"")</f>
        <v>0</v>
      </c>
    </row>
    <row r="1694" customFormat="false" ht="15" hidden="false" customHeight="false" outlineLevel="0" collapsed="false">
      <c r="E1694" s="0" t="n">
        <f aca="false">IFERROR(SMALL(E367:E1087,ROW()-ROW($E$1090)+1),"")</f>
        <v>0</v>
      </c>
      <c r="F1694" s="0" t="str">
        <f aca="false">IFERROR(SMALL(F367:F1087,ROW()-ROW($F$1090)+1),"")</f>
        <v/>
      </c>
      <c r="G1694" s="0" t="n">
        <f aca="false">IFERROR(SMALL(G367:G1087,ROW()-ROW($G$1090)+1),"")</f>
        <v>0</v>
      </c>
      <c r="H1694" s="0" t="n">
        <f aca="false">IFERROR(SMALL(H367:H1087,ROW()-ROW($H$1090)+1),"")</f>
        <v>0</v>
      </c>
      <c r="K1694" s="0" t="n">
        <f aca="false">IFERROR(SMALL(K367:K1087,ROW()-ROW($K$1090)+1),"")</f>
        <v>0</v>
      </c>
      <c r="L1694" s="0" t="str">
        <f aca="false">IFERROR(SMALL(L367:L1087,ROW()-ROW($L$1090)+1),"")</f>
        <v/>
      </c>
      <c r="M1694" s="0" t="n">
        <f aca="false">IFERROR(SMALL(M367:M1087,ROW()-ROW($M$1090)+1),"")</f>
        <v>0</v>
      </c>
      <c r="N1694" s="0" t="n">
        <f aca="false">IFERROR(SMALL(N367:N1087,ROW()-ROW($N$1090)+1),"")</f>
        <v>0</v>
      </c>
    </row>
    <row r="1695" customFormat="false" ht="15" hidden="false" customHeight="false" outlineLevel="0" collapsed="false">
      <c r="E1695" s="0" t="n">
        <f aca="false">IFERROR(SMALL(E367:E1087,ROW()-ROW($E$1090)+1),"")</f>
        <v>0</v>
      </c>
      <c r="F1695" s="0" t="str">
        <f aca="false">IFERROR(SMALL(F367:F1087,ROW()-ROW($F$1090)+1),"")</f>
        <v/>
      </c>
      <c r="G1695" s="0" t="n">
        <f aca="false">IFERROR(SMALL(G367:G1087,ROW()-ROW($G$1090)+1),"")</f>
        <v>0</v>
      </c>
      <c r="H1695" s="0" t="n">
        <f aca="false">IFERROR(SMALL(H367:H1087,ROW()-ROW($H$1090)+1),"")</f>
        <v>0</v>
      </c>
      <c r="K1695" s="0" t="n">
        <f aca="false">IFERROR(SMALL(K367:K1087,ROW()-ROW($K$1090)+1),"")</f>
        <v>0</v>
      </c>
      <c r="L1695" s="0" t="str">
        <f aca="false">IFERROR(SMALL(L367:L1087,ROW()-ROW($L$1090)+1),"")</f>
        <v/>
      </c>
      <c r="M1695" s="0" t="n">
        <f aca="false">IFERROR(SMALL(M367:M1087,ROW()-ROW($M$1090)+1),"")</f>
        <v>0</v>
      </c>
      <c r="N1695" s="0" t="n">
        <f aca="false">IFERROR(SMALL(N367:N1087,ROW()-ROW($N$1090)+1),"")</f>
        <v>0</v>
      </c>
    </row>
    <row r="1696" customFormat="false" ht="15" hidden="false" customHeight="false" outlineLevel="0" collapsed="false">
      <c r="E1696" s="0" t="n">
        <f aca="false">IFERROR(SMALL(E367:E1087,ROW()-ROW($E$1090)+1),"")</f>
        <v>0</v>
      </c>
      <c r="F1696" s="0" t="str">
        <f aca="false">IFERROR(SMALL(F367:F1087,ROW()-ROW($F$1090)+1),"")</f>
        <v/>
      </c>
      <c r="G1696" s="0" t="n">
        <f aca="false">IFERROR(SMALL(G367:G1087,ROW()-ROW($G$1090)+1),"")</f>
        <v>0</v>
      </c>
      <c r="H1696" s="0" t="n">
        <f aca="false">IFERROR(SMALL(H367:H1087,ROW()-ROW($H$1090)+1),"")</f>
        <v>0</v>
      </c>
      <c r="K1696" s="0" t="n">
        <f aca="false">IFERROR(SMALL(K367:K1087,ROW()-ROW($K$1090)+1),"")</f>
        <v>0</v>
      </c>
      <c r="L1696" s="0" t="str">
        <f aca="false">IFERROR(SMALL(L367:L1087,ROW()-ROW($L$1090)+1),"")</f>
        <v/>
      </c>
      <c r="M1696" s="0" t="n">
        <f aca="false">IFERROR(SMALL(M367:M1087,ROW()-ROW($M$1090)+1),"")</f>
        <v>0</v>
      </c>
      <c r="N1696" s="0" t="n">
        <f aca="false">IFERROR(SMALL(N367:N1087,ROW()-ROW($N$1090)+1),"")</f>
        <v>0</v>
      </c>
    </row>
    <row r="1697" customFormat="false" ht="15" hidden="false" customHeight="false" outlineLevel="0" collapsed="false">
      <c r="E1697" s="0" t="n">
        <f aca="false">IFERROR(SMALL(E367:E1087,ROW()-ROW($E$1090)+1),"")</f>
        <v>0</v>
      </c>
      <c r="F1697" s="0" t="str">
        <f aca="false">IFERROR(SMALL(F367:F1087,ROW()-ROW($F$1090)+1),"")</f>
        <v/>
      </c>
      <c r="G1697" s="0" t="n">
        <f aca="false">IFERROR(SMALL(G367:G1087,ROW()-ROW($G$1090)+1),"")</f>
        <v>0</v>
      </c>
      <c r="H1697" s="0" t="n">
        <f aca="false">IFERROR(SMALL(H367:H1087,ROW()-ROW($H$1090)+1),"")</f>
        <v>0</v>
      </c>
      <c r="K1697" s="0" t="n">
        <f aca="false">IFERROR(SMALL(K367:K1087,ROW()-ROW($K$1090)+1),"")</f>
        <v>0</v>
      </c>
      <c r="L1697" s="0" t="str">
        <f aca="false">IFERROR(SMALL(L367:L1087,ROW()-ROW($L$1090)+1),"")</f>
        <v/>
      </c>
      <c r="M1697" s="0" t="n">
        <f aca="false">IFERROR(SMALL(M367:M1087,ROW()-ROW($M$1090)+1),"")</f>
        <v>0</v>
      </c>
      <c r="N1697" s="0" t="n">
        <f aca="false">IFERROR(SMALL(N367:N1087,ROW()-ROW($N$1090)+1),"")</f>
        <v>0</v>
      </c>
    </row>
    <row r="1698" customFormat="false" ht="15" hidden="false" customHeight="false" outlineLevel="0" collapsed="false">
      <c r="E1698" s="0" t="n">
        <f aca="false">IFERROR(SMALL(E367:E1087,ROW()-ROW($E$1090)+1),"")</f>
        <v>0</v>
      </c>
      <c r="F1698" s="0" t="str">
        <f aca="false">IFERROR(SMALL(F367:F1087,ROW()-ROW($F$1090)+1),"")</f>
        <v/>
      </c>
      <c r="G1698" s="0" t="n">
        <f aca="false">IFERROR(SMALL(G367:G1087,ROW()-ROW($G$1090)+1),"")</f>
        <v>0</v>
      </c>
      <c r="H1698" s="0" t="n">
        <f aca="false">IFERROR(SMALL(H367:H1087,ROW()-ROW($H$1090)+1),"")</f>
        <v>0</v>
      </c>
      <c r="K1698" s="0" t="n">
        <f aca="false">IFERROR(SMALL(K367:K1087,ROW()-ROW($K$1090)+1),"")</f>
        <v>0</v>
      </c>
      <c r="L1698" s="0" t="str">
        <f aca="false">IFERROR(SMALL(L367:L1087,ROW()-ROW($L$1090)+1),"")</f>
        <v/>
      </c>
      <c r="M1698" s="0" t="n">
        <f aca="false">IFERROR(SMALL(M367:M1087,ROW()-ROW($M$1090)+1),"")</f>
        <v>0</v>
      </c>
      <c r="N1698" s="0" t="n">
        <f aca="false">IFERROR(SMALL(N367:N1087,ROW()-ROW($N$1090)+1),"")</f>
        <v>0</v>
      </c>
    </row>
    <row r="1699" customFormat="false" ht="15" hidden="false" customHeight="false" outlineLevel="0" collapsed="false">
      <c r="E1699" s="0" t="n">
        <f aca="false">IFERROR(SMALL(E367:E1087,ROW()-ROW($E$1090)+1),"")</f>
        <v>0</v>
      </c>
      <c r="F1699" s="0" t="str">
        <f aca="false">IFERROR(SMALL(F367:F1087,ROW()-ROW($F$1090)+1),"")</f>
        <v/>
      </c>
      <c r="G1699" s="0" t="n">
        <f aca="false">IFERROR(SMALL(G367:G1087,ROW()-ROW($G$1090)+1),"")</f>
        <v>0</v>
      </c>
      <c r="H1699" s="0" t="n">
        <f aca="false">IFERROR(SMALL(H367:H1087,ROW()-ROW($H$1090)+1),"")</f>
        <v>0</v>
      </c>
      <c r="K1699" s="0" t="n">
        <f aca="false">IFERROR(SMALL(K367:K1087,ROW()-ROW($K$1090)+1),"")</f>
        <v>0</v>
      </c>
      <c r="L1699" s="0" t="str">
        <f aca="false">IFERROR(SMALL(L367:L1087,ROW()-ROW($L$1090)+1),"")</f>
        <v/>
      </c>
      <c r="M1699" s="0" t="n">
        <f aca="false">IFERROR(SMALL(M367:M1087,ROW()-ROW($M$1090)+1),"")</f>
        <v>0</v>
      </c>
      <c r="N1699" s="0" t="n">
        <f aca="false">IFERROR(SMALL(N367:N1087,ROW()-ROW($N$1090)+1),"")</f>
        <v>0</v>
      </c>
    </row>
    <row r="1700" customFormat="false" ht="15" hidden="false" customHeight="false" outlineLevel="0" collapsed="false">
      <c r="E1700" s="0" t="n">
        <f aca="false">IFERROR(SMALL(E367:E1087,ROW()-ROW($E$1090)+1),"")</f>
        <v>0</v>
      </c>
      <c r="F1700" s="0" t="str">
        <f aca="false">IFERROR(SMALL(F367:F1087,ROW()-ROW($F$1090)+1),"")</f>
        <v/>
      </c>
      <c r="G1700" s="0" t="n">
        <f aca="false">IFERROR(SMALL(G367:G1087,ROW()-ROW($G$1090)+1),"")</f>
        <v>0</v>
      </c>
      <c r="H1700" s="0" t="n">
        <f aca="false">IFERROR(SMALL(H367:H1087,ROW()-ROW($H$1090)+1),"")</f>
        <v>0</v>
      </c>
      <c r="K1700" s="0" t="n">
        <f aca="false">IFERROR(SMALL(K367:K1087,ROW()-ROW($K$1090)+1),"")</f>
        <v>0</v>
      </c>
      <c r="L1700" s="0" t="str">
        <f aca="false">IFERROR(SMALL(L367:L1087,ROW()-ROW($L$1090)+1),"")</f>
        <v/>
      </c>
      <c r="M1700" s="0" t="n">
        <f aca="false">IFERROR(SMALL(M367:M1087,ROW()-ROW($M$1090)+1),"")</f>
        <v>0</v>
      </c>
      <c r="N1700" s="0" t="n">
        <f aca="false">IFERROR(SMALL(N367:N1087,ROW()-ROW($N$1090)+1),"")</f>
        <v>0</v>
      </c>
    </row>
    <row r="1701" customFormat="false" ht="15" hidden="false" customHeight="false" outlineLevel="0" collapsed="false">
      <c r="E1701" s="0" t="n">
        <f aca="false">IFERROR(SMALL(E367:E1087,ROW()-ROW($E$1090)+1),"")</f>
        <v>0</v>
      </c>
      <c r="F1701" s="0" t="str">
        <f aca="false">IFERROR(SMALL(F367:F1087,ROW()-ROW($F$1090)+1),"")</f>
        <v/>
      </c>
      <c r="G1701" s="0" t="n">
        <f aca="false">IFERROR(SMALL(G367:G1087,ROW()-ROW($G$1090)+1),"")</f>
        <v>0</v>
      </c>
      <c r="H1701" s="0" t="n">
        <f aca="false">IFERROR(SMALL(H367:H1087,ROW()-ROW($H$1090)+1),"")</f>
        <v>0</v>
      </c>
      <c r="K1701" s="0" t="n">
        <f aca="false">IFERROR(SMALL(K367:K1087,ROW()-ROW($K$1090)+1),"")</f>
        <v>0</v>
      </c>
      <c r="L1701" s="0" t="str">
        <f aca="false">IFERROR(SMALL(L367:L1087,ROW()-ROW($L$1090)+1),"")</f>
        <v/>
      </c>
      <c r="M1701" s="0" t="n">
        <f aca="false">IFERROR(SMALL(M367:M1087,ROW()-ROW($M$1090)+1),"")</f>
        <v>0</v>
      </c>
      <c r="N1701" s="0" t="n">
        <f aca="false">IFERROR(SMALL(N367:N1087,ROW()-ROW($N$1090)+1),"")</f>
        <v>0</v>
      </c>
    </row>
    <row r="1702" customFormat="false" ht="15" hidden="false" customHeight="false" outlineLevel="0" collapsed="false">
      <c r="E1702" s="0" t="n">
        <f aca="false">IFERROR(SMALL(E367:E1087,ROW()-ROW($E$1090)+1),"")</f>
        <v>0</v>
      </c>
      <c r="F1702" s="0" t="str">
        <f aca="false">IFERROR(SMALL(F367:F1087,ROW()-ROW($F$1090)+1),"")</f>
        <v/>
      </c>
      <c r="G1702" s="0" t="n">
        <f aca="false">IFERROR(SMALL(G367:G1087,ROW()-ROW($G$1090)+1),"")</f>
        <v>0</v>
      </c>
      <c r="H1702" s="0" t="n">
        <f aca="false">IFERROR(SMALL(H367:H1087,ROW()-ROW($H$1090)+1),"")</f>
        <v>0</v>
      </c>
      <c r="K1702" s="0" t="n">
        <f aca="false">IFERROR(SMALL(K367:K1087,ROW()-ROW($K$1090)+1),"")</f>
        <v>0</v>
      </c>
      <c r="L1702" s="0" t="str">
        <f aca="false">IFERROR(SMALL(L367:L1087,ROW()-ROW($L$1090)+1),"")</f>
        <v/>
      </c>
      <c r="M1702" s="0" t="n">
        <f aca="false">IFERROR(SMALL(M367:M1087,ROW()-ROW($M$1090)+1),"")</f>
        <v>0</v>
      </c>
      <c r="N1702" s="0" t="n">
        <f aca="false">IFERROR(SMALL(N367:N1087,ROW()-ROW($N$1090)+1),"")</f>
        <v>0</v>
      </c>
    </row>
    <row r="1703" customFormat="false" ht="15" hidden="false" customHeight="false" outlineLevel="0" collapsed="false">
      <c r="E1703" s="0" t="n">
        <f aca="false">IFERROR(SMALL(E367:E1087,ROW()-ROW($E$1090)+1),"")</f>
        <v>0</v>
      </c>
      <c r="F1703" s="0" t="str">
        <f aca="false">IFERROR(SMALL(F367:F1087,ROW()-ROW($F$1090)+1),"")</f>
        <v/>
      </c>
      <c r="G1703" s="0" t="n">
        <f aca="false">IFERROR(SMALL(G367:G1087,ROW()-ROW($G$1090)+1),"")</f>
        <v>0</v>
      </c>
      <c r="H1703" s="0" t="n">
        <f aca="false">IFERROR(SMALL(H367:H1087,ROW()-ROW($H$1090)+1),"")</f>
        <v>0</v>
      </c>
      <c r="K1703" s="0" t="n">
        <f aca="false">IFERROR(SMALL(K367:K1087,ROW()-ROW($K$1090)+1),"")</f>
        <v>0</v>
      </c>
      <c r="L1703" s="0" t="str">
        <f aca="false">IFERROR(SMALL(L367:L1087,ROW()-ROW($L$1090)+1),"")</f>
        <v/>
      </c>
      <c r="M1703" s="0" t="n">
        <f aca="false">IFERROR(SMALL(M367:M1087,ROW()-ROW($M$1090)+1),"")</f>
        <v>0</v>
      </c>
      <c r="N1703" s="0" t="n">
        <f aca="false">IFERROR(SMALL(N367:N1087,ROW()-ROW($N$1090)+1),"")</f>
        <v>0</v>
      </c>
    </row>
    <row r="1704" customFormat="false" ht="15" hidden="false" customHeight="false" outlineLevel="0" collapsed="false">
      <c r="E1704" s="0" t="n">
        <f aca="false">IFERROR(SMALL(E367:E1087,ROW()-ROW($E$1090)+1),"")</f>
        <v>0</v>
      </c>
      <c r="F1704" s="0" t="str">
        <f aca="false">IFERROR(SMALL(F367:F1087,ROW()-ROW($F$1090)+1),"")</f>
        <v/>
      </c>
      <c r="G1704" s="0" t="n">
        <f aca="false">IFERROR(SMALL(G367:G1087,ROW()-ROW($G$1090)+1),"")</f>
        <v>0</v>
      </c>
      <c r="H1704" s="0" t="n">
        <f aca="false">IFERROR(SMALL(H367:H1087,ROW()-ROW($H$1090)+1),"")</f>
        <v>0</v>
      </c>
      <c r="K1704" s="0" t="n">
        <f aca="false">IFERROR(SMALL(K367:K1087,ROW()-ROW($K$1090)+1),"")</f>
        <v>0</v>
      </c>
      <c r="L1704" s="0" t="str">
        <f aca="false">IFERROR(SMALL(L367:L1087,ROW()-ROW($L$1090)+1),"")</f>
        <v/>
      </c>
      <c r="M1704" s="0" t="n">
        <f aca="false">IFERROR(SMALL(M367:M1087,ROW()-ROW($M$1090)+1),"")</f>
        <v>0</v>
      </c>
      <c r="N1704" s="0" t="n">
        <f aca="false">IFERROR(SMALL(N367:N1087,ROW()-ROW($N$1090)+1),"")</f>
        <v>0</v>
      </c>
    </row>
    <row r="1705" customFormat="false" ht="15" hidden="false" customHeight="false" outlineLevel="0" collapsed="false">
      <c r="E1705" s="0" t="n">
        <f aca="false">IFERROR(SMALL(E367:E1087,ROW()-ROW($E$1090)+1),"")</f>
        <v>0</v>
      </c>
      <c r="F1705" s="0" t="str">
        <f aca="false">IFERROR(SMALL(F367:F1087,ROW()-ROW($F$1090)+1),"")</f>
        <v/>
      </c>
      <c r="G1705" s="0" t="n">
        <f aca="false">IFERROR(SMALL(G367:G1087,ROW()-ROW($G$1090)+1),"")</f>
        <v>0</v>
      </c>
      <c r="H1705" s="0" t="n">
        <f aca="false">IFERROR(SMALL(H367:H1087,ROW()-ROW($H$1090)+1),"")</f>
        <v>0</v>
      </c>
      <c r="K1705" s="0" t="n">
        <f aca="false">IFERROR(SMALL(K367:K1087,ROW()-ROW($K$1090)+1),"")</f>
        <v>0</v>
      </c>
      <c r="L1705" s="0" t="str">
        <f aca="false">IFERROR(SMALL(L367:L1087,ROW()-ROW($L$1090)+1),"")</f>
        <v/>
      </c>
      <c r="M1705" s="0" t="n">
        <f aca="false">IFERROR(SMALL(M367:M1087,ROW()-ROW($M$1090)+1),"")</f>
        <v>0</v>
      </c>
      <c r="N1705" s="0" t="n">
        <f aca="false">IFERROR(SMALL(N367:N1087,ROW()-ROW($N$1090)+1),"")</f>
        <v>0</v>
      </c>
    </row>
    <row r="1706" customFormat="false" ht="15" hidden="false" customHeight="false" outlineLevel="0" collapsed="false">
      <c r="E1706" s="0" t="n">
        <f aca="false">IFERROR(SMALL(E367:E1087,ROW()-ROW($E$1090)+1),"")</f>
        <v>0</v>
      </c>
      <c r="F1706" s="0" t="str">
        <f aca="false">IFERROR(SMALL(F367:F1087,ROW()-ROW($F$1090)+1),"")</f>
        <v/>
      </c>
      <c r="G1706" s="0" t="n">
        <f aca="false">IFERROR(SMALL(G367:G1087,ROW()-ROW($G$1090)+1),"")</f>
        <v>0</v>
      </c>
      <c r="H1706" s="0" t="n">
        <f aca="false">IFERROR(SMALL(H367:H1087,ROW()-ROW($H$1090)+1),"")</f>
        <v>0</v>
      </c>
      <c r="K1706" s="0" t="n">
        <f aca="false">IFERROR(SMALL(K367:K1087,ROW()-ROW($K$1090)+1),"")</f>
        <v>0</v>
      </c>
      <c r="L1706" s="0" t="str">
        <f aca="false">IFERROR(SMALL(L367:L1087,ROW()-ROW($L$1090)+1),"")</f>
        <v/>
      </c>
      <c r="M1706" s="0" t="n">
        <f aca="false">IFERROR(SMALL(M367:M1087,ROW()-ROW($M$1090)+1),"")</f>
        <v>0</v>
      </c>
      <c r="N1706" s="0" t="n">
        <f aca="false">IFERROR(SMALL(N367:N1087,ROW()-ROW($N$1090)+1),"")</f>
        <v>0</v>
      </c>
    </row>
    <row r="1707" customFormat="false" ht="15" hidden="false" customHeight="false" outlineLevel="0" collapsed="false">
      <c r="E1707" s="0" t="n">
        <f aca="false">IFERROR(SMALL(E367:E1087,ROW()-ROW($E$1090)+1),"")</f>
        <v>0</v>
      </c>
      <c r="F1707" s="0" t="str">
        <f aca="false">IFERROR(SMALL(F367:F1087,ROW()-ROW($F$1090)+1),"")</f>
        <v/>
      </c>
      <c r="G1707" s="0" t="n">
        <f aca="false">IFERROR(SMALL(G367:G1087,ROW()-ROW($G$1090)+1),"")</f>
        <v>0</v>
      </c>
      <c r="H1707" s="0" t="n">
        <f aca="false">IFERROR(SMALL(H367:H1087,ROW()-ROW($H$1090)+1),"")</f>
        <v>0</v>
      </c>
      <c r="K1707" s="0" t="n">
        <f aca="false">IFERROR(SMALL(K367:K1087,ROW()-ROW($K$1090)+1),"")</f>
        <v>0</v>
      </c>
      <c r="L1707" s="0" t="str">
        <f aca="false">IFERROR(SMALL(L367:L1087,ROW()-ROW($L$1090)+1),"")</f>
        <v/>
      </c>
      <c r="M1707" s="0" t="n">
        <f aca="false">IFERROR(SMALL(M367:M1087,ROW()-ROW($M$1090)+1),"")</f>
        <v>0</v>
      </c>
      <c r="N1707" s="0" t="n">
        <f aca="false">IFERROR(SMALL(N367:N1087,ROW()-ROW($N$1090)+1),"")</f>
        <v>0</v>
      </c>
    </row>
    <row r="1708" customFormat="false" ht="15" hidden="false" customHeight="false" outlineLevel="0" collapsed="false">
      <c r="E1708" s="0" t="n">
        <f aca="false">IFERROR(SMALL(E367:E1087,ROW()-ROW($E$1090)+1),"")</f>
        <v>0</v>
      </c>
      <c r="F1708" s="0" t="str">
        <f aca="false">IFERROR(SMALL(F367:F1087,ROW()-ROW($F$1090)+1),"")</f>
        <v/>
      </c>
      <c r="G1708" s="0" t="n">
        <f aca="false">IFERROR(SMALL(G367:G1087,ROW()-ROW($G$1090)+1),"")</f>
        <v>0</v>
      </c>
      <c r="H1708" s="0" t="n">
        <f aca="false">IFERROR(SMALL(H367:H1087,ROW()-ROW($H$1090)+1),"")</f>
        <v>0</v>
      </c>
      <c r="K1708" s="0" t="n">
        <f aca="false">IFERROR(SMALL(K367:K1087,ROW()-ROW($K$1090)+1),"")</f>
        <v>0</v>
      </c>
      <c r="L1708" s="0" t="str">
        <f aca="false">IFERROR(SMALL(L367:L1087,ROW()-ROW($L$1090)+1),"")</f>
        <v/>
      </c>
      <c r="M1708" s="0" t="n">
        <f aca="false">IFERROR(SMALL(M367:M1087,ROW()-ROW($M$1090)+1),"")</f>
        <v>0</v>
      </c>
      <c r="N1708" s="0" t="n">
        <f aca="false">IFERROR(SMALL(N367:N1087,ROW()-ROW($N$1090)+1),"")</f>
        <v>0</v>
      </c>
    </row>
    <row r="1709" customFormat="false" ht="15" hidden="false" customHeight="false" outlineLevel="0" collapsed="false">
      <c r="E1709" s="0" t="n">
        <f aca="false">IFERROR(SMALL(E367:E1087,ROW()-ROW($E$1090)+1),"")</f>
        <v>0</v>
      </c>
      <c r="F1709" s="0" t="str">
        <f aca="false">IFERROR(SMALL(F367:F1087,ROW()-ROW($F$1090)+1),"")</f>
        <v/>
      </c>
      <c r="G1709" s="0" t="n">
        <f aca="false">IFERROR(SMALL(G367:G1087,ROW()-ROW($G$1090)+1),"")</f>
        <v>0</v>
      </c>
      <c r="H1709" s="0" t="n">
        <f aca="false">IFERROR(SMALL(H367:H1087,ROW()-ROW($H$1090)+1),"")</f>
        <v>0</v>
      </c>
      <c r="K1709" s="0" t="n">
        <f aca="false">IFERROR(SMALL(K367:K1087,ROW()-ROW($K$1090)+1),"")</f>
        <v>0</v>
      </c>
      <c r="L1709" s="0" t="str">
        <f aca="false">IFERROR(SMALL(L367:L1087,ROW()-ROW($L$1090)+1),"")</f>
        <v/>
      </c>
      <c r="M1709" s="0" t="n">
        <f aca="false">IFERROR(SMALL(M367:M1087,ROW()-ROW($M$1090)+1),"")</f>
        <v>0</v>
      </c>
      <c r="N1709" s="0" t="n">
        <f aca="false">IFERROR(SMALL(N367:N1087,ROW()-ROW($N$1090)+1),"")</f>
        <v>0</v>
      </c>
    </row>
    <row r="1710" customFormat="false" ht="15" hidden="false" customHeight="false" outlineLevel="0" collapsed="false">
      <c r="E1710" s="0" t="n">
        <f aca="false">IFERROR(SMALL(E367:E1087,ROW()-ROW($E$1090)+1),"")</f>
        <v>0</v>
      </c>
      <c r="F1710" s="0" t="str">
        <f aca="false">IFERROR(SMALL(F367:F1087,ROW()-ROW($F$1090)+1),"")</f>
        <v/>
      </c>
      <c r="G1710" s="0" t="n">
        <f aca="false">IFERROR(SMALL(G367:G1087,ROW()-ROW($G$1090)+1),"")</f>
        <v>0</v>
      </c>
      <c r="H1710" s="0" t="n">
        <f aca="false">IFERROR(SMALL(H367:H1087,ROW()-ROW($H$1090)+1),"")</f>
        <v>0</v>
      </c>
      <c r="K1710" s="0" t="n">
        <f aca="false">IFERROR(SMALL(K367:K1087,ROW()-ROW($K$1090)+1),"")</f>
        <v>0</v>
      </c>
      <c r="L1710" s="0" t="str">
        <f aca="false">IFERROR(SMALL(L367:L1087,ROW()-ROW($L$1090)+1),"")</f>
        <v/>
      </c>
      <c r="M1710" s="0" t="n">
        <f aca="false">IFERROR(SMALL(M367:M1087,ROW()-ROW($M$1090)+1),"")</f>
        <v>0</v>
      </c>
      <c r="N1710" s="0" t="n">
        <f aca="false">IFERROR(SMALL(N367:N1087,ROW()-ROW($N$1090)+1),"")</f>
        <v>0</v>
      </c>
    </row>
    <row r="1711" customFormat="false" ht="15" hidden="false" customHeight="false" outlineLevel="0" collapsed="false">
      <c r="E1711" s="0" t="n">
        <f aca="false">IFERROR(SMALL(E367:E1087,ROW()-ROW($E$1090)+1),"")</f>
        <v>0</v>
      </c>
      <c r="F1711" s="0" t="str">
        <f aca="false">IFERROR(SMALL(F367:F1087,ROW()-ROW($F$1090)+1),"")</f>
        <v/>
      </c>
      <c r="G1711" s="0" t="n">
        <f aca="false">IFERROR(SMALL(G367:G1087,ROW()-ROW($G$1090)+1),"")</f>
        <v>0</v>
      </c>
      <c r="H1711" s="0" t="n">
        <f aca="false">IFERROR(SMALL(H367:H1087,ROW()-ROW($H$1090)+1),"")</f>
        <v>0</v>
      </c>
      <c r="K1711" s="0" t="n">
        <f aca="false">IFERROR(SMALL(K367:K1087,ROW()-ROW($K$1090)+1),"")</f>
        <v>0</v>
      </c>
      <c r="L1711" s="0" t="str">
        <f aca="false">IFERROR(SMALL(L367:L1087,ROW()-ROW($L$1090)+1),"")</f>
        <v/>
      </c>
      <c r="M1711" s="0" t="n">
        <f aca="false">IFERROR(SMALL(M367:M1087,ROW()-ROW($M$1090)+1),"")</f>
        <v>0</v>
      </c>
      <c r="N1711" s="0" t="n">
        <f aca="false">IFERROR(SMALL(N367:N1087,ROW()-ROW($N$1090)+1),"")</f>
        <v>0</v>
      </c>
    </row>
    <row r="1712" customFormat="false" ht="15" hidden="false" customHeight="false" outlineLevel="0" collapsed="false">
      <c r="E1712" s="0" t="n">
        <f aca="false">IFERROR(SMALL(E367:E1087,ROW()-ROW($E$1090)+1),"")</f>
        <v>0</v>
      </c>
      <c r="F1712" s="0" t="str">
        <f aca="false">IFERROR(SMALL(F367:F1087,ROW()-ROW($F$1090)+1),"")</f>
        <v/>
      </c>
      <c r="G1712" s="0" t="n">
        <f aca="false">IFERROR(SMALL(G367:G1087,ROW()-ROW($G$1090)+1),"")</f>
        <v>0</v>
      </c>
      <c r="H1712" s="0" t="n">
        <f aca="false">IFERROR(SMALL(H367:H1087,ROW()-ROW($H$1090)+1),"")</f>
        <v>0</v>
      </c>
      <c r="K1712" s="0" t="n">
        <f aca="false">IFERROR(SMALL(K367:K1087,ROW()-ROW($K$1090)+1),"")</f>
        <v>0</v>
      </c>
      <c r="L1712" s="0" t="str">
        <f aca="false">IFERROR(SMALL(L367:L1087,ROW()-ROW($L$1090)+1),"")</f>
        <v/>
      </c>
      <c r="M1712" s="0" t="n">
        <f aca="false">IFERROR(SMALL(M367:M1087,ROW()-ROW($M$1090)+1),"")</f>
        <v>0</v>
      </c>
      <c r="N1712" s="0" t="n">
        <f aca="false">IFERROR(SMALL(N367:N1087,ROW()-ROW($N$1090)+1),"")</f>
        <v>0</v>
      </c>
    </row>
    <row r="1713" customFormat="false" ht="15" hidden="false" customHeight="false" outlineLevel="0" collapsed="false">
      <c r="E1713" s="0" t="n">
        <f aca="false">IFERROR(SMALL(E367:E1087,ROW()-ROW($E$1090)+1),"")</f>
        <v>0</v>
      </c>
      <c r="F1713" s="0" t="str">
        <f aca="false">IFERROR(SMALL(F367:F1087,ROW()-ROW($F$1090)+1),"")</f>
        <v/>
      </c>
      <c r="G1713" s="0" t="n">
        <f aca="false">IFERROR(SMALL(G367:G1087,ROW()-ROW($G$1090)+1),"")</f>
        <v>0</v>
      </c>
      <c r="H1713" s="0" t="n">
        <f aca="false">IFERROR(SMALL(H367:H1087,ROW()-ROW($H$1090)+1),"")</f>
        <v>0</v>
      </c>
      <c r="K1713" s="0" t="n">
        <f aca="false">IFERROR(SMALL(K367:K1087,ROW()-ROW($K$1090)+1),"")</f>
        <v>0</v>
      </c>
      <c r="L1713" s="0" t="str">
        <f aca="false">IFERROR(SMALL(L367:L1087,ROW()-ROW($L$1090)+1),"")</f>
        <v/>
      </c>
      <c r="M1713" s="0" t="n">
        <f aca="false">IFERROR(SMALL(M367:M1087,ROW()-ROW($M$1090)+1),"")</f>
        <v>0</v>
      </c>
      <c r="N1713" s="0" t="n">
        <f aca="false">IFERROR(SMALL(N367:N1087,ROW()-ROW($N$1090)+1),"")</f>
        <v>0</v>
      </c>
    </row>
    <row r="1714" customFormat="false" ht="15" hidden="false" customHeight="false" outlineLevel="0" collapsed="false">
      <c r="E1714" s="0" t="n">
        <f aca="false">IFERROR(SMALL(E367:E1087,ROW()-ROW($E$1090)+1),"")</f>
        <v>0</v>
      </c>
      <c r="F1714" s="0" t="str">
        <f aca="false">IFERROR(SMALL(F367:F1087,ROW()-ROW($F$1090)+1),"")</f>
        <v/>
      </c>
      <c r="G1714" s="0" t="n">
        <f aca="false">IFERROR(SMALL(G367:G1087,ROW()-ROW($G$1090)+1),"")</f>
        <v>0</v>
      </c>
      <c r="H1714" s="0" t="n">
        <f aca="false">IFERROR(SMALL(H367:H1087,ROW()-ROW($H$1090)+1),"")</f>
        <v>0</v>
      </c>
      <c r="K1714" s="0" t="n">
        <f aca="false">IFERROR(SMALL(K367:K1087,ROW()-ROW($K$1090)+1),"")</f>
        <v>0</v>
      </c>
      <c r="L1714" s="0" t="str">
        <f aca="false">IFERROR(SMALL(L367:L1087,ROW()-ROW($L$1090)+1),"")</f>
        <v/>
      </c>
      <c r="M1714" s="0" t="n">
        <f aca="false">IFERROR(SMALL(M367:M1087,ROW()-ROW($M$1090)+1),"")</f>
        <v>0</v>
      </c>
      <c r="N1714" s="0" t="n">
        <f aca="false">IFERROR(SMALL(N367:N1087,ROW()-ROW($N$1090)+1),"")</f>
        <v>0</v>
      </c>
    </row>
    <row r="1715" customFormat="false" ht="15" hidden="false" customHeight="false" outlineLevel="0" collapsed="false">
      <c r="E1715" s="0" t="n">
        <f aca="false">IFERROR(SMALL(E367:E1087,ROW()-ROW($E$1090)+1),"")</f>
        <v>0</v>
      </c>
      <c r="F1715" s="0" t="str">
        <f aca="false">IFERROR(SMALL(F367:F1087,ROW()-ROW($F$1090)+1),"")</f>
        <v/>
      </c>
      <c r="G1715" s="0" t="n">
        <f aca="false">IFERROR(SMALL(G367:G1087,ROW()-ROW($G$1090)+1),"")</f>
        <v>0</v>
      </c>
      <c r="H1715" s="0" t="n">
        <f aca="false">IFERROR(SMALL(H367:H1087,ROW()-ROW($H$1090)+1),"")</f>
        <v>0</v>
      </c>
      <c r="K1715" s="0" t="n">
        <f aca="false">IFERROR(SMALL(K367:K1087,ROW()-ROW($K$1090)+1),"")</f>
        <v>0</v>
      </c>
      <c r="L1715" s="0" t="str">
        <f aca="false">IFERROR(SMALL(L367:L1087,ROW()-ROW($L$1090)+1),"")</f>
        <v/>
      </c>
      <c r="M1715" s="0" t="n">
        <f aca="false">IFERROR(SMALL(M367:M1087,ROW()-ROW($M$1090)+1),"")</f>
        <v>0</v>
      </c>
      <c r="N1715" s="0" t="n">
        <f aca="false">IFERROR(SMALL(N367:N1087,ROW()-ROW($N$1090)+1),"")</f>
        <v>0</v>
      </c>
    </row>
    <row r="1716" customFormat="false" ht="15" hidden="false" customHeight="false" outlineLevel="0" collapsed="false">
      <c r="E1716" s="0" t="n">
        <f aca="false">IFERROR(SMALL(E367:E1087,ROW()-ROW($E$1090)+1),"")</f>
        <v>0</v>
      </c>
      <c r="F1716" s="0" t="str">
        <f aca="false">IFERROR(SMALL(F367:F1087,ROW()-ROW($F$1090)+1),"")</f>
        <v/>
      </c>
      <c r="G1716" s="0" t="n">
        <f aca="false">IFERROR(SMALL(G367:G1087,ROW()-ROW($G$1090)+1),"")</f>
        <v>0</v>
      </c>
      <c r="H1716" s="0" t="n">
        <f aca="false">IFERROR(SMALL(H367:H1087,ROW()-ROW($H$1090)+1),"")</f>
        <v>0</v>
      </c>
      <c r="K1716" s="0" t="n">
        <f aca="false">IFERROR(SMALL(K367:K1087,ROW()-ROW($K$1090)+1),"")</f>
        <v>0</v>
      </c>
      <c r="L1716" s="0" t="str">
        <f aca="false">IFERROR(SMALL(L367:L1087,ROW()-ROW($L$1090)+1),"")</f>
        <v/>
      </c>
      <c r="M1716" s="0" t="n">
        <f aca="false">IFERROR(SMALL(M367:M1087,ROW()-ROW($M$1090)+1),"")</f>
        <v>0</v>
      </c>
      <c r="N1716" s="0" t="n">
        <f aca="false">IFERROR(SMALL(N367:N1087,ROW()-ROW($N$1090)+1),"")</f>
        <v>0</v>
      </c>
    </row>
    <row r="1717" customFormat="false" ht="15" hidden="false" customHeight="false" outlineLevel="0" collapsed="false">
      <c r="E1717" s="0" t="n">
        <f aca="false">IFERROR(SMALL(E367:E1087,ROW()-ROW($E$1090)+1),"")</f>
        <v>0</v>
      </c>
      <c r="F1717" s="0" t="str">
        <f aca="false">IFERROR(SMALL(F367:F1087,ROW()-ROW($F$1090)+1),"")</f>
        <v/>
      </c>
      <c r="G1717" s="0" t="n">
        <f aca="false">IFERROR(SMALL(G367:G1087,ROW()-ROW($G$1090)+1),"")</f>
        <v>0</v>
      </c>
      <c r="H1717" s="0" t="n">
        <f aca="false">IFERROR(SMALL(H367:H1087,ROW()-ROW($H$1090)+1),"")</f>
        <v>0</v>
      </c>
      <c r="K1717" s="0" t="n">
        <f aca="false">IFERROR(SMALL(K367:K1087,ROW()-ROW($K$1090)+1),"")</f>
        <v>0</v>
      </c>
      <c r="L1717" s="0" t="str">
        <f aca="false">IFERROR(SMALL(L367:L1087,ROW()-ROW($L$1090)+1),"")</f>
        <v/>
      </c>
      <c r="M1717" s="0" t="n">
        <f aca="false">IFERROR(SMALL(M367:M1087,ROW()-ROW($M$1090)+1),"")</f>
        <v>0</v>
      </c>
      <c r="N1717" s="0" t="n">
        <f aca="false">IFERROR(SMALL(N367:N1087,ROW()-ROW($N$1090)+1),"")</f>
        <v>0</v>
      </c>
    </row>
    <row r="1718" customFormat="false" ht="15" hidden="false" customHeight="false" outlineLevel="0" collapsed="false">
      <c r="E1718" s="0" t="n">
        <f aca="false">IFERROR(SMALL(E367:E1087,ROW()-ROW($E$1090)+1),"")</f>
        <v>0</v>
      </c>
      <c r="F1718" s="0" t="str">
        <f aca="false">IFERROR(SMALL(F367:F1087,ROW()-ROW($F$1090)+1),"")</f>
        <v/>
      </c>
      <c r="G1718" s="0" t="n">
        <f aca="false">IFERROR(SMALL(G367:G1087,ROW()-ROW($G$1090)+1),"")</f>
        <v>0</v>
      </c>
      <c r="H1718" s="0" t="n">
        <f aca="false">IFERROR(SMALL(H367:H1087,ROW()-ROW($H$1090)+1),"")</f>
        <v>0</v>
      </c>
      <c r="K1718" s="0" t="n">
        <f aca="false">IFERROR(SMALL(K367:K1087,ROW()-ROW($K$1090)+1),"")</f>
        <v>0</v>
      </c>
      <c r="L1718" s="0" t="str">
        <f aca="false">IFERROR(SMALL(L367:L1087,ROW()-ROW($L$1090)+1),"")</f>
        <v/>
      </c>
      <c r="M1718" s="0" t="n">
        <f aca="false">IFERROR(SMALL(M367:M1087,ROW()-ROW($M$1090)+1),"")</f>
        <v>0</v>
      </c>
      <c r="N1718" s="0" t="n">
        <f aca="false">IFERROR(SMALL(N367:N1087,ROW()-ROW($N$1090)+1),"")</f>
        <v>0</v>
      </c>
    </row>
    <row r="1719" customFormat="false" ht="15" hidden="false" customHeight="false" outlineLevel="0" collapsed="false">
      <c r="E1719" s="0" t="n">
        <f aca="false">IFERROR(SMALL(E367:E1087,ROW()-ROW($E$1090)+1),"")</f>
        <v>0</v>
      </c>
      <c r="F1719" s="0" t="str">
        <f aca="false">IFERROR(SMALL(F367:F1087,ROW()-ROW($F$1090)+1),"")</f>
        <v/>
      </c>
      <c r="G1719" s="0" t="n">
        <f aca="false">IFERROR(SMALL(G367:G1087,ROW()-ROW($G$1090)+1),"")</f>
        <v>0</v>
      </c>
      <c r="H1719" s="0" t="n">
        <f aca="false">IFERROR(SMALL(H367:H1087,ROW()-ROW($H$1090)+1),"")</f>
        <v>0</v>
      </c>
      <c r="K1719" s="0" t="n">
        <f aca="false">IFERROR(SMALL(K367:K1087,ROW()-ROW($K$1090)+1),"")</f>
        <v>0</v>
      </c>
      <c r="L1719" s="0" t="str">
        <f aca="false">IFERROR(SMALL(L367:L1087,ROW()-ROW($L$1090)+1),"")</f>
        <v/>
      </c>
      <c r="M1719" s="0" t="n">
        <f aca="false">IFERROR(SMALL(M367:M1087,ROW()-ROW($M$1090)+1),"")</f>
        <v>0</v>
      </c>
      <c r="N1719" s="0" t="n">
        <f aca="false">IFERROR(SMALL(N367:N1087,ROW()-ROW($N$1090)+1),"")</f>
        <v>0</v>
      </c>
    </row>
    <row r="1720" customFormat="false" ht="15" hidden="false" customHeight="false" outlineLevel="0" collapsed="false">
      <c r="E1720" s="0" t="n">
        <f aca="false">IFERROR(SMALL(E367:E1087,ROW()-ROW($E$1090)+1),"")</f>
        <v>0</v>
      </c>
      <c r="F1720" s="0" t="str">
        <f aca="false">IFERROR(SMALL(F367:F1087,ROW()-ROW($F$1090)+1),"")</f>
        <v/>
      </c>
      <c r="G1720" s="0" t="n">
        <f aca="false">IFERROR(SMALL(G367:G1087,ROW()-ROW($G$1090)+1),"")</f>
        <v>0</v>
      </c>
      <c r="H1720" s="0" t="n">
        <f aca="false">IFERROR(SMALL(H367:H1087,ROW()-ROW($H$1090)+1),"")</f>
        <v>0</v>
      </c>
      <c r="K1720" s="0" t="n">
        <f aca="false">IFERROR(SMALL(K367:K1087,ROW()-ROW($K$1090)+1),"")</f>
        <v>0</v>
      </c>
      <c r="L1720" s="0" t="str">
        <f aca="false">IFERROR(SMALL(L367:L1087,ROW()-ROW($L$1090)+1),"")</f>
        <v/>
      </c>
      <c r="M1720" s="0" t="n">
        <f aca="false">IFERROR(SMALL(M367:M1087,ROW()-ROW($M$1090)+1),"")</f>
        <v>0</v>
      </c>
      <c r="N1720" s="0" t="n">
        <f aca="false">IFERROR(SMALL(N367:N1087,ROW()-ROW($N$1090)+1),"")</f>
        <v>0</v>
      </c>
    </row>
    <row r="1721" customFormat="false" ht="15" hidden="false" customHeight="false" outlineLevel="0" collapsed="false">
      <c r="E1721" s="0" t="n">
        <f aca="false">IFERROR(SMALL(E367:E1087,ROW()-ROW($E$1090)+1),"")</f>
        <v>0</v>
      </c>
      <c r="F1721" s="0" t="str">
        <f aca="false">IFERROR(SMALL(F367:F1087,ROW()-ROW($F$1090)+1),"")</f>
        <v/>
      </c>
      <c r="G1721" s="0" t="n">
        <f aca="false">IFERROR(SMALL(G367:G1087,ROW()-ROW($G$1090)+1),"")</f>
        <v>0</v>
      </c>
      <c r="H1721" s="0" t="n">
        <f aca="false">IFERROR(SMALL(H367:H1087,ROW()-ROW($H$1090)+1),"")</f>
        <v>0</v>
      </c>
      <c r="K1721" s="0" t="n">
        <f aca="false">IFERROR(SMALL(K367:K1087,ROW()-ROW($K$1090)+1),"")</f>
        <v>0</v>
      </c>
      <c r="L1721" s="0" t="str">
        <f aca="false">IFERROR(SMALL(L367:L1087,ROW()-ROW($L$1090)+1),"")</f>
        <v/>
      </c>
      <c r="M1721" s="0" t="n">
        <f aca="false">IFERROR(SMALL(M367:M1087,ROW()-ROW($M$1090)+1),"")</f>
        <v>0</v>
      </c>
      <c r="N1721" s="0" t="n">
        <f aca="false">IFERROR(SMALL(N367:N1087,ROW()-ROW($N$1090)+1),"")</f>
        <v>0</v>
      </c>
    </row>
    <row r="1722" customFormat="false" ht="15" hidden="false" customHeight="false" outlineLevel="0" collapsed="false">
      <c r="E1722" s="0" t="n">
        <f aca="false">IFERROR(SMALL(E367:E1087,ROW()-ROW($E$1090)+1),"")</f>
        <v>0</v>
      </c>
      <c r="F1722" s="0" t="str">
        <f aca="false">IFERROR(SMALL(F367:F1087,ROW()-ROW($F$1090)+1),"")</f>
        <v/>
      </c>
      <c r="G1722" s="0" t="n">
        <f aca="false">IFERROR(SMALL(G367:G1087,ROW()-ROW($G$1090)+1),"")</f>
        <v>0</v>
      </c>
      <c r="H1722" s="0" t="n">
        <f aca="false">IFERROR(SMALL(H367:H1087,ROW()-ROW($H$1090)+1),"")</f>
        <v>0</v>
      </c>
      <c r="K1722" s="0" t="n">
        <f aca="false">IFERROR(SMALL(K367:K1087,ROW()-ROW($K$1090)+1),"")</f>
        <v>0</v>
      </c>
      <c r="L1722" s="0" t="str">
        <f aca="false">IFERROR(SMALL(L367:L1087,ROW()-ROW($L$1090)+1),"")</f>
        <v/>
      </c>
      <c r="M1722" s="0" t="n">
        <f aca="false">IFERROR(SMALL(M367:M1087,ROW()-ROW($M$1090)+1),"")</f>
        <v>0</v>
      </c>
      <c r="N1722" s="0" t="n">
        <f aca="false">IFERROR(SMALL(N367:N1087,ROW()-ROW($N$1090)+1),"")</f>
        <v>0</v>
      </c>
    </row>
    <row r="1723" customFormat="false" ht="15" hidden="false" customHeight="false" outlineLevel="0" collapsed="false">
      <c r="E1723" s="0" t="n">
        <f aca="false">IFERROR(SMALL(E367:E1087,ROW()-ROW($E$1090)+1),"")</f>
        <v>0</v>
      </c>
      <c r="F1723" s="0" t="str">
        <f aca="false">IFERROR(SMALL(F367:F1087,ROW()-ROW($F$1090)+1),"")</f>
        <v/>
      </c>
      <c r="G1723" s="0" t="n">
        <f aca="false">IFERROR(SMALL(G367:G1087,ROW()-ROW($G$1090)+1),"")</f>
        <v>0</v>
      </c>
      <c r="H1723" s="0" t="n">
        <f aca="false">IFERROR(SMALL(H367:H1087,ROW()-ROW($H$1090)+1),"")</f>
        <v>0</v>
      </c>
      <c r="K1723" s="0" t="n">
        <f aca="false">IFERROR(SMALL(K367:K1087,ROW()-ROW($K$1090)+1),"")</f>
        <v>0</v>
      </c>
      <c r="L1723" s="0" t="str">
        <f aca="false">IFERROR(SMALL(L367:L1087,ROW()-ROW($L$1090)+1),"")</f>
        <v/>
      </c>
      <c r="M1723" s="0" t="n">
        <f aca="false">IFERROR(SMALL(M367:M1087,ROW()-ROW($M$1090)+1),"")</f>
        <v>0</v>
      </c>
      <c r="N1723" s="0" t="n">
        <f aca="false">IFERROR(SMALL(N367:N1087,ROW()-ROW($N$1090)+1),"")</f>
        <v>0</v>
      </c>
    </row>
    <row r="1724" customFormat="false" ht="15" hidden="false" customHeight="false" outlineLevel="0" collapsed="false">
      <c r="E1724" s="0" t="n">
        <f aca="false">IFERROR(SMALL(E367:E1087,ROW()-ROW($E$1090)+1),"")</f>
        <v>0</v>
      </c>
      <c r="F1724" s="0" t="str">
        <f aca="false">IFERROR(SMALL(F367:F1087,ROW()-ROW($F$1090)+1),"")</f>
        <v/>
      </c>
      <c r="G1724" s="0" t="n">
        <f aca="false">IFERROR(SMALL(G367:G1087,ROW()-ROW($G$1090)+1),"")</f>
        <v>0</v>
      </c>
      <c r="H1724" s="0" t="n">
        <f aca="false">IFERROR(SMALL(H367:H1087,ROW()-ROW($H$1090)+1),"")</f>
        <v>0</v>
      </c>
      <c r="K1724" s="0" t="n">
        <f aca="false">IFERROR(SMALL(K367:K1087,ROW()-ROW($K$1090)+1),"")</f>
        <v>0</v>
      </c>
      <c r="L1724" s="0" t="str">
        <f aca="false">IFERROR(SMALL(L367:L1087,ROW()-ROW($L$1090)+1),"")</f>
        <v/>
      </c>
      <c r="M1724" s="0" t="n">
        <f aca="false">IFERROR(SMALL(M367:M1087,ROW()-ROW($M$1090)+1),"")</f>
        <v>0</v>
      </c>
      <c r="N1724" s="0" t="n">
        <f aca="false">IFERROR(SMALL(N367:N1087,ROW()-ROW($N$1090)+1),"")</f>
        <v>0</v>
      </c>
    </row>
    <row r="1725" customFormat="false" ht="15" hidden="false" customHeight="false" outlineLevel="0" collapsed="false">
      <c r="E1725" s="0" t="n">
        <f aca="false">IFERROR(SMALL(E367:E1087,ROW()-ROW($E$1090)+1),"")</f>
        <v>0</v>
      </c>
      <c r="F1725" s="0" t="str">
        <f aca="false">IFERROR(SMALL(F367:F1087,ROW()-ROW($F$1090)+1),"")</f>
        <v/>
      </c>
      <c r="G1725" s="0" t="n">
        <f aca="false">IFERROR(SMALL(G367:G1087,ROW()-ROW($G$1090)+1),"")</f>
        <v>0</v>
      </c>
      <c r="H1725" s="0" t="n">
        <f aca="false">IFERROR(SMALL(H367:H1087,ROW()-ROW($H$1090)+1),"")</f>
        <v>0</v>
      </c>
      <c r="K1725" s="0" t="n">
        <f aca="false">IFERROR(SMALL(K367:K1087,ROW()-ROW($K$1090)+1),"")</f>
        <v>0</v>
      </c>
      <c r="L1725" s="0" t="str">
        <f aca="false">IFERROR(SMALL(L367:L1087,ROW()-ROW($L$1090)+1),"")</f>
        <v/>
      </c>
      <c r="M1725" s="0" t="n">
        <f aca="false">IFERROR(SMALL(M367:M1087,ROW()-ROW($M$1090)+1),"")</f>
        <v>0</v>
      </c>
      <c r="N1725" s="0" t="n">
        <f aca="false">IFERROR(SMALL(N367:N1087,ROW()-ROW($N$1090)+1),"")</f>
        <v>0</v>
      </c>
    </row>
    <row r="1726" customFormat="false" ht="15" hidden="false" customHeight="false" outlineLevel="0" collapsed="false">
      <c r="E1726" s="0" t="n">
        <f aca="false">IFERROR(SMALL(E367:E1087,ROW()-ROW($E$1090)+1),"")</f>
        <v>0</v>
      </c>
      <c r="F1726" s="0" t="str">
        <f aca="false">IFERROR(SMALL(F367:F1087,ROW()-ROW($F$1090)+1),"")</f>
        <v/>
      </c>
      <c r="G1726" s="0" t="n">
        <f aca="false">IFERROR(SMALL(G367:G1087,ROW()-ROW($G$1090)+1),"")</f>
        <v>0</v>
      </c>
      <c r="H1726" s="0" t="n">
        <f aca="false">IFERROR(SMALL(H367:H1087,ROW()-ROW($H$1090)+1),"")</f>
        <v>0</v>
      </c>
      <c r="K1726" s="0" t="n">
        <f aca="false">IFERROR(SMALL(K367:K1087,ROW()-ROW($K$1090)+1),"")</f>
        <v>0</v>
      </c>
      <c r="L1726" s="0" t="str">
        <f aca="false">IFERROR(SMALL(L367:L1087,ROW()-ROW($L$1090)+1),"")</f>
        <v/>
      </c>
      <c r="M1726" s="0" t="n">
        <f aca="false">IFERROR(SMALL(M367:M1087,ROW()-ROW($M$1090)+1),"")</f>
        <v>0</v>
      </c>
      <c r="N1726" s="0" t="n">
        <f aca="false">IFERROR(SMALL(N367:N1087,ROW()-ROW($N$1090)+1),"")</f>
        <v>0</v>
      </c>
    </row>
    <row r="1727" customFormat="false" ht="15" hidden="false" customHeight="false" outlineLevel="0" collapsed="false">
      <c r="E1727" s="0" t="n">
        <f aca="false">IFERROR(SMALL(E367:E1087,ROW()-ROW($E$1090)+1),"")</f>
        <v>0</v>
      </c>
      <c r="F1727" s="0" t="str">
        <f aca="false">IFERROR(SMALL(F367:F1087,ROW()-ROW($F$1090)+1),"")</f>
        <v/>
      </c>
      <c r="G1727" s="0" t="n">
        <f aca="false">IFERROR(SMALL(G367:G1087,ROW()-ROW($G$1090)+1),"")</f>
        <v>0</v>
      </c>
      <c r="H1727" s="0" t="n">
        <f aca="false">IFERROR(SMALL(H367:H1087,ROW()-ROW($H$1090)+1),"")</f>
        <v>0</v>
      </c>
      <c r="K1727" s="0" t="n">
        <f aca="false">IFERROR(SMALL(K367:K1087,ROW()-ROW($K$1090)+1),"")</f>
        <v>0</v>
      </c>
      <c r="L1727" s="0" t="str">
        <f aca="false">IFERROR(SMALL(L367:L1087,ROW()-ROW($L$1090)+1),"")</f>
        <v/>
      </c>
      <c r="M1727" s="0" t="n">
        <f aca="false">IFERROR(SMALL(M367:M1087,ROW()-ROW($M$1090)+1),"")</f>
        <v>0</v>
      </c>
      <c r="N1727" s="0" t="n">
        <f aca="false">IFERROR(SMALL(N367:N1087,ROW()-ROW($N$1090)+1),"")</f>
        <v>0</v>
      </c>
    </row>
    <row r="1728" customFormat="false" ht="15" hidden="false" customHeight="false" outlineLevel="0" collapsed="false">
      <c r="E1728" s="0" t="n">
        <f aca="false">IFERROR(SMALL(E367:E1087,ROW()-ROW($E$1090)+1),"")</f>
        <v>0</v>
      </c>
      <c r="F1728" s="0" t="str">
        <f aca="false">IFERROR(SMALL(F367:F1087,ROW()-ROW($F$1090)+1),"")</f>
        <v/>
      </c>
      <c r="G1728" s="0" t="n">
        <f aca="false">IFERROR(SMALL(G367:G1087,ROW()-ROW($G$1090)+1),"")</f>
        <v>0</v>
      </c>
      <c r="H1728" s="0" t="n">
        <f aca="false">IFERROR(SMALL(H367:H1087,ROW()-ROW($H$1090)+1),"")</f>
        <v>0</v>
      </c>
      <c r="K1728" s="0" t="n">
        <f aca="false">IFERROR(SMALL(K367:K1087,ROW()-ROW($K$1090)+1),"")</f>
        <v>0</v>
      </c>
      <c r="L1728" s="0" t="str">
        <f aca="false">IFERROR(SMALL(L367:L1087,ROW()-ROW($L$1090)+1),"")</f>
        <v/>
      </c>
      <c r="M1728" s="0" t="n">
        <f aca="false">IFERROR(SMALL(M367:M1087,ROW()-ROW($M$1090)+1),"")</f>
        <v>0</v>
      </c>
      <c r="N1728" s="0" t="n">
        <f aca="false">IFERROR(SMALL(N367:N1087,ROW()-ROW($N$1090)+1),"")</f>
        <v>0</v>
      </c>
    </row>
    <row r="1729" customFormat="false" ht="15" hidden="false" customHeight="false" outlineLevel="0" collapsed="false">
      <c r="E1729" s="0" t="n">
        <f aca="false">IFERROR(SMALL(E367:E1087,ROW()-ROW($E$1090)+1),"")</f>
        <v>0</v>
      </c>
      <c r="F1729" s="0" t="str">
        <f aca="false">IFERROR(SMALL(F367:F1087,ROW()-ROW($F$1090)+1),"")</f>
        <v/>
      </c>
      <c r="G1729" s="0" t="n">
        <f aca="false">IFERROR(SMALL(G367:G1087,ROW()-ROW($G$1090)+1),"")</f>
        <v>0</v>
      </c>
      <c r="H1729" s="0" t="n">
        <f aca="false">IFERROR(SMALL(H367:H1087,ROW()-ROW($H$1090)+1),"")</f>
        <v>0</v>
      </c>
      <c r="K1729" s="0" t="n">
        <f aca="false">IFERROR(SMALL(K367:K1087,ROW()-ROW($K$1090)+1),"")</f>
        <v>0</v>
      </c>
      <c r="L1729" s="0" t="str">
        <f aca="false">IFERROR(SMALL(L367:L1087,ROW()-ROW($L$1090)+1),"")</f>
        <v/>
      </c>
      <c r="M1729" s="0" t="n">
        <f aca="false">IFERROR(SMALL(M367:M1087,ROW()-ROW($M$1090)+1),"")</f>
        <v>0</v>
      </c>
      <c r="N1729" s="0" t="n">
        <f aca="false">IFERROR(SMALL(N367:N1087,ROW()-ROW($N$1090)+1),"")</f>
        <v>0</v>
      </c>
    </row>
    <row r="1730" customFormat="false" ht="15" hidden="false" customHeight="false" outlineLevel="0" collapsed="false">
      <c r="E1730" s="0" t="n">
        <f aca="false">IFERROR(SMALL(E367:E1087,ROW()-ROW($E$1090)+1),"")</f>
        <v>0</v>
      </c>
      <c r="F1730" s="0" t="str">
        <f aca="false">IFERROR(SMALL(F367:F1087,ROW()-ROW($F$1090)+1),"")</f>
        <v/>
      </c>
      <c r="G1730" s="0" t="n">
        <f aca="false">IFERROR(SMALL(G367:G1087,ROW()-ROW($G$1090)+1),"")</f>
        <v>0</v>
      </c>
      <c r="H1730" s="0" t="n">
        <f aca="false">IFERROR(SMALL(H367:H1087,ROW()-ROW($H$1090)+1),"")</f>
        <v>0</v>
      </c>
      <c r="K1730" s="0" t="n">
        <f aca="false">IFERROR(SMALL(K367:K1087,ROW()-ROW($K$1090)+1),"")</f>
        <v>0</v>
      </c>
      <c r="L1730" s="0" t="str">
        <f aca="false">IFERROR(SMALL(L367:L1087,ROW()-ROW($L$1090)+1),"")</f>
        <v/>
      </c>
      <c r="M1730" s="0" t="n">
        <f aca="false">IFERROR(SMALL(M367:M1087,ROW()-ROW($M$1090)+1),"")</f>
        <v>0</v>
      </c>
      <c r="N1730" s="0" t="n">
        <f aca="false">IFERROR(SMALL(N367:N1087,ROW()-ROW($N$1090)+1),"")</f>
        <v>0</v>
      </c>
    </row>
    <row r="1731" customFormat="false" ht="15" hidden="false" customHeight="false" outlineLevel="0" collapsed="false">
      <c r="E1731" s="0" t="n">
        <f aca="false">IFERROR(SMALL(E367:E1087,ROW()-ROW($E$1090)+1),"")</f>
        <v>0</v>
      </c>
      <c r="F1731" s="0" t="str">
        <f aca="false">IFERROR(SMALL(F367:F1087,ROW()-ROW($F$1090)+1),"")</f>
        <v/>
      </c>
      <c r="G1731" s="0" t="n">
        <f aca="false">IFERROR(SMALL(G367:G1087,ROW()-ROW($G$1090)+1),"")</f>
        <v>0</v>
      </c>
      <c r="H1731" s="0" t="n">
        <f aca="false">IFERROR(SMALL(H367:H1087,ROW()-ROW($H$1090)+1),"")</f>
        <v>0</v>
      </c>
      <c r="K1731" s="0" t="n">
        <f aca="false">IFERROR(SMALL(K367:K1087,ROW()-ROW($K$1090)+1),"")</f>
        <v>0</v>
      </c>
      <c r="L1731" s="0" t="str">
        <f aca="false">IFERROR(SMALL(L367:L1087,ROW()-ROW($L$1090)+1),"")</f>
        <v/>
      </c>
      <c r="M1731" s="0" t="n">
        <f aca="false">IFERROR(SMALL(M367:M1087,ROW()-ROW($M$1090)+1),"")</f>
        <v>0</v>
      </c>
      <c r="N1731" s="0" t="n">
        <f aca="false">IFERROR(SMALL(N367:N1087,ROW()-ROW($N$1090)+1),"")</f>
        <v>0</v>
      </c>
    </row>
    <row r="1732" customFormat="false" ht="15" hidden="false" customHeight="false" outlineLevel="0" collapsed="false">
      <c r="E1732" s="0" t="n">
        <f aca="false">IFERROR(SMALL(E367:E1087,ROW()-ROW($E$1090)+1),"")</f>
        <v>0</v>
      </c>
      <c r="F1732" s="0" t="str">
        <f aca="false">IFERROR(SMALL(F367:F1087,ROW()-ROW($F$1090)+1),"")</f>
        <v/>
      </c>
      <c r="G1732" s="0" t="n">
        <f aca="false">IFERROR(SMALL(G367:G1087,ROW()-ROW($G$1090)+1),"")</f>
        <v>0</v>
      </c>
      <c r="H1732" s="0" t="n">
        <f aca="false">IFERROR(SMALL(H367:H1087,ROW()-ROW($H$1090)+1),"")</f>
        <v>0</v>
      </c>
      <c r="K1732" s="0" t="n">
        <f aca="false">IFERROR(SMALL(K367:K1087,ROW()-ROW($K$1090)+1),"")</f>
        <v>0</v>
      </c>
      <c r="L1732" s="0" t="str">
        <f aca="false">IFERROR(SMALL(L367:L1087,ROW()-ROW($L$1090)+1),"")</f>
        <v/>
      </c>
      <c r="M1732" s="0" t="n">
        <f aca="false">IFERROR(SMALL(M367:M1087,ROW()-ROW($M$1090)+1),"")</f>
        <v>0</v>
      </c>
      <c r="N1732" s="0" t="n">
        <f aca="false">IFERROR(SMALL(N367:N1087,ROW()-ROW($N$1090)+1),"")</f>
        <v>0</v>
      </c>
    </row>
    <row r="1733" customFormat="false" ht="15" hidden="false" customHeight="false" outlineLevel="0" collapsed="false">
      <c r="E1733" s="0" t="n">
        <f aca="false">IFERROR(SMALL(E367:E1087,ROW()-ROW($E$1090)+1),"")</f>
        <v>0</v>
      </c>
      <c r="F1733" s="0" t="str">
        <f aca="false">IFERROR(SMALL(F367:F1087,ROW()-ROW($F$1090)+1),"")</f>
        <v/>
      </c>
      <c r="G1733" s="0" t="n">
        <f aca="false">IFERROR(SMALL(G367:G1087,ROW()-ROW($G$1090)+1),"")</f>
        <v>0</v>
      </c>
      <c r="H1733" s="0" t="n">
        <f aca="false">IFERROR(SMALL(H367:H1087,ROW()-ROW($H$1090)+1),"")</f>
        <v>0</v>
      </c>
      <c r="K1733" s="0" t="n">
        <f aca="false">IFERROR(SMALL(K367:K1087,ROW()-ROW($K$1090)+1),"")</f>
        <v>0</v>
      </c>
      <c r="L1733" s="0" t="str">
        <f aca="false">IFERROR(SMALL(L367:L1087,ROW()-ROW($L$1090)+1),"")</f>
        <v/>
      </c>
      <c r="M1733" s="0" t="n">
        <f aca="false">IFERROR(SMALL(M367:M1087,ROW()-ROW($M$1090)+1),"")</f>
        <v>0</v>
      </c>
      <c r="N1733" s="0" t="n">
        <f aca="false">IFERROR(SMALL(N367:N1087,ROW()-ROW($N$1090)+1),"")</f>
        <v>0</v>
      </c>
    </row>
    <row r="1734" customFormat="false" ht="15" hidden="false" customHeight="false" outlineLevel="0" collapsed="false">
      <c r="E1734" s="0" t="n">
        <f aca="false">IFERROR(SMALL(E367:E1087,ROW()-ROW($E$1090)+1),"")</f>
        <v>0</v>
      </c>
      <c r="F1734" s="0" t="str">
        <f aca="false">IFERROR(SMALL(F367:F1087,ROW()-ROW($F$1090)+1),"")</f>
        <v/>
      </c>
      <c r="G1734" s="0" t="n">
        <f aca="false">IFERROR(SMALL(G367:G1087,ROW()-ROW($G$1090)+1),"")</f>
        <v>0</v>
      </c>
      <c r="H1734" s="0" t="n">
        <f aca="false">IFERROR(SMALL(H367:H1087,ROW()-ROW($H$1090)+1),"")</f>
        <v>0</v>
      </c>
      <c r="K1734" s="0" t="n">
        <f aca="false">IFERROR(SMALL(K367:K1087,ROW()-ROW($K$1090)+1),"")</f>
        <v>0</v>
      </c>
      <c r="L1734" s="0" t="str">
        <f aca="false">IFERROR(SMALL(L367:L1087,ROW()-ROW($L$1090)+1),"")</f>
        <v/>
      </c>
      <c r="M1734" s="0" t="n">
        <f aca="false">IFERROR(SMALL(M367:M1087,ROW()-ROW($M$1090)+1),"")</f>
        <v>0</v>
      </c>
      <c r="N1734" s="0" t="n">
        <f aca="false">IFERROR(SMALL(N367:N1087,ROW()-ROW($N$1090)+1),"")</f>
        <v>0</v>
      </c>
    </row>
    <row r="1735" customFormat="false" ht="15" hidden="false" customHeight="false" outlineLevel="0" collapsed="false">
      <c r="E1735" s="0" t="n">
        <f aca="false">IFERROR(SMALL(E367:E1087,ROW()-ROW($E$1090)+1),"")</f>
        <v>0</v>
      </c>
      <c r="F1735" s="0" t="str">
        <f aca="false">IFERROR(SMALL(F367:F1087,ROW()-ROW($F$1090)+1),"")</f>
        <v/>
      </c>
      <c r="G1735" s="0" t="n">
        <f aca="false">IFERROR(SMALL(G367:G1087,ROW()-ROW($G$1090)+1),"")</f>
        <v>0</v>
      </c>
      <c r="H1735" s="0" t="n">
        <f aca="false">IFERROR(SMALL(H367:H1087,ROW()-ROW($H$1090)+1),"")</f>
        <v>0</v>
      </c>
      <c r="K1735" s="0" t="n">
        <f aca="false">IFERROR(SMALL(K367:K1087,ROW()-ROW($K$1090)+1),"")</f>
        <v>0</v>
      </c>
      <c r="L1735" s="0" t="str">
        <f aca="false">IFERROR(SMALL(L367:L1087,ROW()-ROW($L$1090)+1),"")</f>
        <v/>
      </c>
      <c r="M1735" s="0" t="n">
        <f aca="false">IFERROR(SMALL(M367:M1087,ROW()-ROW($M$1090)+1),"")</f>
        <v>0</v>
      </c>
      <c r="N1735" s="0" t="n">
        <f aca="false">IFERROR(SMALL(N367:N1087,ROW()-ROW($N$1090)+1),"")</f>
        <v>0</v>
      </c>
    </row>
    <row r="1736" customFormat="false" ht="15" hidden="false" customHeight="false" outlineLevel="0" collapsed="false">
      <c r="E1736" s="0" t="n">
        <f aca="false">IFERROR(SMALL(E367:E1087,ROW()-ROW($E$1090)+1),"")</f>
        <v>0</v>
      </c>
      <c r="F1736" s="0" t="str">
        <f aca="false">IFERROR(SMALL(F367:F1087,ROW()-ROW($F$1090)+1),"")</f>
        <v/>
      </c>
      <c r="G1736" s="0" t="n">
        <f aca="false">IFERROR(SMALL(G367:G1087,ROW()-ROW($G$1090)+1),"")</f>
        <v>0</v>
      </c>
      <c r="H1736" s="0" t="n">
        <f aca="false">IFERROR(SMALL(H367:H1087,ROW()-ROW($H$1090)+1),"")</f>
        <v>0</v>
      </c>
      <c r="K1736" s="0" t="n">
        <f aca="false">IFERROR(SMALL(K367:K1087,ROW()-ROW($K$1090)+1),"")</f>
        <v>0</v>
      </c>
      <c r="L1736" s="0" t="str">
        <f aca="false">IFERROR(SMALL(L367:L1087,ROW()-ROW($L$1090)+1),"")</f>
        <v/>
      </c>
      <c r="M1736" s="0" t="n">
        <f aca="false">IFERROR(SMALL(M367:M1087,ROW()-ROW($M$1090)+1),"")</f>
        <v>0</v>
      </c>
      <c r="N1736" s="0" t="n">
        <f aca="false">IFERROR(SMALL(N367:N1087,ROW()-ROW($N$1090)+1),"")</f>
        <v>0</v>
      </c>
    </row>
    <row r="1737" customFormat="false" ht="15" hidden="false" customHeight="false" outlineLevel="0" collapsed="false">
      <c r="E1737" s="0" t="n">
        <f aca="false">IFERROR(SMALL(E367:E1087,ROW()-ROW($E$1090)+1),"")</f>
        <v>0</v>
      </c>
      <c r="F1737" s="0" t="str">
        <f aca="false">IFERROR(SMALL(F367:F1087,ROW()-ROW($F$1090)+1),"")</f>
        <v/>
      </c>
      <c r="G1737" s="0" t="n">
        <f aca="false">IFERROR(SMALL(G367:G1087,ROW()-ROW($G$1090)+1),"")</f>
        <v>0</v>
      </c>
      <c r="H1737" s="0" t="n">
        <f aca="false">IFERROR(SMALL(H367:H1087,ROW()-ROW($H$1090)+1),"")</f>
        <v>0</v>
      </c>
      <c r="K1737" s="0" t="n">
        <f aca="false">IFERROR(SMALL(K367:K1087,ROW()-ROW($K$1090)+1),"")</f>
        <v>0</v>
      </c>
      <c r="L1737" s="0" t="str">
        <f aca="false">IFERROR(SMALL(L367:L1087,ROW()-ROW($L$1090)+1),"")</f>
        <v/>
      </c>
      <c r="M1737" s="0" t="n">
        <f aca="false">IFERROR(SMALL(M367:M1087,ROW()-ROW($M$1090)+1),"")</f>
        <v>0</v>
      </c>
      <c r="N1737" s="0" t="n">
        <f aca="false">IFERROR(SMALL(N367:N1087,ROW()-ROW($N$1090)+1),"")</f>
        <v>0</v>
      </c>
    </row>
    <row r="1738" customFormat="false" ht="15" hidden="false" customHeight="false" outlineLevel="0" collapsed="false">
      <c r="E1738" s="0" t="n">
        <f aca="false">IFERROR(SMALL(E367:E1087,ROW()-ROW($E$1090)+1),"")</f>
        <v>0</v>
      </c>
      <c r="F1738" s="0" t="str">
        <f aca="false">IFERROR(SMALL(F367:F1087,ROW()-ROW($F$1090)+1),"")</f>
        <v/>
      </c>
      <c r="G1738" s="0" t="n">
        <f aca="false">IFERROR(SMALL(G367:G1087,ROW()-ROW($G$1090)+1),"")</f>
        <v>0</v>
      </c>
      <c r="H1738" s="0" t="n">
        <f aca="false">IFERROR(SMALL(H367:H1087,ROW()-ROW($H$1090)+1),"")</f>
        <v>0</v>
      </c>
      <c r="K1738" s="0" t="n">
        <f aca="false">IFERROR(SMALL(K367:K1087,ROW()-ROW($K$1090)+1),"")</f>
        <v>0</v>
      </c>
      <c r="L1738" s="0" t="str">
        <f aca="false">IFERROR(SMALL(L367:L1087,ROW()-ROW($L$1090)+1),"")</f>
        <v/>
      </c>
      <c r="M1738" s="0" t="n">
        <f aca="false">IFERROR(SMALL(M367:M1087,ROW()-ROW($M$1090)+1),"")</f>
        <v>0</v>
      </c>
      <c r="N1738" s="0" t="n">
        <f aca="false">IFERROR(SMALL(N367:N1087,ROW()-ROW($N$1090)+1),"")</f>
        <v>0</v>
      </c>
    </row>
    <row r="1739" customFormat="false" ht="15" hidden="false" customHeight="false" outlineLevel="0" collapsed="false">
      <c r="E1739" s="0" t="n">
        <f aca="false">IFERROR(SMALL(E367:E1087,ROW()-ROW($E$1090)+1),"")</f>
        <v>0</v>
      </c>
      <c r="F1739" s="0" t="str">
        <f aca="false">IFERROR(SMALL(F367:F1087,ROW()-ROW($F$1090)+1),"")</f>
        <v/>
      </c>
      <c r="G1739" s="0" t="n">
        <f aca="false">IFERROR(SMALL(G367:G1087,ROW()-ROW($G$1090)+1),"")</f>
        <v>0</v>
      </c>
      <c r="H1739" s="0" t="n">
        <f aca="false">IFERROR(SMALL(H367:H1087,ROW()-ROW($H$1090)+1),"")</f>
        <v>0</v>
      </c>
      <c r="K1739" s="0" t="n">
        <f aca="false">IFERROR(SMALL(K367:K1087,ROW()-ROW($K$1090)+1),"")</f>
        <v>0</v>
      </c>
      <c r="L1739" s="0" t="str">
        <f aca="false">IFERROR(SMALL(L367:L1087,ROW()-ROW($L$1090)+1),"")</f>
        <v/>
      </c>
      <c r="M1739" s="0" t="n">
        <f aca="false">IFERROR(SMALL(M367:M1087,ROW()-ROW($M$1090)+1),"")</f>
        <v>0</v>
      </c>
      <c r="N1739" s="0" t="n">
        <f aca="false">IFERROR(SMALL(N367:N1087,ROW()-ROW($N$1090)+1),"")</f>
        <v>0</v>
      </c>
    </row>
    <row r="1740" customFormat="false" ht="15" hidden="false" customHeight="false" outlineLevel="0" collapsed="false">
      <c r="E1740" s="0" t="n">
        <f aca="false">IFERROR(SMALL(E367:E1087,ROW()-ROW($E$1090)+1),"")</f>
        <v>0</v>
      </c>
      <c r="F1740" s="0" t="str">
        <f aca="false">IFERROR(SMALL(F367:F1087,ROW()-ROW($F$1090)+1),"")</f>
        <v/>
      </c>
      <c r="G1740" s="0" t="n">
        <f aca="false">IFERROR(SMALL(G367:G1087,ROW()-ROW($G$1090)+1),"")</f>
        <v>0</v>
      </c>
      <c r="H1740" s="0" t="n">
        <f aca="false">IFERROR(SMALL(H367:H1087,ROW()-ROW($H$1090)+1),"")</f>
        <v>0</v>
      </c>
      <c r="K1740" s="0" t="n">
        <f aca="false">IFERROR(SMALL(K367:K1087,ROW()-ROW($K$1090)+1),"")</f>
        <v>0</v>
      </c>
      <c r="L1740" s="0" t="str">
        <f aca="false">IFERROR(SMALL(L367:L1087,ROW()-ROW($L$1090)+1),"")</f>
        <v/>
      </c>
      <c r="M1740" s="0" t="n">
        <f aca="false">IFERROR(SMALL(M367:M1087,ROW()-ROW($M$1090)+1),"")</f>
        <v>0</v>
      </c>
      <c r="N1740" s="0" t="n">
        <f aca="false">IFERROR(SMALL(N367:N1087,ROW()-ROW($N$1090)+1),"")</f>
        <v>0</v>
      </c>
    </row>
    <row r="1741" customFormat="false" ht="15" hidden="false" customHeight="false" outlineLevel="0" collapsed="false">
      <c r="E1741" s="0" t="n">
        <f aca="false">IFERROR(SMALL(E367:E1087,ROW()-ROW($E$1090)+1),"")</f>
        <v>0</v>
      </c>
      <c r="F1741" s="0" t="str">
        <f aca="false">IFERROR(SMALL(F367:F1087,ROW()-ROW($F$1090)+1),"")</f>
        <v/>
      </c>
      <c r="G1741" s="0" t="n">
        <f aca="false">IFERROR(SMALL(G367:G1087,ROW()-ROW($G$1090)+1),"")</f>
        <v>0</v>
      </c>
      <c r="H1741" s="0" t="n">
        <f aca="false">IFERROR(SMALL(H367:H1087,ROW()-ROW($H$1090)+1),"")</f>
        <v>0</v>
      </c>
      <c r="K1741" s="0" t="n">
        <f aca="false">IFERROR(SMALL(K367:K1087,ROW()-ROW($K$1090)+1),"")</f>
        <v>0</v>
      </c>
      <c r="L1741" s="0" t="str">
        <f aca="false">IFERROR(SMALL(L367:L1087,ROW()-ROW($L$1090)+1),"")</f>
        <v/>
      </c>
      <c r="M1741" s="0" t="n">
        <f aca="false">IFERROR(SMALL(M367:M1087,ROW()-ROW($M$1090)+1),"")</f>
        <v>0</v>
      </c>
      <c r="N1741" s="0" t="n">
        <f aca="false">IFERROR(SMALL(N367:N1087,ROW()-ROW($N$1090)+1),"")</f>
        <v>0</v>
      </c>
    </row>
    <row r="1742" customFormat="false" ht="15" hidden="false" customHeight="false" outlineLevel="0" collapsed="false">
      <c r="E1742" s="0" t="n">
        <f aca="false">IFERROR(SMALL(E367:E1087,ROW()-ROW($E$1090)+1),"")</f>
        <v>0</v>
      </c>
      <c r="F1742" s="0" t="str">
        <f aca="false">IFERROR(SMALL(F367:F1087,ROW()-ROW($F$1090)+1),"")</f>
        <v/>
      </c>
      <c r="G1742" s="0" t="n">
        <f aca="false">IFERROR(SMALL(G367:G1087,ROW()-ROW($G$1090)+1),"")</f>
        <v>0</v>
      </c>
      <c r="H1742" s="0" t="n">
        <f aca="false">IFERROR(SMALL(H367:H1087,ROW()-ROW($H$1090)+1),"")</f>
        <v>0</v>
      </c>
      <c r="K1742" s="0" t="n">
        <f aca="false">IFERROR(SMALL(K367:K1087,ROW()-ROW($K$1090)+1),"")</f>
        <v>0</v>
      </c>
      <c r="L1742" s="0" t="str">
        <f aca="false">IFERROR(SMALL(L367:L1087,ROW()-ROW($L$1090)+1),"")</f>
        <v/>
      </c>
      <c r="M1742" s="0" t="n">
        <f aca="false">IFERROR(SMALL(M367:M1087,ROW()-ROW($M$1090)+1),"")</f>
        <v>0</v>
      </c>
      <c r="N1742" s="0" t="n">
        <f aca="false">IFERROR(SMALL(N367:N1087,ROW()-ROW($N$1090)+1),"")</f>
        <v>0</v>
      </c>
    </row>
    <row r="1743" customFormat="false" ht="15" hidden="false" customHeight="false" outlineLevel="0" collapsed="false">
      <c r="E1743" s="0" t="n">
        <f aca="false">IFERROR(SMALL(E367:E1087,ROW()-ROW($E$1090)+1),"")</f>
        <v>0</v>
      </c>
      <c r="F1743" s="0" t="str">
        <f aca="false">IFERROR(SMALL(F367:F1087,ROW()-ROW($F$1090)+1),"")</f>
        <v/>
      </c>
      <c r="G1743" s="0" t="n">
        <f aca="false">IFERROR(SMALL(G367:G1087,ROW()-ROW($G$1090)+1),"")</f>
        <v>0</v>
      </c>
      <c r="H1743" s="0" t="n">
        <f aca="false">IFERROR(SMALL(H367:H1087,ROW()-ROW($H$1090)+1),"")</f>
        <v>0</v>
      </c>
      <c r="K1743" s="0" t="n">
        <f aca="false">IFERROR(SMALL(K367:K1087,ROW()-ROW($K$1090)+1),"")</f>
        <v>0</v>
      </c>
      <c r="L1743" s="0" t="str">
        <f aca="false">IFERROR(SMALL(L367:L1087,ROW()-ROW($L$1090)+1),"")</f>
        <v/>
      </c>
      <c r="M1743" s="0" t="n">
        <f aca="false">IFERROR(SMALL(M367:M1087,ROW()-ROW($M$1090)+1),"")</f>
        <v>0</v>
      </c>
      <c r="N1743" s="0" t="n">
        <f aca="false">IFERROR(SMALL(N367:N1087,ROW()-ROW($N$1090)+1),"")</f>
        <v>0</v>
      </c>
    </row>
    <row r="1744" customFormat="false" ht="15" hidden="false" customHeight="false" outlineLevel="0" collapsed="false">
      <c r="E1744" s="0" t="n">
        <f aca="false">IFERROR(SMALL(E367:E1087,ROW()-ROW($E$1090)+1),"")</f>
        <v>0</v>
      </c>
      <c r="F1744" s="0" t="str">
        <f aca="false">IFERROR(SMALL(F367:F1087,ROW()-ROW($F$1090)+1),"")</f>
        <v/>
      </c>
      <c r="G1744" s="0" t="n">
        <f aca="false">IFERROR(SMALL(G367:G1087,ROW()-ROW($G$1090)+1),"")</f>
        <v>0</v>
      </c>
      <c r="H1744" s="0" t="n">
        <f aca="false">IFERROR(SMALL(H367:H1087,ROW()-ROW($H$1090)+1),"")</f>
        <v>0</v>
      </c>
      <c r="K1744" s="0" t="n">
        <f aca="false">IFERROR(SMALL(K367:K1087,ROW()-ROW($K$1090)+1),"")</f>
        <v>0</v>
      </c>
      <c r="L1744" s="0" t="str">
        <f aca="false">IFERROR(SMALL(L367:L1087,ROW()-ROW($L$1090)+1),"")</f>
        <v/>
      </c>
      <c r="M1744" s="0" t="n">
        <f aca="false">IFERROR(SMALL(M367:M1087,ROW()-ROW($M$1090)+1),"")</f>
        <v>0</v>
      </c>
      <c r="N1744" s="0" t="n">
        <f aca="false">IFERROR(SMALL(N367:N1087,ROW()-ROW($N$1090)+1),"")</f>
        <v>0</v>
      </c>
    </row>
    <row r="1745" customFormat="false" ht="15" hidden="false" customHeight="false" outlineLevel="0" collapsed="false">
      <c r="E1745" s="0" t="n">
        <f aca="false">IFERROR(SMALL(E367:E1087,ROW()-ROW($E$1090)+1),"")</f>
        <v>0</v>
      </c>
      <c r="F1745" s="0" t="str">
        <f aca="false">IFERROR(SMALL(F367:F1087,ROW()-ROW($F$1090)+1),"")</f>
        <v/>
      </c>
      <c r="G1745" s="0" t="n">
        <f aca="false">IFERROR(SMALL(G367:G1087,ROW()-ROW($G$1090)+1),"")</f>
        <v>0</v>
      </c>
      <c r="H1745" s="0" t="n">
        <f aca="false">IFERROR(SMALL(H367:H1087,ROW()-ROW($H$1090)+1),"")</f>
        <v>0</v>
      </c>
      <c r="K1745" s="0" t="n">
        <f aca="false">IFERROR(SMALL(K367:K1087,ROW()-ROW($K$1090)+1),"")</f>
        <v>0</v>
      </c>
      <c r="L1745" s="0" t="str">
        <f aca="false">IFERROR(SMALL(L367:L1087,ROW()-ROW($L$1090)+1),"")</f>
        <v/>
      </c>
      <c r="M1745" s="0" t="n">
        <f aca="false">IFERROR(SMALL(M367:M1087,ROW()-ROW($M$1090)+1),"")</f>
        <v>0</v>
      </c>
      <c r="N1745" s="0" t="n">
        <f aca="false">IFERROR(SMALL(N367:N1087,ROW()-ROW($N$1090)+1),"")</f>
        <v>0</v>
      </c>
    </row>
    <row r="1746" customFormat="false" ht="15" hidden="false" customHeight="false" outlineLevel="0" collapsed="false">
      <c r="E1746" s="0" t="n">
        <f aca="false">IFERROR(SMALL(E367:E1087,ROW()-ROW($E$1090)+1),"")</f>
        <v>0</v>
      </c>
      <c r="F1746" s="0" t="str">
        <f aca="false">IFERROR(SMALL(F367:F1087,ROW()-ROW($F$1090)+1),"")</f>
        <v/>
      </c>
      <c r="G1746" s="0" t="n">
        <f aca="false">IFERROR(SMALL(G367:G1087,ROW()-ROW($G$1090)+1),"")</f>
        <v>0</v>
      </c>
      <c r="H1746" s="0" t="n">
        <f aca="false">IFERROR(SMALL(H367:H1087,ROW()-ROW($H$1090)+1),"")</f>
        <v>0</v>
      </c>
      <c r="K1746" s="0" t="n">
        <f aca="false">IFERROR(SMALL(K367:K1087,ROW()-ROW($K$1090)+1),"")</f>
        <v>0</v>
      </c>
      <c r="L1746" s="0" t="str">
        <f aca="false">IFERROR(SMALL(L367:L1087,ROW()-ROW($L$1090)+1),"")</f>
        <v/>
      </c>
      <c r="M1746" s="0" t="n">
        <f aca="false">IFERROR(SMALL(M367:M1087,ROW()-ROW($M$1090)+1),"")</f>
        <v>0</v>
      </c>
      <c r="N1746" s="0" t="n">
        <f aca="false">IFERROR(SMALL(N367:N1087,ROW()-ROW($N$1090)+1),"")</f>
        <v>0</v>
      </c>
    </row>
    <row r="1747" customFormat="false" ht="15" hidden="false" customHeight="false" outlineLevel="0" collapsed="false">
      <c r="E1747" s="0" t="n">
        <f aca="false">IFERROR(SMALL(E367:E1087,ROW()-ROW($E$1090)+1),"")</f>
        <v>0</v>
      </c>
      <c r="F1747" s="0" t="str">
        <f aca="false">IFERROR(SMALL(F367:F1087,ROW()-ROW($F$1090)+1),"")</f>
        <v/>
      </c>
      <c r="G1747" s="0" t="n">
        <f aca="false">IFERROR(SMALL(G367:G1087,ROW()-ROW($G$1090)+1),"")</f>
        <v>0</v>
      </c>
      <c r="H1747" s="0" t="n">
        <f aca="false">IFERROR(SMALL(H367:H1087,ROW()-ROW($H$1090)+1),"")</f>
        <v>0</v>
      </c>
      <c r="K1747" s="0" t="n">
        <f aca="false">IFERROR(SMALL(K367:K1087,ROW()-ROW($K$1090)+1),"")</f>
        <v>0</v>
      </c>
      <c r="L1747" s="0" t="str">
        <f aca="false">IFERROR(SMALL(L367:L1087,ROW()-ROW($L$1090)+1),"")</f>
        <v/>
      </c>
      <c r="M1747" s="0" t="n">
        <f aca="false">IFERROR(SMALL(M367:M1087,ROW()-ROW($M$1090)+1),"")</f>
        <v>0</v>
      </c>
      <c r="N1747" s="0" t="n">
        <f aca="false">IFERROR(SMALL(N367:N1087,ROW()-ROW($N$1090)+1),"")</f>
        <v>0</v>
      </c>
    </row>
    <row r="1748" customFormat="false" ht="15" hidden="false" customHeight="false" outlineLevel="0" collapsed="false">
      <c r="E1748" s="0" t="n">
        <f aca="false">IFERROR(SMALL(E367:E1087,ROW()-ROW($E$1090)+1),"")</f>
        <v>0</v>
      </c>
      <c r="F1748" s="0" t="str">
        <f aca="false">IFERROR(SMALL(F367:F1087,ROW()-ROW($F$1090)+1),"")</f>
        <v/>
      </c>
      <c r="G1748" s="0" t="n">
        <f aca="false">IFERROR(SMALL(G367:G1087,ROW()-ROW($G$1090)+1),"")</f>
        <v>0</v>
      </c>
      <c r="H1748" s="0" t="n">
        <f aca="false">IFERROR(SMALL(H367:H1087,ROW()-ROW($H$1090)+1),"")</f>
        <v>0</v>
      </c>
      <c r="K1748" s="0" t="n">
        <f aca="false">IFERROR(SMALL(K367:K1087,ROW()-ROW($K$1090)+1),"")</f>
        <v>0</v>
      </c>
      <c r="L1748" s="0" t="str">
        <f aca="false">IFERROR(SMALL(L367:L1087,ROW()-ROW($L$1090)+1),"")</f>
        <v/>
      </c>
      <c r="M1748" s="0" t="n">
        <f aca="false">IFERROR(SMALL(M367:M1087,ROW()-ROW($M$1090)+1),"")</f>
        <v>0</v>
      </c>
      <c r="N1748" s="0" t="n">
        <f aca="false">IFERROR(SMALL(N367:N1087,ROW()-ROW($N$1090)+1),"")</f>
        <v>0</v>
      </c>
    </row>
    <row r="1749" customFormat="false" ht="15" hidden="false" customHeight="false" outlineLevel="0" collapsed="false">
      <c r="E1749" s="0" t="n">
        <f aca="false">IFERROR(SMALL(E367:E1087,ROW()-ROW($E$1090)+1),"")</f>
        <v>0</v>
      </c>
      <c r="F1749" s="0" t="str">
        <f aca="false">IFERROR(SMALL(F367:F1087,ROW()-ROW($F$1090)+1),"")</f>
        <v/>
      </c>
      <c r="G1749" s="0" t="n">
        <f aca="false">IFERROR(SMALL(G367:G1087,ROW()-ROW($G$1090)+1),"")</f>
        <v>0</v>
      </c>
      <c r="H1749" s="0" t="n">
        <f aca="false">IFERROR(SMALL(H367:H1087,ROW()-ROW($H$1090)+1),"")</f>
        <v>0</v>
      </c>
      <c r="K1749" s="0" t="n">
        <f aca="false">IFERROR(SMALL(K367:K1087,ROW()-ROW($K$1090)+1),"")</f>
        <v>0</v>
      </c>
      <c r="L1749" s="0" t="str">
        <f aca="false">IFERROR(SMALL(L367:L1087,ROW()-ROW($L$1090)+1),"")</f>
        <v/>
      </c>
      <c r="M1749" s="0" t="n">
        <f aca="false">IFERROR(SMALL(M367:M1087,ROW()-ROW($M$1090)+1),"")</f>
        <v>0</v>
      </c>
      <c r="N1749" s="0" t="n">
        <f aca="false">IFERROR(SMALL(N367:N1087,ROW()-ROW($N$1090)+1),"")</f>
        <v>0</v>
      </c>
    </row>
    <row r="1750" customFormat="false" ht="15" hidden="false" customHeight="false" outlineLevel="0" collapsed="false">
      <c r="E1750" s="0" t="n">
        <f aca="false">IFERROR(SMALL(E367:E1087,ROW()-ROW($E$1090)+1),"")</f>
        <v>0</v>
      </c>
      <c r="F1750" s="0" t="str">
        <f aca="false">IFERROR(SMALL(F367:F1087,ROW()-ROW($F$1090)+1),"")</f>
        <v/>
      </c>
      <c r="G1750" s="0" t="n">
        <f aca="false">IFERROR(SMALL(G367:G1087,ROW()-ROW($G$1090)+1),"")</f>
        <v>0</v>
      </c>
      <c r="H1750" s="0" t="n">
        <f aca="false">IFERROR(SMALL(H367:H1087,ROW()-ROW($H$1090)+1),"")</f>
        <v>0</v>
      </c>
      <c r="K1750" s="0" t="n">
        <f aca="false">IFERROR(SMALL(K367:K1087,ROW()-ROW($K$1090)+1),"")</f>
        <v>0</v>
      </c>
      <c r="L1750" s="0" t="str">
        <f aca="false">IFERROR(SMALL(L367:L1087,ROW()-ROW($L$1090)+1),"")</f>
        <v/>
      </c>
      <c r="M1750" s="0" t="n">
        <f aca="false">IFERROR(SMALL(M367:M1087,ROW()-ROW($M$1090)+1),"")</f>
        <v>0</v>
      </c>
      <c r="N1750" s="0" t="n">
        <f aca="false">IFERROR(SMALL(N367:N1087,ROW()-ROW($N$1090)+1),"")</f>
        <v>0</v>
      </c>
    </row>
    <row r="1751" customFormat="false" ht="15" hidden="false" customHeight="false" outlineLevel="0" collapsed="false">
      <c r="E1751" s="0" t="n">
        <f aca="false">IFERROR(SMALL(E367:E1087,ROW()-ROW($E$1090)+1),"")</f>
        <v>0</v>
      </c>
      <c r="F1751" s="0" t="str">
        <f aca="false">IFERROR(SMALL(F367:F1087,ROW()-ROW($F$1090)+1),"")</f>
        <v/>
      </c>
      <c r="G1751" s="0" t="n">
        <f aca="false">IFERROR(SMALL(G367:G1087,ROW()-ROW($G$1090)+1),"")</f>
        <v>0</v>
      </c>
      <c r="H1751" s="0" t="n">
        <f aca="false">IFERROR(SMALL(H367:H1087,ROW()-ROW($H$1090)+1),"")</f>
        <v>0</v>
      </c>
      <c r="K1751" s="0" t="n">
        <f aca="false">IFERROR(SMALL(K367:K1087,ROW()-ROW($K$1090)+1),"")</f>
        <v>0</v>
      </c>
      <c r="L1751" s="0" t="str">
        <f aca="false">IFERROR(SMALL(L367:L1087,ROW()-ROW($L$1090)+1),"")</f>
        <v/>
      </c>
      <c r="M1751" s="0" t="n">
        <f aca="false">IFERROR(SMALL(M367:M1087,ROW()-ROW($M$1090)+1),"")</f>
        <v>0</v>
      </c>
      <c r="N1751" s="0" t="n">
        <f aca="false">IFERROR(SMALL(N367:N1087,ROW()-ROW($N$1090)+1),"")</f>
        <v>0</v>
      </c>
    </row>
    <row r="1752" customFormat="false" ht="15" hidden="false" customHeight="false" outlineLevel="0" collapsed="false">
      <c r="E1752" s="0" t="n">
        <f aca="false">IFERROR(SMALL(E367:E1087,ROW()-ROW($E$1090)+1),"")</f>
        <v>0</v>
      </c>
      <c r="F1752" s="0" t="str">
        <f aca="false">IFERROR(SMALL(F367:F1087,ROW()-ROW($F$1090)+1),"")</f>
        <v/>
      </c>
      <c r="G1752" s="0" t="n">
        <f aca="false">IFERROR(SMALL(G367:G1087,ROW()-ROW($G$1090)+1),"")</f>
        <v>0</v>
      </c>
      <c r="H1752" s="0" t="n">
        <f aca="false">IFERROR(SMALL(H367:H1087,ROW()-ROW($H$1090)+1),"")</f>
        <v>0</v>
      </c>
      <c r="K1752" s="0" t="n">
        <f aca="false">IFERROR(SMALL(K367:K1087,ROW()-ROW($K$1090)+1),"")</f>
        <v>0</v>
      </c>
      <c r="L1752" s="0" t="str">
        <f aca="false">IFERROR(SMALL(L367:L1087,ROW()-ROW($L$1090)+1),"")</f>
        <v/>
      </c>
      <c r="M1752" s="0" t="n">
        <f aca="false">IFERROR(SMALL(M367:M1087,ROW()-ROW($M$1090)+1),"")</f>
        <v>0</v>
      </c>
      <c r="N1752" s="0" t="n">
        <f aca="false">IFERROR(SMALL(N367:N1087,ROW()-ROW($N$1090)+1),"")</f>
        <v>0</v>
      </c>
    </row>
    <row r="1753" customFormat="false" ht="15" hidden="false" customHeight="false" outlineLevel="0" collapsed="false">
      <c r="E1753" s="0" t="n">
        <f aca="false">IFERROR(SMALL(E367:E1087,ROW()-ROW($E$1090)+1),"")</f>
        <v>0</v>
      </c>
      <c r="F1753" s="0" t="str">
        <f aca="false">IFERROR(SMALL(F367:F1087,ROW()-ROW($F$1090)+1),"")</f>
        <v/>
      </c>
      <c r="G1753" s="0" t="n">
        <f aca="false">IFERROR(SMALL(G367:G1087,ROW()-ROW($G$1090)+1),"")</f>
        <v>0</v>
      </c>
      <c r="H1753" s="0" t="n">
        <f aca="false">IFERROR(SMALL(H367:H1087,ROW()-ROW($H$1090)+1),"")</f>
        <v>0</v>
      </c>
      <c r="K1753" s="0" t="n">
        <f aca="false">IFERROR(SMALL(K367:K1087,ROW()-ROW($K$1090)+1),"")</f>
        <v>0</v>
      </c>
      <c r="L1753" s="0" t="str">
        <f aca="false">IFERROR(SMALL(L367:L1087,ROW()-ROW($L$1090)+1),"")</f>
        <v/>
      </c>
      <c r="M1753" s="0" t="n">
        <f aca="false">IFERROR(SMALL(M367:M1087,ROW()-ROW($M$1090)+1),"")</f>
        <v>0</v>
      </c>
      <c r="N1753" s="0" t="n">
        <f aca="false">IFERROR(SMALL(N367:N1087,ROW()-ROW($N$1090)+1),"")</f>
        <v>0</v>
      </c>
    </row>
    <row r="1754" customFormat="false" ht="15" hidden="false" customHeight="false" outlineLevel="0" collapsed="false">
      <c r="E1754" s="0" t="n">
        <f aca="false">IFERROR(SMALL(E367:E1087,ROW()-ROW($E$1090)+1),"")</f>
        <v>0</v>
      </c>
      <c r="F1754" s="0" t="str">
        <f aca="false">IFERROR(SMALL(F367:F1087,ROW()-ROW($F$1090)+1),"")</f>
        <v/>
      </c>
      <c r="G1754" s="0" t="n">
        <f aca="false">IFERROR(SMALL(G367:G1087,ROW()-ROW($G$1090)+1),"")</f>
        <v>0</v>
      </c>
      <c r="H1754" s="0" t="n">
        <f aca="false">IFERROR(SMALL(H367:H1087,ROW()-ROW($H$1090)+1),"")</f>
        <v>0</v>
      </c>
      <c r="K1754" s="0" t="n">
        <f aca="false">IFERROR(SMALL(K367:K1087,ROW()-ROW($K$1090)+1),"")</f>
        <v>0</v>
      </c>
      <c r="L1754" s="0" t="str">
        <f aca="false">IFERROR(SMALL(L367:L1087,ROW()-ROW($L$1090)+1),"")</f>
        <v/>
      </c>
      <c r="M1754" s="0" t="n">
        <f aca="false">IFERROR(SMALL(M367:M1087,ROW()-ROW($M$1090)+1),"")</f>
        <v>0</v>
      </c>
      <c r="N1754" s="0" t="n">
        <f aca="false">IFERROR(SMALL(N367:N1087,ROW()-ROW($N$1090)+1),"")</f>
        <v>0</v>
      </c>
    </row>
    <row r="1755" customFormat="false" ht="15" hidden="false" customHeight="false" outlineLevel="0" collapsed="false">
      <c r="E1755" s="0" t="n">
        <f aca="false">IFERROR(SMALL(E367:E1087,ROW()-ROW($E$1090)+1),"")</f>
        <v>0</v>
      </c>
      <c r="F1755" s="0" t="str">
        <f aca="false">IFERROR(SMALL(F367:F1087,ROW()-ROW($F$1090)+1),"")</f>
        <v/>
      </c>
      <c r="G1755" s="0" t="n">
        <f aca="false">IFERROR(SMALL(G367:G1087,ROW()-ROW($G$1090)+1),"")</f>
        <v>0</v>
      </c>
      <c r="H1755" s="0" t="n">
        <f aca="false">IFERROR(SMALL(H367:H1087,ROW()-ROW($H$1090)+1),"")</f>
        <v>0</v>
      </c>
      <c r="K1755" s="0" t="n">
        <f aca="false">IFERROR(SMALL(K367:K1087,ROW()-ROW($K$1090)+1),"")</f>
        <v>0</v>
      </c>
      <c r="L1755" s="0" t="str">
        <f aca="false">IFERROR(SMALL(L367:L1087,ROW()-ROW($L$1090)+1),"")</f>
        <v/>
      </c>
      <c r="M1755" s="0" t="n">
        <f aca="false">IFERROR(SMALL(M367:M1087,ROW()-ROW($M$1090)+1),"")</f>
        <v>0</v>
      </c>
      <c r="N1755" s="0" t="n">
        <f aca="false">IFERROR(SMALL(N367:N1087,ROW()-ROW($N$1090)+1),"")</f>
        <v>0</v>
      </c>
    </row>
    <row r="1756" customFormat="false" ht="15" hidden="false" customHeight="false" outlineLevel="0" collapsed="false">
      <c r="E1756" s="0" t="n">
        <f aca="false">IFERROR(SMALL(E367:E1087,ROW()-ROW($E$1090)+1),"")</f>
        <v>0</v>
      </c>
      <c r="F1756" s="0" t="str">
        <f aca="false">IFERROR(SMALL(F367:F1087,ROW()-ROW($F$1090)+1),"")</f>
        <v/>
      </c>
      <c r="G1756" s="0" t="n">
        <f aca="false">IFERROR(SMALL(G367:G1087,ROW()-ROW($G$1090)+1),"")</f>
        <v>0</v>
      </c>
      <c r="H1756" s="0" t="n">
        <f aca="false">IFERROR(SMALL(H367:H1087,ROW()-ROW($H$1090)+1),"")</f>
        <v>0</v>
      </c>
      <c r="K1756" s="0" t="n">
        <f aca="false">IFERROR(SMALL(K367:K1087,ROW()-ROW($K$1090)+1),"")</f>
        <v>0</v>
      </c>
      <c r="L1756" s="0" t="str">
        <f aca="false">IFERROR(SMALL(L367:L1087,ROW()-ROW($L$1090)+1),"")</f>
        <v/>
      </c>
      <c r="M1756" s="0" t="n">
        <f aca="false">IFERROR(SMALL(M367:M1087,ROW()-ROW($M$1090)+1),"")</f>
        <v>0</v>
      </c>
      <c r="N1756" s="0" t="n">
        <f aca="false">IFERROR(SMALL(N367:N1087,ROW()-ROW($N$1090)+1),"")</f>
        <v>0</v>
      </c>
    </row>
    <row r="1757" customFormat="false" ht="15" hidden="false" customHeight="false" outlineLevel="0" collapsed="false">
      <c r="E1757" s="0" t="n">
        <f aca="false">IFERROR(SMALL(E367:E1087,ROW()-ROW($E$1090)+1),"")</f>
        <v>0</v>
      </c>
      <c r="F1757" s="0" t="str">
        <f aca="false">IFERROR(SMALL(F367:F1087,ROW()-ROW($F$1090)+1),"")</f>
        <v/>
      </c>
      <c r="G1757" s="0" t="n">
        <f aca="false">IFERROR(SMALL(G367:G1087,ROW()-ROW($G$1090)+1),"")</f>
        <v>0</v>
      </c>
      <c r="H1757" s="0" t="n">
        <f aca="false">IFERROR(SMALL(H367:H1087,ROW()-ROW($H$1090)+1),"")</f>
        <v>0</v>
      </c>
      <c r="K1757" s="0" t="n">
        <f aca="false">IFERROR(SMALL(K367:K1087,ROW()-ROW($K$1090)+1),"")</f>
        <v>0</v>
      </c>
      <c r="L1757" s="0" t="str">
        <f aca="false">IFERROR(SMALL(L367:L1087,ROW()-ROW($L$1090)+1),"")</f>
        <v/>
      </c>
      <c r="M1757" s="0" t="n">
        <f aca="false">IFERROR(SMALL(M367:M1087,ROW()-ROW($M$1090)+1),"")</f>
        <v>0</v>
      </c>
      <c r="N1757" s="0" t="n">
        <f aca="false">IFERROR(SMALL(N367:N1087,ROW()-ROW($N$1090)+1),"")</f>
        <v>0</v>
      </c>
    </row>
    <row r="1758" customFormat="false" ht="15" hidden="false" customHeight="false" outlineLevel="0" collapsed="false">
      <c r="E1758" s="0" t="n">
        <f aca="false">IFERROR(SMALL(E367:E1087,ROW()-ROW($E$1090)+1),"")</f>
        <v>0</v>
      </c>
      <c r="F1758" s="0" t="str">
        <f aca="false">IFERROR(SMALL(F367:F1087,ROW()-ROW($F$1090)+1),"")</f>
        <v/>
      </c>
      <c r="G1758" s="0" t="n">
        <f aca="false">IFERROR(SMALL(G367:G1087,ROW()-ROW($G$1090)+1),"")</f>
        <v>0</v>
      </c>
      <c r="H1758" s="0" t="n">
        <f aca="false">IFERROR(SMALL(H367:H1087,ROW()-ROW($H$1090)+1),"")</f>
        <v>0</v>
      </c>
      <c r="K1758" s="0" t="n">
        <f aca="false">IFERROR(SMALL(K367:K1087,ROW()-ROW($K$1090)+1),"")</f>
        <v>0</v>
      </c>
      <c r="L1758" s="0" t="str">
        <f aca="false">IFERROR(SMALL(L367:L1087,ROW()-ROW($L$1090)+1),"")</f>
        <v/>
      </c>
      <c r="M1758" s="0" t="n">
        <f aca="false">IFERROR(SMALL(M367:M1087,ROW()-ROW($M$1090)+1),"")</f>
        <v>0</v>
      </c>
      <c r="N1758" s="0" t="n">
        <f aca="false">IFERROR(SMALL(N367:N1087,ROW()-ROW($N$1090)+1),"")</f>
        <v>0</v>
      </c>
    </row>
    <row r="1759" customFormat="false" ht="15" hidden="false" customHeight="false" outlineLevel="0" collapsed="false">
      <c r="E1759" s="0" t="n">
        <f aca="false">IFERROR(SMALL(E367:E1087,ROW()-ROW($E$1090)+1),"")</f>
        <v>0</v>
      </c>
      <c r="F1759" s="0" t="str">
        <f aca="false">IFERROR(SMALL(F367:F1087,ROW()-ROW($F$1090)+1),"")</f>
        <v/>
      </c>
      <c r="G1759" s="0" t="n">
        <f aca="false">IFERROR(SMALL(G367:G1087,ROW()-ROW($G$1090)+1),"")</f>
        <v>0</v>
      </c>
      <c r="H1759" s="0" t="n">
        <f aca="false">IFERROR(SMALL(H367:H1087,ROW()-ROW($H$1090)+1),"")</f>
        <v>0</v>
      </c>
      <c r="K1759" s="0" t="n">
        <f aca="false">IFERROR(SMALL(K367:K1087,ROW()-ROW($K$1090)+1),"")</f>
        <v>0</v>
      </c>
      <c r="L1759" s="0" t="str">
        <f aca="false">IFERROR(SMALL(L367:L1087,ROW()-ROW($L$1090)+1),"")</f>
        <v/>
      </c>
      <c r="M1759" s="0" t="n">
        <f aca="false">IFERROR(SMALL(M367:M1087,ROW()-ROW($M$1090)+1),"")</f>
        <v>0</v>
      </c>
      <c r="N1759" s="0" t="n">
        <f aca="false">IFERROR(SMALL(N367:N1087,ROW()-ROW($N$1090)+1),"")</f>
        <v>0</v>
      </c>
    </row>
    <row r="1760" customFormat="false" ht="15" hidden="false" customHeight="false" outlineLevel="0" collapsed="false">
      <c r="E1760" s="0" t="n">
        <f aca="false">IFERROR(SMALL(E367:E1087,ROW()-ROW($E$1090)+1),"")</f>
        <v>0</v>
      </c>
      <c r="F1760" s="0" t="str">
        <f aca="false">IFERROR(SMALL(F367:F1087,ROW()-ROW($F$1090)+1),"")</f>
        <v/>
      </c>
      <c r="G1760" s="0" t="n">
        <f aca="false">IFERROR(SMALL(G367:G1087,ROW()-ROW($G$1090)+1),"")</f>
        <v>0</v>
      </c>
      <c r="H1760" s="0" t="n">
        <f aca="false">IFERROR(SMALL(H367:H1087,ROW()-ROW($H$1090)+1),"")</f>
        <v>0</v>
      </c>
      <c r="K1760" s="0" t="n">
        <f aca="false">IFERROR(SMALL(K367:K1087,ROW()-ROW($K$1090)+1),"")</f>
        <v>0</v>
      </c>
      <c r="L1760" s="0" t="str">
        <f aca="false">IFERROR(SMALL(L367:L1087,ROW()-ROW($L$1090)+1),"")</f>
        <v/>
      </c>
      <c r="M1760" s="0" t="n">
        <f aca="false">IFERROR(SMALL(M367:M1087,ROW()-ROW($M$1090)+1),"")</f>
        <v>0</v>
      </c>
      <c r="N1760" s="0" t="n">
        <f aca="false">IFERROR(SMALL(N367:N1087,ROW()-ROW($N$1090)+1),"")</f>
        <v>0</v>
      </c>
    </row>
    <row r="1761" customFormat="false" ht="15" hidden="false" customHeight="false" outlineLevel="0" collapsed="false">
      <c r="E1761" s="0" t="n">
        <f aca="false">IFERROR(SMALL(E367:E1087,ROW()-ROW($E$1090)+1),"")</f>
        <v>0</v>
      </c>
      <c r="F1761" s="0" t="str">
        <f aca="false">IFERROR(SMALL(F367:F1087,ROW()-ROW($F$1090)+1),"")</f>
        <v/>
      </c>
      <c r="G1761" s="0" t="n">
        <f aca="false">IFERROR(SMALL(G367:G1087,ROW()-ROW($G$1090)+1),"")</f>
        <v>0</v>
      </c>
      <c r="H1761" s="0" t="n">
        <f aca="false">IFERROR(SMALL(H367:H1087,ROW()-ROW($H$1090)+1),"")</f>
        <v>0</v>
      </c>
      <c r="K1761" s="0" t="n">
        <f aca="false">IFERROR(SMALL(K367:K1087,ROW()-ROW($K$1090)+1),"")</f>
        <v>0</v>
      </c>
      <c r="L1761" s="0" t="str">
        <f aca="false">IFERROR(SMALL(L367:L1087,ROW()-ROW($L$1090)+1),"")</f>
        <v/>
      </c>
      <c r="M1761" s="0" t="n">
        <f aca="false">IFERROR(SMALL(M367:M1087,ROW()-ROW($M$1090)+1),"")</f>
        <v>0</v>
      </c>
      <c r="N1761" s="0" t="n">
        <f aca="false">IFERROR(SMALL(N367:N1087,ROW()-ROW($N$1090)+1),"")</f>
        <v>0</v>
      </c>
    </row>
    <row r="1762" customFormat="false" ht="15" hidden="false" customHeight="false" outlineLevel="0" collapsed="false">
      <c r="E1762" s="0" t="n">
        <f aca="false">IFERROR(SMALL(E367:E1087,ROW()-ROW($E$1090)+1),"")</f>
        <v>0</v>
      </c>
      <c r="F1762" s="0" t="str">
        <f aca="false">IFERROR(SMALL(F367:F1087,ROW()-ROW($F$1090)+1),"")</f>
        <v/>
      </c>
      <c r="G1762" s="0" t="n">
        <f aca="false">IFERROR(SMALL(G367:G1087,ROW()-ROW($G$1090)+1),"")</f>
        <v>0</v>
      </c>
      <c r="H1762" s="0" t="n">
        <f aca="false">IFERROR(SMALL(H367:H1087,ROW()-ROW($H$1090)+1),"")</f>
        <v>0</v>
      </c>
      <c r="K1762" s="0" t="n">
        <f aca="false">IFERROR(SMALL(K367:K1087,ROW()-ROW($K$1090)+1),"")</f>
        <v>0</v>
      </c>
      <c r="L1762" s="0" t="str">
        <f aca="false">IFERROR(SMALL(L367:L1087,ROW()-ROW($L$1090)+1),"")</f>
        <v/>
      </c>
      <c r="M1762" s="0" t="n">
        <f aca="false">IFERROR(SMALL(M367:M1087,ROW()-ROW($M$1090)+1),"")</f>
        <v>0</v>
      </c>
      <c r="N1762" s="0" t="n">
        <f aca="false">IFERROR(SMALL(N367:N1087,ROW()-ROW($N$1090)+1),"")</f>
        <v>0</v>
      </c>
    </row>
    <row r="1763" customFormat="false" ht="15" hidden="false" customHeight="false" outlineLevel="0" collapsed="false">
      <c r="E1763" s="0" t="n">
        <f aca="false">IFERROR(SMALL(E367:E1087,ROW()-ROW($E$1090)+1),"")</f>
        <v>0</v>
      </c>
      <c r="F1763" s="0" t="str">
        <f aca="false">IFERROR(SMALL(F367:F1087,ROW()-ROW($F$1090)+1),"")</f>
        <v/>
      </c>
      <c r="G1763" s="0" t="n">
        <f aca="false">IFERROR(SMALL(G367:G1087,ROW()-ROW($G$1090)+1),"")</f>
        <v>0</v>
      </c>
      <c r="H1763" s="0" t="n">
        <f aca="false">IFERROR(SMALL(H367:H1087,ROW()-ROW($H$1090)+1),"")</f>
        <v>0</v>
      </c>
      <c r="K1763" s="0" t="n">
        <f aca="false">IFERROR(SMALL(K367:K1087,ROW()-ROW($K$1090)+1),"")</f>
        <v>0</v>
      </c>
      <c r="L1763" s="0" t="str">
        <f aca="false">IFERROR(SMALL(L367:L1087,ROW()-ROW($L$1090)+1),"")</f>
        <v/>
      </c>
      <c r="M1763" s="0" t="n">
        <f aca="false">IFERROR(SMALL(M367:M1087,ROW()-ROW($M$1090)+1),"")</f>
        <v>0</v>
      </c>
      <c r="N1763" s="0" t="n">
        <f aca="false">IFERROR(SMALL(N367:N1087,ROW()-ROW($N$1090)+1),"")</f>
        <v>0</v>
      </c>
    </row>
    <row r="1764" customFormat="false" ht="15" hidden="false" customHeight="false" outlineLevel="0" collapsed="false">
      <c r="E1764" s="0" t="n">
        <f aca="false">IFERROR(SMALL(E367:E1087,ROW()-ROW($E$1090)+1),"")</f>
        <v>0</v>
      </c>
      <c r="F1764" s="0" t="str">
        <f aca="false">IFERROR(SMALL(F367:F1087,ROW()-ROW($F$1090)+1),"")</f>
        <v/>
      </c>
      <c r="G1764" s="0" t="n">
        <f aca="false">IFERROR(SMALL(G367:G1087,ROW()-ROW($G$1090)+1),"")</f>
        <v>0</v>
      </c>
      <c r="H1764" s="0" t="n">
        <f aca="false">IFERROR(SMALL(H367:H1087,ROW()-ROW($H$1090)+1),"")</f>
        <v>0</v>
      </c>
      <c r="K1764" s="0" t="n">
        <f aca="false">IFERROR(SMALL(K367:K1087,ROW()-ROW($K$1090)+1),"")</f>
        <v>0</v>
      </c>
      <c r="L1764" s="0" t="str">
        <f aca="false">IFERROR(SMALL(L367:L1087,ROW()-ROW($L$1090)+1),"")</f>
        <v/>
      </c>
      <c r="M1764" s="0" t="n">
        <f aca="false">IFERROR(SMALL(M367:M1087,ROW()-ROW($M$1090)+1),"")</f>
        <v>0</v>
      </c>
      <c r="N1764" s="0" t="n">
        <f aca="false">IFERROR(SMALL(N367:N1087,ROW()-ROW($N$1090)+1),"")</f>
        <v>0</v>
      </c>
    </row>
    <row r="1765" customFormat="false" ht="15" hidden="false" customHeight="false" outlineLevel="0" collapsed="false">
      <c r="E1765" s="0" t="n">
        <f aca="false">IFERROR(SMALL(E367:E1087,ROW()-ROW($E$1090)+1),"")</f>
        <v>0</v>
      </c>
      <c r="F1765" s="0" t="str">
        <f aca="false">IFERROR(SMALL(F367:F1087,ROW()-ROW($F$1090)+1),"")</f>
        <v/>
      </c>
      <c r="G1765" s="0" t="n">
        <f aca="false">IFERROR(SMALL(G367:G1087,ROW()-ROW($G$1090)+1),"")</f>
        <v>0</v>
      </c>
      <c r="H1765" s="0" t="n">
        <f aca="false">IFERROR(SMALL(H367:H1087,ROW()-ROW($H$1090)+1),"")</f>
        <v>0</v>
      </c>
      <c r="K1765" s="0" t="n">
        <f aca="false">IFERROR(SMALL(K367:K1087,ROW()-ROW($K$1090)+1),"")</f>
        <v>0</v>
      </c>
      <c r="L1765" s="0" t="str">
        <f aca="false">IFERROR(SMALL(L367:L1087,ROW()-ROW($L$1090)+1),"")</f>
        <v/>
      </c>
      <c r="M1765" s="0" t="n">
        <f aca="false">IFERROR(SMALL(M367:M1087,ROW()-ROW($M$1090)+1),"")</f>
        <v>0</v>
      </c>
      <c r="N1765" s="0" t="n">
        <f aca="false">IFERROR(SMALL(N367:N1087,ROW()-ROW($N$1090)+1),"")</f>
        <v>0</v>
      </c>
    </row>
    <row r="1766" customFormat="false" ht="15" hidden="false" customHeight="false" outlineLevel="0" collapsed="false">
      <c r="E1766" s="0" t="n">
        <f aca="false">IFERROR(SMALL(E367:E1087,ROW()-ROW($E$1090)+1),"")</f>
        <v>0</v>
      </c>
      <c r="F1766" s="0" t="str">
        <f aca="false">IFERROR(SMALL(F367:F1087,ROW()-ROW($F$1090)+1),"")</f>
        <v/>
      </c>
      <c r="G1766" s="0" t="n">
        <f aca="false">IFERROR(SMALL(G367:G1087,ROW()-ROW($G$1090)+1),"")</f>
        <v>0</v>
      </c>
      <c r="H1766" s="0" t="n">
        <f aca="false">IFERROR(SMALL(H367:H1087,ROW()-ROW($H$1090)+1),"")</f>
        <v>0</v>
      </c>
      <c r="K1766" s="0" t="n">
        <f aca="false">IFERROR(SMALL(K367:K1087,ROW()-ROW($K$1090)+1),"")</f>
        <v>0</v>
      </c>
      <c r="L1766" s="0" t="str">
        <f aca="false">IFERROR(SMALL(L367:L1087,ROW()-ROW($L$1090)+1),"")</f>
        <v/>
      </c>
      <c r="M1766" s="0" t="n">
        <f aca="false">IFERROR(SMALL(M367:M1087,ROW()-ROW($M$1090)+1),"")</f>
        <v>0</v>
      </c>
      <c r="N1766" s="0" t="n">
        <f aca="false">IFERROR(SMALL(N367:N1087,ROW()-ROW($N$1090)+1),"")</f>
        <v>0</v>
      </c>
    </row>
    <row r="1767" customFormat="false" ht="15" hidden="false" customHeight="false" outlineLevel="0" collapsed="false">
      <c r="E1767" s="0" t="n">
        <f aca="false">IFERROR(SMALL(E367:E1087,ROW()-ROW($E$1090)+1),"")</f>
        <v>0</v>
      </c>
      <c r="F1767" s="0" t="str">
        <f aca="false">IFERROR(SMALL(F367:F1087,ROW()-ROW($F$1090)+1),"")</f>
        <v/>
      </c>
      <c r="G1767" s="0" t="n">
        <f aca="false">IFERROR(SMALL(G367:G1087,ROW()-ROW($G$1090)+1),"")</f>
        <v>0</v>
      </c>
      <c r="H1767" s="0" t="n">
        <f aca="false">IFERROR(SMALL(H367:H1087,ROW()-ROW($H$1090)+1),"")</f>
        <v>0</v>
      </c>
      <c r="K1767" s="0" t="n">
        <f aca="false">IFERROR(SMALL(K367:K1087,ROW()-ROW($K$1090)+1),"")</f>
        <v>0</v>
      </c>
      <c r="L1767" s="0" t="str">
        <f aca="false">IFERROR(SMALL(L367:L1087,ROW()-ROW($L$1090)+1),"")</f>
        <v/>
      </c>
      <c r="M1767" s="0" t="n">
        <f aca="false">IFERROR(SMALL(M367:M1087,ROW()-ROW($M$1090)+1),"")</f>
        <v>0</v>
      </c>
      <c r="N1767" s="0" t="n">
        <f aca="false">IFERROR(SMALL(N367:N1087,ROW()-ROW($N$1090)+1),"")</f>
        <v>0</v>
      </c>
    </row>
    <row r="1768" customFormat="false" ht="15" hidden="false" customHeight="false" outlineLevel="0" collapsed="false">
      <c r="E1768" s="0" t="n">
        <f aca="false">IFERROR(SMALL(E367:E1087,ROW()-ROW($E$1090)+1),"")</f>
        <v>0</v>
      </c>
      <c r="F1768" s="0" t="str">
        <f aca="false">IFERROR(SMALL(F367:F1087,ROW()-ROW($F$1090)+1),"")</f>
        <v/>
      </c>
      <c r="G1768" s="0" t="n">
        <f aca="false">IFERROR(SMALL(G367:G1087,ROW()-ROW($G$1090)+1),"")</f>
        <v>0</v>
      </c>
      <c r="H1768" s="0" t="n">
        <f aca="false">IFERROR(SMALL(H367:H1087,ROW()-ROW($H$1090)+1),"")</f>
        <v>0</v>
      </c>
      <c r="K1768" s="0" t="n">
        <f aca="false">IFERROR(SMALL(K367:K1087,ROW()-ROW($K$1090)+1),"")</f>
        <v>0</v>
      </c>
      <c r="L1768" s="0" t="str">
        <f aca="false">IFERROR(SMALL(L367:L1087,ROW()-ROW($L$1090)+1),"")</f>
        <v/>
      </c>
      <c r="M1768" s="0" t="n">
        <f aca="false">IFERROR(SMALL(M367:M1087,ROW()-ROW($M$1090)+1),"")</f>
        <v>0</v>
      </c>
      <c r="N1768" s="0" t="n">
        <f aca="false">IFERROR(SMALL(N367:N1087,ROW()-ROW($N$1090)+1),"")</f>
        <v>0</v>
      </c>
    </row>
    <row r="1769" customFormat="false" ht="15" hidden="false" customHeight="false" outlineLevel="0" collapsed="false">
      <c r="E1769" s="0" t="n">
        <f aca="false">IFERROR(SMALL(E367:E1087,ROW()-ROW($E$1090)+1),"")</f>
        <v>0</v>
      </c>
      <c r="F1769" s="0" t="str">
        <f aca="false">IFERROR(SMALL(F367:F1087,ROW()-ROW($F$1090)+1),"")</f>
        <v/>
      </c>
      <c r="G1769" s="0" t="n">
        <f aca="false">IFERROR(SMALL(G367:G1087,ROW()-ROW($G$1090)+1),"")</f>
        <v>0</v>
      </c>
      <c r="H1769" s="0" t="n">
        <f aca="false">IFERROR(SMALL(H367:H1087,ROW()-ROW($H$1090)+1),"")</f>
        <v>0</v>
      </c>
      <c r="K1769" s="0" t="n">
        <f aca="false">IFERROR(SMALL(K367:K1087,ROW()-ROW($K$1090)+1),"")</f>
        <v>0</v>
      </c>
      <c r="L1769" s="0" t="str">
        <f aca="false">IFERROR(SMALL(L367:L1087,ROW()-ROW($L$1090)+1),"")</f>
        <v/>
      </c>
      <c r="M1769" s="0" t="n">
        <f aca="false">IFERROR(SMALL(M367:M1087,ROW()-ROW($M$1090)+1),"")</f>
        <v>0</v>
      </c>
      <c r="N1769" s="0" t="n">
        <f aca="false">IFERROR(SMALL(N367:N1087,ROW()-ROW($N$1090)+1),"")</f>
        <v>0</v>
      </c>
    </row>
    <row r="1770" customFormat="false" ht="15" hidden="false" customHeight="false" outlineLevel="0" collapsed="false">
      <c r="E1770" s="0" t="n">
        <f aca="false">IFERROR(SMALL(E367:E1087,ROW()-ROW($E$1090)+1),"")</f>
        <v>0</v>
      </c>
      <c r="F1770" s="0" t="str">
        <f aca="false">IFERROR(SMALL(F367:F1087,ROW()-ROW($F$1090)+1),"")</f>
        <v/>
      </c>
      <c r="G1770" s="0" t="n">
        <f aca="false">IFERROR(SMALL(G367:G1087,ROW()-ROW($G$1090)+1),"")</f>
        <v>0</v>
      </c>
      <c r="H1770" s="0" t="n">
        <f aca="false">IFERROR(SMALL(H367:H1087,ROW()-ROW($H$1090)+1),"")</f>
        <v>0</v>
      </c>
      <c r="K1770" s="0" t="n">
        <f aca="false">IFERROR(SMALL(K367:K1087,ROW()-ROW($K$1090)+1),"")</f>
        <v>0</v>
      </c>
      <c r="L1770" s="0" t="str">
        <f aca="false">IFERROR(SMALL(L367:L1087,ROW()-ROW($L$1090)+1),"")</f>
        <v/>
      </c>
      <c r="M1770" s="0" t="n">
        <f aca="false">IFERROR(SMALL(M367:M1087,ROW()-ROW($M$1090)+1),"")</f>
        <v>0</v>
      </c>
      <c r="N1770" s="0" t="n">
        <f aca="false">IFERROR(SMALL(N367:N1087,ROW()-ROW($N$1090)+1),"")</f>
        <v>0</v>
      </c>
    </row>
    <row r="1771" customFormat="false" ht="15" hidden="false" customHeight="false" outlineLevel="0" collapsed="false">
      <c r="E1771" s="0" t="n">
        <f aca="false">IFERROR(SMALL(E367:E1087,ROW()-ROW($E$1090)+1),"")</f>
        <v>0</v>
      </c>
      <c r="F1771" s="0" t="str">
        <f aca="false">IFERROR(SMALL(F367:F1087,ROW()-ROW($F$1090)+1),"")</f>
        <v/>
      </c>
      <c r="G1771" s="0" t="n">
        <f aca="false">IFERROR(SMALL(G367:G1087,ROW()-ROW($G$1090)+1),"")</f>
        <v>0</v>
      </c>
      <c r="H1771" s="0" t="n">
        <f aca="false">IFERROR(SMALL(H367:H1087,ROW()-ROW($H$1090)+1),"")</f>
        <v>0</v>
      </c>
      <c r="K1771" s="0" t="n">
        <f aca="false">IFERROR(SMALL(K367:K1087,ROW()-ROW($K$1090)+1),"")</f>
        <v>0</v>
      </c>
      <c r="L1771" s="0" t="str">
        <f aca="false">IFERROR(SMALL(L367:L1087,ROW()-ROW($L$1090)+1),"")</f>
        <v/>
      </c>
      <c r="M1771" s="0" t="n">
        <f aca="false">IFERROR(SMALL(M367:M1087,ROW()-ROW($M$1090)+1),"")</f>
        <v>0</v>
      </c>
      <c r="N1771" s="0" t="n">
        <f aca="false">IFERROR(SMALL(N367:N1087,ROW()-ROW($N$1090)+1),"")</f>
        <v>0</v>
      </c>
    </row>
    <row r="1772" customFormat="false" ht="15" hidden="false" customHeight="false" outlineLevel="0" collapsed="false">
      <c r="E1772" s="0" t="n">
        <f aca="false">IFERROR(SMALL(E367:E1087,ROW()-ROW($E$1090)+1),"")</f>
        <v>0</v>
      </c>
      <c r="F1772" s="0" t="str">
        <f aca="false">IFERROR(SMALL(F367:F1087,ROW()-ROW($F$1090)+1),"")</f>
        <v/>
      </c>
      <c r="G1772" s="0" t="n">
        <f aca="false">IFERROR(SMALL(G367:G1087,ROW()-ROW($G$1090)+1),"")</f>
        <v>0</v>
      </c>
      <c r="H1772" s="0" t="n">
        <f aca="false">IFERROR(SMALL(H367:H1087,ROW()-ROW($H$1090)+1),"")</f>
        <v>0</v>
      </c>
      <c r="K1772" s="0" t="n">
        <f aca="false">IFERROR(SMALL(K367:K1087,ROW()-ROW($K$1090)+1),"")</f>
        <v>0</v>
      </c>
      <c r="L1772" s="0" t="str">
        <f aca="false">IFERROR(SMALL(L367:L1087,ROW()-ROW($L$1090)+1),"")</f>
        <v/>
      </c>
      <c r="M1772" s="0" t="n">
        <f aca="false">IFERROR(SMALL(M367:M1087,ROW()-ROW($M$1090)+1),"")</f>
        <v>0</v>
      </c>
      <c r="N1772" s="0" t="n">
        <f aca="false">IFERROR(SMALL(N367:N1087,ROW()-ROW($N$1090)+1),"")</f>
        <v>0</v>
      </c>
    </row>
    <row r="1773" customFormat="false" ht="15" hidden="false" customHeight="false" outlineLevel="0" collapsed="false">
      <c r="E1773" s="0" t="n">
        <f aca="false">IFERROR(SMALL(E367:E1087,ROW()-ROW($E$1090)+1),"")</f>
        <v>0</v>
      </c>
      <c r="F1773" s="0" t="str">
        <f aca="false">IFERROR(SMALL(F367:F1087,ROW()-ROW($F$1090)+1),"")</f>
        <v/>
      </c>
      <c r="G1773" s="0" t="n">
        <f aca="false">IFERROR(SMALL(G367:G1087,ROW()-ROW($G$1090)+1),"")</f>
        <v>0</v>
      </c>
      <c r="H1773" s="0" t="n">
        <f aca="false">IFERROR(SMALL(H367:H1087,ROW()-ROW($H$1090)+1),"")</f>
        <v>0</v>
      </c>
      <c r="K1773" s="0" t="n">
        <f aca="false">IFERROR(SMALL(K367:K1087,ROW()-ROW($K$1090)+1),"")</f>
        <v>0</v>
      </c>
      <c r="L1773" s="0" t="str">
        <f aca="false">IFERROR(SMALL(L367:L1087,ROW()-ROW($L$1090)+1),"")</f>
        <v/>
      </c>
      <c r="M1773" s="0" t="n">
        <f aca="false">IFERROR(SMALL(M367:M1087,ROW()-ROW($M$1090)+1),"")</f>
        <v>0</v>
      </c>
      <c r="N1773" s="0" t="n">
        <f aca="false">IFERROR(SMALL(N367:N1087,ROW()-ROW($N$1090)+1),"")</f>
        <v>0</v>
      </c>
    </row>
    <row r="1774" customFormat="false" ht="15" hidden="false" customHeight="false" outlineLevel="0" collapsed="false">
      <c r="E1774" s="0" t="n">
        <f aca="false">IFERROR(SMALL(E367:E1087,ROW()-ROW($E$1090)+1),"")</f>
        <v>0</v>
      </c>
      <c r="F1774" s="0" t="str">
        <f aca="false">IFERROR(SMALL(F367:F1087,ROW()-ROW($F$1090)+1),"")</f>
        <v/>
      </c>
      <c r="G1774" s="0" t="n">
        <f aca="false">IFERROR(SMALL(G367:G1087,ROW()-ROW($G$1090)+1),"")</f>
        <v>0</v>
      </c>
      <c r="H1774" s="0" t="n">
        <f aca="false">IFERROR(SMALL(H367:H1087,ROW()-ROW($H$1090)+1),"")</f>
        <v>0</v>
      </c>
      <c r="K1774" s="0" t="n">
        <f aca="false">IFERROR(SMALL(K367:K1087,ROW()-ROW($K$1090)+1),"")</f>
        <v>0</v>
      </c>
      <c r="L1774" s="0" t="str">
        <f aca="false">IFERROR(SMALL(L367:L1087,ROW()-ROW($L$1090)+1),"")</f>
        <v/>
      </c>
      <c r="M1774" s="0" t="n">
        <f aca="false">IFERROR(SMALL(M367:M1087,ROW()-ROW($M$1090)+1),"")</f>
        <v>0</v>
      </c>
      <c r="N1774" s="0" t="n">
        <f aca="false">IFERROR(SMALL(N367:N1087,ROW()-ROW($N$1090)+1),"")</f>
        <v>0</v>
      </c>
    </row>
    <row r="1775" customFormat="false" ht="15" hidden="false" customHeight="false" outlineLevel="0" collapsed="false">
      <c r="E1775" s="0" t="n">
        <f aca="false">IFERROR(SMALL(E367:E1087,ROW()-ROW($E$1090)+1),"")</f>
        <v>0</v>
      </c>
      <c r="F1775" s="0" t="str">
        <f aca="false">IFERROR(SMALL(F367:F1087,ROW()-ROW($F$1090)+1),"")</f>
        <v/>
      </c>
      <c r="G1775" s="0" t="n">
        <f aca="false">IFERROR(SMALL(G367:G1087,ROW()-ROW($G$1090)+1),"")</f>
        <v>0</v>
      </c>
      <c r="H1775" s="0" t="n">
        <f aca="false">IFERROR(SMALL(H367:H1087,ROW()-ROW($H$1090)+1),"")</f>
        <v>0</v>
      </c>
      <c r="K1775" s="0" t="n">
        <f aca="false">IFERROR(SMALL(K367:K1087,ROW()-ROW($K$1090)+1),"")</f>
        <v>0</v>
      </c>
      <c r="L1775" s="0" t="str">
        <f aca="false">IFERROR(SMALL(L367:L1087,ROW()-ROW($L$1090)+1),"")</f>
        <v/>
      </c>
      <c r="M1775" s="0" t="n">
        <f aca="false">IFERROR(SMALL(M367:M1087,ROW()-ROW($M$1090)+1),"")</f>
        <v>0</v>
      </c>
      <c r="N1775" s="0" t="n">
        <f aca="false">IFERROR(SMALL(N367:N1087,ROW()-ROW($N$1090)+1),"")</f>
        <v>0</v>
      </c>
    </row>
    <row r="1776" customFormat="false" ht="15" hidden="false" customHeight="false" outlineLevel="0" collapsed="false">
      <c r="E1776" s="0" t="n">
        <f aca="false">IFERROR(SMALL(E367:E1087,ROW()-ROW($E$1090)+1),"")</f>
        <v>0</v>
      </c>
      <c r="F1776" s="0" t="str">
        <f aca="false">IFERROR(SMALL(F367:F1087,ROW()-ROW($F$1090)+1),"")</f>
        <v/>
      </c>
      <c r="G1776" s="0" t="n">
        <f aca="false">IFERROR(SMALL(G367:G1087,ROW()-ROW($G$1090)+1),"")</f>
        <v>0</v>
      </c>
      <c r="H1776" s="0" t="n">
        <f aca="false">IFERROR(SMALL(H367:H1087,ROW()-ROW($H$1090)+1),"")</f>
        <v>0</v>
      </c>
      <c r="K1776" s="0" t="n">
        <f aca="false">IFERROR(SMALL(K367:K1087,ROW()-ROW($K$1090)+1),"")</f>
        <v>0</v>
      </c>
      <c r="L1776" s="0" t="str">
        <f aca="false">IFERROR(SMALL(L367:L1087,ROW()-ROW($L$1090)+1),"")</f>
        <v/>
      </c>
      <c r="M1776" s="0" t="n">
        <f aca="false">IFERROR(SMALL(M367:M1087,ROW()-ROW($M$1090)+1),"")</f>
        <v>0</v>
      </c>
      <c r="N1776" s="0" t="n">
        <f aca="false">IFERROR(SMALL(N367:N1087,ROW()-ROW($N$1090)+1),"")</f>
        <v>0</v>
      </c>
    </row>
    <row r="1777" customFormat="false" ht="15" hidden="false" customHeight="false" outlineLevel="0" collapsed="false">
      <c r="E1777" s="0" t="n">
        <f aca="false">IFERROR(SMALL(E367:E1087,ROW()-ROW($E$1090)+1),"")</f>
        <v>0</v>
      </c>
      <c r="F1777" s="0" t="str">
        <f aca="false">IFERROR(SMALL(F367:F1087,ROW()-ROW($F$1090)+1),"")</f>
        <v/>
      </c>
      <c r="G1777" s="0" t="n">
        <f aca="false">IFERROR(SMALL(G367:G1087,ROW()-ROW($G$1090)+1),"")</f>
        <v>0</v>
      </c>
      <c r="H1777" s="0" t="n">
        <f aca="false">IFERROR(SMALL(H367:H1087,ROW()-ROW($H$1090)+1),"")</f>
        <v>0</v>
      </c>
      <c r="K1777" s="0" t="n">
        <f aca="false">IFERROR(SMALL(K367:K1087,ROW()-ROW($K$1090)+1),"")</f>
        <v>0</v>
      </c>
      <c r="L1777" s="0" t="str">
        <f aca="false">IFERROR(SMALL(L367:L1087,ROW()-ROW($L$1090)+1),"")</f>
        <v/>
      </c>
      <c r="M1777" s="0" t="n">
        <f aca="false">IFERROR(SMALL(M367:M1087,ROW()-ROW($M$1090)+1),"")</f>
        <v>0</v>
      </c>
      <c r="N1777" s="0" t="n">
        <f aca="false">IFERROR(SMALL(N367:N1087,ROW()-ROW($N$1090)+1),"")</f>
        <v>0</v>
      </c>
    </row>
    <row r="1778" customFormat="false" ht="15" hidden="false" customHeight="false" outlineLevel="0" collapsed="false">
      <c r="E1778" s="0" t="n">
        <f aca="false">IFERROR(SMALL(E367:E1087,ROW()-ROW($E$1090)+1),"")</f>
        <v>0</v>
      </c>
      <c r="F1778" s="0" t="str">
        <f aca="false">IFERROR(SMALL(F367:F1087,ROW()-ROW($F$1090)+1),"")</f>
        <v/>
      </c>
      <c r="G1778" s="0" t="n">
        <f aca="false">IFERROR(SMALL(G367:G1087,ROW()-ROW($G$1090)+1),"")</f>
        <v>0</v>
      </c>
      <c r="H1778" s="0" t="n">
        <f aca="false">IFERROR(SMALL(H367:H1087,ROW()-ROW($H$1090)+1),"")</f>
        <v>0</v>
      </c>
      <c r="K1778" s="0" t="n">
        <f aca="false">IFERROR(SMALL(K367:K1087,ROW()-ROW($K$1090)+1),"")</f>
        <v>0</v>
      </c>
      <c r="L1778" s="0" t="str">
        <f aca="false">IFERROR(SMALL(L367:L1087,ROW()-ROW($L$1090)+1),"")</f>
        <v/>
      </c>
      <c r="M1778" s="0" t="n">
        <f aca="false">IFERROR(SMALL(M367:M1087,ROW()-ROW($M$1090)+1),"")</f>
        <v>0</v>
      </c>
      <c r="N1778" s="0" t="n">
        <f aca="false">IFERROR(SMALL(N367:N1087,ROW()-ROW($N$1090)+1),"")</f>
        <v>0</v>
      </c>
    </row>
    <row r="1779" customFormat="false" ht="15" hidden="false" customHeight="false" outlineLevel="0" collapsed="false">
      <c r="E1779" s="0" t="n">
        <f aca="false">IFERROR(SMALL(E367:E1087,ROW()-ROW($E$1090)+1),"")</f>
        <v>0</v>
      </c>
      <c r="F1779" s="0" t="str">
        <f aca="false">IFERROR(SMALL(F367:F1087,ROW()-ROW($F$1090)+1),"")</f>
        <v/>
      </c>
      <c r="G1779" s="0" t="n">
        <f aca="false">IFERROR(SMALL(G367:G1087,ROW()-ROW($G$1090)+1),"")</f>
        <v>0</v>
      </c>
      <c r="H1779" s="0" t="n">
        <f aca="false">IFERROR(SMALL(H367:H1087,ROW()-ROW($H$1090)+1),"")</f>
        <v>0</v>
      </c>
      <c r="K1779" s="0" t="n">
        <f aca="false">IFERROR(SMALL(K367:K1087,ROW()-ROW($K$1090)+1),"")</f>
        <v>0</v>
      </c>
      <c r="L1779" s="0" t="str">
        <f aca="false">IFERROR(SMALL(L367:L1087,ROW()-ROW($L$1090)+1),"")</f>
        <v/>
      </c>
      <c r="M1779" s="0" t="n">
        <f aca="false">IFERROR(SMALL(M367:M1087,ROW()-ROW($M$1090)+1),"")</f>
        <v>0</v>
      </c>
      <c r="N1779" s="0" t="n">
        <f aca="false">IFERROR(SMALL(N367:N1087,ROW()-ROW($N$1090)+1),"")</f>
        <v>0</v>
      </c>
    </row>
    <row r="1780" customFormat="false" ht="15" hidden="false" customHeight="false" outlineLevel="0" collapsed="false">
      <c r="E1780" s="0" t="n">
        <f aca="false">IFERROR(SMALL(E367:E1087,ROW()-ROW($E$1090)+1),"")</f>
        <v>0</v>
      </c>
      <c r="F1780" s="0" t="str">
        <f aca="false">IFERROR(SMALL(F367:F1087,ROW()-ROW($F$1090)+1),"")</f>
        <v/>
      </c>
      <c r="G1780" s="0" t="n">
        <f aca="false">IFERROR(SMALL(G367:G1087,ROW()-ROW($G$1090)+1),"")</f>
        <v>0</v>
      </c>
      <c r="H1780" s="0" t="n">
        <f aca="false">IFERROR(SMALL(H367:H1087,ROW()-ROW($H$1090)+1),"")</f>
        <v>0</v>
      </c>
      <c r="K1780" s="0" t="n">
        <f aca="false">IFERROR(SMALL(K367:K1087,ROW()-ROW($K$1090)+1),"")</f>
        <v>0</v>
      </c>
      <c r="L1780" s="0" t="str">
        <f aca="false">IFERROR(SMALL(L367:L1087,ROW()-ROW($L$1090)+1),"")</f>
        <v/>
      </c>
      <c r="M1780" s="0" t="n">
        <f aca="false">IFERROR(SMALL(M367:M1087,ROW()-ROW($M$1090)+1),"")</f>
        <v>0</v>
      </c>
      <c r="N1780" s="0" t="n">
        <f aca="false">IFERROR(SMALL(N367:N1087,ROW()-ROW($N$1090)+1),"")</f>
        <v>0</v>
      </c>
    </row>
    <row r="1781" customFormat="false" ht="15" hidden="false" customHeight="false" outlineLevel="0" collapsed="false">
      <c r="E1781" s="0" t="n">
        <f aca="false">IFERROR(SMALL(E367:E1087,ROW()-ROW($E$1090)+1),"")</f>
        <v>0</v>
      </c>
      <c r="F1781" s="0" t="str">
        <f aca="false">IFERROR(SMALL(F367:F1087,ROW()-ROW($F$1090)+1),"")</f>
        <v/>
      </c>
      <c r="G1781" s="0" t="n">
        <f aca="false">IFERROR(SMALL(G367:G1087,ROW()-ROW($G$1090)+1),"")</f>
        <v>0</v>
      </c>
      <c r="H1781" s="0" t="n">
        <f aca="false">IFERROR(SMALL(H367:H1087,ROW()-ROW($H$1090)+1),"")</f>
        <v>0</v>
      </c>
      <c r="K1781" s="0" t="n">
        <f aca="false">IFERROR(SMALL(K367:K1087,ROW()-ROW($K$1090)+1),"")</f>
        <v>0</v>
      </c>
      <c r="L1781" s="0" t="str">
        <f aca="false">IFERROR(SMALL(L367:L1087,ROW()-ROW($L$1090)+1),"")</f>
        <v/>
      </c>
      <c r="M1781" s="0" t="n">
        <f aca="false">IFERROR(SMALL(M367:M1087,ROW()-ROW($M$1090)+1),"")</f>
        <v>0</v>
      </c>
      <c r="N1781" s="0" t="n">
        <f aca="false">IFERROR(SMALL(N367:N1087,ROW()-ROW($N$1090)+1),"")</f>
        <v>0</v>
      </c>
    </row>
    <row r="1782" customFormat="false" ht="15" hidden="false" customHeight="false" outlineLevel="0" collapsed="false">
      <c r="E1782" s="0" t="n">
        <f aca="false">IFERROR(SMALL(E367:E1087,ROW()-ROW($E$1090)+1),"")</f>
        <v>0</v>
      </c>
      <c r="F1782" s="0" t="str">
        <f aca="false">IFERROR(SMALL(F367:F1087,ROW()-ROW($F$1090)+1),"")</f>
        <v/>
      </c>
      <c r="G1782" s="0" t="n">
        <f aca="false">IFERROR(SMALL(G367:G1087,ROW()-ROW($G$1090)+1),"")</f>
        <v>0</v>
      </c>
      <c r="H1782" s="0" t="n">
        <f aca="false">IFERROR(SMALL(H367:H1087,ROW()-ROW($H$1090)+1),"")</f>
        <v>0</v>
      </c>
      <c r="K1782" s="0" t="n">
        <f aca="false">IFERROR(SMALL(K367:K1087,ROW()-ROW($K$1090)+1),"")</f>
        <v>0</v>
      </c>
      <c r="L1782" s="0" t="str">
        <f aca="false">IFERROR(SMALL(L367:L1087,ROW()-ROW($L$1090)+1),"")</f>
        <v/>
      </c>
      <c r="M1782" s="0" t="n">
        <f aca="false">IFERROR(SMALL(M367:M1087,ROW()-ROW($M$1090)+1),"")</f>
        <v>0</v>
      </c>
      <c r="N1782" s="0" t="n">
        <f aca="false">IFERROR(SMALL(N367:N1087,ROW()-ROW($N$1090)+1),"")</f>
        <v>0</v>
      </c>
    </row>
    <row r="1783" customFormat="false" ht="15" hidden="false" customHeight="false" outlineLevel="0" collapsed="false">
      <c r="E1783" s="0" t="n">
        <f aca="false">IFERROR(SMALL(E367:E1087,ROW()-ROW($E$1090)+1),"")</f>
        <v>0</v>
      </c>
      <c r="F1783" s="0" t="str">
        <f aca="false">IFERROR(SMALL(F367:F1087,ROW()-ROW($F$1090)+1),"")</f>
        <v/>
      </c>
      <c r="G1783" s="0" t="n">
        <f aca="false">IFERROR(SMALL(G367:G1087,ROW()-ROW($G$1090)+1),"")</f>
        <v>0</v>
      </c>
      <c r="H1783" s="0" t="n">
        <f aca="false">IFERROR(SMALL(H367:H1087,ROW()-ROW($H$1090)+1),"")</f>
        <v>0</v>
      </c>
      <c r="K1783" s="0" t="n">
        <f aca="false">IFERROR(SMALL(K367:K1087,ROW()-ROW($K$1090)+1),"")</f>
        <v>0</v>
      </c>
      <c r="L1783" s="0" t="str">
        <f aca="false">IFERROR(SMALL(L367:L1087,ROW()-ROW($L$1090)+1),"")</f>
        <v/>
      </c>
      <c r="M1783" s="0" t="n">
        <f aca="false">IFERROR(SMALL(M367:M1087,ROW()-ROW($M$1090)+1),"")</f>
        <v>0</v>
      </c>
      <c r="N1783" s="0" t="n">
        <f aca="false">IFERROR(SMALL(N367:N1087,ROW()-ROW($N$1090)+1),"")</f>
        <v>0</v>
      </c>
    </row>
    <row r="1784" customFormat="false" ht="15" hidden="false" customHeight="false" outlineLevel="0" collapsed="false">
      <c r="E1784" s="0" t="n">
        <f aca="false">IFERROR(SMALL(E367:E1087,ROW()-ROW($E$1090)+1),"")</f>
        <v>0</v>
      </c>
      <c r="F1784" s="0" t="str">
        <f aca="false">IFERROR(SMALL(F367:F1087,ROW()-ROW($F$1090)+1),"")</f>
        <v/>
      </c>
      <c r="G1784" s="0" t="n">
        <f aca="false">IFERROR(SMALL(G367:G1087,ROW()-ROW($G$1090)+1),"")</f>
        <v>0</v>
      </c>
      <c r="H1784" s="0" t="n">
        <f aca="false">IFERROR(SMALL(H367:H1087,ROW()-ROW($H$1090)+1),"")</f>
        <v>0</v>
      </c>
      <c r="K1784" s="0" t="n">
        <f aca="false">IFERROR(SMALL(K367:K1087,ROW()-ROW($K$1090)+1),"")</f>
        <v>0</v>
      </c>
      <c r="L1784" s="0" t="str">
        <f aca="false">IFERROR(SMALL(L367:L1087,ROW()-ROW($L$1090)+1),"")</f>
        <v/>
      </c>
      <c r="M1784" s="0" t="n">
        <f aca="false">IFERROR(SMALL(M367:M1087,ROW()-ROW($M$1090)+1),"")</f>
        <v>0</v>
      </c>
      <c r="N1784" s="0" t="n">
        <f aca="false">IFERROR(SMALL(N367:N1087,ROW()-ROW($N$1090)+1),"")</f>
        <v>0</v>
      </c>
    </row>
    <row r="1785" customFormat="false" ht="15" hidden="false" customHeight="false" outlineLevel="0" collapsed="false">
      <c r="E1785" s="0" t="n">
        <f aca="false">IFERROR(SMALL(E367:E1087,ROW()-ROW($E$1090)+1),"")</f>
        <v>0</v>
      </c>
      <c r="F1785" s="0" t="str">
        <f aca="false">IFERROR(SMALL(F367:F1087,ROW()-ROW($F$1090)+1),"")</f>
        <v/>
      </c>
      <c r="G1785" s="0" t="n">
        <f aca="false">IFERROR(SMALL(G367:G1087,ROW()-ROW($G$1090)+1),"")</f>
        <v>0</v>
      </c>
      <c r="H1785" s="0" t="n">
        <f aca="false">IFERROR(SMALL(H367:H1087,ROW()-ROW($H$1090)+1),"")</f>
        <v>0</v>
      </c>
      <c r="K1785" s="0" t="n">
        <f aca="false">IFERROR(SMALL(K367:K1087,ROW()-ROW($K$1090)+1),"")</f>
        <v>0</v>
      </c>
      <c r="L1785" s="0" t="str">
        <f aca="false">IFERROR(SMALL(L367:L1087,ROW()-ROW($L$1090)+1),"")</f>
        <v/>
      </c>
      <c r="M1785" s="0" t="n">
        <f aca="false">IFERROR(SMALL(M367:M1087,ROW()-ROW($M$1090)+1),"")</f>
        <v>0</v>
      </c>
      <c r="N1785" s="0" t="n">
        <f aca="false">IFERROR(SMALL(N367:N1087,ROW()-ROW($N$1090)+1),"")</f>
        <v>0</v>
      </c>
    </row>
    <row r="1786" customFormat="false" ht="15" hidden="false" customHeight="false" outlineLevel="0" collapsed="false">
      <c r="E1786" s="0" t="n">
        <f aca="false">IFERROR(SMALL(E367:E1087,ROW()-ROW($E$1090)+1),"")</f>
        <v>0</v>
      </c>
      <c r="F1786" s="0" t="str">
        <f aca="false">IFERROR(SMALL(F367:F1087,ROW()-ROW($F$1090)+1),"")</f>
        <v/>
      </c>
      <c r="G1786" s="0" t="n">
        <f aca="false">IFERROR(SMALL(G367:G1087,ROW()-ROW($G$1090)+1),"")</f>
        <v>0</v>
      </c>
      <c r="H1786" s="0" t="n">
        <f aca="false">IFERROR(SMALL(H367:H1087,ROW()-ROW($H$1090)+1),"")</f>
        <v>0</v>
      </c>
      <c r="K1786" s="0" t="n">
        <f aca="false">IFERROR(SMALL(K367:K1087,ROW()-ROW($K$1090)+1),"")</f>
        <v>0</v>
      </c>
      <c r="L1786" s="0" t="str">
        <f aca="false">IFERROR(SMALL(L367:L1087,ROW()-ROW($L$1090)+1),"")</f>
        <v/>
      </c>
      <c r="M1786" s="0" t="n">
        <f aca="false">IFERROR(SMALL(M367:M1087,ROW()-ROW($M$1090)+1),"")</f>
        <v>0</v>
      </c>
      <c r="N1786" s="0" t="n">
        <f aca="false">IFERROR(SMALL(N367:N1087,ROW()-ROW($N$1090)+1),"")</f>
        <v>0</v>
      </c>
    </row>
    <row r="1787" customFormat="false" ht="15" hidden="false" customHeight="false" outlineLevel="0" collapsed="false">
      <c r="E1787" s="0" t="n">
        <f aca="false">IFERROR(SMALL(E367:E1087,ROW()-ROW($E$1090)+1),"")</f>
        <v>0</v>
      </c>
      <c r="F1787" s="0" t="str">
        <f aca="false">IFERROR(SMALL(F367:F1087,ROW()-ROW($F$1090)+1),"")</f>
        <v/>
      </c>
      <c r="G1787" s="0" t="n">
        <f aca="false">IFERROR(SMALL(G367:G1087,ROW()-ROW($G$1090)+1),"")</f>
        <v>0</v>
      </c>
      <c r="H1787" s="0" t="n">
        <f aca="false">IFERROR(SMALL(H367:H1087,ROW()-ROW($H$1090)+1),"")</f>
        <v>0</v>
      </c>
      <c r="K1787" s="0" t="n">
        <f aca="false">IFERROR(SMALL(K367:K1087,ROW()-ROW($K$1090)+1),"")</f>
        <v>0</v>
      </c>
      <c r="L1787" s="0" t="str">
        <f aca="false">IFERROR(SMALL(L367:L1087,ROW()-ROW($L$1090)+1),"")</f>
        <v/>
      </c>
      <c r="M1787" s="0" t="n">
        <f aca="false">IFERROR(SMALL(M367:M1087,ROW()-ROW($M$1090)+1),"")</f>
        <v>0</v>
      </c>
      <c r="N1787" s="0" t="n">
        <f aca="false">IFERROR(SMALL(N367:N1087,ROW()-ROW($N$1090)+1),"")</f>
        <v>0</v>
      </c>
    </row>
    <row r="1788" customFormat="false" ht="15" hidden="false" customHeight="false" outlineLevel="0" collapsed="false">
      <c r="E1788" s="0" t="n">
        <f aca="false">IFERROR(SMALL(E367:E1087,ROW()-ROW($E$1090)+1),"")</f>
        <v>0</v>
      </c>
      <c r="F1788" s="0" t="str">
        <f aca="false">IFERROR(SMALL(F367:F1087,ROW()-ROW($F$1090)+1),"")</f>
        <v/>
      </c>
      <c r="G1788" s="0" t="n">
        <f aca="false">IFERROR(SMALL(G367:G1087,ROW()-ROW($G$1090)+1),"")</f>
        <v>0</v>
      </c>
      <c r="H1788" s="0" t="n">
        <f aca="false">IFERROR(SMALL(H367:H1087,ROW()-ROW($H$1090)+1),"")</f>
        <v>0</v>
      </c>
      <c r="K1788" s="0" t="n">
        <f aca="false">IFERROR(SMALL(K367:K1087,ROW()-ROW($K$1090)+1),"")</f>
        <v>0</v>
      </c>
      <c r="L1788" s="0" t="str">
        <f aca="false">IFERROR(SMALL(L367:L1087,ROW()-ROW($L$1090)+1),"")</f>
        <v/>
      </c>
      <c r="M1788" s="0" t="n">
        <f aca="false">IFERROR(SMALL(M367:M1087,ROW()-ROW($M$1090)+1),"")</f>
        <v>0</v>
      </c>
      <c r="N1788" s="0" t="n">
        <f aca="false">IFERROR(SMALL(N367:N1087,ROW()-ROW($N$1090)+1),"")</f>
        <v>0</v>
      </c>
    </row>
    <row r="1789" customFormat="false" ht="15" hidden="false" customHeight="false" outlineLevel="0" collapsed="false">
      <c r="E1789" s="0" t="n">
        <f aca="false">IFERROR(SMALL(E367:E1087,ROW()-ROW($E$1090)+1),"")</f>
        <v>0</v>
      </c>
      <c r="F1789" s="0" t="str">
        <f aca="false">IFERROR(SMALL(F367:F1087,ROW()-ROW($F$1090)+1),"")</f>
        <v/>
      </c>
      <c r="G1789" s="0" t="n">
        <f aca="false">IFERROR(SMALL(G367:G1087,ROW()-ROW($G$1090)+1),"")</f>
        <v>0</v>
      </c>
      <c r="H1789" s="0" t="n">
        <f aca="false">IFERROR(SMALL(H367:H1087,ROW()-ROW($H$1090)+1),"")</f>
        <v>0</v>
      </c>
      <c r="K1789" s="0" t="n">
        <f aca="false">IFERROR(SMALL(K367:K1087,ROW()-ROW($K$1090)+1),"")</f>
        <v>0</v>
      </c>
      <c r="L1789" s="0" t="str">
        <f aca="false">IFERROR(SMALL(L367:L1087,ROW()-ROW($L$1090)+1),"")</f>
        <v/>
      </c>
      <c r="M1789" s="0" t="n">
        <f aca="false">IFERROR(SMALL(M367:M1087,ROW()-ROW($M$1090)+1),"")</f>
        <v>0</v>
      </c>
      <c r="N1789" s="0" t="n">
        <f aca="false">IFERROR(SMALL(N367:N1087,ROW()-ROW($N$1090)+1),"")</f>
        <v>0</v>
      </c>
    </row>
    <row r="1790" customFormat="false" ht="15" hidden="false" customHeight="false" outlineLevel="0" collapsed="false">
      <c r="E1790" s="0" t="n">
        <f aca="false">IFERROR(SMALL(E367:E1087,ROW()-ROW($E$1090)+1),"")</f>
        <v>0</v>
      </c>
      <c r="F1790" s="0" t="str">
        <f aca="false">IFERROR(SMALL(F367:F1087,ROW()-ROW($F$1090)+1),"")</f>
        <v/>
      </c>
      <c r="G1790" s="0" t="n">
        <f aca="false">IFERROR(SMALL(G367:G1087,ROW()-ROW($G$1090)+1),"")</f>
        <v>0</v>
      </c>
      <c r="H1790" s="0" t="n">
        <f aca="false">IFERROR(SMALL(H367:H1087,ROW()-ROW($H$1090)+1),"")</f>
        <v>0</v>
      </c>
      <c r="K1790" s="0" t="n">
        <f aca="false">IFERROR(SMALL(K367:K1087,ROW()-ROW($K$1090)+1),"")</f>
        <v>0</v>
      </c>
      <c r="L1790" s="0" t="str">
        <f aca="false">IFERROR(SMALL(L367:L1087,ROW()-ROW($L$1090)+1),"")</f>
        <v/>
      </c>
      <c r="M1790" s="0" t="n">
        <f aca="false">IFERROR(SMALL(M367:M1087,ROW()-ROW($M$1090)+1),"")</f>
        <v>0</v>
      </c>
      <c r="N1790" s="0" t="n">
        <f aca="false">IFERROR(SMALL(N367:N1087,ROW()-ROW($N$1090)+1),"")</f>
        <v>0</v>
      </c>
    </row>
    <row r="1791" customFormat="false" ht="15" hidden="false" customHeight="false" outlineLevel="0" collapsed="false">
      <c r="E1791" s="0" t="n">
        <f aca="false">IFERROR(SMALL(E367:E1087,ROW()-ROW($E$1090)+1),"")</f>
        <v>0</v>
      </c>
      <c r="F1791" s="0" t="str">
        <f aca="false">IFERROR(SMALL(F367:F1087,ROW()-ROW($F$1090)+1),"")</f>
        <v/>
      </c>
      <c r="G1791" s="0" t="n">
        <f aca="false">IFERROR(SMALL(G367:G1087,ROW()-ROW($G$1090)+1),"")</f>
        <v>0</v>
      </c>
      <c r="H1791" s="0" t="n">
        <f aca="false">IFERROR(SMALL(H367:H1087,ROW()-ROW($H$1090)+1),"")</f>
        <v>0</v>
      </c>
      <c r="K1791" s="0" t="n">
        <f aca="false">IFERROR(SMALL(K367:K1087,ROW()-ROW($K$1090)+1),"")</f>
        <v>0</v>
      </c>
      <c r="L1791" s="0" t="str">
        <f aca="false">IFERROR(SMALL(L367:L1087,ROW()-ROW($L$1090)+1),"")</f>
        <v/>
      </c>
      <c r="M1791" s="0" t="n">
        <f aca="false">IFERROR(SMALL(M367:M1087,ROW()-ROW($M$1090)+1),"")</f>
        <v>0</v>
      </c>
      <c r="N1791" s="0" t="n">
        <f aca="false">IFERROR(SMALL(N367:N1087,ROW()-ROW($N$1090)+1),"")</f>
        <v>0</v>
      </c>
    </row>
    <row r="1792" customFormat="false" ht="15" hidden="false" customHeight="false" outlineLevel="0" collapsed="false">
      <c r="E1792" s="0" t="n">
        <f aca="false">IFERROR(SMALL(E367:E1087,ROW()-ROW($E$1090)+1),"")</f>
        <v>0</v>
      </c>
      <c r="F1792" s="0" t="str">
        <f aca="false">IFERROR(SMALL(F367:F1087,ROW()-ROW($F$1090)+1),"")</f>
        <v/>
      </c>
      <c r="G1792" s="0" t="n">
        <f aca="false">IFERROR(SMALL(G367:G1087,ROW()-ROW($G$1090)+1),"")</f>
        <v>0</v>
      </c>
      <c r="H1792" s="0" t="n">
        <f aca="false">IFERROR(SMALL(H367:H1087,ROW()-ROW($H$1090)+1),"")</f>
        <v>0</v>
      </c>
      <c r="K1792" s="0" t="n">
        <f aca="false">IFERROR(SMALL(K367:K1087,ROW()-ROW($K$1090)+1),"")</f>
        <v>0</v>
      </c>
      <c r="L1792" s="0" t="str">
        <f aca="false">IFERROR(SMALL(L367:L1087,ROW()-ROW($L$1090)+1),"")</f>
        <v/>
      </c>
      <c r="M1792" s="0" t="n">
        <f aca="false">IFERROR(SMALL(M367:M1087,ROW()-ROW($M$1090)+1),"")</f>
        <v>0</v>
      </c>
      <c r="N1792" s="0" t="n">
        <f aca="false">IFERROR(SMALL(N367:N1087,ROW()-ROW($N$1090)+1),"")</f>
        <v>0</v>
      </c>
    </row>
    <row r="1793" customFormat="false" ht="15" hidden="false" customHeight="false" outlineLevel="0" collapsed="false">
      <c r="E1793" s="0" t="n">
        <f aca="false">IFERROR(SMALL(E367:E1087,ROW()-ROW($E$1090)+1),"")</f>
        <v>0</v>
      </c>
      <c r="F1793" s="0" t="str">
        <f aca="false">IFERROR(SMALL(F367:F1087,ROW()-ROW($F$1090)+1),"")</f>
        <v/>
      </c>
      <c r="G1793" s="0" t="n">
        <f aca="false">IFERROR(SMALL(G367:G1087,ROW()-ROW($G$1090)+1),"")</f>
        <v>0</v>
      </c>
      <c r="H1793" s="0" t="n">
        <f aca="false">IFERROR(SMALL(H367:H1087,ROW()-ROW($H$1090)+1),"")</f>
        <v>0</v>
      </c>
      <c r="K1793" s="0" t="n">
        <f aca="false">IFERROR(SMALL(K367:K1087,ROW()-ROW($K$1090)+1),"")</f>
        <v>0</v>
      </c>
      <c r="L1793" s="0" t="str">
        <f aca="false">IFERROR(SMALL(L367:L1087,ROW()-ROW($L$1090)+1),"")</f>
        <v/>
      </c>
      <c r="M1793" s="0" t="n">
        <f aca="false">IFERROR(SMALL(M367:M1087,ROW()-ROW($M$1090)+1),"")</f>
        <v>0</v>
      </c>
      <c r="N1793" s="0" t="n">
        <f aca="false">IFERROR(SMALL(N367:N1087,ROW()-ROW($N$1090)+1),"")</f>
        <v>0</v>
      </c>
    </row>
    <row r="1794" customFormat="false" ht="15" hidden="false" customHeight="false" outlineLevel="0" collapsed="false">
      <c r="E1794" s="0" t="n">
        <f aca="false">IFERROR(SMALL(E367:E1087,ROW()-ROW($E$1090)+1),"")</f>
        <v>0</v>
      </c>
      <c r="F1794" s="0" t="str">
        <f aca="false">IFERROR(SMALL(F367:F1087,ROW()-ROW($F$1090)+1),"")</f>
        <v/>
      </c>
      <c r="G1794" s="0" t="n">
        <f aca="false">IFERROR(SMALL(G367:G1087,ROW()-ROW($G$1090)+1),"")</f>
        <v>0</v>
      </c>
      <c r="H1794" s="0" t="n">
        <f aca="false">IFERROR(SMALL(H367:H1087,ROW()-ROW($H$1090)+1),"")</f>
        <v>0</v>
      </c>
      <c r="K1794" s="0" t="n">
        <f aca="false">IFERROR(SMALL(K367:K1087,ROW()-ROW($K$1090)+1),"")</f>
        <v>0</v>
      </c>
      <c r="L1794" s="0" t="str">
        <f aca="false">IFERROR(SMALL(L367:L1087,ROW()-ROW($L$1090)+1),"")</f>
        <v/>
      </c>
      <c r="M1794" s="0" t="n">
        <f aca="false">IFERROR(SMALL(M367:M1087,ROW()-ROW($M$1090)+1),"")</f>
        <v>0</v>
      </c>
      <c r="N1794" s="0" t="n">
        <f aca="false">IFERROR(SMALL(N367:N1087,ROW()-ROW($N$1090)+1),"")</f>
        <v>0</v>
      </c>
    </row>
    <row r="1795" customFormat="false" ht="15" hidden="false" customHeight="false" outlineLevel="0" collapsed="false">
      <c r="E1795" s="0" t="n">
        <f aca="false">IFERROR(SMALL(E367:E1087,ROW()-ROW($E$1090)+1),"")</f>
        <v>0</v>
      </c>
      <c r="F1795" s="0" t="str">
        <f aca="false">IFERROR(SMALL(F367:F1087,ROW()-ROW($F$1090)+1),"")</f>
        <v/>
      </c>
      <c r="G1795" s="0" t="n">
        <f aca="false">IFERROR(SMALL(G367:G1087,ROW()-ROW($G$1090)+1),"")</f>
        <v>0</v>
      </c>
      <c r="H1795" s="0" t="n">
        <f aca="false">IFERROR(SMALL(H367:H1087,ROW()-ROW($H$1090)+1),"")</f>
        <v>0</v>
      </c>
      <c r="K1795" s="0" t="n">
        <f aca="false">IFERROR(SMALL(K367:K1087,ROW()-ROW($K$1090)+1),"")</f>
        <v>0</v>
      </c>
      <c r="L1795" s="0" t="str">
        <f aca="false">IFERROR(SMALL(L367:L1087,ROW()-ROW($L$1090)+1),"")</f>
        <v/>
      </c>
      <c r="M1795" s="0" t="n">
        <f aca="false">IFERROR(SMALL(M367:M1087,ROW()-ROW($M$1090)+1),"")</f>
        <v>0</v>
      </c>
      <c r="N1795" s="0" t="n">
        <f aca="false">IFERROR(SMALL(N367:N1087,ROW()-ROW($N$1090)+1),"")</f>
        <v>0</v>
      </c>
    </row>
    <row r="1796" customFormat="false" ht="15" hidden="false" customHeight="false" outlineLevel="0" collapsed="false">
      <c r="E1796" s="0" t="n">
        <f aca="false">IFERROR(SMALL(E367:E1087,ROW()-ROW($E$1090)+1),"")</f>
        <v>0</v>
      </c>
      <c r="F1796" s="0" t="str">
        <f aca="false">IFERROR(SMALL(F367:F1087,ROW()-ROW($F$1090)+1),"")</f>
        <v/>
      </c>
      <c r="G1796" s="0" t="n">
        <f aca="false">IFERROR(SMALL(G367:G1087,ROW()-ROW($G$1090)+1),"")</f>
        <v>0</v>
      </c>
      <c r="H1796" s="0" t="n">
        <f aca="false">IFERROR(SMALL(H367:H1087,ROW()-ROW($H$1090)+1),"")</f>
        <v>0</v>
      </c>
      <c r="K1796" s="0" t="n">
        <f aca="false">IFERROR(SMALL(K367:K1087,ROW()-ROW($K$1090)+1),"")</f>
        <v>0</v>
      </c>
      <c r="L1796" s="0" t="str">
        <f aca="false">IFERROR(SMALL(L367:L1087,ROW()-ROW($L$1090)+1),"")</f>
        <v/>
      </c>
      <c r="M1796" s="0" t="n">
        <f aca="false">IFERROR(SMALL(M367:M1087,ROW()-ROW($M$1090)+1),"")</f>
        <v>0</v>
      </c>
      <c r="N1796" s="0" t="n">
        <f aca="false">IFERROR(SMALL(N367:N1087,ROW()-ROW($N$1090)+1),"")</f>
        <v>0</v>
      </c>
    </row>
    <row r="1797" customFormat="false" ht="15" hidden="false" customHeight="false" outlineLevel="0" collapsed="false">
      <c r="E1797" s="0" t="n">
        <f aca="false">IFERROR(SMALL(E367:E1087,ROW()-ROW($E$1090)+1),"")</f>
        <v>0</v>
      </c>
      <c r="F1797" s="0" t="str">
        <f aca="false">IFERROR(SMALL(F367:F1087,ROW()-ROW($F$1090)+1),"")</f>
        <v/>
      </c>
      <c r="G1797" s="0" t="n">
        <f aca="false">IFERROR(SMALL(G367:G1087,ROW()-ROW($G$1090)+1),"")</f>
        <v>0</v>
      </c>
      <c r="H1797" s="0" t="n">
        <f aca="false">IFERROR(SMALL(H367:H1087,ROW()-ROW($H$1090)+1),"")</f>
        <v>0</v>
      </c>
      <c r="K1797" s="0" t="n">
        <f aca="false">IFERROR(SMALL(K367:K1087,ROW()-ROW($K$1090)+1),"")</f>
        <v>0</v>
      </c>
      <c r="L1797" s="0" t="str">
        <f aca="false">IFERROR(SMALL(L367:L1087,ROW()-ROW($L$1090)+1),"")</f>
        <v/>
      </c>
      <c r="M1797" s="0" t="n">
        <f aca="false">IFERROR(SMALL(M367:M1087,ROW()-ROW($M$1090)+1),"")</f>
        <v>0</v>
      </c>
      <c r="N1797" s="0" t="n">
        <f aca="false">IFERROR(SMALL(N367:N1087,ROW()-ROW($N$1090)+1),"")</f>
        <v>0</v>
      </c>
    </row>
    <row r="1798" customFormat="false" ht="15" hidden="false" customHeight="false" outlineLevel="0" collapsed="false">
      <c r="E1798" s="0" t="n">
        <f aca="false">IFERROR(SMALL(E367:E1087,ROW()-ROW($E$1090)+1),"")</f>
        <v>0</v>
      </c>
      <c r="F1798" s="0" t="str">
        <f aca="false">IFERROR(SMALL(F367:F1087,ROW()-ROW($F$1090)+1),"")</f>
        <v/>
      </c>
      <c r="G1798" s="0" t="n">
        <f aca="false">IFERROR(SMALL(G367:G1087,ROW()-ROW($G$1090)+1),"")</f>
        <v>0</v>
      </c>
      <c r="H1798" s="0" t="n">
        <f aca="false">IFERROR(SMALL(H367:H1087,ROW()-ROW($H$1090)+1),"")</f>
        <v>0</v>
      </c>
      <c r="K1798" s="0" t="n">
        <f aca="false">IFERROR(SMALL(K367:K1087,ROW()-ROW($K$1090)+1),"")</f>
        <v>0</v>
      </c>
      <c r="L1798" s="0" t="str">
        <f aca="false">IFERROR(SMALL(L367:L1087,ROW()-ROW($L$1090)+1),"")</f>
        <v/>
      </c>
      <c r="M1798" s="0" t="n">
        <f aca="false">IFERROR(SMALL(M367:M1087,ROW()-ROW($M$1090)+1),"")</f>
        <v>0</v>
      </c>
      <c r="N1798" s="0" t="n">
        <f aca="false">IFERROR(SMALL(N367:N1087,ROW()-ROW($N$1090)+1),"")</f>
        <v>0</v>
      </c>
    </row>
    <row r="1799" customFormat="false" ht="15" hidden="false" customHeight="false" outlineLevel="0" collapsed="false">
      <c r="E1799" s="0" t="n">
        <f aca="false">IFERROR(SMALL(E367:E1087,ROW()-ROW($E$1090)+1),"")</f>
        <v>0</v>
      </c>
      <c r="F1799" s="0" t="str">
        <f aca="false">IFERROR(SMALL(F367:F1087,ROW()-ROW($F$1090)+1),"")</f>
        <v/>
      </c>
      <c r="G1799" s="0" t="n">
        <f aca="false">IFERROR(SMALL(G367:G1087,ROW()-ROW($G$1090)+1),"")</f>
        <v>0</v>
      </c>
      <c r="H1799" s="0" t="n">
        <f aca="false">IFERROR(SMALL(H367:H1087,ROW()-ROW($H$1090)+1),"")</f>
        <v>0</v>
      </c>
      <c r="K1799" s="0" t="n">
        <f aca="false">IFERROR(SMALL(K367:K1087,ROW()-ROW($K$1090)+1),"")</f>
        <v>0</v>
      </c>
      <c r="L1799" s="0" t="str">
        <f aca="false">IFERROR(SMALL(L367:L1087,ROW()-ROW($L$1090)+1),"")</f>
        <v/>
      </c>
      <c r="M1799" s="0" t="n">
        <f aca="false">IFERROR(SMALL(M367:M1087,ROW()-ROW($M$1090)+1),"")</f>
        <v>0</v>
      </c>
      <c r="N1799" s="0" t="n">
        <f aca="false">IFERROR(SMALL(N367:N1087,ROW()-ROW($N$1090)+1),"")</f>
        <v>0</v>
      </c>
    </row>
    <row r="1800" customFormat="false" ht="15" hidden="false" customHeight="false" outlineLevel="0" collapsed="false">
      <c r="E1800" s="0" t="n">
        <f aca="false">IFERROR(SMALL(E367:E1087,ROW()-ROW($E$1090)+1),"")</f>
        <v>0</v>
      </c>
      <c r="F1800" s="0" t="str">
        <f aca="false">IFERROR(SMALL(F367:F1087,ROW()-ROW($F$1090)+1),"")</f>
        <v/>
      </c>
      <c r="G1800" s="0" t="n">
        <f aca="false">IFERROR(SMALL(G367:G1087,ROW()-ROW($G$1090)+1),"")</f>
        <v>0</v>
      </c>
      <c r="H1800" s="0" t="n">
        <f aca="false">IFERROR(SMALL(H367:H1087,ROW()-ROW($H$1090)+1),"")</f>
        <v>0</v>
      </c>
      <c r="K1800" s="0" t="n">
        <f aca="false">IFERROR(SMALL(K367:K1087,ROW()-ROW($K$1090)+1),"")</f>
        <v>0</v>
      </c>
      <c r="L1800" s="0" t="str">
        <f aca="false">IFERROR(SMALL(L367:L1087,ROW()-ROW($L$1090)+1),"")</f>
        <v/>
      </c>
      <c r="M1800" s="0" t="n">
        <f aca="false">IFERROR(SMALL(M367:M1087,ROW()-ROW($M$1090)+1),"")</f>
        <v>0</v>
      </c>
      <c r="N1800" s="0" t="n">
        <f aca="false">IFERROR(SMALL(N367:N1087,ROW()-ROW($N$1090)+1),"")</f>
        <v>0</v>
      </c>
    </row>
    <row r="1801" customFormat="false" ht="15" hidden="false" customHeight="false" outlineLevel="0" collapsed="false">
      <c r="E1801" s="0" t="n">
        <f aca="false">IFERROR(SMALL(E367:E1087,ROW()-ROW($E$1090)+1),"")</f>
        <v>0</v>
      </c>
      <c r="F1801" s="0" t="str">
        <f aca="false">IFERROR(SMALL(F367:F1087,ROW()-ROW($F$1090)+1),"")</f>
        <v/>
      </c>
      <c r="G1801" s="0" t="n">
        <f aca="false">IFERROR(SMALL(G367:G1087,ROW()-ROW($G$1090)+1),"")</f>
        <v>0</v>
      </c>
      <c r="H1801" s="0" t="n">
        <f aca="false">IFERROR(SMALL(H367:H1087,ROW()-ROW($H$1090)+1),"")</f>
        <v>0</v>
      </c>
      <c r="K1801" s="0" t="n">
        <f aca="false">IFERROR(SMALL(K367:K1087,ROW()-ROW($K$1090)+1),"")</f>
        <v>0</v>
      </c>
      <c r="L1801" s="0" t="str">
        <f aca="false">IFERROR(SMALL(L367:L1087,ROW()-ROW($L$1090)+1),"")</f>
        <v/>
      </c>
      <c r="M1801" s="0" t="n">
        <f aca="false">IFERROR(SMALL(M367:M1087,ROW()-ROW($M$1090)+1),"")</f>
        <v>0</v>
      </c>
      <c r="N1801" s="0" t="n">
        <f aca="false">IFERROR(SMALL(N367:N1087,ROW()-ROW($N$1090)+1),"")</f>
        <v>0</v>
      </c>
    </row>
    <row r="1802" customFormat="false" ht="15" hidden="false" customHeight="false" outlineLevel="0" collapsed="false">
      <c r="E1802" s="0" t="n">
        <f aca="false">IFERROR(SMALL(E367:E1087,ROW()-ROW($E$1090)+1),"")</f>
        <v>0</v>
      </c>
      <c r="F1802" s="0" t="str">
        <f aca="false">IFERROR(SMALL(F367:F1087,ROW()-ROW($F$1090)+1),"")</f>
        <v/>
      </c>
      <c r="G1802" s="0" t="n">
        <f aca="false">IFERROR(SMALL(G367:G1087,ROW()-ROW($G$1090)+1),"")</f>
        <v>0</v>
      </c>
      <c r="H1802" s="0" t="n">
        <f aca="false">IFERROR(SMALL(H367:H1087,ROW()-ROW($H$1090)+1),"")</f>
        <v>0</v>
      </c>
      <c r="K1802" s="0" t="n">
        <f aca="false">IFERROR(SMALL(K367:K1087,ROW()-ROW($K$1090)+1),"")</f>
        <v>0</v>
      </c>
      <c r="L1802" s="0" t="str">
        <f aca="false">IFERROR(SMALL(L367:L1087,ROW()-ROW($L$1090)+1),"")</f>
        <v/>
      </c>
      <c r="M1802" s="0" t="n">
        <f aca="false">IFERROR(SMALL(M367:M1087,ROW()-ROW($M$1090)+1),"")</f>
        <v>0</v>
      </c>
      <c r="N1802" s="0" t="n">
        <f aca="false">IFERROR(SMALL(N367:N1087,ROW()-ROW($N$1090)+1),"")</f>
        <v>0</v>
      </c>
    </row>
    <row r="1803" customFormat="false" ht="15" hidden="false" customHeight="false" outlineLevel="0" collapsed="false">
      <c r="E1803" s="0" t="n">
        <f aca="false">IFERROR(SMALL(E367:E1087,ROW()-ROW($E$1090)+1),"")</f>
        <v>0</v>
      </c>
      <c r="F1803" s="0" t="str">
        <f aca="false">IFERROR(SMALL(F367:F1087,ROW()-ROW($F$1090)+1),"")</f>
        <v/>
      </c>
      <c r="G1803" s="0" t="n">
        <f aca="false">IFERROR(SMALL(G367:G1087,ROW()-ROW($G$1090)+1),"")</f>
        <v>0</v>
      </c>
      <c r="H1803" s="0" t="n">
        <f aca="false">IFERROR(SMALL(H367:H1087,ROW()-ROW($H$1090)+1),"")</f>
        <v>0</v>
      </c>
      <c r="K1803" s="0" t="n">
        <f aca="false">IFERROR(SMALL(K367:K1087,ROW()-ROW($K$1090)+1),"")</f>
        <v>0</v>
      </c>
      <c r="L1803" s="0" t="str">
        <f aca="false">IFERROR(SMALL(L367:L1087,ROW()-ROW($L$1090)+1),"")</f>
        <v/>
      </c>
      <c r="M1803" s="0" t="n">
        <f aca="false">IFERROR(SMALL(M367:M1087,ROW()-ROW($M$1090)+1),"")</f>
        <v>0</v>
      </c>
      <c r="N1803" s="0" t="n">
        <f aca="false">IFERROR(SMALL(N367:N1087,ROW()-ROW($N$1090)+1),"")</f>
        <v>0</v>
      </c>
    </row>
    <row r="1804" customFormat="false" ht="15" hidden="false" customHeight="false" outlineLevel="0" collapsed="false">
      <c r="E1804" s="0" t="n">
        <f aca="false">IFERROR(SMALL(E367:E1087,ROW()-ROW($E$1090)+1),"")</f>
        <v>0</v>
      </c>
      <c r="F1804" s="0" t="str">
        <f aca="false">IFERROR(SMALL(F367:F1087,ROW()-ROW($F$1090)+1),"")</f>
        <v/>
      </c>
      <c r="G1804" s="0" t="n">
        <f aca="false">IFERROR(SMALL(G367:G1087,ROW()-ROW($G$1090)+1),"")</f>
        <v>0</v>
      </c>
      <c r="H1804" s="0" t="n">
        <f aca="false">IFERROR(SMALL(H367:H1087,ROW()-ROW($H$1090)+1),"")</f>
        <v>0</v>
      </c>
      <c r="K1804" s="0" t="n">
        <f aca="false">IFERROR(SMALL(K367:K1087,ROW()-ROW($K$1090)+1),"")</f>
        <v>0</v>
      </c>
      <c r="L1804" s="0" t="str">
        <f aca="false">IFERROR(SMALL(L367:L1087,ROW()-ROW($L$1090)+1),"")</f>
        <v/>
      </c>
      <c r="M1804" s="0" t="n">
        <f aca="false">IFERROR(SMALL(M367:M1087,ROW()-ROW($M$1090)+1),"")</f>
        <v>0</v>
      </c>
      <c r="N1804" s="0" t="n">
        <f aca="false">IFERROR(SMALL(N367:N1087,ROW()-ROW($N$1090)+1),"")</f>
        <v>0</v>
      </c>
    </row>
    <row r="1805" customFormat="false" ht="15" hidden="false" customHeight="false" outlineLevel="0" collapsed="false">
      <c r="E1805" s="0" t="n">
        <f aca="false">IFERROR(SMALL(E367:E1087,ROW()-ROW($E$1090)+1),"")</f>
        <v>0</v>
      </c>
      <c r="F1805" s="0" t="str">
        <f aca="false">IFERROR(SMALL(F367:F1087,ROW()-ROW($F$1090)+1),"")</f>
        <v/>
      </c>
      <c r="G1805" s="0" t="n">
        <f aca="false">IFERROR(SMALL(G367:G1087,ROW()-ROW($G$1090)+1),"")</f>
        <v>0</v>
      </c>
      <c r="H1805" s="0" t="n">
        <f aca="false">IFERROR(SMALL(H367:H1087,ROW()-ROW($H$1090)+1),"")</f>
        <v>0</v>
      </c>
      <c r="K1805" s="0" t="n">
        <f aca="false">IFERROR(SMALL(K367:K1087,ROW()-ROW($K$1090)+1),"")</f>
        <v>0</v>
      </c>
      <c r="L1805" s="0" t="str">
        <f aca="false">IFERROR(SMALL(L367:L1087,ROW()-ROW($L$1090)+1),"")</f>
        <v/>
      </c>
      <c r="M1805" s="0" t="n">
        <f aca="false">IFERROR(SMALL(M367:M1087,ROW()-ROW($M$1090)+1),"")</f>
        <v>0</v>
      </c>
      <c r="N1805" s="0" t="n">
        <f aca="false">IFERROR(SMALL(N367:N1087,ROW()-ROW($N$1090)+1),"")</f>
        <v>0</v>
      </c>
    </row>
    <row r="1806" customFormat="false" ht="15" hidden="false" customHeight="false" outlineLevel="0" collapsed="false">
      <c r="E1806" s="0" t="n">
        <f aca="false">IFERROR(SMALL(E367:E1087,ROW()-ROW($E$1090)+1),"")</f>
        <v>0</v>
      </c>
      <c r="F1806" s="0" t="str">
        <f aca="false">IFERROR(SMALL(F367:F1087,ROW()-ROW($F$1090)+1),"")</f>
        <v/>
      </c>
      <c r="G1806" s="0" t="n">
        <f aca="false">IFERROR(SMALL(G367:G1087,ROW()-ROW($G$1090)+1),"")</f>
        <v>0</v>
      </c>
      <c r="H1806" s="0" t="n">
        <f aca="false">IFERROR(SMALL(H367:H1087,ROW()-ROW($H$1090)+1),"")</f>
        <v>0</v>
      </c>
      <c r="K1806" s="0" t="n">
        <f aca="false">IFERROR(SMALL(K367:K1087,ROW()-ROW($K$1090)+1),"")</f>
        <v>0</v>
      </c>
      <c r="L1806" s="0" t="str">
        <f aca="false">IFERROR(SMALL(L367:L1087,ROW()-ROW($L$1090)+1),"")</f>
        <v/>
      </c>
      <c r="M1806" s="0" t="n">
        <f aca="false">IFERROR(SMALL(M367:M1087,ROW()-ROW($M$1090)+1),"")</f>
        <v>0</v>
      </c>
      <c r="N1806" s="0" t="n">
        <f aca="false">IFERROR(SMALL(N367:N1087,ROW()-ROW($N$1090)+1),"")</f>
        <v>0</v>
      </c>
    </row>
    <row r="1807" customFormat="false" ht="15" hidden="false" customHeight="false" outlineLevel="0" collapsed="false">
      <c r="E1807" s="0" t="n">
        <f aca="false">IFERROR(SMALL(E367:E1087,ROW()-ROW($E$1090)+1),"")</f>
        <v>0</v>
      </c>
      <c r="F1807" s="0" t="str">
        <f aca="false">IFERROR(SMALL(F367:F1087,ROW()-ROW($F$1090)+1),"")</f>
        <v/>
      </c>
      <c r="G1807" s="0" t="n">
        <f aca="false">IFERROR(SMALL(G367:G1087,ROW()-ROW($G$1090)+1),"")</f>
        <v>0</v>
      </c>
      <c r="H1807" s="0" t="n">
        <f aca="false">IFERROR(SMALL(H367:H1087,ROW()-ROW($H$1090)+1),"")</f>
        <v>0</v>
      </c>
      <c r="K1807" s="0" t="n">
        <f aca="false">IFERROR(SMALL(K367:K1087,ROW()-ROW($K$1090)+1),"")</f>
        <v>0</v>
      </c>
      <c r="L1807" s="0" t="str">
        <f aca="false">IFERROR(SMALL(L367:L1087,ROW()-ROW($L$1090)+1),"")</f>
        <v/>
      </c>
      <c r="M1807" s="0" t="n">
        <f aca="false">IFERROR(SMALL(M367:M1087,ROW()-ROW($M$1090)+1),"")</f>
        <v>0</v>
      </c>
      <c r="N1807" s="0" t="n">
        <f aca="false">IFERROR(SMALL(N367:N1087,ROW()-ROW($N$1090)+1),"")</f>
        <v>0</v>
      </c>
    </row>
    <row r="1808" customFormat="false" ht="15" hidden="false" customHeight="false" outlineLevel="0" collapsed="false">
      <c r="E1808" s="0" t="n">
        <f aca="false">IFERROR(SMALL(E367:E1087,ROW()-ROW($E$1090)+1),"")</f>
        <v>0</v>
      </c>
      <c r="F1808" s="0" t="str">
        <f aca="false">IFERROR(SMALL(F367:F1087,ROW()-ROW($F$1090)+1),"")</f>
        <v/>
      </c>
      <c r="G1808" s="0" t="n">
        <f aca="false">IFERROR(SMALL(G367:G1087,ROW()-ROW($G$1090)+1),"")</f>
        <v>0</v>
      </c>
      <c r="H1808" s="0" t="n">
        <f aca="false">IFERROR(SMALL(H367:H1087,ROW()-ROW($H$1090)+1),"")</f>
        <v>0</v>
      </c>
      <c r="K1808" s="0" t="n">
        <f aca="false">IFERROR(SMALL(K367:K1087,ROW()-ROW($K$1090)+1),"")</f>
        <v>0</v>
      </c>
      <c r="L1808" s="0" t="str">
        <f aca="false">IFERROR(SMALL(L367:L1087,ROW()-ROW($L$1090)+1),"")</f>
        <v/>
      </c>
      <c r="M1808" s="0" t="n">
        <f aca="false">IFERROR(SMALL(M367:M1087,ROW()-ROW($M$1090)+1),"")</f>
        <v>0</v>
      </c>
      <c r="N1808" s="0" t="n">
        <f aca="false">IFERROR(SMALL(N367:N1087,ROW()-ROW($N$1090)+1),"")</f>
        <v>0</v>
      </c>
    </row>
    <row r="1809" customFormat="false" ht="15" hidden="false" customHeight="false" outlineLevel="0" collapsed="false">
      <c r="E1809" s="0" t="n">
        <f aca="false">IFERROR(SMALL(E367:E1087,ROW()-ROW($E$1090)+1),"")</f>
        <v>0</v>
      </c>
      <c r="F1809" s="0" t="str">
        <f aca="false">IFERROR(SMALL(F367:F1087,ROW()-ROW($F$1090)+1),"")</f>
        <v/>
      </c>
      <c r="G1809" s="0" t="n">
        <f aca="false">IFERROR(SMALL(G367:G1087,ROW()-ROW($G$1090)+1),"")</f>
        <v>0</v>
      </c>
      <c r="H1809" s="0" t="n">
        <f aca="false">IFERROR(SMALL(H367:H1087,ROW()-ROW($H$1090)+1),"")</f>
        <v>0</v>
      </c>
      <c r="K1809" s="0" t="n">
        <f aca="false">IFERROR(SMALL(K367:K1087,ROW()-ROW($K$1090)+1),"")</f>
        <v>0</v>
      </c>
      <c r="L1809" s="0" t="str">
        <f aca="false">IFERROR(SMALL(L367:L1087,ROW()-ROW($L$1090)+1),"")</f>
        <v/>
      </c>
      <c r="M1809" s="0" t="n">
        <f aca="false">IFERROR(SMALL(M367:M1087,ROW()-ROW($M$1090)+1),"")</f>
        <v>0</v>
      </c>
      <c r="N1809" s="0" t="n">
        <f aca="false">IFERROR(SMALL(N367:N1087,ROW()-ROW($N$1090)+1),"")</f>
        <v>0</v>
      </c>
    </row>
    <row r="1811" customFormat="false" ht="15" hidden="false" customHeight="false" outlineLevel="0" collapsed="false">
      <c r="D1811" s="0" t="s">
        <v>410</v>
      </c>
      <c r="E1811" s="0" t="s">
        <v>403</v>
      </c>
      <c r="F1811" s="0" t="s">
        <v>405</v>
      </c>
      <c r="G1811" s="0" t="s">
        <v>403</v>
      </c>
      <c r="H1811" s="0" t="s">
        <v>406</v>
      </c>
      <c r="J1811" s="0" t="s">
        <v>410</v>
      </c>
      <c r="K1811" s="0" t="s">
        <v>403</v>
      </c>
      <c r="L1811" s="0" t="s">
        <v>405</v>
      </c>
      <c r="M1811" s="0" t="s">
        <v>403</v>
      </c>
      <c r="N1811" s="0" t="s">
        <v>406</v>
      </c>
    </row>
    <row r="1812" customFormat="false" ht="15" hidden="false" customHeight="false" outlineLevel="0" collapsed="false">
      <c r="E1812" s="0" t="n">
        <f aca="false">IF(ISNA(F1812),NA(),E1090)</f>
        <v>0</v>
      </c>
      <c r="F1812" s="0" t="n">
        <f aca="false">IF(F1090="",NA(),F1090)</f>
        <v>0</v>
      </c>
      <c r="G1812" s="0" t="n">
        <f aca="false">IF(ISNA(H1812),NA(),G1090)</f>
        <v>0</v>
      </c>
      <c r="H1812" s="0" t="n">
        <f aca="false">IF(H1090="",NA(),H1090)</f>
        <v>0</v>
      </c>
      <c r="K1812" s="0" t="n">
        <f aca="false">IF(ISNA(L1812),NA(),K1090)</f>
        <v>0</v>
      </c>
      <c r="L1812" s="0" t="n">
        <f aca="false">IF(L1090="",NA(),L1090)</f>
        <v>0</v>
      </c>
      <c r="M1812" s="0" t="n">
        <f aca="false">IF(ISNA(N1812),NA(),M1090)</f>
        <v>0</v>
      </c>
      <c r="N1812" s="0" t="n">
        <f aca="false">IF(N1090="",NA(),N1090)</f>
        <v>0</v>
      </c>
    </row>
    <row r="1813" customFormat="false" ht="15" hidden="false" customHeight="false" outlineLevel="0" collapsed="false">
      <c r="E1813" s="0" t="n">
        <f aca="false">IF(ISNA(F1813),NA(),E1091)</f>
        <v>0</v>
      </c>
      <c r="F1813" s="0" t="n">
        <f aca="false">IF(OR(F1091="",AND(F1091=F1090,F1091=F1092)),NA(), F1091)</f>
        <v>0</v>
      </c>
      <c r="G1813" s="0" t="e">
        <f aca="false">IF(ISNA(H1813),NA(),G1091)</f>
        <v>#N/A</v>
      </c>
      <c r="H1813" s="0" t="e">
        <f aca="false">IF(OR(H1091="",AND(H1091=H1090,H1091=H1092)),NA(), H1091)</f>
        <v>#N/A</v>
      </c>
      <c r="K1813" s="0" t="n">
        <f aca="false">IF(ISNA(L1813),NA(),K1091)</f>
        <v>0</v>
      </c>
      <c r="L1813" s="0" t="n">
        <f aca="false">IF(OR(L1091="",AND(L1091=L1090,L1091=L1092)),NA(), L1091)</f>
        <v>0</v>
      </c>
      <c r="M1813" s="0" t="e">
        <f aca="false">IF(ISNA(N1813),NA(),M1091)</f>
        <v>#N/A</v>
      </c>
      <c r="N1813" s="0" t="e">
        <f aca="false">IF(OR(N1091="",AND(N1091=N1090,N1091=N1092)),NA(), N1091)</f>
        <v>#N/A</v>
      </c>
    </row>
    <row r="1814" customFormat="false" ht="15" hidden="false" customHeight="false" outlineLevel="0" collapsed="false">
      <c r="E1814" s="0" t="e">
        <f aca="false">IF(ISNA(F1814),NA(),E1092)</f>
        <v>#N/A</v>
      </c>
      <c r="F1814" s="0" t="e">
        <f aca="false">IF(OR(F1092="",AND(F1092=F1091,F1092=F1093)),NA(), F1092)</f>
        <v>#N/A</v>
      </c>
      <c r="G1814" s="0" t="e">
        <f aca="false">IF(ISNA(H1814),NA(),G1092)</f>
        <v>#N/A</v>
      </c>
      <c r="H1814" s="0" t="e">
        <f aca="false">IF(OR(H1092="",AND(H1092=H1091,H1092=H1093)),NA(), H1092)</f>
        <v>#N/A</v>
      </c>
      <c r="K1814" s="0" t="e">
        <f aca="false">IF(ISNA(L1814),NA(),K1092)</f>
        <v>#N/A</v>
      </c>
      <c r="L1814" s="0" t="e">
        <f aca="false">IF(OR(L1092="",AND(L1092=L1091,L1092=L1093)),NA(), L1092)</f>
        <v>#N/A</v>
      </c>
      <c r="M1814" s="0" t="e">
        <f aca="false">IF(ISNA(N1814),NA(),M1092)</f>
        <v>#N/A</v>
      </c>
      <c r="N1814" s="0" t="e">
        <f aca="false">IF(OR(N1092="",AND(N1092=N1091,N1092=N1093)),NA(), N1092)</f>
        <v>#N/A</v>
      </c>
    </row>
    <row r="1815" customFormat="false" ht="15" hidden="false" customHeight="false" outlineLevel="0" collapsed="false">
      <c r="E1815" s="0" t="e">
        <f aca="false">IF(ISNA(F1815),NA(),E1093)</f>
        <v>#N/A</v>
      </c>
      <c r="F1815" s="0" t="e">
        <f aca="false">IF(OR(F1093="",AND(F1093=F1092,F1093=F1094)),NA(), F1093)</f>
        <v>#N/A</v>
      </c>
      <c r="G1815" s="0" t="e">
        <f aca="false">IF(ISNA(H1815),NA(),G1093)</f>
        <v>#N/A</v>
      </c>
      <c r="H1815" s="0" t="e">
        <f aca="false">IF(OR(H1093="",AND(H1093=H1092,H1093=H1094)),NA(), H1093)</f>
        <v>#N/A</v>
      </c>
      <c r="K1815" s="0" t="e">
        <f aca="false">IF(ISNA(L1815),NA(),K1093)</f>
        <v>#N/A</v>
      </c>
      <c r="L1815" s="0" t="e">
        <f aca="false">IF(OR(L1093="",AND(L1093=L1092,L1093=L1094)),NA(), L1093)</f>
        <v>#N/A</v>
      </c>
      <c r="M1815" s="0" t="e">
        <f aca="false">IF(ISNA(N1815),NA(),M1093)</f>
        <v>#N/A</v>
      </c>
      <c r="N1815" s="0" t="e">
        <f aca="false">IF(OR(N1093="",AND(N1093=N1092,N1093=N1094)),NA(), N1093)</f>
        <v>#N/A</v>
      </c>
    </row>
    <row r="1816" customFormat="false" ht="15" hidden="false" customHeight="false" outlineLevel="0" collapsed="false">
      <c r="E1816" s="0" t="e">
        <f aca="false">IF(ISNA(F1816),NA(),E1094)</f>
        <v>#N/A</v>
      </c>
      <c r="F1816" s="0" t="e">
        <f aca="false">IF(OR(F1094="",AND(F1094=F1093,F1094=F1095)),NA(), F1094)</f>
        <v>#N/A</v>
      </c>
      <c r="G1816" s="0" t="e">
        <f aca="false">IF(ISNA(H1816),NA(),G1094)</f>
        <v>#N/A</v>
      </c>
      <c r="H1816" s="0" t="e">
        <f aca="false">IF(OR(H1094="",AND(H1094=H1093,H1094=H1095)),NA(), H1094)</f>
        <v>#N/A</v>
      </c>
      <c r="K1816" s="0" t="e">
        <f aca="false">IF(ISNA(L1816),NA(),K1094)</f>
        <v>#N/A</v>
      </c>
      <c r="L1816" s="0" t="e">
        <f aca="false">IF(OR(L1094="",AND(L1094=L1093,L1094=L1095)),NA(), L1094)</f>
        <v>#N/A</v>
      </c>
      <c r="M1816" s="0" t="e">
        <f aca="false">IF(ISNA(N1816),NA(),M1094)</f>
        <v>#N/A</v>
      </c>
      <c r="N1816" s="0" t="e">
        <f aca="false">IF(OR(N1094="",AND(N1094=N1093,N1094=N1095)),NA(), N1094)</f>
        <v>#N/A</v>
      </c>
    </row>
    <row r="1817" customFormat="false" ht="15" hidden="false" customHeight="false" outlineLevel="0" collapsed="false">
      <c r="E1817" s="0" t="e">
        <f aca="false">IF(ISNA(F1817),NA(),E1095)</f>
        <v>#N/A</v>
      </c>
      <c r="F1817" s="0" t="e">
        <f aca="false">IF(OR(F1095="",AND(F1095=F1094,F1095=F1096)),NA(), F1095)</f>
        <v>#N/A</v>
      </c>
      <c r="G1817" s="0" t="e">
        <f aca="false">IF(ISNA(H1817),NA(),G1095)</f>
        <v>#N/A</v>
      </c>
      <c r="H1817" s="0" t="e">
        <f aca="false">IF(OR(H1095="",AND(H1095=H1094,H1095=H1096)),NA(), H1095)</f>
        <v>#N/A</v>
      </c>
      <c r="K1817" s="0" t="e">
        <f aca="false">IF(ISNA(L1817),NA(),K1095)</f>
        <v>#N/A</v>
      </c>
      <c r="L1817" s="0" t="e">
        <f aca="false">IF(OR(L1095="",AND(L1095=L1094,L1095=L1096)),NA(), L1095)</f>
        <v>#N/A</v>
      </c>
      <c r="M1817" s="0" t="e">
        <f aca="false">IF(ISNA(N1817),NA(),M1095)</f>
        <v>#N/A</v>
      </c>
      <c r="N1817" s="0" t="e">
        <f aca="false">IF(OR(N1095="",AND(N1095=N1094,N1095=N1096)),NA(), N1095)</f>
        <v>#N/A</v>
      </c>
    </row>
    <row r="1818" customFormat="false" ht="15" hidden="false" customHeight="false" outlineLevel="0" collapsed="false">
      <c r="E1818" s="0" t="e">
        <f aca="false">IF(ISNA(F1818),NA(),E1096)</f>
        <v>#N/A</v>
      </c>
      <c r="F1818" s="0" t="e">
        <f aca="false">IF(OR(F1096="",AND(F1096=F1095,F1096=F1097)),NA(), F1096)</f>
        <v>#N/A</v>
      </c>
      <c r="G1818" s="0" t="e">
        <f aca="false">IF(ISNA(H1818),NA(),G1096)</f>
        <v>#N/A</v>
      </c>
      <c r="H1818" s="0" t="e">
        <f aca="false">IF(OR(H1096="",AND(H1096=H1095,H1096=H1097)),NA(), H1096)</f>
        <v>#N/A</v>
      </c>
      <c r="K1818" s="0" t="e">
        <f aca="false">IF(ISNA(L1818),NA(),K1096)</f>
        <v>#N/A</v>
      </c>
      <c r="L1818" s="0" t="e">
        <f aca="false">IF(OR(L1096="",AND(L1096=L1095,L1096=L1097)),NA(), L1096)</f>
        <v>#N/A</v>
      </c>
      <c r="M1818" s="0" t="e">
        <f aca="false">IF(ISNA(N1818),NA(),M1096)</f>
        <v>#N/A</v>
      </c>
      <c r="N1818" s="0" t="e">
        <f aca="false">IF(OR(N1096="",AND(N1096=N1095,N1096=N1097)),NA(), N1096)</f>
        <v>#N/A</v>
      </c>
    </row>
    <row r="1819" customFormat="false" ht="15" hidden="false" customHeight="false" outlineLevel="0" collapsed="false">
      <c r="E1819" s="0" t="e">
        <f aca="false">IF(ISNA(F1819),NA(),E1097)</f>
        <v>#N/A</v>
      </c>
      <c r="F1819" s="0" t="e">
        <f aca="false">IF(OR(F1097="",AND(F1097=F1096,F1097=F1098)),NA(), F1097)</f>
        <v>#N/A</v>
      </c>
      <c r="G1819" s="0" t="e">
        <f aca="false">IF(ISNA(H1819),NA(),G1097)</f>
        <v>#N/A</v>
      </c>
      <c r="H1819" s="0" t="e">
        <f aca="false">IF(OR(H1097="",AND(H1097=H1096,H1097=H1098)),NA(), H1097)</f>
        <v>#N/A</v>
      </c>
      <c r="K1819" s="0" t="e">
        <f aca="false">IF(ISNA(L1819),NA(),K1097)</f>
        <v>#N/A</v>
      </c>
      <c r="L1819" s="0" t="e">
        <f aca="false">IF(OR(L1097="",AND(L1097=L1096,L1097=L1098)),NA(), L1097)</f>
        <v>#N/A</v>
      </c>
      <c r="M1819" s="0" t="e">
        <f aca="false">IF(ISNA(N1819),NA(),M1097)</f>
        <v>#N/A</v>
      </c>
      <c r="N1819" s="0" t="e">
        <f aca="false">IF(OR(N1097="",AND(N1097=N1096,N1097=N1098)),NA(), N1097)</f>
        <v>#N/A</v>
      </c>
    </row>
    <row r="1820" customFormat="false" ht="15" hidden="false" customHeight="false" outlineLevel="0" collapsed="false">
      <c r="E1820" s="0" t="e">
        <f aca="false">IF(ISNA(F1820),NA(),E1098)</f>
        <v>#N/A</v>
      </c>
      <c r="F1820" s="0" t="e">
        <f aca="false">IF(OR(F1098="",AND(F1098=F1097,F1098=F1099)),NA(), F1098)</f>
        <v>#N/A</v>
      </c>
      <c r="G1820" s="0" t="e">
        <f aca="false">IF(ISNA(H1820),NA(),G1098)</f>
        <v>#N/A</v>
      </c>
      <c r="H1820" s="0" t="e">
        <f aca="false">IF(OR(H1098="",AND(H1098=H1097,H1098=H1099)),NA(), H1098)</f>
        <v>#N/A</v>
      </c>
      <c r="K1820" s="0" t="e">
        <f aca="false">IF(ISNA(L1820),NA(),K1098)</f>
        <v>#N/A</v>
      </c>
      <c r="L1820" s="0" t="e">
        <f aca="false">IF(OR(L1098="",AND(L1098=L1097,L1098=L1099)),NA(), L1098)</f>
        <v>#N/A</v>
      </c>
      <c r="M1820" s="0" t="e">
        <f aca="false">IF(ISNA(N1820),NA(),M1098)</f>
        <v>#N/A</v>
      </c>
      <c r="N1820" s="0" t="e">
        <f aca="false">IF(OR(N1098="",AND(N1098=N1097,N1098=N1099)),NA(), N1098)</f>
        <v>#N/A</v>
      </c>
    </row>
    <row r="1821" customFormat="false" ht="15" hidden="false" customHeight="false" outlineLevel="0" collapsed="false">
      <c r="E1821" s="0" t="e">
        <f aca="false">IF(ISNA(F1821),NA(),E1099)</f>
        <v>#N/A</v>
      </c>
      <c r="F1821" s="0" t="e">
        <f aca="false">IF(OR(F1099="",AND(F1099=F1098,F1099=F1100)),NA(), F1099)</f>
        <v>#N/A</v>
      </c>
      <c r="G1821" s="0" t="e">
        <f aca="false">IF(ISNA(H1821),NA(),G1099)</f>
        <v>#N/A</v>
      </c>
      <c r="H1821" s="0" t="e">
        <f aca="false">IF(OR(H1099="",AND(H1099=H1098,H1099=H1100)),NA(), H1099)</f>
        <v>#N/A</v>
      </c>
      <c r="K1821" s="0" t="e">
        <f aca="false">IF(ISNA(L1821),NA(),K1099)</f>
        <v>#N/A</v>
      </c>
      <c r="L1821" s="0" t="e">
        <f aca="false">IF(OR(L1099="",AND(L1099=L1098,L1099=L1100)),NA(), L1099)</f>
        <v>#N/A</v>
      </c>
      <c r="M1821" s="0" t="e">
        <f aca="false">IF(ISNA(N1821),NA(),M1099)</f>
        <v>#N/A</v>
      </c>
      <c r="N1821" s="0" t="e">
        <f aca="false">IF(OR(N1099="",AND(N1099=N1098,N1099=N1100)),NA(), N1099)</f>
        <v>#N/A</v>
      </c>
    </row>
    <row r="1822" customFormat="false" ht="15" hidden="false" customHeight="false" outlineLevel="0" collapsed="false">
      <c r="E1822" s="0" t="e">
        <f aca="false">IF(ISNA(F1822),NA(),E1100)</f>
        <v>#N/A</v>
      </c>
      <c r="F1822" s="0" t="e">
        <f aca="false">IF(OR(F1100="",AND(F1100=F1099,F1100=F1101)),NA(), F1100)</f>
        <v>#N/A</v>
      </c>
      <c r="G1822" s="0" t="e">
        <f aca="false">IF(ISNA(H1822),NA(),G1100)</f>
        <v>#N/A</v>
      </c>
      <c r="H1822" s="0" t="e">
        <f aca="false">IF(OR(H1100="",AND(H1100=H1099,H1100=H1101)),NA(), H1100)</f>
        <v>#N/A</v>
      </c>
      <c r="K1822" s="0" t="e">
        <f aca="false">IF(ISNA(L1822),NA(),K1100)</f>
        <v>#N/A</v>
      </c>
      <c r="L1822" s="0" t="e">
        <f aca="false">IF(OR(L1100="",AND(L1100=L1099,L1100=L1101)),NA(), L1100)</f>
        <v>#N/A</v>
      </c>
      <c r="M1822" s="0" t="e">
        <f aca="false">IF(ISNA(N1822),NA(),M1100)</f>
        <v>#N/A</v>
      </c>
      <c r="N1822" s="0" t="e">
        <f aca="false">IF(OR(N1100="",AND(N1100=N1099,N1100=N1101)),NA(), N1100)</f>
        <v>#N/A</v>
      </c>
    </row>
    <row r="1823" customFormat="false" ht="15" hidden="false" customHeight="false" outlineLevel="0" collapsed="false">
      <c r="E1823" s="0" t="e">
        <f aca="false">IF(ISNA(F1823),NA(),E1101)</f>
        <v>#N/A</v>
      </c>
      <c r="F1823" s="0" t="e">
        <f aca="false">IF(OR(F1101="",AND(F1101=F1100,F1101=F1102)),NA(), F1101)</f>
        <v>#N/A</v>
      </c>
      <c r="G1823" s="0" t="e">
        <f aca="false">IF(ISNA(H1823),NA(),G1101)</f>
        <v>#N/A</v>
      </c>
      <c r="H1823" s="0" t="e">
        <f aca="false">IF(OR(H1101="",AND(H1101=H1100,H1101=H1102)),NA(), H1101)</f>
        <v>#N/A</v>
      </c>
      <c r="K1823" s="0" t="e">
        <f aca="false">IF(ISNA(L1823),NA(),K1101)</f>
        <v>#N/A</v>
      </c>
      <c r="L1823" s="0" t="e">
        <f aca="false">IF(OR(L1101="",AND(L1101=L1100,L1101=L1102)),NA(), L1101)</f>
        <v>#N/A</v>
      </c>
      <c r="M1823" s="0" t="e">
        <f aca="false">IF(ISNA(N1823),NA(),M1101)</f>
        <v>#N/A</v>
      </c>
      <c r="N1823" s="0" t="e">
        <f aca="false">IF(OR(N1101="",AND(N1101=N1100,N1101=N1102)),NA(), N1101)</f>
        <v>#N/A</v>
      </c>
    </row>
    <row r="1824" customFormat="false" ht="15" hidden="false" customHeight="false" outlineLevel="0" collapsed="false">
      <c r="E1824" s="0" t="e">
        <f aca="false">IF(ISNA(F1824),NA(),E1102)</f>
        <v>#N/A</v>
      </c>
      <c r="F1824" s="0" t="e">
        <f aca="false">IF(OR(F1102="",AND(F1102=F1101,F1102=F1103)),NA(), F1102)</f>
        <v>#N/A</v>
      </c>
      <c r="G1824" s="0" t="e">
        <f aca="false">IF(ISNA(H1824),NA(),G1102)</f>
        <v>#N/A</v>
      </c>
      <c r="H1824" s="0" t="e">
        <f aca="false">IF(OR(H1102="",AND(H1102=H1101,H1102=H1103)),NA(), H1102)</f>
        <v>#N/A</v>
      </c>
      <c r="K1824" s="0" t="e">
        <f aca="false">IF(ISNA(L1824),NA(),K1102)</f>
        <v>#N/A</v>
      </c>
      <c r="L1824" s="0" t="e">
        <f aca="false">IF(OR(L1102="",AND(L1102=L1101,L1102=L1103)),NA(), L1102)</f>
        <v>#N/A</v>
      </c>
      <c r="M1824" s="0" t="e">
        <f aca="false">IF(ISNA(N1824),NA(),M1102)</f>
        <v>#N/A</v>
      </c>
      <c r="N1824" s="0" t="e">
        <f aca="false">IF(OR(N1102="",AND(N1102=N1101,N1102=N1103)),NA(), N1102)</f>
        <v>#N/A</v>
      </c>
    </row>
    <row r="1825" customFormat="false" ht="15" hidden="false" customHeight="false" outlineLevel="0" collapsed="false">
      <c r="E1825" s="0" t="e">
        <f aca="false">IF(ISNA(F1825),NA(),E1103)</f>
        <v>#N/A</v>
      </c>
      <c r="F1825" s="0" t="e">
        <f aca="false">IF(OR(F1103="",AND(F1103=F1102,F1103=F1104)),NA(), F1103)</f>
        <v>#N/A</v>
      </c>
      <c r="G1825" s="0" t="e">
        <f aca="false">IF(ISNA(H1825),NA(),G1103)</f>
        <v>#N/A</v>
      </c>
      <c r="H1825" s="0" t="e">
        <f aca="false">IF(OR(H1103="",AND(H1103=H1102,H1103=H1104)),NA(), H1103)</f>
        <v>#N/A</v>
      </c>
      <c r="K1825" s="0" t="e">
        <f aca="false">IF(ISNA(L1825),NA(),K1103)</f>
        <v>#N/A</v>
      </c>
      <c r="L1825" s="0" t="e">
        <f aca="false">IF(OR(L1103="",AND(L1103=L1102,L1103=L1104)),NA(), L1103)</f>
        <v>#N/A</v>
      </c>
      <c r="M1825" s="0" t="e">
        <f aca="false">IF(ISNA(N1825),NA(),M1103)</f>
        <v>#N/A</v>
      </c>
      <c r="N1825" s="0" t="e">
        <f aca="false">IF(OR(N1103="",AND(N1103=N1102,N1103=N1104)),NA(), N1103)</f>
        <v>#N/A</v>
      </c>
    </row>
    <row r="1826" customFormat="false" ht="15" hidden="false" customHeight="false" outlineLevel="0" collapsed="false">
      <c r="E1826" s="0" t="e">
        <f aca="false">IF(ISNA(F1826),NA(),E1104)</f>
        <v>#N/A</v>
      </c>
      <c r="F1826" s="0" t="e">
        <f aca="false">IF(OR(F1104="",AND(F1104=F1103,F1104=F1105)),NA(), F1104)</f>
        <v>#N/A</v>
      </c>
      <c r="G1826" s="0" t="e">
        <f aca="false">IF(ISNA(H1826),NA(),G1104)</f>
        <v>#N/A</v>
      </c>
      <c r="H1826" s="0" t="e">
        <f aca="false">IF(OR(H1104="",AND(H1104=H1103,H1104=H1105)),NA(), H1104)</f>
        <v>#N/A</v>
      </c>
      <c r="K1826" s="0" t="e">
        <f aca="false">IF(ISNA(L1826),NA(),K1104)</f>
        <v>#N/A</v>
      </c>
      <c r="L1826" s="0" t="e">
        <f aca="false">IF(OR(L1104="",AND(L1104=L1103,L1104=L1105)),NA(), L1104)</f>
        <v>#N/A</v>
      </c>
      <c r="M1826" s="0" t="e">
        <f aca="false">IF(ISNA(N1826),NA(),M1104)</f>
        <v>#N/A</v>
      </c>
      <c r="N1826" s="0" t="e">
        <f aca="false">IF(OR(N1104="",AND(N1104=N1103,N1104=N1105)),NA(), N1104)</f>
        <v>#N/A</v>
      </c>
    </row>
    <row r="1827" customFormat="false" ht="15" hidden="false" customHeight="false" outlineLevel="0" collapsed="false">
      <c r="E1827" s="0" t="e">
        <f aca="false">IF(ISNA(F1827),NA(),E1105)</f>
        <v>#N/A</v>
      </c>
      <c r="F1827" s="0" t="e">
        <f aca="false">IF(OR(F1105="",AND(F1105=F1104,F1105=F1106)),NA(), F1105)</f>
        <v>#N/A</v>
      </c>
      <c r="G1827" s="0" t="e">
        <f aca="false">IF(ISNA(H1827),NA(),G1105)</f>
        <v>#N/A</v>
      </c>
      <c r="H1827" s="0" t="e">
        <f aca="false">IF(OR(H1105="",AND(H1105=H1104,H1105=H1106)),NA(), H1105)</f>
        <v>#N/A</v>
      </c>
      <c r="K1827" s="0" t="e">
        <f aca="false">IF(ISNA(L1827),NA(),K1105)</f>
        <v>#N/A</v>
      </c>
      <c r="L1827" s="0" t="e">
        <f aca="false">IF(OR(L1105="",AND(L1105=L1104,L1105=L1106)),NA(), L1105)</f>
        <v>#N/A</v>
      </c>
      <c r="M1827" s="0" t="e">
        <f aca="false">IF(ISNA(N1827),NA(),M1105)</f>
        <v>#N/A</v>
      </c>
      <c r="N1827" s="0" t="e">
        <f aca="false">IF(OR(N1105="",AND(N1105=N1104,N1105=N1106)),NA(), N1105)</f>
        <v>#N/A</v>
      </c>
    </row>
    <row r="1828" customFormat="false" ht="15" hidden="false" customHeight="false" outlineLevel="0" collapsed="false">
      <c r="E1828" s="0" t="e">
        <f aca="false">IF(ISNA(F1828),NA(),E1106)</f>
        <v>#N/A</v>
      </c>
      <c r="F1828" s="0" t="e">
        <f aca="false">IF(OR(F1106="",AND(F1106=F1105,F1106=F1107)),NA(), F1106)</f>
        <v>#N/A</v>
      </c>
      <c r="G1828" s="0" t="e">
        <f aca="false">IF(ISNA(H1828),NA(),G1106)</f>
        <v>#N/A</v>
      </c>
      <c r="H1828" s="0" t="e">
        <f aca="false">IF(OR(H1106="",AND(H1106=H1105,H1106=H1107)),NA(), H1106)</f>
        <v>#N/A</v>
      </c>
      <c r="K1828" s="0" t="e">
        <f aca="false">IF(ISNA(L1828),NA(),K1106)</f>
        <v>#N/A</v>
      </c>
      <c r="L1828" s="0" t="e">
        <f aca="false">IF(OR(L1106="",AND(L1106=L1105,L1106=L1107)),NA(), L1106)</f>
        <v>#N/A</v>
      </c>
      <c r="M1828" s="0" t="e">
        <f aca="false">IF(ISNA(N1828),NA(),M1106)</f>
        <v>#N/A</v>
      </c>
      <c r="N1828" s="0" t="e">
        <f aca="false">IF(OR(N1106="",AND(N1106=N1105,N1106=N1107)),NA(), N1106)</f>
        <v>#N/A</v>
      </c>
    </row>
    <row r="1829" customFormat="false" ht="15" hidden="false" customHeight="false" outlineLevel="0" collapsed="false">
      <c r="E1829" s="0" t="e">
        <f aca="false">IF(ISNA(F1829),NA(),E1107)</f>
        <v>#N/A</v>
      </c>
      <c r="F1829" s="0" t="e">
        <f aca="false">IF(OR(F1107="",AND(F1107=F1106,F1107=F1108)),NA(), F1107)</f>
        <v>#N/A</v>
      </c>
      <c r="G1829" s="0" t="e">
        <f aca="false">IF(ISNA(H1829),NA(),G1107)</f>
        <v>#N/A</v>
      </c>
      <c r="H1829" s="0" t="e">
        <f aca="false">IF(OR(H1107="",AND(H1107=H1106,H1107=H1108)),NA(), H1107)</f>
        <v>#N/A</v>
      </c>
      <c r="K1829" s="0" t="e">
        <f aca="false">IF(ISNA(L1829),NA(),K1107)</f>
        <v>#N/A</v>
      </c>
      <c r="L1829" s="0" t="e">
        <f aca="false">IF(OR(L1107="",AND(L1107=L1106,L1107=L1108)),NA(), L1107)</f>
        <v>#N/A</v>
      </c>
      <c r="M1829" s="0" t="e">
        <f aca="false">IF(ISNA(N1829),NA(),M1107)</f>
        <v>#N/A</v>
      </c>
      <c r="N1829" s="0" t="e">
        <f aca="false">IF(OR(N1107="",AND(N1107=N1106,N1107=N1108)),NA(), N1107)</f>
        <v>#N/A</v>
      </c>
    </row>
    <row r="1830" customFormat="false" ht="15" hidden="false" customHeight="false" outlineLevel="0" collapsed="false">
      <c r="E1830" s="0" t="e">
        <f aca="false">IF(ISNA(F1830),NA(),E1108)</f>
        <v>#N/A</v>
      </c>
      <c r="F1830" s="0" t="e">
        <f aca="false">IF(OR(F1108="",AND(F1108=F1107,F1108=F1109)),NA(), F1108)</f>
        <v>#N/A</v>
      </c>
      <c r="G1830" s="0" t="e">
        <f aca="false">IF(ISNA(H1830),NA(),G1108)</f>
        <v>#N/A</v>
      </c>
      <c r="H1830" s="0" t="e">
        <f aca="false">IF(OR(H1108="",AND(H1108=H1107,H1108=H1109)),NA(), H1108)</f>
        <v>#N/A</v>
      </c>
      <c r="K1830" s="0" t="e">
        <f aca="false">IF(ISNA(L1830),NA(),K1108)</f>
        <v>#N/A</v>
      </c>
      <c r="L1830" s="0" t="e">
        <f aca="false">IF(OR(L1108="",AND(L1108=L1107,L1108=L1109)),NA(), L1108)</f>
        <v>#N/A</v>
      </c>
      <c r="M1830" s="0" t="e">
        <f aca="false">IF(ISNA(N1830),NA(),M1108)</f>
        <v>#N/A</v>
      </c>
      <c r="N1830" s="0" t="e">
        <f aca="false">IF(OR(N1108="",AND(N1108=N1107,N1108=N1109)),NA(), N1108)</f>
        <v>#N/A</v>
      </c>
    </row>
    <row r="1831" customFormat="false" ht="15" hidden="false" customHeight="false" outlineLevel="0" collapsed="false">
      <c r="E1831" s="0" t="e">
        <f aca="false">IF(ISNA(F1831),NA(),E1109)</f>
        <v>#N/A</v>
      </c>
      <c r="F1831" s="0" t="e">
        <f aca="false">IF(OR(F1109="",AND(F1109=F1108,F1109=F1110)),NA(), F1109)</f>
        <v>#N/A</v>
      </c>
      <c r="G1831" s="0" t="e">
        <f aca="false">IF(ISNA(H1831),NA(),G1109)</f>
        <v>#N/A</v>
      </c>
      <c r="H1831" s="0" t="e">
        <f aca="false">IF(OR(H1109="",AND(H1109=H1108,H1109=H1110)),NA(), H1109)</f>
        <v>#N/A</v>
      </c>
      <c r="K1831" s="0" t="e">
        <f aca="false">IF(ISNA(L1831),NA(),K1109)</f>
        <v>#N/A</v>
      </c>
      <c r="L1831" s="0" t="e">
        <f aca="false">IF(OR(L1109="",AND(L1109=L1108,L1109=L1110)),NA(), L1109)</f>
        <v>#N/A</v>
      </c>
      <c r="M1831" s="0" t="e">
        <f aca="false">IF(ISNA(N1831),NA(),M1109)</f>
        <v>#N/A</v>
      </c>
      <c r="N1831" s="0" t="e">
        <f aca="false">IF(OR(N1109="",AND(N1109=N1108,N1109=N1110)),NA(), N1109)</f>
        <v>#N/A</v>
      </c>
    </row>
    <row r="1832" customFormat="false" ht="15" hidden="false" customHeight="false" outlineLevel="0" collapsed="false">
      <c r="E1832" s="0" t="e">
        <f aca="false">IF(ISNA(F1832),NA(),E1110)</f>
        <v>#N/A</v>
      </c>
      <c r="F1832" s="0" t="e">
        <f aca="false">IF(OR(F1110="",AND(F1110=F1109,F1110=F1111)),NA(), F1110)</f>
        <v>#N/A</v>
      </c>
      <c r="G1832" s="0" t="e">
        <f aca="false">IF(ISNA(H1832),NA(),G1110)</f>
        <v>#N/A</v>
      </c>
      <c r="H1832" s="0" t="e">
        <f aca="false">IF(OR(H1110="",AND(H1110=H1109,H1110=H1111)),NA(), H1110)</f>
        <v>#N/A</v>
      </c>
      <c r="K1832" s="0" t="e">
        <f aca="false">IF(ISNA(L1832),NA(),K1110)</f>
        <v>#N/A</v>
      </c>
      <c r="L1832" s="0" t="e">
        <f aca="false">IF(OR(L1110="",AND(L1110=L1109,L1110=L1111)),NA(), L1110)</f>
        <v>#N/A</v>
      </c>
      <c r="M1832" s="0" t="e">
        <f aca="false">IF(ISNA(N1832),NA(),M1110)</f>
        <v>#N/A</v>
      </c>
      <c r="N1832" s="0" t="e">
        <f aca="false">IF(OR(N1110="",AND(N1110=N1109,N1110=N1111)),NA(), N1110)</f>
        <v>#N/A</v>
      </c>
    </row>
    <row r="1833" customFormat="false" ht="15" hidden="false" customHeight="false" outlineLevel="0" collapsed="false">
      <c r="E1833" s="0" t="e">
        <f aca="false">IF(ISNA(F1833),NA(),E1111)</f>
        <v>#N/A</v>
      </c>
      <c r="F1833" s="0" t="e">
        <f aca="false">IF(OR(F1111="",AND(F1111=F1110,F1111=F1112)),NA(), F1111)</f>
        <v>#N/A</v>
      </c>
      <c r="G1833" s="0" t="e">
        <f aca="false">IF(ISNA(H1833),NA(),G1111)</f>
        <v>#N/A</v>
      </c>
      <c r="H1833" s="0" t="e">
        <f aca="false">IF(OR(H1111="",AND(H1111=H1110,H1111=H1112)),NA(), H1111)</f>
        <v>#N/A</v>
      </c>
      <c r="K1833" s="0" t="e">
        <f aca="false">IF(ISNA(L1833),NA(),K1111)</f>
        <v>#N/A</v>
      </c>
      <c r="L1833" s="0" t="e">
        <f aca="false">IF(OR(L1111="",AND(L1111=L1110,L1111=L1112)),NA(), L1111)</f>
        <v>#N/A</v>
      </c>
      <c r="M1833" s="0" t="e">
        <f aca="false">IF(ISNA(N1833),NA(),M1111)</f>
        <v>#N/A</v>
      </c>
      <c r="N1833" s="0" t="e">
        <f aca="false">IF(OR(N1111="",AND(N1111=N1110,N1111=N1112)),NA(), N1111)</f>
        <v>#N/A</v>
      </c>
    </row>
    <row r="1834" customFormat="false" ht="15" hidden="false" customHeight="false" outlineLevel="0" collapsed="false">
      <c r="E1834" s="0" t="e">
        <f aca="false">IF(ISNA(F1834),NA(),E1112)</f>
        <v>#N/A</v>
      </c>
      <c r="F1834" s="0" t="e">
        <f aca="false">IF(OR(F1112="",AND(F1112=F1111,F1112=F1113)),NA(), F1112)</f>
        <v>#N/A</v>
      </c>
      <c r="G1834" s="0" t="e">
        <f aca="false">IF(ISNA(H1834),NA(),G1112)</f>
        <v>#N/A</v>
      </c>
      <c r="H1834" s="0" t="e">
        <f aca="false">IF(OR(H1112="",AND(H1112=H1111,H1112=H1113)),NA(), H1112)</f>
        <v>#N/A</v>
      </c>
      <c r="K1834" s="0" t="e">
        <f aca="false">IF(ISNA(L1834),NA(),K1112)</f>
        <v>#N/A</v>
      </c>
      <c r="L1834" s="0" t="e">
        <f aca="false">IF(OR(L1112="",AND(L1112=L1111,L1112=L1113)),NA(), L1112)</f>
        <v>#N/A</v>
      </c>
      <c r="M1834" s="0" t="e">
        <f aca="false">IF(ISNA(N1834),NA(),M1112)</f>
        <v>#N/A</v>
      </c>
      <c r="N1834" s="0" t="e">
        <f aca="false">IF(OR(N1112="",AND(N1112=N1111,N1112=N1113)),NA(), N1112)</f>
        <v>#N/A</v>
      </c>
    </row>
    <row r="1835" customFormat="false" ht="15" hidden="false" customHeight="false" outlineLevel="0" collapsed="false">
      <c r="E1835" s="0" t="e">
        <f aca="false">IF(ISNA(F1835),NA(),E1113)</f>
        <v>#N/A</v>
      </c>
      <c r="F1835" s="0" t="e">
        <f aca="false">IF(OR(F1113="",AND(F1113=F1112,F1113=F1114)),NA(), F1113)</f>
        <v>#N/A</v>
      </c>
      <c r="G1835" s="0" t="e">
        <f aca="false">IF(ISNA(H1835),NA(),G1113)</f>
        <v>#N/A</v>
      </c>
      <c r="H1835" s="0" t="e">
        <f aca="false">IF(OR(H1113="",AND(H1113=H1112,H1113=H1114)),NA(), H1113)</f>
        <v>#N/A</v>
      </c>
      <c r="K1835" s="0" t="e">
        <f aca="false">IF(ISNA(L1835),NA(),K1113)</f>
        <v>#N/A</v>
      </c>
      <c r="L1835" s="0" t="e">
        <f aca="false">IF(OR(L1113="",AND(L1113=L1112,L1113=L1114)),NA(), L1113)</f>
        <v>#N/A</v>
      </c>
      <c r="M1835" s="0" t="e">
        <f aca="false">IF(ISNA(N1835),NA(),M1113)</f>
        <v>#N/A</v>
      </c>
      <c r="N1835" s="0" t="e">
        <f aca="false">IF(OR(N1113="",AND(N1113=N1112,N1113=N1114)),NA(), N1113)</f>
        <v>#N/A</v>
      </c>
    </row>
    <row r="1836" customFormat="false" ht="15" hidden="false" customHeight="false" outlineLevel="0" collapsed="false">
      <c r="E1836" s="0" t="e">
        <f aca="false">IF(ISNA(F1836),NA(),E1114)</f>
        <v>#N/A</v>
      </c>
      <c r="F1836" s="0" t="e">
        <f aca="false">IF(OR(F1114="",AND(F1114=F1113,F1114=F1115)),NA(), F1114)</f>
        <v>#N/A</v>
      </c>
      <c r="G1836" s="0" t="e">
        <f aca="false">IF(ISNA(H1836),NA(),G1114)</f>
        <v>#N/A</v>
      </c>
      <c r="H1836" s="0" t="e">
        <f aca="false">IF(OR(H1114="",AND(H1114=H1113,H1114=H1115)),NA(), H1114)</f>
        <v>#N/A</v>
      </c>
      <c r="K1836" s="0" t="e">
        <f aca="false">IF(ISNA(L1836),NA(),K1114)</f>
        <v>#N/A</v>
      </c>
      <c r="L1836" s="0" t="e">
        <f aca="false">IF(OR(L1114="",AND(L1114=L1113,L1114=L1115)),NA(), L1114)</f>
        <v>#N/A</v>
      </c>
      <c r="M1836" s="0" t="e">
        <f aca="false">IF(ISNA(N1836),NA(),M1114)</f>
        <v>#N/A</v>
      </c>
      <c r="N1836" s="0" t="e">
        <f aca="false">IF(OR(N1114="",AND(N1114=N1113,N1114=N1115)),NA(), N1114)</f>
        <v>#N/A</v>
      </c>
    </row>
    <row r="1837" customFormat="false" ht="15" hidden="false" customHeight="false" outlineLevel="0" collapsed="false">
      <c r="E1837" s="0" t="e">
        <f aca="false">IF(ISNA(F1837),NA(),E1115)</f>
        <v>#N/A</v>
      </c>
      <c r="F1837" s="0" t="e">
        <f aca="false">IF(OR(F1115="",AND(F1115=F1114,F1115=F1116)),NA(), F1115)</f>
        <v>#N/A</v>
      </c>
      <c r="G1837" s="0" t="e">
        <f aca="false">IF(ISNA(H1837),NA(),G1115)</f>
        <v>#N/A</v>
      </c>
      <c r="H1837" s="0" t="e">
        <f aca="false">IF(OR(H1115="",AND(H1115=H1114,H1115=H1116)),NA(), H1115)</f>
        <v>#N/A</v>
      </c>
      <c r="K1837" s="0" t="e">
        <f aca="false">IF(ISNA(L1837),NA(),K1115)</f>
        <v>#N/A</v>
      </c>
      <c r="L1837" s="0" t="e">
        <f aca="false">IF(OR(L1115="",AND(L1115=L1114,L1115=L1116)),NA(), L1115)</f>
        <v>#N/A</v>
      </c>
      <c r="M1837" s="0" t="e">
        <f aca="false">IF(ISNA(N1837),NA(),M1115)</f>
        <v>#N/A</v>
      </c>
      <c r="N1837" s="0" t="e">
        <f aca="false">IF(OR(N1115="",AND(N1115=N1114,N1115=N1116)),NA(), N1115)</f>
        <v>#N/A</v>
      </c>
    </row>
    <row r="1838" customFormat="false" ht="15" hidden="false" customHeight="false" outlineLevel="0" collapsed="false">
      <c r="E1838" s="0" t="e">
        <f aca="false">IF(ISNA(F1838),NA(),E1116)</f>
        <v>#N/A</v>
      </c>
      <c r="F1838" s="0" t="e">
        <f aca="false">IF(OR(F1116="",AND(F1116=F1115,F1116=F1117)),NA(), F1116)</f>
        <v>#N/A</v>
      </c>
      <c r="G1838" s="0" t="e">
        <f aca="false">IF(ISNA(H1838),NA(),G1116)</f>
        <v>#N/A</v>
      </c>
      <c r="H1838" s="0" t="e">
        <f aca="false">IF(OR(H1116="",AND(H1116=H1115,H1116=H1117)),NA(), H1116)</f>
        <v>#N/A</v>
      </c>
      <c r="K1838" s="0" t="e">
        <f aca="false">IF(ISNA(L1838),NA(),K1116)</f>
        <v>#N/A</v>
      </c>
      <c r="L1838" s="0" t="e">
        <f aca="false">IF(OR(L1116="",AND(L1116=L1115,L1116=L1117)),NA(), L1116)</f>
        <v>#N/A</v>
      </c>
      <c r="M1838" s="0" t="e">
        <f aca="false">IF(ISNA(N1838),NA(),M1116)</f>
        <v>#N/A</v>
      </c>
      <c r="N1838" s="0" t="e">
        <f aca="false">IF(OR(N1116="",AND(N1116=N1115,N1116=N1117)),NA(), N1116)</f>
        <v>#N/A</v>
      </c>
    </row>
    <row r="1839" customFormat="false" ht="15" hidden="false" customHeight="false" outlineLevel="0" collapsed="false">
      <c r="E1839" s="0" t="e">
        <f aca="false">IF(ISNA(F1839),NA(),E1117)</f>
        <v>#N/A</v>
      </c>
      <c r="F1839" s="0" t="e">
        <f aca="false">IF(OR(F1117="",AND(F1117=F1116,F1117=F1118)),NA(), F1117)</f>
        <v>#N/A</v>
      </c>
      <c r="G1839" s="0" t="e">
        <f aca="false">IF(ISNA(H1839),NA(),G1117)</f>
        <v>#N/A</v>
      </c>
      <c r="H1839" s="0" t="e">
        <f aca="false">IF(OR(H1117="",AND(H1117=H1116,H1117=H1118)),NA(), H1117)</f>
        <v>#N/A</v>
      </c>
      <c r="K1839" s="0" t="e">
        <f aca="false">IF(ISNA(L1839),NA(),K1117)</f>
        <v>#N/A</v>
      </c>
      <c r="L1839" s="0" t="e">
        <f aca="false">IF(OR(L1117="",AND(L1117=L1116,L1117=L1118)),NA(), L1117)</f>
        <v>#N/A</v>
      </c>
      <c r="M1839" s="0" t="e">
        <f aca="false">IF(ISNA(N1839),NA(),M1117)</f>
        <v>#N/A</v>
      </c>
      <c r="N1839" s="0" t="e">
        <f aca="false">IF(OR(N1117="",AND(N1117=N1116,N1117=N1118)),NA(), N1117)</f>
        <v>#N/A</v>
      </c>
    </row>
    <row r="1840" customFormat="false" ht="15" hidden="false" customHeight="false" outlineLevel="0" collapsed="false">
      <c r="E1840" s="0" t="e">
        <f aca="false">IF(ISNA(F1840),NA(),E1118)</f>
        <v>#N/A</v>
      </c>
      <c r="F1840" s="0" t="e">
        <f aca="false">IF(OR(F1118="",AND(F1118=F1117,F1118=F1119)),NA(), F1118)</f>
        <v>#N/A</v>
      </c>
      <c r="G1840" s="0" t="e">
        <f aca="false">IF(ISNA(H1840),NA(),G1118)</f>
        <v>#N/A</v>
      </c>
      <c r="H1840" s="0" t="e">
        <f aca="false">IF(OR(H1118="",AND(H1118=H1117,H1118=H1119)),NA(), H1118)</f>
        <v>#N/A</v>
      </c>
      <c r="K1840" s="0" t="e">
        <f aca="false">IF(ISNA(L1840),NA(),K1118)</f>
        <v>#N/A</v>
      </c>
      <c r="L1840" s="0" t="e">
        <f aca="false">IF(OR(L1118="",AND(L1118=L1117,L1118=L1119)),NA(), L1118)</f>
        <v>#N/A</v>
      </c>
      <c r="M1840" s="0" t="e">
        <f aca="false">IF(ISNA(N1840),NA(),M1118)</f>
        <v>#N/A</v>
      </c>
      <c r="N1840" s="0" t="e">
        <f aca="false">IF(OR(N1118="",AND(N1118=N1117,N1118=N1119)),NA(), N1118)</f>
        <v>#N/A</v>
      </c>
    </row>
    <row r="1841" customFormat="false" ht="15" hidden="false" customHeight="false" outlineLevel="0" collapsed="false">
      <c r="E1841" s="0" t="e">
        <f aca="false">IF(ISNA(F1841),NA(),E1119)</f>
        <v>#N/A</v>
      </c>
      <c r="F1841" s="0" t="e">
        <f aca="false">IF(OR(F1119="",AND(F1119=F1118,F1119=F1120)),NA(), F1119)</f>
        <v>#N/A</v>
      </c>
      <c r="G1841" s="0" t="e">
        <f aca="false">IF(ISNA(H1841),NA(),G1119)</f>
        <v>#N/A</v>
      </c>
      <c r="H1841" s="0" t="e">
        <f aca="false">IF(OR(H1119="",AND(H1119=H1118,H1119=H1120)),NA(), H1119)</f>
        <v>#N/A</v>
      </c>
      <c r="K1841" s="0" t="e">
        <f aca="false">IF(ISNA(L1841),NA(),K1119)</f>
        <v>#N/A</v>
      </c>
      <c r="L1841" s="0" t="e">
        <f aca="false">IF(OR(L1119="",AND(L1119=L1118,L1119=L1120)),NA(), L1119)</f>
        <v>#N/A</v>
      </c>
      <c r="M1841" s="0" t="e">
        <f aca="false">IF(ISNA(N1841),NA(),M1119)</f>
        <v>#N/A</v>
      </c>
      <c r="N1841" s="0" t="e">
        <f aca="false">IF(OR(N1119="",AND(N1119=N1118,N1119=N1120)),NA(), N1119)</f>
        <v>#N/A</v>
      </c>
    </row>
    <row r="1842" customFormat="false" ht="15" hidden="false" customHeight="false" outlineLevel="0" collapsed="false">
      <c r="E1842" s="0" t="e">
        <f aca="false">IF(ISNA(F1842),NA(),E1120)</f>
        <v>#N/A</v>
      </c>
      <c r="F1842" s="0" t="e">
        <f aca="false">IF(OR(F1120="",AND(F1120=F1119,F1120=F1121)),NA(), F1120)</f>
        <v>#N/A</v>
      </c>
      <c r="G1842" s="0" t="e">
        <f aca="false">IF(ISNA(H1842),NA(),G1120)</f>
        <v>#N/A</v>
      </c>
      <c r="H1842" s="0" t="e">
        <f aca="false">IF(OR(H1120="",AND(H1120=H1119,H1120=H1121)),NA(), H1120)</f>
        <v>#N/A</v>
      </c>
      <c r="K1842" s="0" t="e">
        <f aca="false">IF(ISNA(L1842),NA(),K1120)</f>
        <v>#N/A</v>
      </c>
      <c r="L1842" s="0" t="e">
        <f aca="false">IF(OR(L1120="",AND(L1120=L1119,L1120=L1121)),NA(), L1120)</f>
        <v>#N/A</v>
      </c>
      <c r="M1842" s="0" t="e">
        <f aca="false">IF(ISNA(N1842),NA(),M1120)</f>
        <v>#N/A</v>
      </c>
      <c r="N1842" s="0" t="e">
        <f aca="false">IF(OR(N1120="",AND(N1120=N1119,N1120=N1121)),NA(), N1120)</f>
        <v>#N/A</v>
      </c>
    </row>
    <row r="1843" customFormat="false" ht="15" hidden="false" customHeight="false" outlineLevel="0" collapsed="false">
      <c r="E1843" s="0" t="e">
        <f aca="false">IF(ISNA(F1843),NA(),E1121)</f>
        <v>#N/A</v>
      </c>
      <c r="F1843" s="0" t="e">
        <f aca="false">IF(OR(F1121="",AND(F1121=F1120,F1121=F1122)),NA(), F1121)</f>
        <v>#N/A</v>
      </c>
      <c r="G1843" s="0" t="e">
        <f aca="false">IF(ISNA(H1843),NA(),G1121)</f>
        <v>#N/A</v>
      </c>
      <c r="H1843" s="0" t="e">
        <f aca="false">IF(OR(H1121="",AND(H1121=H1120,H1121=H1122)),NA(), H1121)</f>
        <v>#N/A</v>
      </c>
      <c r="K1843" s="0" t="e">
        <f aca="false">IF(ISNA(L1843),NA(),K1121)</f>
        <v>#N/A</v>
      </c>
      <c r="L1843" s="0" t="e">
        <f aca="false">IF(OR(L1121="",AND(L1121=L1120,L1121=L1122)),NA(), L1121)</f>
        <v>#N/A</v>
      </c>
      <c r="M1843" s="0" t="e">
        <f aca="false">IF(ISNA(N1843),NA(),M1121)</f>
        <v>#N/A</v>
      </c>
      <c r="N1843" s="0" t="e">
        <f aca="false">IF(OR(N1121="",AND(N1121=N1120,N1121=N1122)),NA(), N1121)</f>
        <v>#N/A</v>
      </c>
    </row>
    <row r="1844" customFormat="false" ht="15" hidden="false" customHeight="false" outlineLevel="0" collapsed="false">
      <c r="E1844" s="0" t="e">
        <f aca="false">IF(ISNA(F1844),NA(),E1122)</f>
        <v>#N/A</v>
      </c>
      <c r="F1844" s="0" t="e">
        <f aca="false">IF(OR(F1122="",AND(F1122=F1121,F1122=F1123)),NA(), F1122)</f>
        <v>#N/A</v>
      </c>
      <c r="G1844" s="0" t="e">
        <f aca="false">IF(ISNA(H1844),NA(),G1122)</f>
        <v>#N/A</v>
      </c>
      <c r="H1844" s="0" t="e">
        <f aca="false">IF(OR(H1122="",AND(H1122=H1121,H1122=H1123)),NA(), H1122)</f>
        <v>#N/A</v>
      </c>
      <c r="K1844" s="0" t="e">
        <f aca="false">IF(ISNA(L1844),NA(),K1122)</f>
        <v>#N/A</v>
      </c>
      <c r="L1844" s="0" t="e">
        <f aca="false">IF(OR(L1122="",AND(L1122=L1121,L1122=L1123)),NA(), L1122)</f>
        <v>#N/A</v>
      </c>
      <c r="M1844" s="0" t="e">
        <f aca="false">IF(ISNA(N1844),NA(),M1122)</f>
        <v>#N/A</v>
      </c>
      <c r="N1844" s="0" t="e">
        <f aca="false">IF(OR(N1122="",AND(N1122=N1121,N1122=N1123)),NA(), N1122)</f>
        <v>#N/A</v>
      </c>
    </row>
    <row r="1845" customFormat="false" ht="15" hidden="false" customHeight="false" outlineLevel="0" collapsed="false">
      <c r="E1845" s="0" t="e">
        <f aca="false">IF(ISNA(F1845),NA(),E1123)</f>
        <v>#N/A</v>
      </c>
      <c r="F1845" s="0" t="e">
        <f aca="false">IF(OR(F1123="",AND(F1123=F1122,F1123=F1124)),NA(), F1123)</f>
        <v>#N/A</v>
      </c>
      <c r="G1845" s="0" t="e">
        <f aca="false">IF(ISNA(H1845),NA(),G1123)</f>
        <v>#N/A</v>
      </c>
      <c r="H1845" s="0" t="e">
        <f aca="false">IF(OR(H1123="",AND(H1123=H1122,H1123=H1124)),NA(), H1123)</f>
        <v>#N/A</v>
      </c>
      <c r="K1845" s="0" t="e">
        <f aca="false">IF(ISNA(L1845),NA(),K1123)</f>
        <v>#N/A</v>
      </c>
      <c r="L1845" s="0" t="e">
        <f aca="false">IF(OR(L1123="",AND(L1123=L1122,L1123=L1124)),NA(), L1123)</f>
        <v>#N/A</v>
      </c>
      <c r="M1845" s="0" t="e">
        <f aca="false">IF(ISNA(N1845),NA(),M1123)</f>
        <v>#N/A</v>
      </c>
      <c r="N1845" s="0" t="e">
        <f aca="false">IF(OR(N1123="",AND(N1123=N1122,N1123=N1124)),NA(), N1123)</f>
        <v>#N/A</v>
      </c>
    </row>
    <row r="1846" customFormat="false" ht="15" hidden="false" customHeight="false" outlineLevel="0" collapsed="false">
      <c r="E1846" s="0" t="e">
        <f aca="false">IF(ISNA(F1846),NA(),E1124)</f>
        <v>#N/A</v>
      </c>
      <c r="F1846" s="0" t="e">
        <f aca="false">IF(OR(F1124="",AND(F1124=F1123,F1124=F1125)),NA(), F1124)</f>
        <v>#N/A</v>
      </c>
      <c r="G1846" s="0" t="e">
        <f aca="false">IF(ISNA(H1846),NA(),G1124)</f>
        <v>#N/A</v>
      </c>
      <c r="H1846" s="0" t="e">
        <f aca="false">IF(OR(H1124="",AND(H1124=H1123,H1124=H1125)),NA(), H1124)</f>
        <v>#N/A</v>
      </c>
      <c r="K1846" s="0" t="e">
        <f aca="false">IF(ISNA(L1846),NA(),K1124)</f>
        <v>#N/A</v>
      </c>
      <c r="L1846" s="0" t="e">
        <f aca="false">IF(OR(L1124="",AND(L1124=L1123,L1124=L1125)),NA(), L1124)</f>
        <v>#N/A</v>
      </c>
      <c r="M1846" s="0" t="e">
        <f aca="false">IF(ISNA(N1846),NA(),M1124)</f>
        <v>#N/A</v>
      </c>
      <c r="N1846" s="0" t="e">
        <f aca="false">IF(OR(N1124="",AND(N1124=N1123,N1124=N1125)),NA(), N1124)</f>
        <v>#N/A</v>
      </c>
    </row>
    <row r="1847" customFormat="false" ht="15" hidden="false" customHeight="false" outlineLevel="0" collapsed="false">
      <c r="E1847" s="0" t="e">
        <f aca="false">IF(ISNA(F1847),NA(),E1125)</f>
        <v>#N/A</v>
      </c>
      <c r="F1847" s="0" t="e">
        <f aca="false">IF(OR(F1125="",AND(F1125=F1124,F1125=F1126)),NA(), F1125)</f>
        <v>#N/A</v>
      </c>
      <c r="G1847" s="0" t="e">
        <f aca="false">IF(ISNA(H1847),NA(),G1125)</f>
        <v>#N/A</v>
      </c>
      <c r="H1847" s="0" t="e">
        <f aca="false">IF(OR(H1125="",AND(H1125=H1124,H1125=H1126)),NA(), H1125)</f>
        <v>#N/A</v>
      </c>
      <c r="K1847" s="0" t="e">
        <f aca="false">IF(ISNA(L1847),NA(),K1125)</f>
        <v>#N/A</v>
      </c>
      <c r="L1847" s="0" t="e">
        <f aca="false">IF(OR(L1125="",AND(L1125=L1124,L1125=L1126)),NA(), L1125)</f>
        <v>#N/A</v>
      </c>
      <c r="M1847" s="0" t="e">
        <f aca="false">IF(ISNA(N1847),NA(),M1125)</f>
        <v>#N/A</v>
      </c>
      <c r="N1847" s="0" t="e">
        <f aca="false">IF(OR(N1125="",AND(N1125=N1124,N1125=N1126)),NA(), N1125)</f>
        <v>#N/A</v>
      </c>
    </row>
    <row r="1848" customFormat="false" ht="15" hidden="false" customHeight="false" outlineLevel="0" collapsed="false">
      <c r="E1848" s="0" t="e">
        <f aca="false">IF(ISNA(F1848),NA(),E1126)</f>
        <v>#N/A</v>
      </c>
      <c r="F1848" s="0" t="e">
        <f aca="false">IF(OR(F1126="",AND(F1126=F1125,F1126=F1127)),NA(), F1126)</f>
        <v>#N/A</v>
      </c>
      <c r="G1848" s="0" t="e">
        <f aca="false">IF(ISNA(H1848),NA(),G1126)</f>
        <v>#N/A</v>
      </c>
      <c r="H1848" s="0" t="e">
        <f aca="false">IF(OR(H1126="",AND(H1126=H1125,H1126=H1127)),NA(), H1126)</f>
        <v>#N/A</v>
      </c>
      <c r="K1848" s="0" t="e">
        <f aca="false">IF(ISNA(L1848),NA(),K1126)</f>
        <v>#N/A</v>
      </c>
      <c r="L1848" s="0" t="e">
        <f aca="false">IF(OR(L1126="",AND(L1126=L1125,L1126=L1127)),NA(), L1126)</f>
        <v>#N/A</v>
      </c>
      <c r="M1848" s="0" t="e">
        <f aca="false">IF(ISNA(N1848),NA(),M1126)</f>
        <v>#N/A</v>
      </c>
      <c r="N1848" s="0" t="e">
        <f aca="false">IF(OR(N1126="",AND(N1126=N1125,N1126=N1127)),NA(), N1126)</f>
        <v>#N/A</v>
      </c>
    </row>
    <row r="1849" customFormat="false" ht="15" hidden="false" customHeight="false" outlineLevel="0" collapsed="false">
      <c r="E1849" s="0" t="e">
        <f aca="false">IF(ISNA(F1849),NA(),E1127)</f>
        <v>#N/A</v>
      </c>
      <c r="F1849" s="0" t="e">
        <f aca="false">IF(OR(F1127="",AND(F1127=F1126,F1127=F1128)),NA(), F1127)</f>
        <v>#N/A</v>
      </c>
      <c r="G1849" s="0" t="e">
        <f aca="false">IF(ISNA(H1849),NA(),G1127)</f>
        <v>#N/A</v>
      </c>
      <c r="H1849" s="0" t="e">
        <f aca="false">IF(OR(H1127="",AND(H1127=H1126,H1127=H1128)),NA(), H1127)</f>
        <v>#N/A</v>
      </c>
      <c r="K1849" s="0" t="e">
        <f aca="false">IF(ISNA(L1849),NA(),K1127)</f>
        <v>#N/A</v>
      </c>
      <c r="L1849" s="0" t="e">
        <f aca="false">IF(OR(L1127="",AND(L1127=L1126,L1127=L1128)),NA(), L1127)</f>
        <v>#N/A</v>
      </c>
      <c r="M1849" s="0" t="e">
        <f aca="false">IF(ISNA(N1849),NA(),M1127)</f>
        <v>#N/A</v>
      </c>
      <c r="N1849" s="0" t="e">
        <f aca="false">IF(OR(N1127="",AND(N1127=N1126,N1127=N1128)),NA(), N1127)</f>
        <v>#N/A</v>
      </c>
    </row>
    <row r="1850" customFormat="false" ht="15" hidden="false" customHeight="false" outlineLevel="0" collapsed="false">
      <c r="E1850" s="0" t="e">
        <f aca="false">IF(ISNA(F1850),NA(),E1128)</f>
        <v>#N/A</v>
      </c>
      <c r="F1850" s="0" t="e">
        <f aca="false">IF(OR(F1128="",AND(F1128=F1127,F1128=F1129)),NA(), F1128)</f>
        <v>#N/A</v>
      </c>
      <c r="G1850" s="0" t="e">
        <f aca="false">IF(ISNA(H1850),NA(),G1128)</f>
        <v>#N/A</v>
      </c>
      <c r="H1850" s="0" t="e">
        <f aca="false">IF(OR(H1128="",AND(H1128=H1127,H1128=H1129)),NA(), H1128)</f>
        <v>#N/A</v>
      </c>
      <c r="K1850" s="0" t="e">
        <f aca="false">IF(ISNA(L1850),NA(),K1128)</f>
        <v>#N/A</v>
      </c>
      <c r="L1850" s="0" t="e">
        <f aca="false">IF(OR(L1128="",AND(L1128=L1127,L1128=L1129)),NA(), L1128)</f>
        <v>#N/A</v>
      </c>
      <c r="M1850" s="0" t="e">
        <f aca="false">IF(ISNA(N1850),NA(),M1128)</f>
        <v>#N/A</v>
      </c>
      <c r="N1850" s="0" t="e">
        <f aca="false">IF(OR(N1128="",AND(N1128=N1127,N1128=N1129)),NA(), N1128)</f>
        <v>#N/A</v>
      </c>
    </row>
    <row r="1851" customFormat="false" ht="15" hidden="false" customHeight="false" outlineLevel="0" collapsed="false">
      <c r="E1851" s="0" t="e">
        <f aca="false">IF(ISNA(F1851),NA(),E1129)</f>
        <v>#N/A</v>
      </c>
      <c r="F1851" s="0" t="e">
        <f aca="false">IF(OR(F1129="",AND(F1129=F1128,F1129=F1130)),NA(), F1129)</f>
        <v>#N/A</v>
      </c>
      <c r="G1851" s="0" t="e">
        <f aca="false">IF(ISNA(H1851),NA(),G1129)</f>
        <v>#N/A</v>
      </c>
      <c r="H1851" s="0" t="e">
        <f aca="false">IF(OR(H1129="",AND(H1129=H1128,H1129=H1130)),NA(), H1129)</f>
        <v>#N/A</v>
      </c>
      <c r="K1851" s="0" t="e">
        <f aca="false">IF(ISNA(L1851),NA(),K1129)</f>
        <v>#N/A</v>
      </c>
      <c r="L1851" s="0" t="e">
        <f aca="false">IF(OR(L1129="",AND(L1129=L1128,L1129=L1130)),NA(), L1129)</f>
        <v>#N/A</v>
      </c>
      <c r="M1851" s="0" t="e">
        <f aca="false">IF(ISNA(N1851),NA(),M1129)</f>
        <v>#N/A</v>
      </c>
      <c r="N1851" s="0" t="e">
        <f aca="false">IF(OR(N1129="",AND(N1129=N1128,N1129=N1130)),NA(), N1129)</f>
        <v>#N/A</v>
      </c>
    </row>
    <row r="1852" customFormat="false" ht="15" hidden="false" customHeight="false" outlineLevel="0" collapsed="false">
      <c r="E1852" s="0" t="e">
        <f aca="false">IF(ISNA(F1852),NA(),E1130)</f>
        <v>#N/A</v>
      </c>
      <c r="F1852" s="0" t="e">
        <f aca="false">IF(OR(F1130="",AND(F1130=F1129,F1130=F1131)),NA(), F1130)</f>
        <v>#N/A</v>
      </c>
      <c r="G1852" s="0" t="e">
        <f aca="false">IF(ISNA(H1852),NA(),G1130)</f>
        <v>#N/A</v>
      </c>
      <c r="H1852" s="0" t="e">
        <f aca="false">IF(OR(H1130="",AND(H1130=H1129,H1130=H1131)),NA(), H1130)</f>
        <v>#N/A</v>
      </c>
      <c r="K1852" s="0" t="e">
        <f aca="false">IF(ISNA(L1852),NA(),K1130)</f>
        <v>#N/A</v>
      </c>
      <c r="L1852" s="0" t="e">
        <f aca="false">IF(OR(L1130="",AND(L1130=L1129,L1130=L1131)),NA(), L1130)</f>
        <v>#N/A</v>
      </c>
      <c r="M1852" s="0" t="e">
        <f aca="false">IF(ISNA(N1852),NA(),M1130)</f>
        <v>#N/A</v>
      </c>
      <c r="N1852" s="0" t="e">
        <f aca="false">IF(OR(N1130="",AND(N1130=N1129,N1130=N1131)),NA(), N1130)</f>
        <v>#N/A</v>
      </c>
    </row>
    <row r="1853" customFormat="false" ht="15" hidden="false" customHeight="false" outlineLevel="0" collapsed="false">
      <c r="E1853" s="0" t="e">
        <f aca="false">IF(ISNA(F1853),NA(),E1131)</f>
        <v>#N/A</v>
      </c>
      <c r="F1853" s="0" t="e">
        <f aca="false">IF(OR(F1131="",AND(F1131=F1130,F1131=F1132)),NA(), F1131)</f>
        <v>#N/A</v>
      </c>
      <c r="G1853" s="0" t="e">
        <f aca="false">IF(ISNA(H1853),NA(),G1131)</f>
        <v>#N/A</v>
      </c>
      <c r="H1853" s="0" t="e">
        <f aca="false">IF(OR(H1131="",AND(H1131=H1130,H1131=H1132)),NA(), H1131)</f>
        <v>#N/A</v>
      </c>
      <c r="K1853" s="0" t="e">
        <f aca="false">IF(ISNA(L1853),NA(),K1131)</f>
        <v>#N/A</v>
      </c>
      <c r="L1853" s="0" t="e">
        <f aca="false">IF(OR(L1131="",AND(L1131=L1130,L1131=L1132)),NA(), L1131)</f>
        <v>#N/A</v>
      </c>
      <c r="M1853" s="0" t="e">
        <f aca="false">IF(ISNA(N1853),NA(),M1131)</f>
        <v>#N/A</v>
      </c>
      <c r="N1853" s="0" t="e">
        <f aca="false">IF(OR(N1131="",AND(N1131=N1130,N1131=N1132)),NA(), N1131)</f>
        <v>#N/A</v>
      </c>
    </row>
    <row r="1854" customFormat="false" ht="15" hidden="false" customHeight="false" outlineLevel="0" collapsed="false">
      <c r="E1854" s="0" t="e">
        <f aca="false">IF(ISNA(F1854),NA(),E1132)</f>
        <v>#N/A</v>
      </c>
      <c r="F1854" s="0" t="e">
        <f aca="false">IF(OR(F1132="",AND(F1132=F1131,F1132=F1133)),NA(), F1132)</f>
        <v>#N/A</v>
      </c>
      <c r="G1854" s="0" t="e">
        <f aca="false">IF(ISNA(H1854),NA(),G1132)</f>
        <v>#N/A</v>
      </c>
      <c r="H1854" s="0" t="e">
        <f aca="false">IF(OR(H1132="",AND(H1132=H1131,H1132=H1133)),NA(), H1132)</f>
        <v>#N/A</v>
      </c>
      <c r="K1854" s="0" t="e">
        <f aca="false">IF(ISNA(L1854),NA(),K1132)</f>
        <v>#N/A</v>
      </c>
      <c r="L1854" s="0" t="e">
        <f aca="false">IF(OR(L1132="",AND(L1132=L1131,L1132=L1133)),NA(), L1132)</f>
        <v>#N/A</v>
      </c>
      <c r="M1854" s="0" t="e">
        <f aca="false">IF(ISNA(N1854),NA(),M1132)</f>
        <v>#N/A</v>
      </c>
      <c r="N1854" s="0" t="e">
        <f aca="false">IF(OR(N1132="",AND(N1132=N1131,N1132=N1133)),NA(), N1132)</f>
        <v>#N/A</v>
      </c>
    </row>
    <row r="1855" customFormat="false" ht="15" hidden="false" customHeight="false" outlineLevel="0" collapsed="false">
      <c r="E1855" s="0" t="e">
        <f aca="false">IF(ISNA(F1855),NA(),E1133)</f>
        <v>#N/A</v>
      </c>
      <c r="F1855" s="0" t="e">
        <f aca="false">IF(OR(F1133="",AND(F1133=F1132,F1133=F1134)),NA(), F1133)</f>
        <v>#N/A</v>
      </c>
      <c r="G1855" s="0" t="e">
        <f aca="false">IF(ISNA(H1855),NA(),G1133)</f>
        <v>#N/A</v>
      </c>
      <c r="H1855" s="0" t="e">
        <f aca="false">IF(OR(H1133="",AND(H1133=H1132,H1133=H1134)),NA(), H1133)</f>
        <v>#N/A</v>
      </c>
      <c r="K1855" s="0" t="e">
        <f aca="false">IF(ISNA(L1855),NA(),K1133)</f>
        <v>#N/A</v>
      </c>
      <c r="L1855" s="0" t="e">
        <f aca="false">IF(OR(L1133="",AND(L1133=L1132,L1133=L1134)),NA(), L1133)</f>
        <v>#N/A</v>
      </c>
      <c r="M1855" s="0" t="e">
        <f aca="false">IF(ISNA(N1855),NA(),M1133)</f>
        <v>#N/A</v>
      </c>
      <c r="N1855" s="0" t="e">
        <f aca="false">IF(OR(N1133="",AND(N1133=N1132,N1133=N1134)),NA(), N1133)</f>
        <v>#N/A</v>
      </c>
    </row>
    <row r="1856" customFormat="false" ht="15" hidden="false" customHeight="false" outlineLevel="0" collapsed="false">
      <c r="E1856" s="0" t="e">
        <f aca="false">IF(ISNA(F1856),NA(),E1134)</f>
        <v>#N/A</v>
      </c>
      <c r="F1856" s="0" t="e">
        <f aca="false">IF(OR(F1134="",AND(F1134=F1133,F1134=F1135)),NA(), F1134)</f>
        <v>#N/A</v>
      </c>
      <c r="G1856" s="0" t="e">
        <f aca="false">IF(ISNA(H1856),NA(),G1134)</f>
        <v>#N/A</v>
      </c>
      <c r="H1856" s="0" t="e">
        <f aca="false">IF(OR(H1134="",AND(H1134=H1133,H1134=H1135)),NA(), H1134)</f>
        <v>#N/A</v>
      </c>
      <c r="K1856" s="0" t="e">
        <f aca="false">IF(ISNA(L1856),NA(),K1134)</f>
        <v>#N/A</v>
      </c>
      <c r="L1856" s="0" t="e">
        <f aca="false">IF(OR(L1134="",AND(L1134=L1133,L1134=L1135)),NA(), L1134)</f>
        <v>#N/A</v>
      </c>
      <c r="M1856" s="0" t="e">
        <f aca="false">IF(ISNA(N1856),NA(),M1134)</f>
        <v>#N/A</v>
      </c>
      <c r="N1856" s="0" t="e">
        <f aca="false">IF(OR(N1134="",AND(N1134=N1133,N1134=N1135)),NA(), N1134)</f>
        <v>#N/A</v>
      </c>
    </row>
    <row r="1857" customFormat="false" ht="15" hidden="false" customHeight="false" outlineLevel="0" collapsed="false">
      <c r="E1857" s="0" t="e">
        <f aca="false">IF(ISNA(F1857),NA(),E1135)</f>
        <v>#N/A</v>
      </c>
      <c r="F1857" s="0" t="e">
        <f aca="false">IF(OR(F1135="",AND(F1135=F1134,F1135=F1136)),NA(), F1135)</f>
        <v>#N/A</v>
      </c>
      <c r="G1857" s="0" t="e">
        <f aca="false">IF(ISNA(H1857),NA(),G1135)</f>
        <v>#N/A</v>
      </c>
      <c r="H1857" s="0" t="e">
        <f aca="false">IF(OR(H1135="",AND(H1135=H1134,H1135=H1136)),NA(), H1135)</f>
        <v>#N/A</v>
      </c>
      <c r="K1857" s="0" t="e">
        <f aca="false">IF(ISNA(L1857),NA(),K1135)</f>
        <v>#N/A</v>
      </c>
      <c r="L1857" s="0" t="e">
        <f aca="false">IF(OR(L1135="",AND(L1135=L1134,L1135=L1136)),NA(), L1135)</f>
        <v>#N/A</v>
      </c>
      <c r="M1857" s="0" t="e">
        <f aca="false">IF(ISNA(N1857),NA(),M1135)</f>
        <v>#N/A</v>
      </c>
      <c r="N1857" s="0" t="e">
        <f aca="false">IF(OR(N1135="",AND(N1135=N1134,N1135=N1136)),NA(), N1135)</f>
        <v>#N/A</v>
      </c>
    </row>
    <row r="1858" customFormat="false" ht="15" hidden="false" customHeight="false" outlineLevel="0" collapsed="false">
      <c r="E1858" s="0" t="e">
        <f aca="false">IF(ISNA(F1858),NA(),E1136)</f>
        <v>#N/A</v>
      </c>
      <c r="F1858" s="0" t="e">
        <f aca="false">IF(OR(F1136="",AND(F1136=F1135,F1136=F1137)),NA(), F1136)</f>
        <v>#N/A</v>
      </c>
      <c r="G1858" s="0" t="e">
        <f aca="false">IF(ISNA(H1858),NA(),G1136)</f>
        <v>#N/A</v>
      </c>
      <c r="H1858" s="0" t="e">
        <f aca="false">IF(OR(H1136="",AND(H1136=H1135,H1136=H1137)),NA(), H1136)</f>
        <v>#N/A</v>
      </c>
      <c r="K1858" s="0" t="e">
        <f aca="false">IF(ISNA(L1858),NA(),K1136)</f>
        <v>#N/A</v>
      </c>
      <c r="L1858" s="0" t="e">
        <f aca="false">IF(OR(L1136="",AND(L1136=L1135,L1136=L1137)),NA(), L1136)</f>
        <v>#N/A</v>
      </c>
      <c r="M1858" s="0" t="e">
        <f aca="false">IF(ISNA(N1858),NA(),M1136)</f>
        <v>#N/A</v>
      </c>
      <c r="N1858" s="0" t="e">
        <f aca="false">IF(OR(N1136="",AND(N1136=N1135,N1136=N1137)),NA(), N1136)</f>
        <v>#N/A</v>
      </c>
    </row>
    <row r="1859" customFormat="false" ht="15" hidden="false" customHeight="false" outlineLevel="0" collapsed="false">
      <c r="E1859" s="0" t="e">
        <f aca="false">IF(ISNA(F1859),NA(),E1137)</f>
        <v>#N/A</v>
      </c>
      <c r="F1859" s="0" t="e">
        <f aca="false">IF(OR(F1137="",AND(F1137=F1136,F1137=F1138)),NA(), F1137)</f>
        <v>#N/A</v>
      </c>
      <c r="G1859" s="0" t="e">
        <f aca="false">IF(ISNA(H1859),NA(),G1137)</f>
        <v>#N/A</v>
      </c>
      <c r="H1859" s="0" t="e">
        <f aca="false">IF(OR(H1137="",AND(H1137=H1136,H1137=H1138)),NA(), H1137)</f>
        <v>#N/A</v>
      </c>
      <c r="K1859" s="0" t="e">
        <f aca="false">IF(ISNA(L1859),NA(),K1137)</f>
        <v>#N/A</v>
      </c>
      <c r="L1859" s="0" t="e">
        <f aca="false">IF(OR(L1137="",AND(L1137=L1136,L1137=L1138)),NA(), L1137)</f>
        <v>#N/A</v>
      </c>
      <c r="M1859" s="0" t="e">
        <f aca="false">IF(ISNA(N1859),NA(),M1137)</f>
        <v>#N/A</v>
      </c>
      <c r="N1859" s="0" t="e">
        <f aca="false">IF(OR(N1137="",AND(N1137=N1136,N1137=N1138)),NA(), N1137)</f>
        <v>#N/A</v>
      </c>
    </row>
    <row r="1860" customFormat="false" ht="15" hidden="false" customHeight="false" outlineLevel="0" collapsed="false">
      <c r="E1860" s="0" t="e">
        <f aca="false">IF(ISNA(F1860),NA(),E1138)</f>
        <v>#N/A</v>
      </c>
      <c r="F1860" s="0" t="e">
        <f aca="false">IF(OR(F1138="",AND(F1138=F1137,F1138=F1139)),NA(), F1138)</f>
        <v>#N/A</v>
      </c>
      <c r="G1860" s="0" t="e">
        <f aca="false">IF(ISNA(H1860),NA(),G1138)</f>
        <v>#N/A</v>
      </c>
      <c r="H1860" s="0" t="e">
        <f aca="false">IF(OR(H1138="",AND(H1138=H1137,H1138=H1139)),NA(), H1138)</f>
        <v>#N/A</v>
      </c>
      <c r="K1860" s="0" t="e">
        <f aca="false">IF(ISNA(L1860),NA(),K1138)</f>
        <v>#N/A</v>
      </c>
      <c r="L1860" s="0" t="e">
        <f aca="false">IF(OR(L1138="",AND(L1138=L1137,L1138=L1139)),NA(), L1138)</f>
        <v>#N/A</v>
      </c>
      <c r="M1860" s="0" t="e">
        <f aca="false">IF(ISNA(N1860),NA(),M1138)</f>
        <v>#N/A</v>
      </c>
      <c r="N1860" s="0" t="e">
        <f aca="false">IF(OR(N1138="",AND(N1138=N1137,N1138=N1139)),NA(), N1138)</f>
        <v>#N/A</v>
      </c>
    </row>
    <row r="1861" customFormat="false" ht="15" hidden="false" customHeight="false" outlineLevel="0" collapsed="false">
      <c r="E1861" s="0" t="e">
        <f aca="false">IF(ISNA(F1861),NA(),E1139)</f>
        <v>#N/A</v>
      </c>
      <c r="F1861" s="0" t="e">
        <f aca="false">IF(OR(F1139="",AND(F1139=F1138,F1139=F1140)),NA(), F1139)</f>
        <v>#N/A</v>
      </c>
      <c r="G1861" s="0" t="e">
        <f aca="false">IF(ISNA(H1861),NA(),G1139)</f>
        <v>#N/A</v>
      </c>
      <c r="H1861" s="0" t="e">
        <f aca="false">IF(OR(H1139="",AND(H1139=H1138,H1139=H1140)),NA(), H1139)</f>
        <v>#N/A</v>
      </c>
      <c r="K1861" s="0" t="e">
        <f aca="false">IF(ISNA(L1861),NA(),K1139)</f>
        <v>#N/A</v>
      </c>
      <c r="L1861" s="0" t="e">
        <f aca="false">IF(OR(L1139="",AND(L1139=L1138,L1139=L1140)),NA(), L1139)</f>
        <v>#N/A</v>
      </c>
      <c r="M1861" s="0" t="e">
        <f aca="false">IF(ISNA(N1861),NA(),M1139)</f>
        <v>#N/A</v>
      </c>
      <c r="N1861" s="0" t="e">
        <f aca="false">IF(OR(N1139="",AND(N1139=N1138,N1139=N1140)),NA(), N1139)</f>
        <v>#N/A</v>
      </c>
    </row>
    <row r="1862" customFormat="false" ht="15" hidden="false" customHeight="false" outlineLevel="0" collapsed="false">
      <c r="E1862" s="0" t="e">
        <f aca="false">IF(ISNA(F1862),NA(),E1140)</f>
        <v>#N/A</v>
      </c>
      <c r="F1862" s="0" t="e">
        <f aca="false">IF(OR(F1140="",AND(F1140=F1139,F1140=F1141)),NA(), F1140)</f>
        <v>#N/A</v>
      </c>
      <c r="G1862" s="0" t="e">
        <f aca="false">IF(ISNA(H1862),NA(),G1140)</f>
        <v>#N/A</v>
      </c>
      <c r="H1862" s="0" t="e">
        <f aca="false">IF(OR(H1140="",AND(H1140=H1139,H1140=H1141)),NA(), H1140)</f>
        <v>#N/A</v>
      </c>
      <c r="K1862" s="0" t="e">
        <f aca="false">IF(ISNA(L1862),NA(),K1140)</f>
        <v>#N/A</v>
      </c>
      <c r="L1862" s="0" t="e">
        <f aca="false">IF(OR(L1140="",AND(L1140=L1139,L1140=L1141)),NA(), L1140)</f>
        <v>#N/A</v>
      </c>
      <c r="M1862" s="0" t="e">
        <f aca="false">IF(ISNA(N1862),NA(),M1140)</f>
        <v>#N/A</v>
      </c>
      <c r="N1862" s="0" t="e">
        <f aca="false">IF(OR(N1140="",AND(N1140=N1139,N1140=N1141)),NA(), N1140)</f>
        <v>#N/A</v>
      </c>
    </row>
    <row r="1863" customFormat="false" ht="15" hidden="false" customHeight="false" outlineLevel="0" collapsed="false">
      <c r="E1863" s="0" t="e">
        <f aca="false">IF(ISNA(F1863),NA(),E1141)</f>
        <v>#N/A</v>
      </c>
      <c r="F1863" s="0" t="e">
        <f aca="false">IF(OR(F1141="",AND(F1141=F1140,F1141=F1142)),NA(), F1141)</f>
        <v>#N/A</v>
      </c>
      <c r="G1863" s="0" t="e">
        <f aca="false">IF(ISNA(H1863),NA(),G1141)</f>
        <v>#N/A</v>
      </c>
      <c r="H1863" s="0" t="e">
        <f aca="false">IF(OR(H1141="",AND(H1141=H1140,H1141=H1142)),NA(), H1141)</f>
        <v>#N/A</v>
      </c>
      <c r="K1863" s="0" t="e">
        <f aca="false">IF(ISNA(L1863),NA(),K1141)</f>
        <v>#N/A</v>
      </c>
      <c r="L1863" s="0" t="e">
        <f aca="false">IF(OR(L1141="",AND(L1141=L1140,L1141=L1142)),NA(), L1141)</f>
        <v>#N/A</v>
      </c>
      <c r="M1863" s="0" t="e">
        <f aca="false">IF(ISNA(N1863),NA(),M1141)</f>
        <v>#N/A</v>
      </c>
      <c r="N1863" s="0" t="e">
        <f aca="false">IF(OR(N1141="",AND(N1141=N1140,N1141=N1142)),NA(), N1141)</f>
        <v>#N/A</v>
      </c>
    </row>
    <row r="1864" customFormat="false" ht="15" hidden="false" customHeight="false" outlineLevel="0" collapsed="false">
      <c r="E1864" s="0" t="e">
        <f aca="false">IF(ISNA(F1864),NA(),E1142)</f>
        <v>#N/A</v>
      </c>
      <c r="F1864" s="0" t="e">
        <f aca="false">IF(OR(F1142="",AND(F1142=F1141,F1142=F1143)),NA(), F1142)</f>
        <v>#N/A</v>
      </c>
      <c r="G1864" s="0" t="e">
        <f aca="false">IF(ISNA(H1864),NA(),G1142)</f>
        <v>#N/A</v>
      </c>
      <c r="H1864" s="0" t="e">
        <f aca="false">IF(OR(H1142="",AND(H1142=H1141,H1142=H1143)),NA(), H1142)</f>
        <v>#N/A</v>
      </c>
      <c r="K1864" s="0" t="e">
        <f aca="false">IF(ISNA(L1864),NA(),K1142)</f>
        <v>#N/A</v>
      </c>
      <c r="L1864" s="0" t="e">
        <f aca="false">IF(OR(L1142="",AND(L1142=L1141,L1142=L1143)),NA(), L1142)</f>
        <v>#N/A</v>
      </c>
      <c r="M1864" s="0" t="e">
        <f aca="false">IF(ISNA(N1864),NA(),M1142)</f>
        <v>#N/A</v>
      </c>
      <c r="N1864" s="0" t="e">
        <f aca="false">IF(OR(N1142="",AND(N1142=N1141,N1142=N1143)),NA(), N1142)</f>
        <v>#N/A</v>
      </c>
    </row>
    <row r="1865" customFormat="false" ht="15" hidden="false" customHeight="false" outlineLevel="0" collapsed="false">
      <c r="E1865" s="0" t="e">
        <f aca="false">IF(ISNA(F1865),NA(),E1143)</f>
        <v>#N/A</v>
      </c>
      <c r="F1865" s="0" t="e">
        <f aca="false">IF(OR(F1143="",AND(F1143=F1142,F1143=F1144)),NA(), F1143)</f>
        <v>#N/A</v>
      </c>
      <c r="G1865" s="0" t="e">
        <f aca="false">IF(ISNA(H1865),NA(),G1143)</f>
        <v>#N/A</v>
      </c>
      <c r="H1865" s="0" t="e">
        <f aca="false">IF(OR(H1143="",AND(H1143=H1142,H1143=H1144)),NA(), H1143)</f>
        <v>#N/A</v>
      </c>
      <c r="K1865" s="0" t="e">
        <f aca="false">IF(ISNA(L1865),NA(),K1143)</f>
        <v>#N/A</v>
      </c>
      <c r="L1865" s="0" t="e">
        <f aca="false">IF(OR(L1143="",AND(L1143=L1142,L1143=L1144)),NA(), L1143)</f>
        <v>#N/A</v>
      </c>
      <c r="M1865" s="0" t="e">
        <f aca="false">IF(ISNA(N1865),NA(),M1143)</f>
        <v>#N/A</v>
      </c>
      <c r="N1865" s="0" t="e">
        <f aca="false">IF(OR(N1143="",AND(N1143=N1142,N1143=N1144)),NA(), N1143)</f>
        <v>#N/A</v>
      </c>
    </row>
    <row r="1866" customFormat="false" ht="15" hidden="false" customHeight="false" outlineLevel="0" collapsed="false">
      <c r="E1866" s="0" t="e">
        <f aca="false">IF(ISNA(F1866),NA(),E1144)</f>
        <v>#N/A</v>
      </c>
      <c r="F1866" s="0" t="e">
        <f aca="false">IF(OR(F1144="",AND(F1144=F1143,F1144=F1145)),NA(), F1144)</f>
        <v>#N/A</v>
      </c>
      <c r="G1866" s="0" t="e">
        <f aca="false">IF(ISNA(H1866),NA(),G1144)</f>
        <v>#N/A</v>
      </c>
      <c r="H1866" s="0" t="e">
        <f aca="false">IF(OR(H1144="",AND(H1144=H1143,H1144=H1145)),NA(), H1144)</f>
        <v>#N/A</v>
      </c>
      <c r="K1866" s="0" t="e">
        <f aca="false">IF(ISNA(L1866),NA(),K1144)</f>
        <v>#N/A</v>
      </c>
      <c r="L1866" s="0" t="e">
        <f aca="false">IF(OR(L1144="",AND(L1144=L1143,L1144=L1145)),NA(), L1144)</f>
        <v>#N/A</v>
      </c>
      <c r="M1866" s="0" t="e">
        <f aca="false">IF(ISNA(N1866),NA(),M1144)</f>
        <v>#N/A</v>
      </c>
      <c r="N1866" s="0" t="e">
        <f aca="false">IF(OR(N1144="",AND(N1144=N1143,N1144=N1145)),NA(), N1144)</f>
        <v>#N/A</v>
      </c>
    </row>
    <row r="1867" customFormat="false" ht="15" hidden="false" customHeight="false" outlineLevel="0" collapsed="false">
      <c r="E1867" s="0" t="e">
        <f aca="false">IF(ISNA(F1867),NA(),E1145)</f>
        <v>#N/A</v>
      </c>
      <c r="F1867" s="0" t="e">
        <f aca="false">IF(OR(F1145="",AND(F1145=F1144,F1145=F1146)),NA(), F1145)</f>
        <v>#N/A</v>
      </c>
      <c r="G1867" s="0" t="e">
        <f aca="false">IF(ISNA(H1867),NA(),G1145)</f>
        <v>#N/A</v>
      </c>
      <c r="H1867" s="0" t="e">
        <f aca="false">IF(OR(H1145="",AND(H1145=H1144,H1145=H1146)),NA(), H1145)</f>
        <v>#N/A</v>
      </c>
      <c r="K1867" s="0" t="e">
        <f aca="false">IF(ISNA(L1867),NA(),K1145)</f>
        <v>#N/A</v>
      </c>
      <c r="L1867" s="0" t="e">
        <f aca="false">IF(OR(L1145="",AND(L1145=L1144,L1145=L1146)),NA(), L1145)</f>
        <v>#N/A</v>
      </c>
      <c r="M1867" s="0" t="e">
        <f aca="false">IF(ISNA(N1867),NA(),M1145)</f>
        <v>#N/A</v>
      </c>
      <c r="N1867" s="0" t="e">
        <f aca="false">IF(OR(N1145="",AND(N1145=N1144,N1145=N1146)),NA(), N1145)</f>
        <v>#N/A</v>
      </c>
    </row>
    <row r="1868" customFormat="false" ht="15" hidden="false" customHeight="false" outlineLevel="0" collapsed="false">
      <c r="E1868" s="0" t="e">
        <f aca="false">IF(ISNA(F1868),NA(),E1146)</f>
        <v>#N/A</v>
      </c>
      <c r="F1868" s="0" t="e">
        <f aca="false">IF(OR(F1146="",AND(F1146=F1145,F1146=F1147)),NA(), F1146)</f>
        <v>#N/A</v>
      </c>
      <c r="G1868" s="0" t="e">
        <f aca="false">IF(ISNA(H1868),NA(),G1146)</f>
        <v>#N/A</v>
      </c>
      <c r="H1868" s="0" t="e">
        <f aca="false">IF(OR(H1146="",AND(H1146=H1145,H1146=H1147)),NA(), H1146)</f>
        <v>#N/A</v>
      </c>
      <c r="K1868" s="0" t="e">
        <f aca="false">IF(ISNA(L1868),NA(),K1146)</f>
        <v>#N/A</v>
      </c>
      <c r="L1868" s="0" t="e">
        <f aca="false">IF(OR(L1146="",AND(L1146=L1145,L1146=L1147)),NA(), L1146)</f>
        <v>#N/A</v>
      </c>
      <c r="M1868" s="0" t="e">
        <f aca="false">IF(ISNA(N1868),NA(),M1146)</f>
        <v>#N/A</v>
      </c>
      <c r="N1868" s="0" t="e">
        <f aca="false">IF(OR(N1146="",AND(N1146=N1145,N1146=N1147)),NA(), N1146)</f>
        <v>#N/A</v>
      </c>
    </row>
    <row r="1869" customFormat="false" ht="15" hidden="false" customHeight="false" outlineLevel="0" collapsed="false">
      <c r="E1869" s="0" t="e">
        <f aca="false">IF(ISNA(F1869),NA(),E1147)</f>
        <v>#N/A</v>
      </c>
      <c r="F1869" s="0" t="e">
        <f aca="false">IF(OR(F1147="",AND(F1147=F1146,F1147=F1148)),NA(), F1147)</f>
        <v>#N/A</v>
      </c>
      <c r="G1869" s="0" t="e">
        <f aca="false">IF(ISNA(H1869),NA(),G1147)</f>
        <v>#N/A</v>
      </c>
      <c r="H1869" s="0" t="e">
        <f aca="false">IF(OR(H1147="",AND(H1147=H1146,H1147=H1148)),NA(), H1147)</f>
        <v>#N/A</v>
      </c>
      <c r="K1869" s="0" t="e">
        <f aca="false">IF(ISNA(L1869),NA(),K1147)</f>
        <v>#N/A</v>
      </c>
      <c r="L1869" s="0" t="e">
        <f aca="false">IF(OR(L1147="",AND(L1147=L1146,L1147=L1148)),NA(), L1147)</f>
        <v>#N/A</v>
      </c>
      <c r="M1869" s="0" t="e">
        <f aca="false">IF(ISNA(N1869),NA(),M1147)</f>
        <v>#N/A</v>
      </c>
      <c r="N1869" s="0" t="e">
        <f aca="false">IF(OR(N1147="",AND(N1147=N1146,N1147=N1148)),NA(), N1147)</f>
        <v>#N/A</v>
      </c>
    </row>
    <row r="1870" customFormat="false" ht="15" hidden="false" customHeight="false" outlineLevel="0" collapsed="false">
      <c r="E1870" s="0" t="e">
        <f aca="false">IF(ISNA(F1870),NA(),E1148)</f>
        <v>#N/A</v>
      </c>
      <c r="F1870" s="0" t="e">
        <f aca="false">IF(OR(F1148="",AND(F1148=F1147,F1148=F1149)),NA(), F1148)</f>
        <v>#N/A</v>
      </c>
      <c r="G1870" s="0" t="e">
        <f aca="false">IF(ISNA(H1870),NA(),G1148)</f>
        <v>#N/A</v>
      </c>
      <c r="H1870" s="0" t="e">
        <f aca="false">IF(OR(H1148="",AND(H1148=H1147,H1148=H1149)),NA(), H1148)</f>
        <v>#N/A</v>
      </c>
      <c r="K1870" s="0" t="e">
        <f aca="false">IF(ISNA(L1870),NA(),K1148)</f>
        <v>#N/A</v>
      </c>
      <c r="L1870" s="0" t="e">
        <f aca="false">IF(OR(L1148="",AND(L1148=L1147,L1148=L1149)),NA(), L1148)</f>
        <v>#N/A</v>
      </c>
      <c r="M1870" s="0" t="e">
        <f aca="false">IF(ISNA(N1870),NA(),M1148)</f>
        <v>#N/A</v>
      </c>
      <c r="N1870" s="0" t="e">
        <f aca="false">IF(OR(N1148="",AND(N1148=N1147,N1148=N1149)),NA(), N1148)</f>
        <v>#N/A</v>
      </c>
    </row>
    <row r="1871" customFormat="false" ht="15" hidden="false" customHeight="false" outlineLevel="0" collapsed="false">
      <c r="E1871" s="0" t="e">
        <f aca="false">IF(ISNA(F1871),NA(),E1149)</f>
        <v>#N/A</v>
      </c>
      <c r="F1871" s="0" t="e">
        <f aca="false">IF(OR(F1149="",AND(F1149=F1148,F1149=F1150)),NA(), F1149)</f>
        <v>#N/A</v>
      </c>
      <c r="G1871" s="0" t="e">
        <f aca="false">IF(ISNA(H1871),NA(),G1149)</f>
        <v>#N/A</v>
      </c>
      <c r="H1871" s="0" t="e">
        <f aca="false">IF(OR(H1149="",AND(H1149=H1148,H1149=H1150)),NA(), H1149)</f>
        <v>#N/A</v>
      </c>
      <c r="K1871" s="0" t="e">
        <f aca="false">IF(ISNA(L1871),NA(),K1149)</f>
        <v>#N/A</v>
      </c>
      <c r="L1871" s="0" t="e">
        <f aca="false">IF(OR(L1149="",AND(L1149=L1148,L1149=L1150)),NA(), L1149)</f>
        <v>#N/A</v>
      </c>
      <c r="M1871" s="0" t="e">
        <f aca="false">IF(ISNA(N1871),NA(),M1149)</f>
        <v>#N/A</v>
      </c>
      <c r="N1871" s="0" t="e">
        <f aca="false">IF(OR(N1149="",AND(N1149=N1148,N1149=N1150)),NA(), N1149)</f>
        <v>#N/A</v>
      </c>
    </row>
    <row r="1872" customFormat="false" ht="15" hidden="false" customHeight="false" outlineLevel="0" collapsed="false">
      <c r="E1872" s="0" t="e">
        <f aca="false">IF(ISNA(F1872),NA(),E1150)</f>
        <v>#N/A</v>
      </c>
      <c r="F1872" s="0" t="e">
        <f aca="false">IF(OR(F1150="",AND(F1150=F1149,F1150=F1151)),NA(), F1150)</f>
        <v>#N/A</v>
      </c>
      <c r="G1872" s="0" t="e">
        <f aca="false">IF(ISNA(H1872),NA(),G1150)</f>
        <v>#N/A</v>
      </c>
      <c r="H1872" s="0" t="e">
        <f aca="false">IF(OR(H1150="",AND(H1150=H1149,H1150=H1151)),NA(), H1150)</f>
        <v>#N/A</v>
      </c>
      <c r="K1872" s="0" t="e">
        <f aca="false">IF(ISNA(L1872),NA(),K1150)</f>
        <v>#N/A</v>
      </c>
      <c r="L1872" s="0" t="e">
        <f aca="false">IF(OR(L1150="",AND(L1150=L1149,L1150=L1151)),NA(), L1150)</f>
        <v>#N/A</v>
      </c>
      <c r="M1872" s="0" t="e">
        <f aca="false">IF(ISNA(N1872),NA(),M1150)</f>
        <v>#N/A</v>
      </c>
      <c r="N1872" s="0" t="e">
        <f aca="false">IF(OR(N1150="",AND(N1150=N1149,N1150=N1151)),NA(), N1150)</f>
        <v>#N/A</v>
      </c>
    </row>
    <row r="1873" customFormat="false" ht="15" hidden="false" customHeight="false" outlineLevel="0" collapsed="false">
      <c r="E1873" s="0" t="e">
        <f aca="false">IF(ISNA(F1873),NA(),E1151)</f>
        <v>#N/A</v>
      </c>
      <c r="F1873" s="0" t="e">
        <f aca="false">IF(OR(F1151="",AND(F1151=F1150,F1151=F1152)),NA(), F1151)</f>
        <v>#N/A</v>
      </c>
      <c r="G1873" s="0" t="e">
        <f aca="false">IF(ISNA(H1873),NA(),G1151)</f>
        <v>#N/A</v>
      </c>
      <c r="H1873" s="0" t="e">
        <f aca="false">IF(OR(H1151="",AND(H1151=H1150,H1151=H1152)),NA(), H1151)</f>
        <v>#N/A</v>
      </c>
      <c r="K1873" s="0" t="e">
        <f aca="false">IF(ISNA(L1873),NA(),K1151)</f>
        <v>#N/A</v>
      </c>
      <c r="L1873" s="0" t="e">
        <f aca="false">IF(OR(L1151="",AND(L1151=L1150,L1151=L1152)),NA(), L1151)</f>
        <v>#N/A</v>
      </c>
      <c r="M1873" s="0" t="e">
        <f aca="false">IF(ISNA(N1873),NA(),M1151)</f>
        <v>#N/A</v>
      </c>
      <c r="N1873" s="0" t="e">
        <f aca="false">IF(OR(N1151="",AND(N1151=N1150,N1151=N1152)),NA(), N1151)</f>
        <v>#N/A</v>
      </c>
    </row>
    <row r="1874" customFormat="false" ht="15" hidden="false" customHeight="false" outlineLevel="0" collapsed="false">
      <c r="E1874" s="0" t="e">
        <f aca="false">IF(ISNA(F1874),NA(),E1152)</f>
        <v>#N/A</v>
      </c>
      <c r="F1874" s="0" t="e">
        <f aca="false">IF(OR(F1152="",AND(F1152=F1151,F1152=F1153)),NA(), F1152)</f>
        <v>#N/A</v>
      </c>
      <c r="G1874" s="0" t="e">
        <f aca="false">IF(ISNA(H1874),NA(),G1152)</f>
        <v>#N/A</v>
      </c>
      <c r="H1874" s="0" t="e">
        <f aca="false">IF(OR(H1152="",AND(H1152=H1151,H1152=H1153)),NA(), H1152)</f>
        <v>#N/A</v>
      </c>
      <c r="K1874" s="0" t="e">
        <f aca="false">IF(ISNA(L1874),NA(),K1152)</f>
        <v>#N/A</v>
      </c>
      <c r="L1874" s="0" t="e">
        <f aca="false">IF(OR(L1152="",AND(L1152=L1151,L1152=L1153)),NA(), L1152)</f>
        <v>#N/A</v>
      </c>
      <c r="M1874" s="0" t="e">
        <f aca="false">IF(ISNA(N1874),NA(),M1152)</f>
        <v>#N/A</v>
      </c>
      <c r="N1874" s="0" t="e">
        <f aca="false">IF(OR(N1152="",AND(N1152=N1151,N1152=N1153)),NA(), N1152)</f>
        <v>#N/A</v>
      </c>
    </row>
    <row r="1875" customFormat="false" ht="15" hidden="false" customHeight="false" outlineLevel="0" collapsed="false">
      <c r="E1875" s="0" t="e">
        <f aca="false">IF(ISNA(F1875),NA(),E1153)</f>
        <v>#N/A</v>
      </c>
      <c r="F1875" s="0" t="e">
        <f aca="false">IF(OR(F1153="",AND(F1153=F1152,F1153=F1154)),NA(), F1153)</f>
        <v>#N/A</v>
      </c>
      <c r="G1875" s="0" t="e">
        <f aca="false">IF(ISNA(H1875),NA(),G1153)</f>
        <v>#N/A</v>
      </c>
      <c r="H1875" s="0" t="e">
        <f aca="false">IF(OR(H1153="",AND(H1153=H1152,H1153=H1154)),NA(), H1153)</f>
        <v>#N/A</v>
      </c>
      <c r="K1875" s="0" t="e">
        <f aca="false">IF(ISNA(L1875),NA(),K1153)</f>
        <v>#N/A</v>
      </c>
      <c r="L1875" s="0" t="e">
        <f aca="false">IF(OR(L1153="",AND(L1153=L1152,L1153=L1154)),NA(), L1153)</f>
        <v>#N/A</v>
      </c>
      <c r="M1875" s="0" t="e">
        <f aca="false">IF(ISNA(N1875),NA(),M1153)</f>
        <v>#N/A</v>
      </c>
      <c r="N1875" s="0" t="e">
        <f aca="false">IF(OR(N1153="",AND(N1153=N1152,N1153=N1154)),NA(), N1153)</f>
        <v>#N/A</v>
      </c>
    </row>
    <row r="1876" customFormat="false" ht="15" hidden="false" customHeight="false" outlineLevel="0" collapsed="false">
      <c r="E1876" s="0" t="e">
        <f aca="false">IF(ISNA(F1876),NA(),E1154)</f>
        <v>#N/A</v>
      </c>
      <c r="F1876" s="0" t="e">
        <f aca="false">IF(OR(F1154="",AND(F1154=F1153,F1154=F1155)),NA(), F1154)</f>
        <v>#N/A</v>
      </c>
      <c r="G1876" s="0" t="e">
        <f aca="false">IF(ISNA(H1876),NA(),G1154)</f>
        <v>#N/A</v>
      </c>
      <c r="H1876" s="0" t="e">
        <f aca="false">IF(OR(H1154="",AND(H1154=H1153,H1154=H1155)),NA(), H1154)</f>
        <v>#N/A</v>
      </c>
      <c r="K1876" s="0" t="e">
        <f aca="false">IF(ISNA(L1876),NA(),K1154)</f>
        <v>#N/A</v>
      </c>
      <c r="L1876" s="0" t="e">
        <f aca="false">IF(OR(L1154="",AND(L1154=L1153,L1154=L1155)),NA(), L1154)</f>
        <v>#N/A</v>
      </c>
      <c r="M1876" s="0" t="e">
        <f aca="false">IF(ISNA(N1876),NA(),M1154)</f>
        <v>#N/A</v>
      </c>
      <c r="N1876" s="0" t="e">
        <f aca="false">IF(OR(N1154="",AND(N1154=N1153,N1154=N1155)),NA(), N1154)</f>
        <v>#N/A</v>
      </c>
    </row>
    <row r="1877" customFormat="false" ht="15" hidden="false" customHeight="false" outlineLevel="0" collapsed="false">
      <c r="E1877" s="0" t="e">
        <f aca="false">IF(ISNA(F1877),NA(),E1155)</f>
        <v>#N/A</v>
      </c>
      <c r="F1877" s="0" t="e">
        <f aca="false">IF(OR(F1155="",AND(F1155=F1154,F1155=F1156)),NA(), F1155)</f>
        <v>#N/A</v>
      </c>
      <c r="G1877" s="0" t="e">
        <f aca="false">IF(ISNA(H1877),NA(),G1155)</f>
        <v>#N/A</v>
      </c>
      <c r="H1877" s="0" t="e">
        <f aca="false">IF(OR(H1155="",AND(H1155=H1154,H1155=H1156)),NA(), H1155)</f>
        <v>#N/A</v>
      </c>
      <c r="K1877" s="0" t="e">
        <f aca="false">IF(ISNA(L1877),NA(),K1155)</f>
        <v>#N/A</v>
      </c>
      <c r="L1877" s="0" t="e">
        <f aca="false">IF(OR(L1155="",AND(L1155=L1154,L1155=L1156)),NA(), L1155)</f>
        <v>#N/A</v>
      </c>
      <c r="M1877" s="0" t="e">
        <f aca="false">IF(ISNA(N1877),NA(),M1155)</f>
        <v>#N/A</v>
      </c>
      <c r="N1877" s="0" t="e">
        <f aca="false">IF(OR(N1155="",AND(N1155=N1154,N1155=N1156)),NA(), N1155)</f>
        <v>#N/A</v>
      </c>
    </row>
    <row r="1878" customFormat="false" ht="15" hidden="false" customHeight="false" outlineLevel="0" collapsed="false">
      <c r="E1878" s="0" t="e">
        <f aca="false">IF(ISNA(F1878),NA(),E1156)</f>
        <v>#N/A</v>
      </c>
      <c r="F1878" s="0" t="e">
        <f aca="false">IF(OR(F1156="",AND(F1156=F1155,F1156=F1157)),NA(), F1156)</f>
        <v>#N/A</v>
      </c>
      <c r="G1878" s="0" t="e">
        <f aca="false">IF(ISNA(H1878),NA(),G1156)</f>
        <v>#N/A</v>
      </c>
      <c r="H1878" s="0" t="e">
        <f aca="false">IF(OR(H1156="",AND(H1156=H1155,H1156=H1157)),NA(), H1156)</f>
        <v>#N/A</v>
      </c>
      <c r="K1878" s="0" t="e">
        <f aca="false">IF(ISNA(L1878),NA(),K1156)</f>
        <v>#N/A</v>
      </c>
      <c r="L1878" s="0" t="e">
        <f aca="false">IF(OR(L1156="",AND(L1156=L1155,L1156=L1157)),NA(), L1156)</f>
        <v>#N/A</v>
      </c>
      <c r="M1878" s="0" t="e">
        <f aca="false">IF(ISNA(N1878),NA(),M1156)</f>
        <v>#N/A</v>
      </c>
      <c r="N1878" s="0" t="e">
        <f aca="false">IF(OR(N1156="",AND(N1156=N1155,N1156=N1157)),NA(), N1156)</f>
        <v>#N/A</v>
      </c>
    </row>
    <row r="1879" customFormat="false" ht="15" hidden="false" customHeight="false" outlineLevel="0" collapsed="false">
      <c r="E1879" s="0" t="e">
        <f aca="false">IF(ISNA(F1879),NA(),E1157)</f>
        <v>#N/A</v>
      </c>
      <c r="F1879" s="0" t="e">
        <f aca="false">IF(OR(F1157="",AND(F1157=F1156,F1157=F1158)),NA(), F1157)</f>
        <v>#N/A</v>
      </c>
      <c r="G1879" s="0" t="e">
        <f aca="false">IF(ISNA(H1879),NA(),G1157)</f>
        <v>#N/A</v>
      </c>
      <c r="H1879" s="0" t="e">
        <f aca="false">IF(OR(H1157="",AND(H1157=H1156,H1157=H1158)),NA(), H1157)</f>
        <v>#N/A</v>
      </c>
      <c r="K1879" s="0" t="e">
        <f aca="false">IF(ISNA(L1879),NA(),K1157)</f>
        <v>#N/A</v>
      </c>
      <c r="L1879" s="0" t="e">
        <f aca="false">IF(OR(L1157="",AND(L1157=L1156,L1157=L1158)),NA(), L1157)</f>
        <v>#N/A</v>
      </c>
      <c r="M1879" s="0" t="e">
        <f aca="false">IF(ISNA(N1879),NA(),M1157)</f>
        <v>#N/A</v>
      </c>
      <c r="N1879" s="0" t="e">
        <f aca="false">IF(OR(N1157="",AND(N1157=N1156,N1157=N1158)),NA(), N1157)</f>
        <v>#N/A</v>
      </c>
    </row>
    <row r="1880" customFormat="false" ht="15" hidden="false" customHeight="false" outlineLevel="0" collapsed="false">
      <c r="E1880" s="0" t="e">
        <f aca="false">IF(ISNA(F1880),NA(),E1158)</f>
        <v>#N/A</v>
      </c>
      <c r="F1880" s="0" t="e">
        <f aca="false">IF(OR(F1158="",AND(F1158=F1157,F1158=F1159)),NA(), F1158)</f>
        <v>#N/A</v>
      </c>
      <c r="G1880" s="0" t="e">
        <f aca="false">IF(ISNA(H1880),NA(),G1158)</f>
        <v>#N/A</v>
      </c>
      <c r="H1880" s="0" t="e">
        <f aca="false">IF(OR(H1158="",AND(H1158=H1157,H1158=H1159)),NA(), H1158)</f>
        <v>#N/A</v>
      </c>
      <c r="K1880" s="0" t="e">
        <f aca="false">IF(ISNA(L1880),NA(),K1158)</f>
        <v>#N/A</v>
      </c>
      <c r="L1880" s="0" t="e">
        <f aca="false">IF(OR(L1158="",AND(L1158=L1157,L1158=L1159)),NA(), L1158)</f>
        <v>#N/A</v>
      </c>
      <c r="M1880" s="0" t="e">
        <f aca="false">IF(ISNA(N1880),NA(),M1158)</f>
        <v>#N/A</v>
      </c>
      <c r="N1880" s="0" t="e">
        <f aca="false">IF(OR(N1158="",AND(N1158=N1157,N1158=N1159)),NA(), N1158)</f>
        <v>#N/A</v>
      </c>
    </row>
    <row r="1881" customFormat="false" ht="15" hidden="false" customHeight="false" outlineLevel="0" collapsed="false">
      <c r="E1881" s="0" t="e">
        <f aca="false">IF(ISNA(F1881),NA(),E1159)</f>
        <v>#N/A</v>
      </c>
      <c r="F1881" s="0" t="e">
        <f aca="false">IF(OR(F1159="",AND(F1159=F1158,F1159=F1160)),NA(), F1159)</f>
        <v>#N/A</v>
      </c>
      <c r="G1881" s="0" t="e">
        <f aca="false">IF(ISNA(H1881),NA(),G1159)</f>
        <v>#N/A</v>
      </c>
      <c r="H1881" s="0" t="e">
        <f aca="false">IF(OR(H1159="",AND(H1159=H1158,H1159=H1160)),NA(), H1159)</f>
        <v>#N/A</v>
      </c>
      <c r="K1881" s="0" t="e">
        <f aca="false">IF(ISNA(L1881),NA(),K1159)</f>
        <v>#N/A</v>
      </c>
      <c r="L1881" s="0" t="e">
        <f aca="false">IF(OR(L1159="",AND(L1159=L1158,L1159=L1160)),NA(), L1159)</f>
        <v>#N/A</v>
      </c>
      <c r="M1881" s="0" t="e">
        <f aca="false">IF(ISNA(N1881),NA(),M1159)</f>
        <v>#N/A</v>
      </c>
      <c r="N1881" s="0" t="e">
        <f aca="false">IF(OR(N1159="",AND(N1159=N1158,N1159=N1160)),NA(), N1159)</f>
        <v>#N/A</v>
      </c>
    </row>
    <row r="1882" customFormat="false" ht="15" hidden="false" customHeight="false" outlineLevel="0" collapsed="false">
      <c r="E1882" s="0" t="e">
        <f aca="false">IF(ISNA(F1882),NA(),E1160)</f>
        <v>#N/A</v>
      </c>
      <c r="F1882" s="0" t="e">
        <f aca="false">IF(OR(F1160="",AND(F1160=F1159,F1160=F1161)),NA(), F1160)</f>
        <v>#N/A</v>
      </c>
      <c r="G1882" s="0" t="e">
        <f aca="false">IF(ISNA(H1882),NA(),G1160)</f>
        <v>#N/A</v>
      </c>
      <c r="H1882" s="0" t="e">
        <f aca="false">IF(OR(H1160="",AND(H1160=H1159,H1160=H1161)),NA(), H1160)</f>
        <v>#N/A</v>
      </c>
      <c r="K1882" s="0" t="e">
        <f aca="false">IF(ISNA(L1882),NA(),K1160)</f>
        <v>#N/A</v>
      </c>
      <c r="L1882" s="0" t="e">
        <f aca="false">IF(OR(L1160="",AND(L1160=L1159,L1160=L1161)),NA(), L1160)</f>
        <v>#N/A</v>
      </c>
      <c r="M1882" s="0" t="e">
        <f aca="false">IF(ISNA(N1882),NA(),M1160)</f>
        <v>#N/A</v>
      </c>
      <c r="N1882" s="0" t="e">
        <f aca="false">IF(OR(N1160="",AND(N1160=N1159,N1160=N1161)),NA(), N1160)</f>
        <v>#N/A</v>
      </c>
    </row>
    <row r="1883" customFormat="false" ht="15" hidden="false" customHeight="false" outlineLevel="0" collapsed="false">
      <c r="E1883" s="0" t="e">
        <f aca="false">IF(ISNA(F1883),NA(),E1161)</f>
        <v>#N/A</v>
      </c>
      <c r="F1883" s="0" t="e">
        <f aca="false">IF(OR(F1161="",AND(F1161=F1160,F1161=F1162)),NA(), F1161)</f>
        <v>#N/A</v>
      </c>
      <c r="G1883" s="0" t="e">
        <f aca="false">IF(ISNA(H1883),NA(),G1161)</f>
        <v>#N/A</v>
      </c>
      <c r="H1883" s="0" t="e">
        <f aca="false">IF(OR(H1161="",AND(H1161=H1160,H1161=H1162)),NA(), H1161)</f>
        <v>#N/A</v>
      </c>
      <c r="K1883" s="0" t="e">
        <f aca="false">IF(ISNA(L1883),NA(),K1161)</f>
        <v>#N/A</v>
      </c>
      <c r="L1883" s="0" t="e">
        <f aca="false">IF(OR(L1161="",AND(L1161=L1160,L1161=L1162)),NA(), L1161)</f>
        <v>#N/A</v>
      </c>
      <c r="M1883" s="0" t="e">
        <f aca="false">IF(ISNA(N1883),NA(),M1161)</f>
        <v>#N/A</v>
      </c>
      <c r="N1883" s="0" t="e">
        <f aca="false">IF(OR(N1161="",AND(N1161=N1160,N1161=N1162)),NA(), N1161)</f>
        <v>#N/A</v>
      </c>
    </row>
    <row r="1884" customFormat="false" ht="15" hidden="false" customHeight="false" outlineLevel="0" collapsed="false">
      <c r="E1884" s="0" t="e">
        <f aca="false">IF(ISNA(F1884),NA(),E1162)</f>
        <v>#N/A</v>
      </c>
      <c r="F1884" s="0" t="e">
        <f aca="false">IF(OR(F1162="",AND(F1162=F1161,F1162=F1163)),NA(), F1162)</f>
        <v>#N/A</v>
      </c>
      <c r="G1884" s="0" t="e">
        <f aca="false">IF(ISNA(H1884),NA(),G1162)</f>
        <v>#N/A</v>
      </c>
      <c r="H1884" s="0" t="e">
        <f aca="false">IF(OR(H1162="",AND(H1162=H1161,H1162=H1163)),NA(), H1162)</f>
        <v>#N/A</v>
      </c>
      <c r="K1884" s="0" t="e">
        <f aca="false">IF(ISNA(L1884),NA(),K1162)</f>
        <v>#N/A</v>
      </c>
      <c r="L1884" s="0" t="e">
        <f aca="false">IF(OR(L1162="",AND(L1162=L1161,L1162=L1163)),NA(), L1162)</f>
        <v>#N/A</v>
      </c>
      <c r="M1884" s="0" t="e">
        <f aca="false">IF(ISNA(N1884),NA(),M1162)</f>
        <v>#N/A</v>
      </c>
      <c r="N1884" s="0" t="e">
        <f aca="false">IF(OR(N1162="",AND(N1162=N1161,N1162=N1163)),NA(), N1162)</f>
        <v>#N/A</v>
      </c>
    </row>
    <row r="1885" customFormat="false" ht="15" hidden="false" customHeight="false" outlineLevel="0" collapsed="false">
      <c r="E1885" s="0" t="e">
        <f aca="false">IF(ISNA(F1885),NA(),E1163)</f>
        <v>#N/A</v>
      </c>
      <c r="F1885" s="0" t="e">
        <f aca="false">IF(OR(F1163="",AND(F1163=F1162,F1163=F1164)),NA(), F1163)</f>
        <v>#N/A</v>
      </c>
      <c r="G1885" s="0" t="e">
        <f aca="false">IF(ISNA(H1885),NA(),G1163)</f>
        <v>#N/A</v>
      </c>
      <c r="H1885" s="0" t="e">
        <f aca="false">IF(OR(H1163="",AND(H1163=H1162,H1163=H1164)),NA(), H1163)</f>
        <v>#N/A</v>
      </c>
      <c r="K1885" s="0" t="e">
        <f aca="false">IF(ISNA(L1885),NA(),K1163)</f>
        <v>#N/A</v>
      </c>
      <c r="L1885" s="0" t="e">
        <f aca="false">IF(OR(L1163="",AND(L1163=L1162,L1163=L1164)),NA(), L1163)</f>
        <v>#N/A</v>
      </c>
      <c r="M1885" s="0" t="e">
        <f aca="false">IF(ISNA(N1885),NA(),M1163)</f>
        <v>#N/A</v>
      </c>
      <c r="N1885" s="0" t="e">
        <f aca="false">IF(OR(N1163="",AND(N1163=N1162,N1163=N1164)),NA(), N1163)</f>
        <v>#N/A</v>
      </c>
    </row>
    <row r="1886" customFormat="false" ht="15" hidden="false" customHeight="false" outlineLevel="0" collapsed="false">
      <c r="E1886" s="0" t="e">
        <f aca="false">IF(ISNA(F1886),NA(),E1164)</f>
        <v>#N/A</v>
      </c>
      <c r="F1886" s="0" t="e">
        <f aca="false">IF(OR(F1164="",AND(F1164=F1163,F1164=F1165)),NA(), F1164)</f>
        <v>#N/A</v>
      </c>
      <c r="G1886" s="0" t="e">
        <f aca="false">IF(ISNA(H1886),NA(),G1164)</f>
        <v>#N/A</v>
      </c>
      <c r="H1886" s="0" t="e">
        <f aca="false">IF(OR(H1164="",AND(H1164=H1163,H1164=H1165)),NA(), H1164)</f>
        <v>#N/A</v>
      </c>
      <c r="K1886" s="0" t="e">
        <f aca="false">IF(ISNA(L1886),NA(),K1164)</f>
        <v>#N/A</v>
      </c>
      <c r="L1886" s="0" t="e">
        <f aca="false">IF(OR(L1164="",AND(L1164=L1163,L1164=L1165)),NA(), L1164)</f>
        <v>#N/A</v>
      </c>
      <c r="M1886" s="0" t="e">
        <f aca="false">IF(ISNA(N1886),NA(),M1164)</f>
        <v>#N/A</v>
      </c>
      <c r="N1886" s="0" t="e">
        <f aca="false">IF(OR(N1164="",AND(N1164=N1163,N1164=N1165)),NA(), N1164)</f>
        <v>#N/A</v>
      </c>
    </row>
    <row r="1887" customFormat="false" ht="15" hidden="false" customHeight="false" outlineLevel="0" collapsed="false">
      <c r="E1887" s="0" t="e">
        <f aca="false">IF(ISNA(F1887),NA(),E1165)</f>
        <v>#N/A</v>
      </c>
      <c r="F1887" s="0" t="e">
        <f aca="false">IF(OR(F1165="",AND(F1165=F1164,F1165=F1166)),NA(), F1165)</f>
        <v>#N/A</v>
      </c>
      <c r="G1887" s="0" t="e">
        <f aca="false">IF(ISNA(H1887),NA(),G1165)</f>
        <v>#N/A</v>
      </c>
      <c r="H1887" s="0" t="e">
        <f aca="false">IF(OR(H1165="",AND(H1165=H1164,H1165=H1166)),NA(), H1165)</f>
        <v>#N/A</v>
      </c>
      <c r="K1887" s="0" t="e">
        <f aca="false">IF(ISNA(L1887),NA(),K1165)</f>
        <v>#N/A</v>
      </c>
      <c r="L1887" s="0" t="e">
        <f aca="false">IF(OR(L1165="",AND(L1165=L1164,L1165=L1166)),NA(), L1165)</f>
        <v>#N/A</v>
      </c>
      <c r="M1887" s="0" t="e">
        <f aca="false">IF(ISNA(N1887),NA(),M1165)</f>
        <v>#N/A</v>
      </c>
      <c r="N1887" s="0" t="e">
        <f aca="false">IF(OR(N1165="",AND(N1165=N1164,N1165=N1166)),NA(), N1165)</f>
        <v>#N/A</v>
      </c>
    </row>
    <row r="1888" customFormat="false" ht="15" hidden="false" customHeight="false" outlineLevel="0" collapsed="false">
      <c r="E1888" s="0" t="e">
        <f aca="false">IF(ISNA(F1888),NA(),E1166)</f>
        <v>#N/A</v>
      </c>
      <c r="F1888" s="0" t="e">
        <f aca="false">IF(OR(F1166="",AND(F1166=F1165,F1166=F1167)),NA(), F1166)</f>
        <v>#N/A</v>
      </c>
      <c r="G1888" s="0" t="e">
        <f aca="false">IF(ISNA(H1888),NA(),G1166)</f>
        <v>#N/A</v>
      </c>
      <c r="H1888" s="0" t="e">
        <f aca="false">IF(OR(H1166="",AND(H1166=H1165,H1166=H1167)),NA(), H1166)</f>
        <v>#N/A</v>
      </c>
      <c r="K1888" s="0" t="e">
        <f aca="false">IF(ISNA(L1888),NA(),K1166)</f>
        <v>#N/A</v>
      </c>
      <c r="L1888" s="0" t="e">
        <f aca="false">IF(OR(L1166="",AND(L1166=L1165,L1166=L1167)),NA(), L1166)</f>
        <v>#N/A</v>
      </c>
      <c r="M1888" s="0" t="e">
        <f aca="false">IF(ISNA(N1888),NA(),M1166)</f>
        <v>#N/A</v>
      </c>
      <c r="N1888" s="0" t="e">
        <f aca="false">IF(OR(N1166="",AND(N1166=N1165,N1166=N1167)),NA(), N1166)</f>
        <v>#N/A</v>
      </c>
    </row>
    <row r="1889" customFormat="false" ht="15" hidden="false" customHeight="false" outlineLevel="0" collapsed="false">
      <c r="E1889" s="0" t="e">
        <f aca="false">IF(ISNA(F1889),NA(),E1167)</f>
        <v>#N/A</v>
      </c>
      <c r="F1889" s="0" t="e">
        <f aca="false">IF(OR(F1167="",AND(F1167=F1166,F1167=F1168)),NA(), F1167)</f>
        <v>#N/A</v>
      </c>
      <c r="G1889" s="0" t="e">
        <f aca="false">IF(ISNA(H1889),NA(),G1167)</f>
        <v>#N/A</v>
      </c>
      <c r="H1889" s="0" t="e">
        <f aca="false">IF(OR(H1167="",AND(H1167=H1166,H1167=H1168)),NA(), H1167)</f>
        <v>#N/A</v>
      </c>
      <c r="K1889" s="0" t="e">
        <f aca="false">IF(ISNA(L1889),NA(),K1167)</f>
        <v>#N/A</v>
      </c>
      <c r="L1889" s="0" t="e">
        <f aca="false">IF(OR(L1167="",AND(L1167=L1166,L1167=L1168)),NA(), L1167)</f>
        <v>#N/A</v>
      </c>
      <c r="M1889" s="0" t="e">
        <f aca="false">IF(ISNA(N1889),NA(),M1167)</f>
        <v>#N/A</v>
      </c>
      <c r="N1889" s="0" t="e">
        <f aca="false">IF(OR(N1167="",AND(N1167=N1166,N1167=N1168)),NA(), N1167)</f>
        <v>#N/A</v>
      </c>
    </row>
    <row r="1890" customFormat="false" ht="15" hidden="false" customHeight="false" outlineLevel="0" collapsed="false">
      <c r="E1890" s="0" t="e">
        <f aca="false">IF(ISNA(F1890),NA(),E1168)</f>
        <v>#N/A</v>
      </c>
      <c r="F1890" s="0" t="e">
        <f aca="false">IF(OR(F1168="",AND(F1168=F1167,F1168=F1169)),NA(), F1168)</f>
        <v>#N/A</v>
      </c>
      <c r="G1890" s="0" t="e">
        <f aca="false">IF(ISNA(H1890),NA(),G1168)</f>
        <v>#N/A</v>
      </c>
      <c r="H1890" s="0" t="e">
        <f aca="false">IF(OR(H1168="",AND(H1168=H1167,H1168=H1169)),NA(), H1168)</f>
        <v>#N/A</v>
      </c>
      <c r="K1890" s="0" t="e">
        <f aca="false">IF(ISNA(L1890),NA(),K1168)</f>
        <v>#N/A</v>
      </c>
      <c r="L1890" s="0" t="e">
        <f aca="false">IF(OR(L1168="",AND(L1168=L1167,L1168=L1169)),NA(), L1168)</f>
        <v>#N/A</v>
      </c>
      <c r="M1890" s="0" t="e">
        <f aca="false">IF(ISNA(N1890),NA(),M1168)</f>
        <v>#N/A</v>
      </c>
      <c r="N1890" s="0" t="e">
        <f aca="false">IF(OR(N1168="",AND(N1168=N1167,N1168=N1169)),NA(), N1168)</f>
        <v>#N/A</v>
      </c>
    </row>
    <row r="1891" customFormat="false" ht="15" hidden="false" customHeight="false" outlineLevel="0" collapsed="false">
      <c r="E1891" s="0" t="e">
        <f aca="false">IF(ISNA(F1891),NA(),E1169)</f>
        <v>#N/A</v>
      </c>
      <c r="F1891" s="0" t="e">
        <f aca="false">IF(OR(F1169="",AND(F1169=F1168,F1169=F1170)),NA(), F1169)</f>
        <v>#N/A</v>
      </c>
      <c r="G1891" s="0" t="e">
        <f aca="false">IF(ISNA(H1891),NA(),G1169)</f>
        <v>#N/A</v>
      </c>
      <c r="H1891" s="0" t="e">
        <f aca="false">IF(OR(H1169="",AND(H1169=H1168,H1169=H1170)),NA(), H1169)</f>
        <v>#N/A</v>
      </c>
      <c r="K1891" s="0" t="e">
        <f aca="false">IF(ISNA(L1891),NA(),K1169)</f>
        <v>#N/A</v>
      </c>
      <c r="L1891" s="0" t="e">
        <f aca="false">IF(OR(L1169="",AND(L1169=L1168,L1169=L1170)),NA(), L1169)</f>
        <v>#N/A</v>
      </c>
      <c r="M1891" s="0" t="e">
        <f aca="false">IF(ISNA(N1891),NA(),M1169)</f>
        <v>#N/A</v>
      </c>
      <c r="N1891" s="0" t="e">
        <f aca="false">IF(OR(N1169="",AND(N1169=N1168,N1169=N1170)),NA(), N1169)</f>
        <v>#N/A</v>
      </c>
    </row>
    <row r="1892" customFormat="false" ht="15" hidden="false" customHeight="false" outlineLevel="0" collapsed="false">
      <c r="E1892" s="0" t="e">
        <f aca="false">IF(ISNA(F1892),NA(),E1170)</f>
        <v>#N/A</v>
      </c>
      <c r="F1892" s="0" t="e">
        <f aca="false">IF(OR(F1170="",AND(F1170=F1169,F1170=F1171)),NA(), F1170)</f>
        <v>#N/A</v>
      </c>
      <c r="G1892" s="0" t="e">
        <f aca="false">IF(ISNA(H1892),NA(),G1170)</f>
        <v>#N/A</v>
      </c>
      <c r="H1892" s="0" t="e">
        <f aca="false">IF(OR(H1170="",AND(H1170=H1169,H1170=H1171)),NA(), H1170)</f>
        <v>#N/A</v>
      </c>
      <c r="K1892" s="0" t="e">
        <f aca="false">IF(ISNA(L1892),NA(),K1170)</f>
        <v>#N/A</v>
      </c>
      <c r="L1892" s="0" t="e">
        <f aca="false">IF(OR(L1170="",AND(L1170=L1169,L1170=L1171)),NA(), L1170)</f>
        <v>#N/A</v>
      </c>
      <c r="M1892" s="0" t="e">
        <f aca="false">IF(ISNA(N1892),NA(),M1170)</f>
        <v>#N/A</v>
      </c>
      <c r="N1892" s="0" t="e">
        <f aca="false">IF(OR(N1170="",AND(N1170=N1169,N1170=N1171)),NA(), N1170)</f>
        <v>#N/A</v>
      </c>
    </row>
    <row r="1893" customFormat="false" ht="15" hidden="false" customHeight="false" outlineLevel="0" collapsed="false">
      <c r="E1893" s="0" t="e">
        <f aca="false">IF(ISNA(F1893),NA(),E1171)</f>
        <v>#N/A</v>
      </c>
      <c r="F1893" s="0" t="e">
        <f aca="false">IF(OR(F1171="",AND(F1171=F1170,F1171=F1172)),NA(), F1171)</f>
        <v>#N/A</v>
      </c>
      <c r="G1893" s="0" t="e">
        <f aca="false">IF(ISNA(H1893),NA(),G1171)</f>
        <v>#N/A</v>
      </c>
      <c r="H1893" s="0" t="e">
        <f aca="false">IF(OR(H1171="",AND(H1171=H1170,H1171=H1172)),NA(), H1171)</f>
        <v>#N/A</v>
      </c>
      <c r="K1893" s="0" t="e">
        <f aca="false">IF(ISNA(L1893),NA(),K1171)</f>
        <v>#N/A</v>
      </c>
      <c r="L1893" s="0" t="e">
        <f aca="false">IF(OR(L1171="",AND(L1171=L1170,L1171=L1172)),NA(), L1171)</f>
        <v>#N/A</v>
      </c>
      <c r="M1893" s="0" t="e">
        <f aca="false">IF(ISNA(N1893),NA(),M1171)</f>
        <v>#N/A</v>
      </c>
      <c r="N1893" s="0" t="e">
        <f aca="false">IF(OR(N1171="",AND(N1171=N1170,N1171=N1172)),NA(), N1171)</f>
        <v>#N/A</v>
      </c>
    </row>
    <row r="1894" customFormat="false" ht="15" hidden="false" customHeight="false" outlineLevel="0" collapsed="false">
      <c r="E1894" s="0" t="e">
        <f aca="false">IF(ISNA(F1894),NA(),E1172)</f>
        <v>#N/A</v>
      </c>
      <c r="F1894" s="0" t="e">
        <f aca="false">IF(OR(F1172="",AND(F1172=F1171,F1172=F1173)),NA(), F1172)</f>
        <v>#N/A</v>
      </c>
      <c r="G1894" s="0" t="e">
        <f aca="false">IF(ISNA(H1894),NA(),G1172)</f>
        <v>#N/A</v>
      </c>
      <c r="H1894" s="0" t="e">
        <f aca="false">IF(OR(H1172="",AND(H1172=H1171,H1172=H1173)),NA(), H1172)</f>
        <v>#N/A</v>
      </c>
      <c r="K1894" s="0" t="e">
        <f aca="false">IF(ISNA(L1894),NA(),K1172)</f>
        <v>#N/A</v>
      </c>
      <c r="L1894" s="0" t="e">
        <f aca="false">IF(OR(L1172="",AND(L1172=L1171,L1172=L1173)),NA(), L1172)</f>
        <v>#N/A</v>
      </c>
      <c r="M1894" s="0" t="e">
        <f aca="false">IF(ISNA(N1894),NA(),M1172)</f>
        <v>#N/A</v>
      </c>
      <c r="N1894" s="0" t="e">
        <f aca="false">IF(OR(N1172="",AND(N1172=N1171,N1172=N1173)),NA(), N1172)</f>
        <v>#N/A</v>
      </c>
    </row>
    <row r="1895" customFormat="false" ht="15" hidden="false" customHeight="false" outlineLevel="0" collapsed="false">
      <c r="E1895" s="0" t="e">
        <f aca="false">IF(ISNA(F1895),NA(),E1173)</f>
        <v>#N/A</v>
      </c>
      <c r="F1895" s="0" t="e">
        <f aca="false">IF(OR(F1173="",AND(F1173=F1172,F1173=F1174)),NA(), F1173)</f>
        <v>#N/A</v>
      </c>
      <c r="G1895" s="0" t="e">
        <f aca="false">IF(ISNA(H1895),NA(),G1173)</f>
        <v>#N/A</v>
      </c>
      <c r="H1895" s="0" t="e">
        <f aca="false">IF(OR(H1173="",AND(H1173=H1172,H1173=H1174)),NA(), H1173)</f>
        <v>#N/A</v>
      </c>
      <c r="K1895" s="0" t="e">
        <f aca="false">IF(ISNA(L1895),NA(),K1173)</f>
        <v>#N/A</v>
      </c>
      <c r="L1895" s="0" t="e">
        <f aca="false">IF(OR(L1173="",AND(L1173=L1172,L1173=L1174)),NA(), L1173)</f>
        <v>#N/A</v>
      </c>
      <c r="M1895" s="0" t="e">
        <f aca="false">IF(ISNA(N1895),NA(),M1173)</f>
        <v>#N/A</v>
      </c>
      <c r="N1895" s="0" t="e">
        <f aca="false">IF(OR(N1173="",AND(N1173=N1172,N1173=N1174)),NA(), N1173)</f>
        <v>#N/A</v>
      </c>
    </row>
    <row r="1896" customFormat="false" ht="15" hidden="false" customHeight="false" outlineLevel="0" collapsed="false">
      <c r="E1896" s="0" t="e">
        <f aca="false">IF(ISNA(F1896),NA(),E1174)</f>
        <v>#N/A</v>
      </c>
      <c r="F1896" s="0" t="e">
        <f aca="false">IF(OR(F1174="",AND(F1174=F1173,F1174=F1175)),NA(), F1174)</f>
        <v>#N/A</v>
      </c>
      <c r="G1896" s="0" t="e">
        <f aca="false">IF(ISNA(H1896),NA(),G1174)</f>
        <v>#N/A</v>
      </c>
      <c r="H1896" s="0" t="e">
        <f aca="false">IF(OR(H1174="",AND(H1174=H1173,H1174=H1175)),NA(), H1174)</f>
        <v>#N/A</v>
      </c>
      <c r="K1896" s="0" t="e">
        <f aca="false">IF(ISNA(L1896),NA(),K1174)</f>
        <v>#N/A</v>
      </c>
      <c r="L1896" s="0" t="e">
        <f aca="false">IF(OR(L1174="",AND(L1174=L1173,L1174=L1175)),NA(), L1174)</f>
        <v>#N/A</v>
      </c>
      <c r="M1896" s="0" t="e">
        <f aca="false">IF(ISNA(N1896),NA(),M1174)</f>
        <v>#N/A</v>
      </c>
      <c r="N1896" s="0" t="e">
        <f aca="false">IF(OR(N1174="",AND(N1174=N1173,N1174=N1175)),NA(), N1174)</f>
        <v>#N/A</v>
      </c>
    </row>
    <row r="1897" customFormat="false" ht="15" hidden="false" customHeight="false" outlineLevel="0" collapsed="false">
      <c r="E1897" s="0" t="e">
        <f aca="false">IF(ISNA(F1897),NA(),E1175)</f>
        <v>#N/A</v>
      </c>
      <c r="F1897" s="0" t="e">
        <f aca="false">IF(OR(F1175="",AND(F1175=F1174,F1175=F1176)),NA(), F1175)</f>
        <v>#N/A</v>
      </c>
      <c r="G1897" s="0" t="e">
        <f aca="false">IF(ISNA(H1897),NA(),G1175)</f>
        <v>#N/A</v>
      </c>
      <c r="H1897" s="0" t="e">
        <f aca="false">IF(OR(H1175="",AND(H1175=H1174,H1175=H1176)),NA(), H1175)</f>
        <v>#N/A</v>
      </c>
      <c r="K1897" s="0" t="e">
        <f aca="false">IF(ISNA(L1897),NA(),K1175)</f>
        <v>#N/A</v>
      </c>
      <c r="L1897" s="0" t="e">
        <f aca="false">IF(OR(L1175="",AND(L1175=L1174,L1175=L1176)),NA(), L1175)</f>
        <v>#N/A</v>
      </c>
      <c r="M1897" s="0" t="e">
        <f aca="false">IF(ISNA(N1897),NA(),M1175)</f>
        <v>#N/A</v>
      </c>
      <c r="N1897" s="0" t="e">
        <f aca="false">IF(OR(N1175="",AND(N1175=N1174,N1175=N1176)),NA(), N1175)</f>
        <v>#N/A</v>
      </c>
    </row>
    <row r="1898" customFormat="false" ht="15" hidden="false" customHeight="false" outlineLevel="0" collapsed="false">
      <c r="E1898" s="0" t="e">
        <f aca="false">IF(ISNA(F1898),NA(),E1176)</f>
        <v>#N/A</v>
      </c>
      <c r="F1898" s="0" t="e">
        <f aca="false">IF(OR(F1176="",AND(F1176=F1175,F1176=F1177)),NA(), F1176)</f>
        <v>#N/A</v>
      </c>
      <c r="G1898" s="0" t="e">
        <f aca="false">IF(ISNA(H1898),NA(),G1176)</f>
        <v>#N/A</v>
      </c>
      <c r="H1898" s="0" t="e">
        <f aca="false">IF(OR(H1176="",AND(H1176=H1175,H1176=H1177)),NA(), H1176)</f>
        <v>#N/A</v>
      </c>
      <c r="K1898" s="0" t="e">
        <f aca="false">IF(ISNA(L1898),NA(),K1176)</f>
        <v>#N/A</v>
      </c>
      <c r="L1898" s="0" t="e">
        <f aca="false">IF(OR(L1176="",AND(L1176=L1175,L1176=L1177)),NA(), L1176)</f>
        <v>#N/A</v>
      </c>
      <c r="M1898" s="0" t="e">
        <f aca="false">IF(ISNA(N1898),NA(),M1176)</f>
        <v>#N/A</v>
      </c>
      <c r="N1898" s="0" t="e">
        <f aca="false">IF(OR(N1176="",AND(N1176=N1175,N1176=N1177)),NA(), N1176)</f>
        <v>#N/A</v>
      </c>
    </row>
    <row r="1899" customFormat="false" ht="15" hidden="false" customHeight="false" outlineLevel="0" collapsed="false">
      <c r="E1899" s="0" t="e">
        <f aca="false">IF(ISNA(F1899),NA(),E1177)</f>
        <v>#N/A</v>
      </c>
      <c r="F1899" s="0" t="e">
        <f aca="false">IF(OR(F1177="",AND(F1177=F1176,F1177=F1178)),NA(), F1177)</f>
        <v>#N/A</v>
      </c>
      <c r="G1899" s="0" t="e">
        <f aca="false">IF(ISNA(H1899),NA(),G1177)</f>
        <v>#N/A</v>
      </c>
      <c r="H1899" s="0" t="e">
        <f aca="false">IF(OR(H1177="",AND(H1177=H1176,H1177=H1178)),NA(), H1177)</f>
        <v>#N/A</v>
      </c>
      <c r="K1899" s="0" t="e">
        <f aca="false">IF(ISNA(L1899),NA(),K1177)</f>
        <v>#N/A</v>
      </c>
      <c r="L1899" s="0" t="e">
        <f aca="false">IF(OR(L1177="",AND(L1177=L1176,L1177=L1178)),NA(), L1177)</f>
        <v>#N/A</v>
      </c>
      <c r="M1899" s="0" t="e">
        <f aca="false">IF(ISNA(N1899),NA(),M1177)</f>
        <v>#N/A</v>
      </c>
      <c r="N1899" s="0" t="e">
        <f aca="false">IF(OR(N1177="",AND(N1177=N1176,N1177=N1178)),NA(), N1177)</f>
        <v>#N/A</v>
      </c>
    </row>
    <row r="1900" customFormat="false" ht="15" hidden="false" customHeight="false" outlineLevel="0" collapsed="false">
      <c r="E1900" s="0" t="e">
        <f aca="false">IF(ISNA(F1900),NA(),E1178)</f>
        <v>#N/A</v>
      </c>
      <c r="F1900" s="0" t="e">
        <f aca="false">IF(OR(F1178="",AND(F1178=F1177,F1178=F1179)),NA(), F1178)</f>
        <v>#N/A</v>
      </c>
      <c r="G1900" s="0" t="e">
        <f aca="false">IF(ISNA(H1900),NA(),G1178)</f>
        <v>#N/A</v>
      </c>
      <c r="H1900" s="0" t="e">
        <f aca="false">IF(OR(H1178="",AND(H1178=H1177,H1178=H1179)),NA(), H1178)</f>
        <v>#N/A</v>
      </c>
      <c r="K1900" s="0" t="e">
        <f aca="false">IF(ISNA(L1900),NA(),K1178)</f>
        <v>#N/A</v>
      </c>
      <c r="L1900" s="0" t="e">
        <f aca="false">IF(OR(L1178="",AND(L1178=L1177,L1178=L1179)),NA(), L1178)</f>
        <v>#N/A</v>
      </c>
      <c r="M1900" s="0" t="e">
        <f aca="false">IF(ISNA(N1900),NA(),M1178)</f>
        <v>#N/A</v>
      </c>
      <c r="N1900" s="0" t="e">
        <f aca="false">IF(OR(N1178="",AND(N1178=N1177,N1178=N1179)),NA(), N1178)</f>
        <v>#N/A</v>
      </c>
    </row>
    <row r="1901" customFormat="false" ht="15" hidden="false" customHeight="false" outlineLevel="0" collapsed="false">
      <c r="E1901" s="0" t="e">
        <f aca="false">IF(ISNA(F1901),NA(),E1179)</f>
        <v>#N/A</v>
      </c>
      <c r="F1901" s="0" t="e">
        <f aca="false">IF(OR(F1179="",AND(F1179=F1178,F1179=F1180)),NA(), F1179)</f>
        <v>#N/A</v>
      </c>
      <c r="G1901" s="0" t="e">
        <f aca="false">IF(ISNA(H1901),NA(),G1179)</f>
        <v>#N/A</v>
      </c>
      <c r="H1901" s="0" t="e">
        <f aca="false">IF(OR(H1179="",AND(H1179=H1178,H1179=H1180)),NA(), H1179)</f>
        <v>#N/A</v>
      </c>
      <c r="K1901" s="0" t="e">
        <f aca="false">IF(ISNA(L1901),NA(),K1179)</f>
        <v>#N/A</v>
      </c>
      <c r="L1901" s="0" t="e">
        <f aca="false">IF(OR(L1179="",AND(L1179=L1178,L1179=L1180)),NA(), L1179)</f>
        <v>#N/A</v>
      </c>
      <c r="M1901" s="0" t="e">
        <f aca="false">IF(ISNA(N1901),NA(),M1179)</f>
        <v>#N/A</v>
      </c>
      <c r="N1901" s="0" t="e">
        <f aca="false">IF(OR(N1179="",AND(N1179=N1178,N1179=N1180)),NA(), N1179)</f>
        <v>#N/A</v>
      </c>
    </row>
    <row r="1902" customFormat="false" ht="15" hidden="false" customHeight="false" outlineLevel="0" collapsed="false">
      <c r="E1902" s="0" t="e">
        <f aca="false">IF(ISNA(F1902),NA(),E1180)</f>
        <v>#N/A</v>
      </c>
      <c r="F1902" s="0" t="e">
        <f aca="false">IF(OR(F1180="",AND(F1180=F1179,F1180=F1181)),NA(), F1180)</f>
        <v>#N/A</v>
      </c>
      <c r="G1902" s="0" t="e">
        <f aca="false">IF(ISNA(H1902),NA(),G1180)</f>
        <v>#N/A</v>
      </c>
      <c r="H1902" s="0" t="e">
        <f aca="false">IF(OR(H1180="",AND(H1180=H1179,H1180=H1181)),NA(), H1180)</f>
        <v>#N/A</v>
      </c>
      <c r="K1902" s="0" t="e">
        <f aca="false">IF(ISNA(L1902),NA(),K1180)</f>
        <v>#N/A</v>
      </c>
      <c r="L1902" s="0" t="e">
        <f aca="false">IF(OR(L1180="",AND(L1180=L1179,L1180=L1181)),NA(), L1180)</f>
        <v>#N/A</v>
      </c>
      <c r="M1902" s="0" t="e">
        <f aca="false">IF(ISNA(N1902),NA(),M1180)</f>
        <v>#N/A</v>
      </c>
      <c r="N1902" s="0" t="e">
        <f aca="false">IF(OR(N1180="",AND(N1180=N1179,N1180=N1181)),NA(), N1180)</f>
        <v>#N/A</v>
      </c>
    </row>
    <row r="1903" customFormat="false" ht="15" hidden="false" customHeight="false" outlineLevel="0" collapsed="false">
      <c r="E1903" s="0" t="e">
        <f aca="false">IF(ISNA(F1903),NA(),E1181)</f>
        <v>#N/A</v>
      </c>
      <c r="F1903" s="0" t="e">
        <f aca="false">IF(OR(F1181="",AND(F1181=F1180,F1181=F1182)),NA(), F1181)</f>
        <v>#N/A</v>
      </c>
      <c r="G1903" s="0" t="e">
        <f aca="false">IF(ISNA(H1903),NA(),G1181)</f>
        <v>#N/A</v>
      </c>
      <c r="H1903" s="0" t="e">
        <f aca="false">IF(OR(H1181="",AND(H1181=H1180,H1181=H1182)),NA(), H1181)</f>
        <v>#N/A</v>
      </c>
      <c r="K1903" s="0" t="e">
        <f aca="false">IF(ISNA(L1903),NA(),K1181)</f>
        <v>#N/A</v>
      </c>
      <c r="L1903" s="0" t="e">
        <f aca="false">IF(OR(L1181="",AND(L1181=L1180,L1181=L1182)),NA(), L1181)</f>
        <v>#N/A</v>
      </c>
      <c r="M1903" s="0" t="e">
        <f aca="false">IF(ISNA(N1903),NA(),M1181)</f>
        <v>#N/A</v>
      </c>
      <c r="N1903" s="0" t="e">
        <f aca="false">IF(OR(N1181="",AND(N1181=N1180,N1181=N1182)),NA(), N1181)</f>
        <v>#N/A</v>
      </c>
    </row>
    <row r="1904" customFormat="false" ht="15" hidden="false" customHeight="false" outlineLevel="0" collapsed="false">
      <c r="E1904" s="0" t="e">
        <f aca="false">IF(ISNA(F1904),NA(),E1182)</f>
        <v>#N/A</v>
      </c>
      <c r="F1904" s="0" t="e">
        <f aca="false">IF(OR(F1182="",AND(F1182=F1181,F1182=F1183)),NA(), F1182)</f>
        <v>#N/A</v>
      </c>
      <c r="G1904" s="0" t="e">
        <f aca="false">IF(ISNA(H1904),NA(),G1182)</f>
        <v>#N/A</v>
      </c>
      <c r="H1904" s="0" t="e">
        <f aca="false">IF(OR(H1182="",AND(H1182=H1181,H1182=H1183)),NA(), H1182)</f>
        <v>#N/A</v>
      </c>
      <c r="K1904" s="0" t="e">
        <f aca="false">IF(ISNA(L1904),NA(),K1182)</f>
        <v>#N/A</v>
      </c>
      <c r="L1904" s="0" t="e">
        <f aca="false">IF(OR(L1182="",AND(L1182=L1181,L1182=L1183)),NA(), L1182)</f>
        <v>#N/A</v>
      </c>
      <c r="M1904" s="0" t="e">
        <f aca="false">IF(ISNA(N1904),NA(),M1182)</f>
        <v>#N/A</v>
      </c>
      <c r="N1904" s="0" t="e">
        <f aca="false">IF(OR(N1182="",AND(N1182=N1181,N1182=N1183)),NA(), N1182)</f>
        <v>#N/A</v>
      </c>
    </row>
    <row r="1905" customFormat="false" ht="15" hidden="false" customHeight="false" outlineLevel="0" collapsed="false">
      <c r="E1905" s="0" t="e">
        <f aca="false">IF(ISNA(F1905),NA(),E1183)</f>
        <v>#N/A</v>
      </c>
      <c r="F1905" s="0" t="e">
        <f aca="false">IF(OR(F1183="",AND(F1183=F1182,F1183=F1184)),NA(), F1183)</f>
        <v>#N/A</v>
      </c>
      <c r="G1905" s="0" t="e">
        <f aca="false">IF(ISNA(H1905),NA(),G1183)</f>
        <v>#N/A</v>
      </c>
      <c r="H1905" s="0" t="e">
        <f aca="false">IF(OR(H1183="",AND(H1183=H1182,H1183=H1184)),NA(), H1183)</f>
        <v>#N/A</v>
      </c>
      <c r="K1905" s="0" t="e">
        <f aca="false">IF(ISNA(L1905),NA(),K1183)</f>
        <v>#N/A</v>
      </c>
      <c r="L1905" s="0" t="e">
        <f aca="false">IF(OR(L1183="",AND(L1183=L1182,L1183=L1184)),NA(), L1183)</f>
        <v>#N/A</v>
      </c>
      <c r="M1905" s="0" t="e">
        <f aca="false">IF(ISNA(N1905),NA(),M1183)</f>
        <v>#N/A</v>
      </c>
      <c r="N1905" s="0" t="e">
        <f aca="false">IF(OR(N1183="",AND(N1183=N1182,N1183=N1184)),NA(), N1183)</f>
        <v>#N/A</v>
      </c>
    </row>
    <row r="1906" customFormat="false" ht="15" hidden="false" customHeight="false" outlineLevel="0" collapsed="false">
      <c r="E1906" s="0" t="e">
        <f aca="false">IF(ISNA(F1906),NA(),E1184)</f>
        <v>#N/A</v>
      </c>
      <c r="F1906" s="0" t="e">
        <f aca="false">IF(OR(F1184="",AND(F1184=F1183,F1184=F1185)),NA(), F1184)</f>
        <v>#N/A</v>
      </c>
      <c r="G1906" s="0" t="e">
        <f aca="false">IF(ISNA(H1906),NA(),G1184)</f>
        <v>#N/A</v>
      </c>
      <c r="H1906" s="0" t="e">
        <f aca="false">IF(OR(H1184="",AND(H1184=H1183,H1184=H1185)),NA(), H1184)</f>
        <v>#N/A</v>
      </c>
      <c r="K1906" s="0" t="e">
        <f aca="false">IF(ISNA(L1906),NA(),K1184)</f>
        <v>#N/A</v>
      </c>
      <c r="L1906" s="0" t="e">
        <f aca="false">IF(OR(L1184="",AND(L1184=L1183,L1184=L1185)),NA(), L1184)</f>
        <v>#N/A</v>
      </c>
      <c r="M1906" s="0" t="e">
        <f aca="false">IF(ISNA(N1906),NA(),M1184)</f>
        <v>#N/A</v>
      </c>
      <c r="N1906" s="0" t="e">
        <f aca="false">IF(OR(N1184="",AND(N1184=N1183,N1184=N1185)),NA(), N1184)</f>
        <v>#N/A</v>
      </c>
    </row>
    <row r="1907" customFormat="false" ht="15" hidden="false" customHeight="false" outlineLevel="0" collapsed="false">
      <c r="E1907" s="0" t="e">
        <f aca="false">IF(ISNA(F1907),NA(),E1185)</f>
        <v>#N/A</v>
      </c>
      <c r="F1907" s="0" t="e">
        <f aca="false">IF(OR(F1185="",AND(F1185=F1184,F1185=F1186)),NA(), F1185)</f>
        <v>#N/A</v>
      </c>
      <c r="G1907" s="0" t="e">
        <f aca="false">IF(ISNA(H1907),NA(),G1185)</f>
        <v>#N/A</v>
      </c>
      <c r="H1907" s="0" t="e">
        <f aca="false">IF(OR(H1185="",AND(H1185=H1184,H1185=H1186)),NA(), H1185)</f>
        <v>#N/A</v>
      </c>
      <c r="K1907" s="0" t="e">
        <f aca="false">IF(ISNA(L1907),NA(),K1185)</f>
        <v>#N/A</v>
      </c>
      <c r="L1907" s="0" t="e">
        <f aca="false">IF(OR(L1185="",AND(L1185=L1184,L1185=L1186)),NA(), L1185)</f>
        <v>#N/A</v>
      </c>
      <c r="M1907" s="0" t="e">
        <f aca="false">IF(ISNA(N1907),NA(),M1185)</f>
        <v>#N/A</v>
      </c>
      <c r="N1907" s="0" t="e">
        <f aca="false">IF(OR(N1185="",AND(N1185=N1184,N1185=N1186)),NA(), N1185)</f>
        <v>#N/A</v>
      </c>
    </row>
    <row r="1908" customFormat="false" ht="15" hidden="false" customHeight="false" outlineLevel="0" collapsed="false">
      <c r="E1908" s="0" t="e">
        <f aca="false">IF(ISNA(F1908),NA(),E1186)</f>
        <v>#N/A</v>
      </c>
      <c r="F1908" s="0" t="e">
        <f aca="false">IF(OR(F1186="",AND(F1186=F1185,F1186=F1187)),NA(), F1186)</f>
        <v>#N/A</v>
      </c>
      <c r="G1908" s="0" t="e">
        <f aca="false">IF(ISNA(H1908),NA(),G1186)</f>
        <v>#N/A</v>
      </c>
      <c r="H1908" s="0" t="e">
        <f aca="false">IF(OR(H1186="",AND(H1186=H1185,H1186=H1187)),NA(), H1186)</f>
        <v>#N/A</v>
      </c>
      <c r="K1908" s="0" t="e">
        <f aca="false">IF(ISNA(L1908),NA(),K1186)</f>
        <v>#N/A</v>
      </c>
      <c r="L1908" s="0" t="e">
        <f aca="false">IF(OR(L1186="",AND(L1186=L1185,L1186=L1187)),NA(), L1186)</f>
        <v>#N/A</v>
      </c>
      <c r="M1908" s="0" t="e">
        <f aca="false">IF(ISNA(N1908),NA(),M1186)</f>
        <v>#N/A</v>
      </c>
      <c r="N1908" s="0" t="e">
        <f aca="false">IF(OR(N1186="",AND(N1186=N1185,N1186=N1187)),NA(), N1186)</f>
        <v>#N/A</v>
      </c>
    </row>
    <row r="1909" customFormat="false" ht="15" hidden="false" customHeight="false" outlineLevel="0" collapsed="false">
      <c r="E1909" s="0" t="e">
        <f aca="false">IF(ISNA(F1909),NA(),E1187)</f>
        <v>#N/A</v>
      </c>
      <c r="F1909" s="0" t="e">
        <f aca="false">IF(OR(F1187="",AND(F1187=F1186,F1187=F1188)),NA(), F1187)</f>
        <v>#N/A</v>
      </c>
      <c r="G1909" s="0" t="e">
        <f aca="false">IF(ISNA(H1909),NA(),G1187)</f>
        <v>#N/A</v>
      </c>
      <c r="H1909" s="0" t="e">
        <f aca="false">IF(OR(H1187="",AND(H1187=H1186,H1187=H1188)),NA(), H1187)</f>
        <v>#N/A</v>
      </c>
      <c r="K1909" s="0" t="e">
        <f aca="false">IF(ISNA(L1909),NA(),K1187)</f>
        <v>#N/A</v>
      </c>
      <c r="L1909" s="0" t="e">
        <f aca="false">IF(OR(L1187="",AND(L1187=L1186,L1187=L1188)),NA(), L1187)</f>
        <v>#N/A</v>
      </c>
      <c r="M1909" s="0" t="e">
        <f aca="false">IF(ISNA(N1909),NA(),M1187)</f>
        <v>#N/A</v>
      </c>
      <c r="N1909" s="0" t="e">
        <f aca="false">IF(OR(N1187="",AND(N1187=N1186,N1187=N1188)),NA(), N1187)</f>
        <v>#N/A</v>
      </c>
    </row>
    <row r="1910" customFormat="false" ht="15" hidden="false" customHeight="false" outlineLevel="0" collapsed="false">
      <c r="E1910" s="0" t="e">
        <f aca="false">IF(ISNA(F1910),NA(),E1188)</f>
        <v>#N/A</v>
      </c>
      <c r="F1910" s="0" t="e">
        <f aca="false">IF(OR(F1188="",AND(F1188=F1187,F1188=F1189)),NA(), F1188)</f>
        <v>#N/A</v>
      </c>
      <c r="G1910" s="0" t="e">
        <f aca="false">IF(ISNA(H1910),NA(),G1188)</f>
        <v>#N/A</v>
      </c>
      <c r="H1910" s="0" t="e">
        <f aca="false">IF(OR(H1188="",AND(H1188=H1187,H1188=H1189)),NA(), H1188)</f>
        <v>#N/A</v>
      </c>
      <c r="K1910" s="0" t="e">
        <f aca="false">IF(ISNA(L1910),NA(),K1188)</f>
        <v>#N/A</v>
      </c>
      <c r="L1910" s="0" t="e">
        <f aca="false">IF(OR(L1188="",AND(L1188=L1187,L1188=L1189)),NA(), L1188)</f>
        <v>#N/A</v>
      </c>
      <c r="M1910" s="0" t="e">
        <f aca="false">IF(ISNA(N1910),NA(),M1188)</f>
        <v>#N/A</v>
      </c>
      <c r="N1910" s="0" t="e">
        <f aca="false">IF(OR(N1188="",AND(N1188=N1187,N1188=N1189)),NA(), N1188)</f>
        <v>#N/A</v>
      </c>
    </row>
    <row r="1911" customFormat="false" ht="15" hidden="false" customHeight="false" outlineLevel="0" collapsed="false">
      <c r="E1911" s="0" t="e">
        <f aca="false">IF(ISNA(F1911),NA(),E1189)</f>
        <v>#N/A</v>
      </c>
      <c r="F1911" s="0" t="e">
        <f aca="false">IF(OR(F1189="",AND(F1189=F1188,F1189=F1190)),NA(), F1189)</f>
        <v>#N/A</v>
      </c>
      <c r="G1911" s="0" t="e">
        <f aca="false">IF(ISNA(H1911),NA(),G1189)</f>
        <v>#N/A</v>
      </c>
      <c r="H1911" s="0" t="e">
        <f aca="false">IF(OR(H1189="",AND(H1189=H1188,H1189=H1190)),NA(), H1189)</f>
        <v>#N/A</v>
      </c>
      <c r="K1911" s="0" t="e">
        <f aca="false">IF(ISNA(L1911),NA(),K1189)</f>
        <v>#N/A</v>
      </c>
      <c r="L1911" s="0" t="e">
        <f aca="false">IF(OR(L1189="",AND(L1189=L1188,L1189=L1190)),NA(), L1189)</f>
        <v>#N/A</v>
      </c>
      <c r="M1911" s="0" t="e">
        <f aca="false">IF(ISNA(N1911),NA(),M1189)</f>
        <v>#N/A</v>
      </c>
      <c r="N1911" s="0" t="e">
        <f aca="false">IF(OR(N1189="",AND(N1189=N1188,N1189=N1190)),NA(), N1189)</f>
        <v>#N/A</v>
      </c>
    </row>
    <row r="1912" customFormat="false" ht="15" hidden="false" customHeight="false" outlineLevel="0" collapsed="false">
      <c r="E1912" s="0" t="e">
        <f aca="false">IF(ISNA(F1912),NA(),E1190)</f>
        <v>#N/A</v>
      </c>
      <c r="F1912" s="0" t="e">
        <f aca="false">IF(OR(F1190="",AND(F1190=F1189,F1190=F1191)),NA(), F1190)</f>
        <v>#N/A</v>
      </c>
      <c r="G1912" s="0" t="e">
        <f aca="false">IF(ISNA(H1912),NA(),G1190)</f>
        <v>#N/A</v>
      </c>
      <c r="H1912" s="0" t="e">
        <f aca="false">IF(OR(H1190="",AND(H1190=H1189,H1190=H1191)),NA(), H1190)</f>
        <v>#N/A</v>
      </c>
      <c r="K1912" s="0" t="e">
        <f aca="false">IF(ISNA(L1912),NA(),K1190)</f>
        <v>#N/A</v>
      </c>
      <c r="L1912" s="0" t="e">
        <f aca="false">IF(OR(L1190="",AND(L1190=L1189,L1190=L1191)),NA(), L1190)</f>
        <v>#N/A</v>
      </c>
      <c r="M1912" s="0" t="e">
        <f aca="false">IF(ISNA(N1912),NA(),M1190)</f>
        <v>#N/A</v>
      </c>
      <c r="N1912" s="0" t="e">
        <f aca="false">IF(OR(N1190="",AND(N1190=N1189,N1190=N1191)),NA(), N1190)</f>
        <v>#N/A</v>
      </c>
    </row>
    <row r="1913" customFormat="false" ht="15" hidden="false" customHeight="false" outlineLevel="0" collapsed="false">
      <c r="E1913" s="0" t="e">
        <f aca="false">IF(ISNA(F1913),NA(),E1191)</f>
        <v>#N/A</v>
      </c>
      <c r="F1913" s="0" t="e">
        <f aca="false">IF(OR(F1191="",AND(F1191=F1190,F1191=F1192)),NA(), F1191)</f>
        <v>#N/A</v>
      </c>
      <c r="G1913" s="0" t="e">
        <f aca="false">IF(ISNA(H1913),NA(),G1191)</f>
        <v>#N/A</v>
      </c>
      <c r="H1913" s="0" t="e">
        <f aca="false">IF(OR(H1191="",AND(H1191=H1190,H1191=H1192)),NA(), H1191)</f>
        <v>#N/A</v>
      </c>
      <c r="K1913" s="0" t="e">
        <f aca="false">IF(ISNA(L1913),NA(),K1191)</f>
        <v>#N/A</v>
      </c>
      <c r="L1913" s="0" t="e">
        <f aca="false">IF(OR(L1191="",AND(L1191=L1190,L1191=L1192)),NA(), L1191)</f>
        <v>#N/A</v>
      </c>
      <c r="M1913" s="0" t="e">
        <f aca="false">IF(ISNA(N1913),NA(),M1191)</f>
        <v>#N/A</v>
      </c>
      <c r="N1913" s="0" t="e">
        <f aca="false">IF(OR(N1191="",AND(N1191=N1190,N1191=N1192)),NA(), N1191)</f>
        <v>#N/A</v>
      </c>
    </row>
    <row r="1914" customFormat="false" ht="15" hidden="false" customHeight="false" outlineLevel="0" collapsed="false">
      <c r="E1914" s="0" t="e">
        <f aca="false">IF(ISNA(F1914),NA(),E1192)</f>
        <v>#N/A</v>
      </c>
      <c r="F1914" s="0" t="e">
        <f aca="false">IF(OR(F1192="",AND(F1192=F1191,F1192=F1193)),NA(), F1192)</f>
        <v>#N/A</v>
      </c>
      <c r="G1914" s="0" t="e">
        <f aca="false">IF(ISNA(H1914),NA(),G1192)</f>
        <v>#N/A</v>
      </c>
      <c r="H1914" s="0" t="e">
        <f aca="false">IF(OR(H1192="",AND(H1192=H1191,H1192=H1193)),NA(), H1192)</f>
        <v>#N/A</v>
      </c>
      <c r="K1914" s="0" t="e">
        <f aca="false">IF(ISNA(L1914),NA(),K1192)</f>
        <v>#N/A</v>
      </c>
      <c r="L1914" s="0" t="e">
        <f aca="false">IF(OR(L1192="",AND(L1192=L1191,L1192=L1193)),NA(), L1192)</f>
        <v>#N/A</v>
      </c>
      <c r="M1914" s="0" t="e">
        <f aca="false">IF(ISNA(N1914),NA(),M1192)</f>
        <v>#N/A</v>
      </c>
      <c r="N1914" s="0" t="e">
        <f aca="false">IF(OR(N1192="",AND(N1192=N1191,N1192=N1193)),NA(), N1192)</f>
        <v>#N/A</v>
      </c>
    </row>
    <row r="1915" customFormat="false" ht="15" hidden="false" customHeight="false" outlineLevel="0" collapsed="false">
      <c r="E1915" s="0" t="e">
        <f aca="false">IF(ISNA(F1915),NA(),E1193)</f>
        <v>#N/A</v>
      </c>
      <c r="F1915" s="0" t="e">
        <f aca="false">IF(OR(F1193="",AND(F1193=F1192,F1193=F1194)),NA(), F1193)</f>
        <v>#N/A</v>
      </c>
      <c r="G1915" s="0" t="e">
        <f aca="false">IF(ISNA(H1915),NA(),G1193)</f>
        <v>#N/A</v>
      </c>
      <c r="H1915" s="0" t="e">
        <f aca="false">IF(OR(H1193="",AND(H1193=H1192,H1193=H1194)),NA(), H1193)</f>
        <v>#N/A</v>
      </c>
      <c r="K1915" s="0" t="e">
        <f aca="false">IF(ISNA(L1915),NA(),K1193)</f>
        <v>#N/A</v>
      </c>
      <c r="L1915" s="0" t="e">
        <f aca="false">IF(OR(L1193="",AND(L1193=L1192,L1193=L1194)),NA(), L1193)</f>
        <v>#N/A</v>
      </c>
      <c r="M1915" s="0" t="e">
        <f aca="false">IF(ISNA(N1915),NA(),M1193)</f>
        <v>#N/A</v>
      </c>
      <c r="N1915" s="0" t="e">
        <f aca="false">IF(OR(N1193="",AND(N1193=N1192,N1193=N1194)),NA(), N1193)</f>
        <v>#N/A</v>
      </c>
    </row>
    <row r="1916" customFormat="false" ht="15" hidden="false" customHeight="false" outlineLevel="0" collapsed="false">
      <c r="E1916" s="0" t="e">
        <f aca="false">IF(ISNA(F1916),NA(),E1194)</f>
        <v>#N/A</v>
      </c>
      <c r="F1916" s="0" t="e">
        <f aca="false">IF(OR(F1194="",AND(F1194=F1193,F1194=F1195)),NA(), F1194)</f>
        <v>#N/A</v>
      </c>
      <c r="G1916" s="0" t="e">
        <f aca="false">IF(ISNA(H1916),NA(),G1194)</f>
        <v>#N/A</v>
      </c>
      <c r="H1916" s="0" t="e">
        <f aca="false">IF(OR(H1194="",AND(H1194=H1193,H1194=H1195)),NA(), H1194)</f>
        <v>#N/A</v>
      </c>
      <c r="K1916" s="0" t="e">
        <f aca="false">IF(ISNA(L1916),NA(),K1194)</f>
        <v>#N/A</v>
      </c>
      <c r="L1916" s="0" t="e">
        <f aca="false">IF(OR(L1194="",AND(L1194=L1193,L1194=L1195)),NA(), L1194)</f>
        <v>#N/A</v>
      </c>
      <c r="M1916" s="0" t="e">
        <f aca="false">IF(ISNA(N1916),NA(),M1194)</f>
        <v>#N/A</v>
      </c>
      <c r="N1916" s="0" t="e">
        <f aca="false">IF(OR(N1194="",AND(N1194=N1193,N1194=N1195)),NA(), N1194)</f>
        <v>#N/A</v>
      </c>
    </row>
    <row r="1917" customFormat="false" ht="15" hidden="false" customHeight="false" outlineLevel="0" collapsed="false">
      <c r="E1917" s="0" t="e">
        <f aca="false">IF(ISNA(F1917),NA(),E1195)</f>
        <v>#N/A</v>
      </c>
      <c r="F1917" s="0" t="e">
        <f aca="false">IF(OR(F1195="",AND(F1195=F1194,F1195=F1196)),NA(), F1195)</f>
        <v>#N/A</v>
      </c>
      <c r="G1917" s="0" t="e">
        <f aca="false">IF(ISNA(H1917),NA(),G1195)</f>
        <v>#N/A</v>
      </c>
      <c r="H1917" s="0" t="e">
        <f aca="false">IF(OR(H1195="",AND(H1195=H1194,H1195=H1196)),NA(), H1195)</f>
        <v>#N/A</v>
      </c>
      <c r="K1917" s="0" t="e">
        <f aca="false">IF(ISNA(L1917),NA(),K1195)</f>
        <v>#N/A</v>
      </c>
      <c r="L1917" s="0" t="e">
        <f aca="false">IF(OR(L1195="",AND(L1195=L1194,L1195=L1196)),NA(), L1195)</f>
        <v>#N/A</v>
      </c>
      <c r="M1917" s="0" t="e">
        <f aca="false">IF(ISNA(N1917),NA(),M1195)</f>
        <v>#N/A</v>
      </c>
      <c r="N1917" s="0" t="e">
        <f aca="false">IF(OR(N1195="",AND(N1195=N1194,N1195=N1196)),NA(), N1195)</f>
        <v>#N/A</v>
      </c>
    </row>
    <row r="1918" customFormat="false" ht="15" hidden="false" customHeight="false" outlineLevel="0" collapsed="false">
      <c r="E1918" s="0" t="e">
        <f aca="false">IF(ISNA(F1918),NA(),E1196)</f>
        <v>#N/A</v>
      </c>
      <c r="F1918" s="0" t="e">
        <f aca="false">IF(OR(F1196="",AND(F1196=F1195,F1196=F1197)),NA(), F1196)</f>
        <v>#N/A</v>
      </c>
      <c r="G1918" s="0" t="e">
        <f aca="false">IF(ISNA(H1918),NA(),G1196)</f>
        <v>#N/A</v>
      </c>
      <c r="H1918" s="0" t="e">
        <f aca="false">IF(OR(H1196="",AND(H1196=H1195,H1196=H1197)),NA(), H1196)</f>
        <v>#N/A</v>
      </c>
      <c r="K1918" s="0" t="e">
        <f aca="false">IF(ISNA(L1918),NA(),K1196)</f>
        <v>#N/A</v>
      </c>
      <c r="L1918" s="0" t="e">
        <f aca="false">IF(OR(L1196="",AND(L1196=L1195,L1196=L1197)),NA(), L1196)</f>
        <v>#N/A</v>
      </c>
      <c r="M1918" s="0" t="e">
        <f aca="false">IF(ISNA(N1918),NA(),M1196)</f>
        <v>#N/A</v>
      </c>
      <c r="N1918" s="0" t="e">
        <f aca="false">IF(OR(N1196="",AND(N1196=N1195,N1196=N1197)),NA(), N1196)</f>
        <v>#N/A</v>
      </c>
    </row>
    <row r="1919" customFormat="false" ht="15" hidden="false" customHeight="false" outlineLevel="0" collapsed="false">
      <c r="E1919" s="0" t="e">
        <f aca="false">IF(ISNA(F1919),NA(),E1197)</f>
        <v>#N/A</v>
      </c>
      <c r="F1919" s="0" t="e">
        <f aca="false">IF(OR(F1197="",AND(F1197=F1196,F1197=F1198)),NA(), F1197)</f>
        <v>#N/A</v>
      </c>
      <c r="G1919" s="0" t="e">
        <f aca="false">IF(ISNA(H1919),NA(),G1197)</f>
        <v>#N/A</v>
      </c>
      <c r="H1919" s="0" t="e">
        <f aca="false">IF(OR(H1197="",AND(H1197=H1196,H1197=H1198)),NA(), H1197)</f>
        <v>#N/A</v>
      </c>
      <c r="K1919" s="0" t="e">
        <f aca="false">IF(ISNA(L1919),NA(),K1197)</f>
        <v>#N/A</v>
      </c>
      <c r="L1919" s="0" t="e">
        <f aca="false">IF(OR(L1197="",AND(L1197=L1196,L1197=L1198)),NA(), L1197)</f>
        <v>#N/A</v>
      </c>
      <c r="M1919" s="0" t="e">
        <f aca="false">IF(ISNA(N1919),NA(),M1197)</f>
        <v>#N/A</v>
      </c>
      <c r="N1919" s="0" t="e">
        <f aca="false">IF(OR(N1197="",AND(N1197=N1196,N1197=N1198)),NA(), N1197)</f>
        <v>#N/A</v>
      </c>
    </row>
    <row r="1920" customFormat="false" ht="15" hidden="false" customHeight="false" outlineLevel="0" collapsed="false">
      <c r="E1920" s="0" t="e">
        <f aca="false">IF(ISNA(F1920),NA(),E1198)</f>
        <v>#N/A</v>
      </c>
      <c r="F1920" s="0" t="e">
        <f aca="false">IF(OR(F1198="",AND(F1198=F1197,F1198=F1199)),NA(), F1198)</f>
        <v>#N/A</v>
      </c>
      <c r="G1920" s="0" t="e">
        <f aca="false">IF(ISNA(H1920),NA(),G1198)</f>
        <v>#N/A</v>
      </c>
      <c r="H1920" s="0" t="e">
        <f aca="false">IF(OR(H1198="",AND(H1198=H1197,H1198=H1199)),NA(), H1198)</f>
        <v>#N/A</v>
      </c>
      <c r="K1920" s="0" t="e">
        <f aca="false">IF(ISNA(L1920),NA(),K1198)</f>
        <v>#N/A</v>
      </c>
      <c r="L1920" s="0" t="e">
        <f aca="false">IF(OR(L1198="",AND(L1198=L1197,L1198=L1199)),NA(), L1198)</f>
        <v>#N/A</v>
      </c>
      <c r="M1920" s="0" t="e">
        <f aca="false">IF(ISNA(N1920),NA(),M1198)</f>
        <v>#N/A</v>
      </c>
      <c r="N1920" s="0" t="e">
        <f aca="false">IF(OR(N1198="",AND(N1198=N1197,N1198=N1199)),NA(), N1198)</f>
        <v>#N/A</v>
      </c>
    </row>
    <row r="1921" customFormat="false" ht="15" hidden="false" customHeight="false" outlineLevel="0" collapsed="false">
      <c r="E1921" s="0" t="e">
        <f aca="false">IF(ISNA(F1921),NA(),E1199)</f>
        <v>#N/A</v>
      </c>
      <c r="F1921" s="0" t="e">
        <f aca="false">IF(OR(F1199="",AND(F1199=F1198,F1199=F1200)),NA(), F1199)</f>
        <v>#N/A</v>
      </c>
      <c r="G1921" s="0" t="e">
        <f aca="false">IF(ISNA(H1921),NA(),G1199)</f>
        <v>#N/A</v>
      </c>
      <c r="H1921" s="0" t="e">
        <f aca="false">IF(OR(H1199="",AND(H1199=H1198,H1199=H1200)),NA(), H1199)</f>
        <v>#N/A</v>
      </c>
      <c r="K1921" s="0" t="e">
        <f aca="false">IF(ISNA(L1921),NA(),K1199)</f>
        <v>#N/A</v>
      </c>
      <c r="L1921" s="0" t="e">
        <f aca="false">IF(OR(L1199="",AND(L1199=L1198,L1199=L1200)),NA(), L1199)</f>
        <v>#N/A</v>
      </c>
      <c r="M1921" s="0" t="e">
        <f aca="false">IF(ISNA(N1921),NA(),M1199)</f>
        <v>#N/A</v>
      </c>
      <c r="N1921" s="0" t="e">
        <f aca="false">IF(OR(N1199="",AND(N1199=N1198,N1199=N1200)),NA(), N1199)</f>
        <v>#N/A</v>
      </c>
    </row>
    <row r="1922" customFormat="false" ht="15" hidden="false" customHeight="false" outlineLevel="0" collapsed="false">
      <c r="E1922" s="0" t="e">
        <f aca="false">IF(ISNA(F1922),NA(),E1200)</f>
        <v>#N/A</v>
      </c>
      <c r="F1922" s="0" t="e">
        <f aca="false">IF(OR(F1200="",AND(F1200=F1199,F1200=F1201)),NA(), F1200)</f>
        <v>#N/A</v>
      </c>
      <c r="G1922" s="0" t="e">
        <f aca="false">IF(ISNA(H1922),NA(),G1200)</f>
        <v>#N/A</v>
      </c>
      <c r="H1922" s="0" t="e">
        <f aca="false">IF(OR(H1200="",AND(H1200=H1199,H1200=H1201)),NA(), H1200)</f>
        <v>#N/A</v>
      </c>
      <c r="K1922" s="0" t="e">
        <f aca="false">IF(ISNA(L1922),NA(),K1200)</f>
        <v>#N/A</v>
      </c>
      <c r="L1922" s="0" t="e">
        <f aca="false">IF(OR(L1200="",AND(L1200=L1199,L1200=L1201)),NA(), L1200)</f>
        <v>#N/A</v>
      </c>
      <c r="M1922" s="0" t="e">
        <f aca="false">IF(ISNA(N1922),NA(),M1200)</f>
        <v>#N/A</v>
      </c>
      <c r="N1922" s="0" t="e">
        <f aca="false">IF(OR(N1200="",AND(N1200=N1199,N1200=N1201)),NA(), N1200)</f>
        <v>#N/A</v>
      </c>
    </row>
    <row r="1923" customFormat="false" ht="15" hidden="false" customHeight="false" outlineLevel="0" collapsed="false">
      <c r="E1923" s="0" t="e">
        <f aca="false">IF(ISNA(F1923),NA(),E1201)</f>
        <v>#N/A</v>
      </c>
      <c r="F1923" s="0" t="e">
        <f aca="false">IF(OR(F1201="",AND(F1201=F1200,F1201=F1202)),NA(), F1201)</f>
        <v>#N/A</v>
      </c>
      <c r="G1923" s="0" t="e">
        <f aca="false">IF(ISNA(H1923),NA(),G1201)</f>
        <v>#N/A</v>
      </c>
      <c r="H1923" s="0" t="e">
        <f aca="false">IF(OR(H1201="",AND(H1201=H1200,H1201=H1202)),NA(), H1201)</f>
        <v>#N/A</v>
      </c>
      <c r="K1923" s="0" t="e">
        <f aca="false">IF(ISNA(L1923),NA(),K1201)</f>
        <v>#N/A</v>
      </c>
      <c r="L1923" s="0" t="e">
        <f aca="false">IF(OR(L1201="",AND(L1201=L1200,L1201=L1202)),NA(), L1201)</f>
        <v>#N/A</v>
      </c>
      <c r="M1923" s="0" t="e">
        <f aca="false">IF(ISNA(N1923),NA(),M1201)</f>
        <v>#N/A</v>
      </c>
      <c r="N1923" s="0" t="e">
        <f aca="false">IF(OR(N1201="",AND(N1201=N1200,N1201=N1202)),NA(), N1201)</f>
        <v>#N/A</v>
      </c>
    </row>
    <row r="1924" customFormat="false" ht="15" hidden="false" customHeight="false" outlineLevel="0" collapsed="false">
      <c r="E1924" s="0" t="e">
        <f aca="false">IF(ISNA(F1924),NA(),E1202)</f>
        <v>#N/A</v>
      </c>
      <c r="F1924" s="0" t="e">
        <f aca="false">IF(OR(F1202="",AND(F1202=F1201,F1202=F1203)),NA(), F1202)</f>
        <v>#N/A</v>
      </c>
      <c r="G1924" s="0" t="e">
        <f aca="false">IF(ISNA(H1924),NA(),G1202)</f>
        <v>#N/A</v>
      </c>
      <c r="H1924" s="0" t="e">
        <f aca="false">IF(OR(H1202="",AND(H1202=H1201,H1202=H1203)),NA(), H1202)</f>
        <v>#N/A</v>
      </c>
      <c r="K1924" s="0" t="e">
        <f aca="false">IF(ISNA(L1924),NA(),K1202)</f>
        <v>#N/A</v>
      </c>
      <c r="L1924" s="0" t="e">
        <f aca="false">IF(OR(L1202="",AND(L1202=L1201,L1202=L1203)),NA(), L1202)</f>
        <v>#N/A</v>
      </c>
      <c r="M1924" s="0" t="e">
        <f aca="false">IF(ISNA(N1924),NA(),M1202)</f>
        <v>#N/A</v>
      </c>
      <c r="N1924" s="0" t="e">
        <f aca="false">IF(OR(N1202="",AND(N1202=N1201,N1202=N1203)),NA(), N1202)</f>
        <v>#N/A</v>
      </c>
    </row>
    <row r="1925" customFormat="false" ht="15" hidden="false" customHeight="false" outlineLevel="0" collapsed="false">
      <c r="E1925" s="0" t="e">
        <f aca="false">IF(ISNA(F1925),NA(),E1203)</f>
        <v>#N/A</v>
      </c>
      <c r="F1925" s="0" t="e">
        <f aca="false">IF(OR(F1203="",AND(F1203=F1202,F1203=F1204)),NA(), F1203)</f>
        <v>#N/A</v>
      </c>
      <c r="G1925" s="0" t="e">
        <f aca="false">IF(ISNA(H1925),NA(),G1203)</f>
        <v>#N/A</v>
      </c>
      <c r="H1925" s="0" t="e">
        <f aca="false">IF(OR(H1203="",AND(H1203=H1202,H1203=H1204)),NA(), H1203)</f>
        <v>#N/A</v>
      </c>
      <c r="K1925" s="0" t="e">
        <f aca="false">IF(ISNA(L1925),NA(),K1203)</f>
        <v>#N/A</v>
      </c>
      <c r="L1925" s="0" t="e">
        <f aca="false">IF(OR(L1203="",AND(L1203=L1202,L1203=L1204)),NA(), L1203)</f>
        <v>#N/A</v>
      </c>
      <c r="M1925" s="0" t="e">
        <f aca="false">IF(ISNA(N1925),NA(),M1203)</f>
        <v>#N/A</v>
      </c>
      <c r="N1925" s="0" t="e">
        <f aca="false">IF(OR(N1203="",AND(N1203=N1202,N1203=N1204)),NA(), N1203)</f>
        <v>#N/A</v>
      </c>
    </row>
    <row r="1926" customFormat="false" ht="15" hidden="false" customHeight="false" outlineLevel="0" collapsed="false">
      <c r="E1926" s="0" t="e">
        <f aca="false">IF(ISNA(F1926),NA(),E1204)</f>
        <v>#N/A</v>
      </c>
      <c r="F1926" s="0" t="e">
        <f aca="false">IF(OR(F1204="",AND(F1204=F1203,F1204=F1205)),NA(), F1204)</f>
        <v>#N/A</v>
      </c>
      <c r="G1926" s="0" t="e">
        <f aca="false">IF(ISNA(H1926),NA(),G1204)</f>
        <v>#N/A</v>
      </c>
      <c r="H1926" s="0" t="e">
        <f aca="false">IF(OR(H1204="",AND(H1204=H1203,H1204=H1205)),NA(), H1204)</f>
        <v>#N/A</v>
      </c>
      <c r="K1926" s="0" t="e">
        <f aca="false">IF(ISNA(L1926),NA(),K1204)</f>
        <v>#N/A</v>
      </c>
      <c r="L1926" s="0" t="e">
        <f aca="false">IF(OR(L1204="",AND(L1204=L1203,L1204=L1205)),NA(), L1204)</f>
        <v>#N/A</v>
      </c>
      <c r="M1926" s="0" t="e">
        <f aca="false">IF(ISNA(N1926),NA(),M1204)</f>
        <v>#N/A</v>
      </c>
      <c r="N1926" s="0" t="e">
        <f aca="false">IF(OR(N1204="",AND(N1204=N1203,N1204=N1205)),NA(), N1204)</f>
        <v>#N/A</v>
      </c>
    </row>
    <row r="1927" customFormat="false" ht="15" hidden="false" customHeight="false" outlineLevel="0" collapsed="false">
      <c r="E1927" s="0" t="e">
        <f aca="false">IF(ISNA(F1927),NA(),E1205)</f>
        <v>#N/A</v>
      </c>
      <c r="F1927" s="0" t="e">
        <f aca="false">IF(OR(F1205="",AND(F1205=F1204,F1205=F1206)),NA(), F1205)</f>
        <v>#N/A</v>
      </c>
      <c r="G1927" s="0" t="e">
        <f aca="false">IF(ISNA(H1927),NA(),G1205)</f>
        <v>#N/A</v>
      </c>
      <c r="H1927" s="0" t="e">
        <f aca="false">IF(OR(H1205="",AND(H1205=H1204,H1205=H1206)),NA(), H1205)</f>
        <v>#N/A</v>
      </c>
      <c r="K1927" s="0" t="e">
        <f aca="false">IF(ISNA(L1927),NA(),K1205)</f>
        <v>#N/A</v>
      </c>
      <c r="L1927" s="0" t="e">
        <f aca="false">IF(OR(L1205="",AND(L1205=L1204,L1205=L1206)),NA(), L1205)</f>
        <v>#N/A</v>
      </c>
      <c r="M1927" s="0" t="e">
        <f aca="false">IF(ISNA(N1927),NA(),M1205)</f>
        <v>#N/A</v>
      </c>
      <c r="N1927" s="0" t="e">
        <f aca="false">IF(OR(N1205="",AND(N1205=N1204,N1205=N1206)),NA(), N1205)</f>
        <v>#N/A</v>
      </c>
    </row>
    <row r="1928" customFormat="false" ht="15" hidden="false" customHeight="false" outlineLevel="0" collapsed="false">
      <c r="E1928" s="0" t="e">
        <f aca="false">IF(ISNA(F1928),NA(),E1206)</f>
        <v>#N/A</v>
      </c>
      <c r="F1928" s="0" t="e">
        <f aca="false">IF(OR(F1206="",AND(F1206=F1205,F1206=F1207)),NA(), F1206)</f>
        <v>#N/A</v>
      </c>
      <c r="G1928" s="0" t="e">
        <f aca="false">IF(ISNA(H1928),NA(),G1206)</f>
        <v>#N/A</v>
      </c>
      <c r="H1928" s="0" t="e">
        <f aca="false">IF(OR(H1206="",AND(H1206=H1205,H1206=H1207)),NA(), H1206)</f>
        <v>#N/A</v>
      </c>
      <c r="K1928" s="0" t="e">
        <f aca="false">IF(ISNA(L1928),NA(),K1206)</f>
        <v>#N/A</v>
      </c>
      <c r="L1928" s="0" t="e">
        <f aca="false">IF(OR(L1206="",AND(L1206=L1205,L1206=L1207)),NA(), L1206)</f>
        <v>#N/A</v>
      </c>
      <c r="M1928" s="0" t="e">
        <f aca="false">IF(ISNA(N1928),NA(),M1206)</f>
        <v>#N/A</v>
      </c>
      <c r="N1928" s="0" t="e">
        <f aca="false">IF(OR(N1206="",AND(N1206=N1205,N1206=N1207)),NA(), N1206)</f>
        <v>#N/A</v>
      </c>
    </row>
    <row r="1929" customFormat="false" ht="15" hidden="false" customHeight="false" outlineLevel="0" collapsed="false">
      <c r="E1929" s="0" t="e">
        <f aca="false">IF(ISNA(F1929),NA(),E1207)</f>
        <v>#N/A</v>
      </c>
      <c r="F1929" s="0" t="e">
        <f aca="false">IF(OR(F1207="",AND(F1207=F1206,F1207=F1208)),NA(), F1207)</f>
        <v>#N/A</v>
      </c>
      <c r="G1929" s="0" t="e">
        <f aca="false">IF(ISNA(H1929),NA(),G1207)</f>
        <v>#N/A</v>
      </c>
      <c r="H1929" s="0" t="e">
        <f aca="false">IF(OR(H1207="",AND(H1207=H1206,H1207=H1208)),NA(), H1207)</f>
        <v>#N/A</v>
      </c>
      <c r="K1929" s="0" t="e">
        <f aca="false">IF(ISNA(L1929),NA(),K1207)</f>
        <v>#N/A</v>
      </c>
      <c r="L1929" s="0" t="e">
        <f aca="false">IF(OR(L1207="",AND(L1207=L1206,L1207=L1208)),NA(), L1207)</f>
        <v>#N/A</v>
      </c>
      <c r="M1929" s="0" t="e">
        <f aca="false">IF(ISNA(N1929),NA(),M1207)</f>
        <v>#N/A</v>
      </c>
      <c r="N1929" s="0" t="e">
        <f aca="false">IF(OR(N1207="",AND(N1207=N1206,N1207=N1208)),NA(), N1207)</f>
        <v>#N/A</v>
      </c>
    </row>
    <row r="1930" customFormat="false" ht="15" hidden="false" customHeight="false" outlineLevel="0" collapsed="false">
      <c r="E1930" s="0" t="e">
        <f aca="false">IF(ISNA(F1930),NA(),E1208)</f>
        <v>#N/A</v>
      </c>
      <c r="F1930" s="0" t="e">
        <f aca="false">IF(OR(F1208="",AND(F1208=F1207,F1208=F1209)),NA(), F1208)</f>
        <v>#N/A</v>
      </c>
      <c r="G1930" s="0" t="e">
        <f aca="false">IF(ISNA(H1930),NA(),G1208)</f>
        <v>#N/A</v>
      </c>
      <c r="H1930" s="0" t="e">
        <f aca="false">IF(OR(H1208="",AND(H1208=H1207,H1208=H1209)),NA(), H1208)</f>
        <v>#N/A</v>
      </c>
      <c r="K1930" s="0" t="e">
        <f aca="false">IF(ISNA(L1930),NA(),K1208)</f>
        <v>#N/A</v>
      </c>
      <c r="L1930" s="0" t="e">
        <f aca="false">IF(OR(L1208="",AND(L1208=L1207,L1208=L1209)),NA(), L1208)</f>
        <v>#N/A</v>
      </c>
      <c r="M1930" s="0" t="e">
        <f aca="false">IF(ISNA(N1930),NA(),M1208)</f>
        <v>#N/A</v>
      </c>
      <c r="N1930" s="0" t="e">
        <f aca="false">IF(OR(N1208="",AND(N1208=N1207,N1208=N1209)),NA(), N1208)</f>
        <v>#N/A</v>
      </c>
    </row>
    <row r="1931" customFormat="false" ht="15" hidden="false" customHeight="false" outlineLevel="0" collapsed="false">
      <c r="E1931" s="0" t="e">
        <f aca="false">IF(ISNA(F1931),NA(),E1209)</f>
        <v>#N/A</v>
      </c>
      <c r="F1931" s="0" t="e">
        <f aca="false">IF(OR(F1209="",AND(F1209=F1208,F1209=F1210)),NA(), F1209)</f>
        <v>#N/A</v>
      </c>
      <c r="G1931" s="0" t="e">
        <f aca="false">IF(ISNA(H1931),NA(),G1209)</f>
        <v>#N/A</v>
      </c>
      <c r="H1931" s="0" t="e">
        <f aca="false">IF(OR(H1209="",AND(H1209=H1208,H1209=H1210)),NA(), H1209)</f>
        <v>#N/A</v>
      </c>
      <c r="K1931" s="0" t="e">
        <f aca="false">IF(ISNA(L1931),NA(),K1209)</f>
        <v>#N/A</v>
      </c>
      <c r="L1931" s="0" t="e">
        <f aca="false">IF(OR(L1209="",AND(L1209=L1208,L1209=L1210)),NA(), L1209)</f>
        <v>#N/A</v>
      </c>
      <c r="M1931" s="0" t="e">
        <f aca="false">IF(ISNA(N1931),NA(),M1209)</f>
        <v>#N/A</v>
      </c>
      <c r="N1931" s="0" t="e">
        <f aca="false">IF(OR(N1209="",AND(N1209=N1208,N1209=N1210)),NA(), N1209)</f>
        <v>#N/A</v>
      </c>
    </row>
    <row r="1932" customFormat="false" ht="15" hidden="false" customHeight="false" outlineLevel="0" collapsed="false">
      <c r="E1932" s="0" t="e">
        <f aca="false">IF(ISNA(F1932),NA(),E1210)</f>
        <v>#N/A</v>
      </c>
      <c r="F1932" s="0" t="e">
        <f aca="false">IF(OR(F1210="",AND(F1210=F1209,F1210=F1211)),NA(), F1210)</f>
        <v>#N/A</v>
      </c>
      <c r="G1932" s="0" t="e">
        <f aca="false">IF(ISNA(H1932),NA(),G1210)</f>
        <v>#N/A</v>
      </c>
      <c r="H1932" s="0" t="e">
        <f aca="false">IF(OR(H1210="",AND(H1210=H1209,H1210=H1211)),NA(), H1210)</f>
        <v>#N/A</v>
      </c>
      <c r="K1932" s="0" t="e">
        <f aca="false">IF(ISNA(L1932),NA(),K1210)</f>
        <v>#N/A</v>
      </c>
      <c r="L1932" s="0" t="e">
        <f aca="false">IF(OR(L1210="",AND(L1210=L1209,L1210=L1211)),NA(), L1210)</f>
        <v>#N/A</v>
      </c>
      <c r="M1932" s="0" t="e">
        <f aca="false">IF(ISNA(N1932),NA(),M1210)</f>
        <v>#N/A</v>
      </c>
      <c r="N1932" s="0" t="e">
        <f aca="false">IF(OR(N1210="",AND(N1210=N1209,N1210=N1211)),NA(), N1210)</f>
        <v>#N/A</v>
      </c>
    </row>
    <row r="1933" customFormat="false" ht="15" hidden="false" customHeight="false" outlineLevel="0" collapsed="false">
      <c r="E1933" s="0" t="e">
        <f aca="false">IF(ISNA(F1933),NA(),E1211)</f>
        <v>#N/A</v>
      </c>
      <c r="F1933" s="0" t="e">
        <f aca="false">IF(OR(F1211="",AND(F1211=F1210,F1211=F1212)),NA(), F1211)</f>
        <v>#N/A</v>
      </c>
      <c r="G1933" s="0" t="e">
        <f aca="false">IF(ISNA(H1933),NA(),G1211)</f>
        <v>#N/A</v>
      </c>
      <c r="H1933" s="0" t="e">
        <f aca="false">IF(OR(H1211="",AND(H1211=H1210,H1211=H1212)),NA(), H1211)</f>
        <v>#N/A</v>
      </c>
      <c r="K1933" s="0" t="e">
        <f aca="false">IF(ISNA(L1933),NA(),K1211)</f>
        <v>#N/A</v>
      </c>
      <c r="L1933" s="0" t="e">
        <f aca="false">IF(OR(L1211="",AND(L1211=L1210,L1211=L1212)),NA(), L1211)</f>
        <v>#N/A</v>
      </c>
      <c r="M1933" s="0" t="e">
        <f aca="false">IF(ISNA(N1933),NA(),M1211)</f>
        <v>#N/A</v>
      </c>
      <c r="N1933" s="0" t="e">
        <f aca="false">IF(OR(N1211="",AND(N1211=N1210,N1211=N1212)),NA(), N1211)</f>
        <v>#N/A</v>
      </c>
    </row>
    <row r="1934" customFormat="false" ht="15" hidden="false" customHeight="false" outlineLevel="0" collapsed="false">
      <c r="E1934" s="0" t="e">
        <f aca="false">IF(ISNA(F1934),NA(),E1212)</f>
        <v>#N/A</v>
      </c>
      <c r="F1934" s="0" t="e">
        <f aca="false">IF(OR(F1212="",AND(F1212=F1211,F1212=F1213)),NA(), F1212)</f>
        <v>#N/A</v>
      </c>
      <c r="G1934" s="0" t="e">
        <f aca="false">IF(ISNA(H1934),NA(),G1212)</f>
        <v>#N/A</v>
      </c>
      <c r="H1934" s="0" t="e">
        <f aca="false">IF(OR(H1212="",AND(H1212=H1211,H1212=H1213)),NA(), H1212)</f>
        <v>#N/A</v>
      </c>
      <c r="K1934" s="0" t="e">
        <f aca="false">IF(ISNA(L1934),NA(),K1212)</f>
        <v>#N/A</v>
      </c>
      <c r="L1934" s="0" t="e">
        <f aca="false">IF(OR(L1212="",AND(L1212=L1211,L1212=L1213)),NA(), L1212)</f>
        <v>#N/A</v>
      </c>
      <c r="M1934" s="0" t="e">
        <f aca="false">IF(ISNA(N1934),NA(),M1212)</f>
        <v>#N/A</v>
      </c>
      <c r="N1934" s="0" t="e">
        <f aca="false">IF(OR(N1212="",AND(N1212=N1211,N1212=N1213)),NA(), N1212)</f>
        <v>#N/A</v>
      </c>
    </row>
    <row r="1935" customFormat="false" ht="15" hidden="false" customHeight="false" outlineLevel="0" collapsed="false">
      <c r="E1935" s="0" t="e">
        <f aca="false">IF(ISNA(F1935),NA(),E1213)</f>
        <v>#N/A</v>
      </c>
      <c r="F1935" s="0" t="e">
        <f aca="false">IF(OR(F1213="",AND(F1213=F1212,F1213=F1214)),NA(), F1213)</f>
        <v>#N/A</v>
      </c>
      <c r="G1935" s="0" t="e">
        <f aca="false">IF(ISNA(H1935),NA(),G1213)</f>
        <v>#N/A</v>
      </c>
      <c r="H1935" s="0" t="e">
        <f aca="false">IF(OR(H1213="",AND(H1213=H1212,H1213=H1214)),NA(), H1213)</f>
        <v>#N/A</v>
      </c>
      <c r="K1935" s="0" t="e">
        <f aca="false">IF(ISNA(L1935),NA(),K1213)</f>
        <v>#N/A</v>
      </c>
      <c r="L1935" s="0" t="e">
        <f aca="false">IF(OR(L1213="",AND(L1213=L1212,L1213=L1214)),NA(), L1213)</f>
        <v>#N/A</v>
      </c>
      <c r="M1935" s="0" t="e">
        <f aca="false">IF(ISNA(N1935),NA(),M1213)</f>
        <v>#N/A</v>
      </c>
      <c r="N1935" s="0" t="e">
        <f aca="false">IF(OR(N1213="",AND(N1213=N1212,N1213=N1214)),NA(), N1213)</f>
        <v>#N/A</v>
      </c>
    </row>
    <row r="1936" customFormat="false" ht="15" hidden="false" customHeight="false" outlineLevel="0" collapsed="false">
      <c r="E1936" s="0" t="e">
        <f aca="false">IF(ISNA(F1936),NA(),E1214)</f>
        <v>#N/A</v>
      </c>
      <c r="F1936" s="0" t="e">
        <f aca="false">IF(OR(F1214="",AND(F1214=F1213,F1214=F1215)),NA(), F1214)</f>
        <v>#N/A</v>
      </c>
      <c r="G1936" s="0" t="e">
        <f aca="false">IF(ISNA(H1936),NA(),G1214)</f>
        <v>#N/A</v>
      </c>
      <c r="H1936" s="0" t="e">
        <f aca="false">IF(OR(H1214="",AND(H1214=H1213,H1214=H1215)),NA(), H1214)</f>
        <v>#N/A</v>
      </c>
      <c r="K1936" s="0" t="e">
        <f aca="false">IF(ISNA(L1936),NA(),K1214)</f>
        <v>#N/A</v>
      </c>
      <c r="L1936" s="0" t="e">
        <f aca="false">IF(OR(L1214="",AND(L1214=L1213,L1214=L1215)),NA(), L1214)</f>
        <v>#N/A</v>
      </c>
      <c r="M1936" s="0" t="e">
        <f aca="false">IF(ISNA(N1936),NA(),M1214)</f>
        <v>#N/A</v>
      </c>
      <c r="N1936" s="0" t="e">
        <f aca="false">IF(OR(N1214="",AND(N1214=N1213,N1214=N1215)),NA(), N1214)</f>
        <v>#N/A</v>
      </c>
    </row>
    <row r="1937" customFormat="false" ht="15" hidden="false" customHeight="false" outlineLevel="0" collapsed="false">
      <c r="E1937" s="0" t="e">
        <f aca="false">IF(ISNA(F1937),NA(),E1215)</f>
        <v>#N/A</v>
      </c>
      <c r="F1937" s="0" t="e">
        <f aca="false">IF(OR(F1215="",AND(F1215=F1214,F1215=F1216)),NA(), F1215)</f>
        <v>#N/A</v>
      </c>
      <c r="G1937" s="0" t="e">
        <f aca="false">IF(ISNA(H1937),NA(),G1215)</f>
        <v>#N/A</v>
      </c>
      <c r="H1937" s="0" t="e">
        <f aca="false">IF(OR(H1215="",AND(H1215=H1214,H1215=H1216)),NA(), H1215)</f>
        <v>#N/A</v>
      </c>
      <c r="K1937" s="0" t="e">
        <f aca="false">IF(ISNA(L1937),NA(),K1215)</f>
        <v>#N/A</v>
      </c>
      <c r="L1937" s="0" t="e">
        <f aca="false">IF(OR(L1215="",AND(L1215=L1214,L1215=L1216)),NA(), L1215)</f>
        <v>#N/A</v>
      </c>
      <c r="M1937" s="0" t="e">
        <f aca="false">IF(ISNA(N1937),NA(),M1215)</f>
        <v>#N/A</v>
      </c>
      <c r="N1937" s="0" t="e">
        <f aca="false">IF(OR(N1215="",AND(N1215=N1214,N1215=N1216)),NA(), N1215)</f>
        <v>#N/A</v>
      </c>
    </row>
    <row r="1938" customFormat="false" ht="15" hidden="false" customHeight="false" outlineLevel="0" collapsed="false">
      <c r="E1938" s="0" t="e">
        <f aca="false">IF(ISNA(F1938),NA(),E1216)</f>
        <v>#N/A</v>
      </c>
      <c r="F1938" s="0" t="e">
        <f aca="false">IF(OR(F1216="",AND(F1216=F1215,F1216=F1217)),NA(), F1216)</f>
        <v>#N/A</v>
      </c>
      <c r="G1938" s="0" t="e">
        <f aca="false">IF(ISNA(H1938),NA(),G1216)</f>
        <v>#N/A</v>
      </c>
      <c r="H1938" s="0" t="e">
        <f aca="false">IF(OR(H1216="",AND(H1216=H1215,H1216=H1217)),NA(), H1216)</f>
        <v>#N/A</v>
      </c>
      <c r="K1938" s="0" t="e">
        <f aca="false">IF(ISNA(L1938),NA(),K1216)</f>
        <v>#N/A</v>
      </c>
      <c r="L1938" s="0" t="e">
        <f aca="false">IF(OR(L1216="",AND(L1216=L1215,L1216=L1217)),NA(), L1216)</f>
        <v>#N/A</v>
      </c>
      <c r="M1938" s="0" t="e">
        <f aca="false">IF(ISNA(N1938),NA(),M1216)</f>
        <v>#N/A</v>
      </c>
      <c r="N1938" s="0" t="e">
        <f aca="false">IF(OR(N1216="",AND(N1216=N1215,N1216=N1217)),NA(), N1216)</f>
        <v>#N/A</v>
      </c>
    </row>
    <row r="1939" customFormat="false" ht="15" hidden="false" customHeight="false" outlineLevel="0" collapsed="false">
      <c r="E1939" s="0" t="e">
        <f aca="false">IF(ISNA(F1939),NA(),E1217)</f>
        <v>#N/A</v>
      </c>
      <c r="F1939" s="0" t="e">
        <f aca="false">IF(OR(F1217="",AND(F1217=F1216,F1217=F1218)),NA(), F1217)</f>
        <v>#N/A</v>
      </c>
      <c r="G1939" s="0" t="e">
        <f aca="false">IF(ISNA(H1939),NA(),G1217)</f>
        <v>#N/A</v>
      </c>
      <c r="H1939" s="0" t="e">
        <f aca="false">IF(OR(H1217="",AND(H1217=H1216,H1217=H1218)),NA(), H1217)</f>
        <v>#N/A</v>
      </c>
      <c r="K1939" s="0" t="e">
        <f aca="false">IF(ISNA(L1939),NA(),K1217)</f>
        <v>#N/A</v>
      </c>
      <c r="L1939" s="0" t="e">
        <f aca="false">IF(OR(L1217="",AND(L1217=L1216,L1217=L1218)),NA(), L1217)</f>
        <v>#N/A</v>
      </c>
      <c r="M1939" s="0" t="e">
        <f aca="false">IF(ISNA(N1939),NA(),M1217)</f>
        <v>#N/A</v>
      </c>
      <c r="N1939" s="0" t="e">
        <f aca="false">IF(OR(N1217="",AND(N1217=N1216,N1217=N1218)),NA(), N1217)</f>
        <v>#N/A</v>
      </c>
    </row>
    <row r="1940" customFormat="false" ht="15" hidden="false" customHeight="false" outlineLevel="0" collapsed="false">
      <c r="E1940" s="0" t="e">
        <f aca="false">IF(ISNA(F1940),NA(),E1218)</f>
        <v>#N/A</v>
      </c>
      <c r="F1940" s="0" t="e">
        <f aca="false">IF(OR(F1218="",AND(F1218=F1217,F1218=F1219)),NA(), F1218)</f>
        <v>#N/A</v>
      </c>
      <c r="G1940" s="0" t="e">
        <f aca="false">IF(ISNA(H1940),NA(),G1218)</f>
        <v>#N/A</v>
      </c>
      <c r="H1940" s="0" t="e">
        <f aca="false">IF(OR(H1218="",AND(H1218=H1217,H1218=H1219)),NA(), H1218)</f>
        <v>#N/A</v>
      </c>
      <c r="K1940" s="0" t="e">
        <f aca="false">IF(ISNA(L1940),NA(),K1218)</f>
        <v>#N/A</v>
      </c>
      <c r="L1940" s="0" t="e">
        <f aca="false">IF(OR(L1218="",AND(L1218=L1217,L1218=L1219)),NA(), L1218)</f>
        <v>#N/A</v>
      </c>
      <c r="M1940" s="0" t="e">
        <f aca="false">IF(ISNA(N1940),NA(),M1218)</f>
        <v>#N/A</v>
      </c>
      <c r="N1940" s="0" t="e">
        <f aca="false">IF(OR(N1218="",AND(N1218=N1217,N1218=N1219)),NA(), N1218)</f>
        <v>#N/A</v>
      </c>
    </row>
    <row r="1941" customFormat="false" ht="15" hidden="false" customHeight="false" outlineLevel="0" collapsed="false">
      <c r="E1941" s="0" t="e">
        <f aca="false">IF(ISNA(F1941),NA(),E1219)</f>
        <v>#N/A</v>
      </c>
      <c r="F1941" s="0" t="e">
        <f aca="false">IF(OR(F1219="",AND(F1219=F1218,F1219=F1220)),NA(), F1219)</f>
        <v>#N/A</v>
      </c>
      <c r="G1941" s="0" t="e">
        <f aca="false">IF(ISNA(H1941),NA(),G1219)</f>
        <v>#N/A</v>
      </c>
      <c r="H1941" s="0" t="e">
        <f aca="false">IF(OR(H1219="",AND(H1219=H1218,H1219=H1220)),NA(), H1219)</f>
        <v>#N/A</v>
      </c>
      <c r="K1941" s="0" t="e">
        <f aca="false">IF(ISNA(L1941),NA(),K1219)</f>
        <v>#N/A</v>
      </c>
      <c r="L1941" s="0" t="e">
        <f aca="false">IF(OR(L1219="",AND(L1219=L1218,L1219=L1220)),NA(), L1219)</f>
        <v>#N/A</v>
      </c>
      <c r="M1941" s="0" t="e">
        <f aca="false">IF(ISNA(N1941),NA(),M1219)</f>
        <v>#N/A</v>
      </c>
      <c r="N1941" s="0" t="e">
        <f aca="false">IF(OR(N1219="",AND(N1219=N1218,N1219=N1220)),NA(), N1219)</f>
        <v>#N/A</v>
      </c>
    </row>
    <row r="1942" customFormat="false" ht="15" hidden="false" customHeight="false" outlineLevel="0" collapsed="false">
      <c r="E1942" s="0" t="e">
        <f aca="false">IF(ISNA(F1942),NA(),E1220)</f>
        <v>#N/A</v>
      </c>
      <c r="F1942" s="0" t="e">
        <f aca="false">IF(OR(F1220="",AND(F1220=F1219,F1220=F1221)),NA(), F1220)</f>
        <v>#N/A</v>
      </c>
      <c r="G1942" s="0" t="e">
        <f aca="false">IF(ISNA(H1942),NA(),G1220)</f>
        <v>#N/A</v>
      </c>
      <c r="H1942" s="0" t="e">
        <f aca="false">IF(OR(H1220="",AND(H1220=H1219,H1220=H1221)),NA(), H1220)</f>
        <v>#N/A</v>
      </c>
      <c r="K1942" s="0" t="e">
        <f aca="false">IF(ISNA(L1942),NA(),K1220)</f>
        <v>#N/A</v>
      </c>
      <c r="L1942" s="0" t="e">
        <f aca="false">IF(OR(L1220="",AND(L1220=L1219,L1220=L1221)),NA(), L1220)</f>
        <v>#N/A</v>
      </c>
      <c r="M1942" s="0" t="e">
        <f aca="false">IF(ISNA(N1942),NA(),M1220)</f>
        <v>#N/A</v>
      </c>
      <c r="N1942" s="0" t="e">
        <f aca="false">IF(OR(N1220="",AND(N1220=N1219,N1220=N1221)),NA(), N1220)</f>
        <v>#N/A</v>
      </c>
    </row>
    <row r="1943" customFormat="false" ht="15" hidden="false" customHeight="false" outlineLevel="0" collapsed="false">
      <c r="E1943" s="0" t="e">
        <f aca="false">IF(ISNA(F1943),NA(),E1221)</f>
        <v>#N/A</v>
      </c>
      <c r="F1943" s="0" t="e">
        <f aca="false">IF(OR(F1221="",AND(F1221=F1220,F1221=F1222)),NA(), F1221)</f>
        <v>#N/A</v>
      </c>
      <c r="G1943" s="0" t="e">
        <f aca="false">IF(ISNA(H1943),NA(),G1221)</f>
        <v>#N/A</v>
      </c>
      <c r="H1943" s="0" t="e">
        <f aca="false">IF(OR(H1221="",AND(H1221=H1220,H1221=H1222)),NA(), H1221)</f>
        <v>#N/A</v>
      </c>
      <c r="K1943" s="0" t="e">
        <f aca="false">IF(ISNA(L1943),NA(),K1221)</f>
        <v>#N/A</v>
      </c>
      <c r="L1943" s="0" t="e">
        <f aca="false">IF(OR(L1221="",AND(L1221=L1220,L1221=L1222)),NA(), L1221)</f>
        <v>#N/A</v>
      </c>
      <c r="M1943" s="0" t="e">
        <f aca="false">IF(ISNA(N1943),NA(),M1221)</f>
        <v>#N/A</v>
      </c>
      <c r="N1943" s="0" t="e">
        <f aca="false">IF(OR(N1221="",AND(N1221=N1220,N1221=N1222)),NA(), N1221)</f>
        <v>#N/A</v>
      </c>
    </row>
    <row r="1944" customFormat="false" ht="15" hidden="false" customHeight="false" outlineLevel="0" collapsed="false">
      <c r="E1944" s="0" t="e">
        <f aca="false">IF(ISNA(F1944),NA(),E1222)</f>
        <v>#N/A</v>
      </c>
      <c r="F1944" s="0" t="e">
        <f aca="false">IF(OR(F1222="",AND(F1222=F1221,F1222=F1223)),NA(), F1222)</f>
        <v>#N/A</v>
      </c>
      <c r="G1944" s="0" t="e">
        <f aca="false">IF(ISNA(H1944),NA(),G1222)</f>
        <v>#N/A</v>
      </c>
      <c r="H1944" s="0" t="e">
        <f aca="false">IF(OR(H1222="",AND(H1222=H1221,H1222=H1223)),NA(), H1222)</f>
        <v>#N/A</v>
      </c>
      <c r="K1944" s="0" t="e">
        <f aca="false">IF(ISNA(L1944),NA(),K1222)</f>
        <v>#N/A</v>
      </c>
      <c r="L1944" s="0" t="e">
        <f aca="false">IF(OR(L1222="",AND(L1222=L1221,L1222=L1223)),NA(), L1222)</f>
        <v>#N/A</v>
      </c>
      <c r="M1944" s="0" t="e">
        <f aca="false">IF(ISNA(N1944),NA(),M1222)</f>
        <v>#N/A</v>
      </c>
      <c r="N1944" s="0" t="e">
        <f aca="false">IF(OR(N1222="",AND(N1222=N1221,N1222=N1223)),NA(), N1222)</f>
        <v>#N/A</v>
      </c>
    </row>
    <row r="1945" customFormat="false" ht="15" hidden="false" customHeight="false" outlineLevel="0" collapsed="false">
      <c r="E1945" s="0" t="e">
        <f aca="false">IF(ISNA(F1945),NA(),E1223)</f>
        <v>#N/A</v>
      </c>
      <c r="F1945" s="0" t="e">
        <f aca="false">IF(OR(F1223="",AND(F1223=F1222,F1223=F1224)),NA(), F1223)</f>
        <v>#N/A</v>
      </c>
      <c r="G1945" s="0" t="e">
        <f aca="false">IF(ISNA(H1945),NA(),G1223)</f>
        <v>#N/A</v>
      </c>
      <c r="H1945" s="0" t="e">
        <f aca="false">IF(OR(H1223="",AND(H1223=H1222,H1223=H1224)),NA(), H1223)</f>
        <v>#N/A</v>
      </c>
      <c r="K1945" s="0" t="e">
        <f aca="false">IF(ISNA(L1945),NA(),K1223)</f>
        <v>#N/A</v>
      </c>
      <c r="L1945" s="0" t="e">
        <f aca="false">IF(OR(L1223="",AND(L1223=L1222,L1223=L1224)),NA(), L1223)</f>
        <v>#N/A</v>
      </c>
      <c r="M1945" s="0" t="e">
        <f aca="false">IF(ISNA(N1945),NA(),M1223)</f>
        <v>#N/A</v>
      </c>
      <c r="N1945" s="0" t="e">
        <f aca="false">IF(OR(N1223="",AND(N1223=N1222,N1223=N1224)),NA(), N1223)</f>
        <v>#N/A</v>
      </c>
    </row>
    <row r="1946" customFormat="false" ht="15" hidden="false" customHeight="false" outlineLevel="0" collapsed="false">
      <c r="E1946" s="0" t="e">
        <f aca="false">IF(ISNA(F1946),NA(),E1224)</f>
        <v>#N/A</v>
      </c>
      <c r="F1946" s="0" t="e">
        <f aca="false">IF(OR(F1224="",AND(F1224=F1223,F1224=F1225)),NA(), F1224)</f>
        <v>#N/A</v>
      </c>
      <c r="G1946" s="0" t="e">
        <f aca="false">IF(ISNA(H1946),NA(),G1224)</f>
        <v>#N/A</v>
      </c>
      <c r="H1946" s="0" t="e">
        <f aca="false">IF(OR(H1224="",AND(H1224=H1223,H1224=H1225)),NA(), H1224)</f>
        <v>#N/A</v>
      </c>
      <c r="K1946" s="0" t="e">
        <f aca="false">IF(ISNA(L1946),NA(),K1224)</f>
        <v>#N/A</v>
      </c>
      <c r="L1946" s="0" t="e">
        <f aca="false">IF(OR(L1224="",AND(L1224=L1223,L1224=L1225)),NA(), L1224)</f>
        <v>#N/A</v>
      </c>
      <c r="M1946" s="0" t="e">
        <f aca="false">IF(ISNA(N1946),NA(),M1224)</f>
        <v>#N/A</v>
      </c>
      <c r="N1946" s="0" t="e">
        <f aca="false">IF(OR(N1224="",AND(N1224=N1223,N1224=N1225)),NA(), N1224)</f>
        <v>#N/A</v>
      </c>
    </row>
    <row r="1947" customFormat="false" ht="15" hidden="false" customHeight="false" outlineLevel="0" collapsed="false">
      <c r="E1947" s="0" t="e">
        <f aca="false">IF(ISNA(F1947),NA(),E1225)</f>
        <v>#N/A</v>
      </c>
      <c r="F1947" s="0" t="e">
        <f aca="false">IF(OR(F1225="",AND(F1225=F1224,F1225=F1226)),NA(), F1225)</f>
        <v>#N/A</v>
      </c>
      <c r="G1947" s="0" t="e">
        <f aca="false">IF(ISNA(H1947),NA(),G1225)</f>
        <v>#N/A</v>
      </c>
      <c r="H1947" s="0" t="e">
        <f aca="false">IF(OR(H1225="",AND(H1225=H1224,H1225=H1226)),NA(), H1225)</f>
        <v>#N/A</v>
      </c>
      <c r="K1947" s="0" t="e">
        <f aca="false">IF(ISNA(L1947),NA(),K1225)</f>
        <v>#N/A</v>
      </c>
      <c r="L1947" s="0" t="e">
        <f aca="false">IF(OR(L1225="",AND(L1225=L1224,L1225=L1226)),NA(), L1225)</f>
        <v>#N/A</v>
      </c>
      <c r="M1947" s="0" t="e">
        <f aca="false">IF(ISNA(N1947),NA(),M1225)</f>
        <v>#N/A</v>
      </c>
      <c r="N1947" s="0" t="e">
        <f aca="false">IF(OR(N1225="",AND(N1225=N1224,N1225=N1226)),NA(), N1225)</f>
        <v>#N/A</v>
      </c>
    </row>
    <row r="1948" customFormat="false" ht="15" hidden="false" customHeight="false" outlineLevel="0" collapsed="false">
      <c r="E1948" s="0" t="e">
        <f aca="false">IF(ISNA(F1948),NA(),E1226)</f>
        <v>#N/A</v>
      </c>
      <c r="F1948" s="0" t="e">
        <f aca="false">IF(OR(F1226="",AND(F1226=F1225,F1226=F1227)),NA(), F1226)</f>
        <v>#N/A</v>
      </c>
      <c r="G1948" s="0" t="e">
        <f aca="false">IF(ISNA(H1948),NA(),G1226)</f>
        <v>#N/A</v>
      </c>
      <c r="H1948" s="0" t="e">
        <f aca="false">IF(OR(H1226="",AND(H1226=H1225,H1226=H1227)),NA(), H1226)</f>
        <v>#N/A</v>
      </c>
      <c r="K1948" s="0" t="e">
        <f aca="false">IF(ISNA(L1948),NA(),K1226)</f>
        <v>#N/A</v>
      </c>
      <c r="L1948" s="0" t="e">
        <f aca="false">IF(OR(L1226="",AND(L1226=L1225,L1226=L1227)),NA(), L1226)</f>
        <v>#N/A</v>
      </c>
      <c r="M1948" s="0" t="e">
        <f aca="false">IF(ISNA(N1948),NA(),M1226)</f>
        <v>#N/A</v>
      </c>
      <c r="N1948" s="0" t="e">
        <f aca="false">IF(OR(N1226="",AND(N1226=N1225,N1226=N1227)),NA(), N1226)</f>
        <v>#N/A</v>
      </c>
    </row>
    <row r="1949" customFormat="false" ht="15" hidden="false" customHeight="false" outlineLevel="0" collapsed="false">
      <c r="E1949" s="0" t="e">
        <f aca="false">IF(ISNA(F1949),NA(),E1227)</f>
        <v>#N/A</v>
      </c>
      <c r="F1949" s="0" t="e">
        <f aca="false">IF(OR(F1227="",AND(F1227=F1226,F1227=F1228)),NA(), F1227)</f>
        <v>#N/A</v>
      </c>
      <c r="G1949" s="0" t="e">
        <f aca="false">IF(ISNA(H1949),NA(),G1227)</f>
        <v>#N/A</v>
      </c>
      <c r="H1949" s="0" t="e">
        <f aca="false">IF(OR(H1227="",AND(H1227=H1226,H1227=H1228)),NA(), H1227)</f>
        <v>#N/A</v>
      </c>
      <c r="K1949" s="0" t="e">
        <f aca="false">IF(ISNA(L1949),NA(),K1227)</f>
        <v>#N/A</v>
      </c>
      <c r="L1949" s="0" t="e">
        <f aca="false">IF(OR(L1227="",AND(L1227=L1226,L1227=L1228)),NA(), L1227)</f>
        <v>#N/A</v>
      </c>
      <c r="M1949" s="0" t="e">
        <f aca="false">IF(ISNA(N1949),NA(),M1227)</f>
        <v>#N/A</v>
      </c>
      <c r="N1949" s="0" t="e">
        <f aca="false">IF(OR(N1227="",AND(N1227=N1226,N1227=N1228)),NA(), N1227)</f>
        <v>#N/A</v>
      </c>
    </row>
    <row r="1950" customFormat="false" ht="15" hidden="false" customHeight="false" outlineLevel="0" collapsed="false">
      <c r="E1950" s="0" t="e">
        <f aca="false">IF(ISNA(F1950),NA(),E1228)</f>
        <v>#N/A</v>
      </c>
      <c r="F1950" s="0" t="e">
        <f aca="false">IF(OR(F1228="",AND(F1228=F1227,F1228=F1229)),NA(), F1228)</f>
        <v>#N/A</v>
      </c>
      <c r="G1950" s="0" t="e">
        <f aca="false">IF(ISNA(H1950),NA(),G1228)</f>
        <v>#N/A</v>
      </c>
      <c r="H1950" s="0" t="e">
        <f aca="false">IF(OR(H1228="",AND(H1228=H1227,H1228=H1229)),NA(), H1228)</f>
        <v>#N/A</v>
      </c>
      <c r="K1950" s="0" t="e">
        <f aca="false">IF(ISNA(L1950),NA(),K1228)</f>
        <v>#N/A</v>
      </c>
      <c r="L1950" s="0" t="e">
        <f aca="false">IF(OR(L1228="",AND(L1228=L1227,L1228=L1229)),NA(), L1228)</f>
        <v>#N/A</v>
      </c>
      <c r="M1950" s="0" t="e">
        <f aca="false">IF(ISNA(N1950),NA(),M1228)</f>
        <v>#N/A</v>
      </c>
      <c r="N1950" s="0" t="e">
        <f aca="false">IF(OR(N1228="",AND(N1228=N1227,N1228=N1229)),NA(), N1228)</f>
        <v>#N/A</v>
      </c>
    </row>
    <row r="1951" customFormat="false" ht="15" hidden="false" customHeight="false" outlineLevel="0" collapsed="false">
      <c r="E1951" s="0" t="e">
        <f aca="false">IF(ISNA(F1951),NA(),E1229)</f>
        <v>#N/A</v>
      </c>
      <c r="F1951" s="0" t="e">
        <f aca="false">IF(OR(F1229="",AND(F1229=F1228,F1229=F1230)),NA(), F1229)</f>
        <v>#N/A</v>
      </c>
      <c r="G1951" s="0" t="e">
        <f aca="false">IF(ISNA(H1951),NA(),G1229)</f>
        <v>#N/A</v>
      </c>
      <c r="H1951" s="0" t="e">
        <f aca="false">IF(OR(H1229="",AND(H1229=H1228,H1229=H1230)),NA(), H1229)</f>
        <v>#N/A</v>
      </c>
      <c r="K1951" s="0" t="e">
        <f aca="false">IF(ISNA(L1951),NA(),K1229)</f>
        <v>#N/A</v>
      </c>
      <c r="L1951" s="0" t="e">
        <f aca="false">IF(OR(L1229="",AND(L1229=L1228,L1229=L1230)),NA(), L1229)</f>
        <v>#N/A</v>
      </c>
      <c r="M1951" s="0" t="e">
        <f aca="false">IF(ISNA(N1951),NA(),M1229)</f>
        <v>#N/A</v>
      </c>
      <c r="N1951" s="0" t="e">
        <f aca="false">IF(OR(N1229="",AND(N1229=N1228,N1229=N1230)),NA(), N1229)</f>
        <v>#N/A</v>
      </c>
    </row>
    <row r="1952" customFormat="false" ht="15" hidden="false" customHeight="false" outlineLevel="0" collapsed="false">
      <c r="E1952" s="0" t="e">
        <f aca="false">IF(ISNA(F1952),NA(),E1230)</f>
        <v>#N/A</v>
      </c>
      <c r="F1952" s="0" t="e">
        <f aca="false">IF(OR(F1230="",AND(F1230=F1229,F1230=F1231)),NA(), F1230)</f>
        <v>#N/A</v>
      </c>
      <c r="G1952" s="0" t="e">
        <f aca="false">IF(ISNA(H1952),NA(),G1230)</f>
        <v>#N/A</v>
      </c>
      <c r="H1952" s="0" t="e">
        <f aca="false">IF(OR(H1230="",AND(H1230=H1229,H1230=H1231)),NA(), H1230)</f>
        <v>#N/A</v>
      </c>
      <c r="K1952" s="0" t="e">
        <f aca="false">IF(ISNA(L1952),NA(),K1230)</f>
        <v>#N/A</v>
      </c>
      <c r="L1952" s="0" t="e">
        <f aca="false">IF(OR(L1230="",AND(L1230=L1229,L1230=L1231)),NA(), L1230)</f>
        <v>#N/A</v>
      </c>
      <c r="M1952" s="0" t="e">
        <f aca="false">IF(ISNA(N1952),NA(),M1230)</f>
        <v>#N/A</v>
      </c>
      <c r="N1952" s="0" t="e">
        <f aca="false">IF(OR(N1230="",AND(N1230=N1229,N1230=N1231)),NA(), N1230)</f>
        <v>#N/A</v>
      </c>
    </row>
    <row r="1953" customFormat="false" ht="15" hidden="false" customHeight="false" outlineLevel="0" collapsed="false">
      <c r="E1953" s="0" t="e">
        <f aca="false">IF(ISNA(F1953),NA(),E1231)</f>
        <v>#N/A</v>
      </c>
      <c r="F1953" s="0" t="e">
        <f aca="false">IF(OR(F1231="",AND(F1231=F1230,F1231=F1232)),NA(), F1231)</f>
        <v>#N/A</v>
      </c>
      <c r="G1953" s="0" t="e">
        <f aca="false">IF(ISNA(H1953),NA(),G1231)</f>
        <v>#N/A</v>
      </c>
      <c r="H1953" s="0" t="e">
        <f aca="false">IF(OR(H1231="",AND(H1231=H1230,H1231=H1232)),NA(), H1231)</f>
        <v>#N/A</v>
      </c>
      <c r="K1953" s="0" t="e">
        <f aca="false">IF(ISNA(L1953),NA(),K1231)</f>
        <v>#N/A</v>
      </c>
      <c r="L1953" s="0" t="e">
        <f aca="false">IF(OR(L1231="",AND(L1231=L1230,L1231=L1232)),NA(), L1231)</f>
        <v>#N/A</v>
      </c>
      <c r="M1953" s="0" t="e">
        <f aca="false">IF(ISNA(N1953),NA(),M1231)</f>
        <v>#N/A</v>
      </c>
      <c r="N1953" s="0" t="e">
        <f aca="false">IF(OR(N1231="",AND(N1231=N1230,N1231=N1232)),NA(), N1231)</f>
        <v>#N/A</v>
      </c>
    </row>
    <row r="1954" customFormat="false" ht="15" hidden="false" customHeight="false" outlineLevel="0" collapsed="false">
      <c r="E1954" s="0" t="e">
        <f aca="false">IF(ISNA(F1954),NA(),E1232)</f>
        <v>#N/A</v>
      </c>
      <c r="F1954" s="0" t="e">
        <f aca="false">IF(OR(F1232="",AND(F1232=F1231,F1232=F1233)),NA(), F1232)</f>
        <v>#N/A</v>
      </c>
      <c r="G1954" s="0" t="e">
        <f aca="false">IF(ISNA(H1954),NA(),G1232)</f>
        <v>#N/A</v>
      </c>
      <c r="H1954" s="0" t="e">
        <f aca="false">IF(OR(H1232="",AND(H1232=H1231,H1232=H1233)),NA(), H1232)</f>
        <v>#N/A</v>
      </c>
      <c r="K1954" s="0" t="e">
        <f aca="false">IF(ISNA(L1954),NA(),K1232)</f>
        <v>#N/A</v>
      </c>
      <c r="L1954" s="0" t="e">
        <f aca="false">IF(OR(L1232="",AND(L1232=L1231,L1232=L1233)),NA(), L1232)</f>
        <v>#N/A</v>
      </c>
      <c r="M1954" s="0" t="e">
        <f aca="false">IF(ISNA(N1954),NA(),M1232)</f>
        <v>#N/A</v>
      </c>
      <c r="N1954" s="0" t="e">
        <f aca="false">IF(OR(N1232="",AND(N1232=N1231,N1232=N1233)),NA(), N1232)</f>
        <v>#N/A</v>
      </c>
    </row>
    <row r="1955" customFormat="false" ht="15" hidden="false" customHeight="false" outlineLevel="0" collapsed="false">
      <c r="E1955" s="0" t="e">
        <f aca="false">IF(ISNA(F1955),NA(),E1233)</f>
        <v>#N/A</v>
      </c>
      <c r="F1955" s="0" t="e">
        <f aca="false">IF(OR(F1233="",AND(F1233=F1232,F1233=F1234)),NA(), F1233)</f>
        <v>#N/A</v>
      </c>
      <c r="G1955" s="0" t="e">
        <f aca="false">IF(ISNA(H1955),NA(),G1233)</f>
        <v>#N/A</v>
      </c>
      <c r="H1955" s="0" t="e">
        <f aca="false">IF(OR(H1233="",AND(H1233=H1232,H1233=H1234)),NA(), H1233)</f>
        <v>#N/A</v>
      </c>
      <c r="K1955" s="0" t="e">
        <f aca="false">IF(ISNA(L1955),NA(),K1233)</f>
        <v>#N/A</v>
      </c>
      <c r="L1955" s="0" t="e">
        <f aca="false">IF(OR(L1233="",AND(L1233=L1232,L1233=L1234)),NA(), L1233)</f>
        <v>#N/A</v>
      </c>
      <c r="M1955" s="0" t="e">
        <f aca="false">IF(ISNA(N1955),NA(),M1233)</f>
        <v>#N/A</v>
      </c>
      <c r="N1955" s="0" t="e">
        <f aca="false">IF(OR(N1233="",AND(N1233=N1232,N1233=N1234)),NA(), N1233)</f>
        <v>#N/A</v>
      </c>
    </row>
    <row r="1956" customFormat="false" ht="15" hidden="false" customHeight="false" outlineLevel="0" collapsed="false">
      <c r="E1956" s="0" t="e">
        <f aca="false">IF(ISNA(F1956),NA(),E1234)</f>
        <v>#N/A</v>
      </c>
      <c r="F1956" s="0" t="e">
        <f aca="false">IF(OR(F1234="",AND(F1234=F1233,F1234=F1235)),NA(), F1234)</f>
        <v>#N/A</v>
      </c>
      <c r="G1956" s="0" t="e">
        <f aca="false">IF(ISNA(H1956),NA(),G1234)</f>
        <v>#N/A</v>
      </c>
      <c r="H1956" s="0" t="e">
        <f aca="false">IF(OR(H1234="",AND(H1234=H1233,H1234=H1235)),NA(), H1234)</f>
        <v>#N/A</v>
      </c>
      <c r="K1956" s="0" t="e">
        <f aca="false">IF(ISNA(L1956),NA(),K1234)</f>
        <v>#N/A</v>
      </c>
      <c r="L1956" s="0" t="e">
        <f aca="false">IF(OR(L1234="",AND(L1234=L1233,L1234=L1235)),NA(), L1234)</f>
        <v>#N/A</v>
      </c>
      <c r="M1956" s="0" t="e">
        <f aca="false">IF(ISNA(N1956),NA(),M1234)</f>
        <v>#N/A</v>
      </c>
      <c r="N1956" s="0" t="e">
        <f aca="false">IF(OR(N1234="",AND(N1234=N1233,N1234=N1235)),NA(), N1234)</f>
        <v>#N/A</v>
      </c>
    </row>
    <row r="1957" customFormat="false" ht="15" hidden="false" customHeight="false" outlineLevel="0" collapsed="false">
      <c r="E1957" s="0" t="e">
        <f aca="false">IF(ISNA(F1957),NA(),E1235)</f>
        <v>#N/A</v>
      </c>
      <c r="F1957" s="0" t="e">
        <f aca="false">IF(OR(F1235="",AND(F1235=F1234,F1235=F1236)),NA(), F1235)</f>
        <v>#N/A</v>
      </c>
      <c r="G1957" s="0" t="e">
        <f aca="false">IF(ISNA(H1957),NA(),G1235)</f>
        <v>#N/A</v>
      </c>
      <c r="H1957" s="0" t="e">
        <f aca="false">IF(OR(H1235="",AND(H1235=H1234,H1235=H1236)),NA(), H1235)</f>
        <v>#N/A</v>
      </c>
      <c r="K1957" s="0" t="e">
        <f aca="false">IF(ISNA(L1957),NA(),K1235)</f>
        <v>#N/A</v>
      </c>
      <c r="L1957" s="0" t="e">
        <f aca="false">IF(OR(L1235="",AND(L1235=L1234,L1235=L1236)),NA(), L1235)</f>
        <v>#N/A</v>
      </c>
      <c r="M1957" s="0" t="e">
        <f aca="false">IF(ISNA(N1957),NA(),M1235)</f>
        <v>#N/A</v>
      </c>
      <c r="N1957" s="0" t="e">
        <f aca="false">IF(OR(N1235="",AND(N1235=N1234,N1235=N1236)),NA(), N1235)</f>
        <v>#N/A</v>
      </c>
    </row>
    <row r="1958" customFormat="false" ht="15" hidden="false" customHeight="false" outlineLevel="0" collapsed="false">
      <c r="E1958" s="0" t="e">
        <f aca="false">IF(ISNA(F1958),NA(),E1236)</f>
        <v>#N/A</v>
      </c>
      <c r="F1958" s="0" t="e">
        <f aca="false">IF(OR(F1236="",AND(F1236=F1235,F1236=F1237)),NA(), F1236)</f>
        <v>#N/A</v>
      </c>
      <c r="G1958" s="0" t="e">
        <f aca="false">IF(ISNA(H1958),NA(),G1236)</f>
        <v>#N/A</v>
      </c>
      <c r="H1958" s="0" t="e">
        <f aca="false">IF(OR(H1236="",AND(H1236=H1235,H1236=H1237)),NA(), H1236)</f>
        <v>#N/A</v>
      </c>
      <c r="K1958" s="0" t="e">
        <f aca="false">IF(ISNA(L1958),NA(),K1236)</f>
        <v>#N/A</v>
      </c>
      <c r="L1958" s="0" t="e">
        <f aca="false">IF(OR(L1236="",AND(L1236=L1235,L1236=L1237)),NA(), L1236)</f>
        <v>#N/A</v>
      </c>
      <c r="M1958" s="0" t="e">
        <f aca="false">IF(ISNA(N1958),NA(),M1236)</f>
        <v>#N/A</v>
      </c>
      <c r="N1958" s="0" t="e">
        <f aca="false">IF(OR(N1236="",AND(N1236=N1235,N1236=N1237)),NA(), N1236)</f>
        <v>#N/A</v>
      </c>
    </row>
    <row r="1959" customFormat="false" ht="15" hidden="false" customHeight="false" outlineLevel="0" collapsed="false">
      <c r="E1959" s="0" t="e">
        <f aca="false">IF(ISNA(F1959),NA(),E1237)</f>
        <v>#N/A</v>
      </c>
      <c r="F1959" s="0" t="e">
        <f aca="false">IF(OR(F1237="",AND(F1237=F1236,F1237=F1238)),NA(), F1237)</f>
        <v>#N/A</v>
      </c>
      <c r="G1959" s="0" t="e">
        <f aca="false">IF(ISNA(H1959),NA(),G1237)</f>
        <v>#N/A</v>
      </c>
      <c r="H1959" s="0" t="e">
        <f aca="false">IF(OR(H1237="",AND(H1237=H1236,H1237=H1238)),NA(), H1237)</f>
        <v>#N/A</v>
      </c>
      <c r="K1959" s="0" t="e">
        <f aca="false">IF(ISNA(L1959),NA(),K1237)</f>
        <v>#N/A</v>
      </c>
      <c r="L1959" s="0" t="e">
        <f aca="false">IF(OR(L1237="",AND(L1237=L1236,L1237=L1238)),NA(), L1237)</f>
        <v>#N/A</v>
      </c>
      <c r="M1959" s="0" t="e">
        <f aca="false">IF(ISNA(N1959),NA(),M1237)</f>
        <v>#N/A</v>
      </c>
      <c r="N1959" s="0" t="e">
        <f aca="false">IF(OR(N1237="",AND(N1237=N1236,N1237=N1238)),NA(), N1237)</f>
        <v>#N/A</v>
      </c>
    </row>
    <row r="1960" customFormat="false" ht="15" hidden="false" customHeight="false" outlineLevel="0" collapsed="false">
      <c r="E1960" s="0" t="e">
        <f aca="false">IF(ISNA(F1960),NA(),E1238)</f>
        <v>#N/A</v>
      </c>
      <c r="F1960" s="0" t="e">
        <f aca="false">IF(OR(F1238="",AND(F1238=F1237,F1238=F1239)),NA(), F1238)</f>
        <v>#N/A</v>
      </c>
      <c r="G1960" s="0" t="e">
        <f aca="false">IF(ISNA(H1960),NA(),G1238)</f>
        <v>#N/A</v>
      </c>
      <c r="H1960" s="0" t="e">
        <f aca="false">IF(OR(H1238="",AND(H1238=H1237,H1238=H1239)),NA(), H1238)</f>
        <v>#N/A</v>
      </c>
      <c r="K1960" s="0" t="e">
        <f aca="false">IF(ISNA(L1960),NA(),K1238)</f>
        <v>#N/A</v>
      </c>
      <c r="L1960" s="0" t="e">
        <f aca="false">IF(OR(L1238="",AND(L1238=L1237,L1238=L1239)),NA(), L1238)</f>
        <v>#N/A</v>
      </c>
      <c r="M1960" s="0" t="e">
        <f aca="false">IF(ISNA(N1960),NA(),M1238)</f>
        <v>#N/A</v>
      </c>
      <c r="N1960" s="0" t="e">
        <f aca="false">IF(OR(N1238="",AND(N1238=N1237,N1238=N1239)),NA(), N1238)</f>
        <v>#N/A</v>
      </c>
    </row>
    <row r="1961" customFormat="false" ht="15" hidden="false" customHeight="false" outlineLevel="0" collapsed="false">
      <c r="E1961" s="0" t="e">
        <f aca="false">IF(ISNA(F1961),NA(),E1239)</f>
        <v>#N/A</v>
      </c>
      <c r="F1961" s="0" t="e">
        <f aca="false">IF(OR(F1239="",AND(F1239=F1238,F1239=F1240)),NA(), F1239)</f>
        <v>#N/A</v>
      </c>
      <c r="G1961" s="0" t="e">
        <f aca="false">IF(ISNA(H1961),NA(),G1239)</f>
        <v>#N/A</v>
      </c>
      <c r="H1961" s="0" t="e">
        <f aca="false">IF(OR(H1239="",AND(H1239=H1238,H1239=H1240)),NA(), H1239)</f>
        <v>#N/A</v>
      </c>
      <c r="K1961" s="0" t="e">
        <f aca="false">IF(ISNA(L1961),NA(),K1239)</f>
        <v>#N/A</v>
      </c>
      <c r="L1961" s="0" t="e">
        <f aca="false">IF(OR(L1239="",AND(L1239=L1238,L1239=L1240)),NA(), L1239)</f>
        <v>#N/A</v>
      </c>
      <c r="M1961" s="0" t="e">
        <f aca="false">IF(ISNA(N1961),NA(),M1239)</f>
        <v>#N/A</v>
      </c>
      <c r="N1961" s="0" t="e">
        <f aca="false">IF(OR(N1239="",AND(N1239=N1238,N1239=N1240)),NA(), N1239)</f>
        <v>#N/A</v>
      </c>
    </row>
    <row r="1962" customFormat="false" ht="15" hidden="false" customHeight="false" outlineLevel="0" collapsed="false">
      <c r="E1962" s="0" t="e">
        <f aca="false">IF(ISNA(F1962),NA(),E1240)</f>
        <v>#N/A</v>
      </c>
      <c r="F1962" s="0" t="e">
        <f aca="false">IF(OR(F1240="",AND(F1240=F1239,F1240=F1241)),NA(), F1240)</f>
        <v>#N/A</v>
      </c>
      <c r="G1962" s="0" t="e">
        <f aca="false">IF(ISNA(H1962),NA(),G1240)</f>
        <v>#N/A</v>
      </c>
      <c r="H1962" s="0" t="e">
        <f aca="false">IF(OR(H1240="",AND(H1240=H1239,H1240=H1241)),NA(), H1240)</f>
        <v>#N/A</v>
      </c>
      <c r="K1962" s="0" t="e">
        <f aca="false">IF(ISNA(L1962),NA(),K1240)</f>
        <v>#N/A</v>
      </c>
      <c r="L1962" s="0" t="e">
        <f aca="false">IF(OR(L1240="",AND(L1240=L1239,L1240=L1241)),NA(), L1240)</f>
        <v>#N/A</v>
      </c>
      <c r="M1962" s="0" t="e">
        <f aca="false">IF(ISNA(N1962),NA(),M1240)</f>
        <v>#N/A</v>
      </c>
      <c r="N1962" s="0" t="e">
        <f aca="false">IF(OR(N1240="",AND(N1240=N1239,N1240=N1241)),NA(), N1240)</f>
        <v>#N/A</v>
      </c>
    </row>
    <row r="1963" customFormat="false" ht="15" hidden="false" customHeight="false" outlineLevel="0" collapsed="false">
      <c r="E1963" s="0" t="e">
        <f aca="false">IF(ISNA(F1963),NA(),E1241)</f>
        <v>#N/A</v>
      </c>
      <c r="F1963" s="0" t="e">
        <f aca="false">IF(OR(F1241="",AND(F1241=F1240,F1241=F1242)),NA(), F1241)</f>
        <v>#N/A</v>
      </c>
      <c r="G1963" s="0" t="e">
        <f aca="false">IF(ISNA(H1963),NA(),G1241)</f>
        <v>#N/A</v>
      </c>
      <c r="H1963" s="0" t="e">
        <f aca="false">IF(OR(H1241="",AND(H1241=H1240,H1241=H1242)),NA(), H1241)</f>
        <v>#N/A</v>
      </c>
      <c r="K1963" s="0" t="e">
        <f aca="false">IF(ISNA(L1963),NA(),K1241)</f>
        <v>#N/A</v>
      </c>
      <c r="L1963" s="0" t="e">
        <f aca="false">IF(OR(L1241="",AND(L1241=L1240,L1241=L1242)),NA(), L1241)</f>
        <v>#N/A</v>
      </c>
      <c r="M1963" s="0" t="e">
        <f aca="false">IF(ISNA(N1963),NA(),M1241)</f>
        <v>#N/A</v>
      </c>
      <c r="N1963" s="0" t="e">
        <f aca="false">IF(OR(N1241="",AND(N1241=N1240,N1241=N1242)),NA(), N1241)</f>
        <v>#N/A</v>
      </c>
    </row>
    <row r="1964" customFormat="false" ht="15" hidden="false" customHeight="false" outlineLevel="0" collapsed="false">
      <c r="E1964" s="0" t="e">
        <f aca="false">IF(ISNA(F1964),NA(),E1242)</f>
        <v>#N/A</v>
      </c>
      <c r="F1964" s="0" t="e">
        <f aca="false">IF(OR(F1242="",AND(F1242=F1241,F1242=F1243)),NA(), F1242)</f>
        <v>#N/A</v>
      </c>
      <c r="G1964" s="0" t="e">
        <f aca="false">IF(ISNA(H1964),NA(),G1242)</f>
        <v>#N/A</v>
      </c>
      <c r="H1964" s="0" t="e">
        <f aca="false">IF(OR(H1242="",AND(H1242=H1241,H1242=H1243)),NA(), H1242)</f>
        <v>#N/A</v>
      </c>
      <c r="K1964" s="0" t="e">
        <f aca="false">IF(ISNA(L1964),NA(),K1242)</f>
        <v>#N/A</v>
      </c>
      <c r="L1964" s="0" t="e">
        <f aca="false">IF(OR(L1242="",AND(L1242=L1241,L1242=L1243)),NA(), L1242)</f>
        <v>#N/A</v>
      </c>
      <c r="M1964" s="0" t="e">
        <f aca="false">IF(ISNA(N1964),NA(),M1242)</f>
        <v>#N/A</v>
      </c>
      <c r="N1964" s="0" t="e">
        <f aca="false">IF(OR(N1242="",AND(N1242=N1241,N1242=N1243)),NA(), N1242)</f>
        <v>#N/A</v>
      </c>
    </row>
    <row r="1965" customFormat="false" ht="15" hidden="false" customHeight="false" outlineLevel="0" collapsed="false">
      <c r="E1965" s="0" t="e">
        <f aca="false">IF(ISNA(F1965),NA(),E1243)</f>
        <v>#N/A</v>
      </c>
      <c r="F1965" s="0" t="e">
        <f aca="false">IF(OR(F1243="",AND(F1243=F1242,F1243=F1244)),NA(), F1243)</f>
        <v>#N/A</v>
      </c>
      <c r="G1965" s="0" t="e">
        <f aca="false">IF(ISNA(H1965),NA(),G1243)</f>
        <v>#N/A</v>
      </c>
      <c r="H1965" s="0" t="e">
        <f aca="false">IF(OR(H1243="",AND(H1243=H1242,H1243=H1244)),NA(), H1243)</f>
        <v>#N/A</v>
      </c>
      <c r="K1965" s="0" t="e">
        <f aca="false">IF(ISNA(L1965),NA(),K1243)</f>
        <v>#N/A</v>
      </c>
      <c r="L1965" s="0" t="e">
        <f aca="false">IF(OR(L1243="",AND(L1243=L1242,L1243=L1244)),NA(), L1243)</f>
        <v>#N/A</v>
      </c>
      <c r="M1965" s="0" t="e">
        <f aca="false">IF(ISNA(N1965),NA(),M1243)</f>
        <v>#N/A</v>
      </c>
      <c r="N1965" s="0" t="e">
        <f aca="false">IF(OR(N1243="",AND(N1243=N1242,N1243=N1244)),NA(), N1243)</f>
        <v>#N/A</v>
      </c>
    </row>
    <row r="1966" customFormat="false" ht="15" hidden="false" customHeight="false" outlineLevel="0" collapsed="false">
      <c r="E1966" s="0" t="e">
        <f aca="false">IF(ISNA(F1966),NA(),E1244)</f>
        <v>#N/A</v>
      </c>
      <c r="F1966" s="0" t="e">
        <f aca="false">IF(OR(F1244="",AND(F1244=F1243,F1244=F1245)),NA(), F1244)</f>
        <v>#N/A</v>
      </c>
      <c r="G1966" s="0" t="e">
        <f aca="false">IF(ISNA(H1966),NA(),G1244)</f>
        <v>#N/A</v>
      </c>
      <c r="H1966" s="0" t="e">
        <f aca="false">IF(OR(H1244="",AND(H1244=H1243,H1244=H1245)),NA(), H1244)</f>
        <v>#N/A</v>
      </c>
      <c r="K1966" s="0" t="e">
        <f aca="false">IF(ISNA(L1966),NA(),K1244)</f>
        <v>#N/A</v>
      </c>
      <c r="L1966" s="0" t="e">
        <f aca="false">IF(OR(L1244="",AND(L1244=L1243,L1244=L1245)),NA(), L1244)</f>
        <v>#N/A</v>
      </c>
      <c r="M1966" s="0" t="e">
        <f aca="false">IF(ISNA(N1966),NA(),M1244)</f>
        <v>#N/A</v>
      </c>
      <c r="N1966" s="0" t="e">
        <f aca="false">IF(OR(N1244="",AND(N1244=N1243,N1244=N1245)),NA(), N1244)</f>
        <v>#N/A</v>
      </c>
    </row>
    <row r="1967" customFormat="false" ht="15" hidden="false" customHeight="false" outlineLevel="0" collapsed="false">
      <c r="E1967" s="0" t="e">
        <f aca="false">IF(ISNA(F1967),NA(),E1245)</f>
        <v>#N/A</v>
      </c>
      <c r="F1967" s="0" t="e">
        <f aca="false">IF(OR(F1245="",AND(F1245=F1244,F1245=F1246)),NA(), F1245)</f>
        <v>#N/A</v>
      </c>
      <c r="G1967" s="0" t="e">
        <f aca="false">IF(ISNA(H1967),NA(),G1245)</f>
        <v>#N/A</v>
      </c>
      <c r="H1967" s="0" t="e">
        <f aca="false">IF(OR(H1245="",AND(H1245=H1244,H1245=H1246)),NA(), H1245)</f>
        <v>#N/A</v>
      </c>
      <c r="K1967" s="0" t="e">
        <f aca="false">IF(ISNA(L1967),NA(),K1245)</f>
        <v>#N/A</v>
      </c>
      <c r="L1967" s="0" t="e">
        <f aca="false">IF(OR(L1245="",AND(L1245=L1244,L1245=L1246)),NA(), L1245)</f>
        <v>#N/A</v>
      </c>
      <c r="M1967" s="0" t="e">
        <f aca="false">IF(ISNA(N1967),NA(),M1245)</f>
        <v>#N/A</v>
      </c>
      <c r="N1967" s="0" t="e">
        <f aca="false">IF(OR(N1245="",AND(N1245=N1244,N1245=N1246)),NA(), N1245)</f>
        <v>#N/A</v>
      </c>
    </row>
    <row r="1968" customFormat="false" ht="15" hidden="false" customHeight="false" outlineLevel="0" collapsed="false">
      <c r="E1968" s="0" t="e">
        <f aca="false">IF(ISNA(F1968),NA(),E1246)</f>
        <v>#N/A</v>
      </c>
      <c r="F1968" s="0" t="e">
        <f aca="false">IF(OR(F1246="",AND(F1246=F1245,F1246=F1247)),NA(), F1246)</f>
        <v>#N/A</v>
      </c>
      <c r="G1968" s="0" t="e">
        <f aca="false">IF(ISNA(H1968),NA(),G1246)</f>
        <v>#N/A</v>
      </c>
      <c r="H1968" s="0" t="e">
        <f aca="false">IF(OR(H1246="",AND(H1246=H1245,H1246=H1247)),NA(), H1246)</f>
        <v>#N/A</v>
      </c>
      <c r="K1968" s="0" t="e">
        <f aca="false">IF(ISNA(L1968),NA(),K1246)</f>
        <v>#N/A</v>
      </c>
      <c r="L1968" s="0" t="e">
        <f aca="false">IF(OR(L1246="",AND(L1246=L1245,L1246=L1247)),NA(), L1246)</f>
        <v>#N/A</v>
      </c>
      <c r="M1968" s="0" t="e">
        <f aca="false">IF(ISNA(N1968),NA(),M1246)</f>
        <v>#N/A</v>
      </c>
      <c r="N1968" s="0" t="e">
        <f aca="false">IF(OR(N1246="",AND(N1246=N1245,N1246=N1247)),NA(), N1246)</f>
        <v>#N/A</v>
      </c>
    </row>
    <row r="1969" customFormat="false" ht="15" hidden="false" customHeight="false" outlineLevel="0" collapsed="false">
      <c r="E1969" s="0" t="e">
        <f aca="false">IF(ISNA(F1969),NA(),E1247)</f>
        <v>#N/A</v>
      </c>
      <c r="F1969" s="0" t="e">
        <f aca="false">IF(OR(F1247="",AND(F1247=F1246,F1247=F1248)),NA(), F1247)</f>
        <v>#N/A</v>
      </c>
      <c r="G1969" s="0" t="e">
        <f aca="false">IF(ISNA(H1969),NA(),G1247)</f>
        <v>#N/A</v>
      </c>
      <c r="H1969" s="0" t="e">
        <f aca="false">IF(OR(H1247="",AND(H1247=H1246,H1247=H1248)),NA(), H1247)</f>
        <v>#N/A</v>
      </c>
      <c r="K1969" s="0" t="e">
        <f aca="false">IF(ISNA(L1969),NA(),K1247)</f>
        <v>#N/A</v>
      </c>
      <c r="L1969" s="0" t="e">
        <f aca="false">IF(OR(L1247="",AND(L1247=L1246,L1247=L1248)),NA(), L1247)</f>
        <v>#N/A</v>
      </c>
      <c r="M1969" s="0" t="e">
        <f aca="false">IF(ISNA(N1969),NA(),M1247)</f>
        <v>#N/A</v>
      </c>
      <c r="N1969" s="0" t="e">
        <f aca="false">IF(OR(N1247="",AND(N1247=N1246,N1247=N1248)),NA(), N1247)</f>
        <v>#N/A</v>
      </c>
    </row>
    <row r="1970" customFormat="false" ht="15" hidden="false" customHeight="false" outlineLevel="0" collapsed="false">
      <c r="E1970" s="0" t="e">
        <f aca="false">IF(ISNA(F1970),NA(),E1248)</f>
        <v>#N/A</v>
      </c>
      <c r="F1970" s="0" t="e">
        <f aca="false">IF(OR(F1248="",AND(F1248=F1247,F1248=F1249)),NA(), F1248)</f>
        <v>#N/A</v>
      </c>
      <c r="G1970" s="0" t="e">
        <f aca="false">IF(ISNA(H1970),NA(),G1248)</f>
        <v>#N/A</v>
      </c>
      <c r="H1970" s="0" t="e">
        <f aca="false">IF(OR(H1248="",AND(H1248=H1247,H1248=H1249)),NA(), H1248)</f>
        <v>#N/A</v>
      </c>
      <c r="K1970" s="0" t="e">
        <f aca="false">IF(ISNA(L1970),NA(),K1248)</f>
        <v>#N/A</v>
      </c>
      <c r="L1970" s="0" t="e">
        <f aca="false">IF(OR(L1248="",AND(L1248=L1247,L1248=L1249)),NA(), L1248)</f>
        <v>#N/A</v>
      </c>
      <c r="M1970" s="0" t="e">
        <f aca="false">IF(ISNA(N1970),NA(),M1248)</f>
        <v>#N/A</v>
      </c>
      <c r="N1970" s="0" t="e">
        <f aca="false">IF(OR(N1248="",AND(N1248=N1247,N1248=N1249)),NA(), N1248)</f>
        <v>#N/A</v>
      </c>
    </row>
    <row r="1971" customFormat="false" ht="15" hidden="false" customHeight="false" outlineLevel="0" collapsed="false">
      <c r="E1971" s="0" t="e">
        <f aca="false">IF(ISNA(F1971),NA(),E1249)</f>
        <v>#N/A</v>
      </c>
      <c r="F1971" s="0" t="e">
        <f aca="false">IF(OR(F1249="",AND(F1249=F1248,F1249=F1250)),NA(), F1249)</f>
        <v>#N/A</v>
      </c>
      <c r="G1971" s="0" t="e">
        <f aca="false">IF(ISNA(H1971),NA(),G1249)</f>
        <v>#N/A</v>
      </c>
      <c r="H1971" s="0" t="e">
        <f aca="false">IF(OR(H1249="",AND(H1249=H1248,H1249=H1250)),NA(), H1249)</f>
        <v>#N/A</v>
      </c>
      <c r="K1971" s="0" t="e">
        <f aca="false">IF(ISNA(L1971),NA(),K1249)</f>
        <v>#N/A</v>
      </c>
      <c r="L1971" s="0" t="e">
        <f aca="false">IF(OR(L1249="",AND(L1249=L1248,L1249=L1250)),NA(), L1249)</f>
        <v>#N/A</v>
      </c>
      <c r="M1971" s="0" t="e">
        <f aca="false">IF(ISNA(N1971),NA(),M1249)</f>
        <v>#N/A</v>
      </c>
      <c r="N1971" s="0" t="e">
        <f aca="false">IF(OR(N1249="",AND(N1249=N1248,N1249=N1250)),NA(), N1249)</f>
        <v>#N/A</v>
      </c>
    </row>
    <row r="1972" customFormat="false" ht="15" hidden="false" customHeight="false" outlineLevel="0" collapsed="false">
      <c r="E1972" s="0" t="e">
        <f aca="false">IF(ISNA(F1972),NA(),E1250)</f>
        <v>#N/A</v>
      </c>
      <c r="F1972" s="0" t="e">
        <f aca="false">IF(OR(F1250="",AND(F1250=F1249,F1250=F1251)),NA(), F1250)</f>
        <v>#N/A</v>
      </c>
      <c r="G1972" s="0" t="e">
        <f aca="false">IF(ISNA(H1972),NA(),G1250)</f>
        <v>#N/A</v>
      </c>
      <c r="H1972" s="0" t="e">
        <f aca="false">IF(OR(H1250="",AND(H1250=H1249,H1250=H1251)),NA(), H1250)</f>
        <v>#N/A</v>
      </c>
      <c r="K1972" s="0" t="e">
        <f aca="false">IF(ISNA(L1972),NA(),K1250)</f>
        <v>#N/A</v>
      </c>
      <c r="L1972" s="0" t="e">
        <f aca="false">IF(OR(L1250="",AND(L1250=L1249,L1250=L1251)),NA(), L1250)</f>
        <v>#N/A</v>
      </c>
      <c r="M1972" s="0" t="e">
        <f aca="false">IF(ISNA(N1972),NA(),M1250)</f>
        <v>#N/A</v>
      </c>
      <c r="N1972" s="0" t="e">
        <f aca="false">IF(OR(N1250="",AND(N1250=N1249,N1250=N1251)),NA(), N1250)</f>
        <v>#N/A</v>
      </c>
    </row>
    <row r="1973" customFormat="false" ht="15" hidden="false" customHeight="false" outlineLevel="0" collapsed="false">
      <c r="E1973" s="0" t="e">
        <f aca="false">IF(ISNA(F1973),NA(),E1251)</f>
        <v>#N/A</v>
      </c>
      <c r="F1973" s="0" t="e">
        <f aca="false">IF(OR(F1251="",AND(F1251=F1250,F1251=F1252)),NA(), F1251)</f>
        <v>#N/A</v>
      </c>
      <c r="G1973" s="0" t="e">
        <f aca="false">IF(ISNA(H1973),NA(),G1251)</f>
        <v>#N/A</v>
      </c>
      <c r="H1973" s="0" t="e">
        <f aca="false">IF(OR(H1251="",AND(H1251=H1250,H1251=H1252)),NA(), H1251)</f>
        <v>#N/A</v>
      </c>
      <c r="K1973" s="0" t="e">
        <f aca="false">IF(ISNA(L1973),NA(),K1251)</f>
        <v>#N/A</v>
      </c>
      <c r="L1973" s="0" t="e">
        <f aca="false">IF(OR(L1251="",AND(L1251=L1250,L1251=L1252)),NA(), L1251)</f>
        <v>#N/A</v>
      </c>
      <c r="M1973" s="0" t="e">
        <f aca="false">IF(ISNA(N1973),NA(),M1251)</f>
        <v>#N/A</v>
      </c>
      <c r="N1973" s="0" t="e">
        <f aca="false">IF(OR(N1251="",AND(N1251=N1250,N1251=N1252)),NA(), N1251)</f>
        <v>#N/A</v>
      </c>
    </row>
    <row r="1974" customFormat="false" ht="15" hidden="false" customHeight="false" outlineLevel="0" collapsed="false">
      <c r="E1974" s="0" t="e">
        <f aca="false">IF(ISNA(F1974),NA(),E1252)</f>
        <v>#N/A</v>
      </c>
      <c r="F1974" s="0" t="e">
        <f aca="false">IF(OR(F1252="",AND(F1252=F1251,F1252=F1253)),NA(), F1252)</f>
        <v>#N/A</v>
      </c>
      <c r="G1974" s="0" t="e">
        <f aca="false">IF(ISNA(H1974),NA(),G1252)</f>
        <v>#N/A</v>
      </c>
      <c r="H1974" s="0" t="e">
        <f aca="false">IF(OR(H1252="",AND(H1252=H1251,H1252=H1253)),NA(), H1252)</f>
        <v>#N/A</v>
      </c>
      <c r="K1974" s="0" t="e">
        <f aca="false">IF(ISNA(L1974),NA(),K1252)</f>
        <v>#N/A</v>
      </c>
      <c r="L1974" s="0" t="e">
        <f aca="false">IF(OR(L1252="",AND(L1252=L1251,L1252=L1253)),NA(), L1252)</f>
        <v>#N/A</v>
      </c>
      <c r="M1974" s="0" t="e">
        <f aca="false">IF(ISNA(N1974),NA(),M1252)</f>
        <v>#N/A</v>
      </c>
      <c r="N1974" s="0" t="e">
        <f aca="false">IF(OR(N1252="",AND(N1252=N1251,N1252=N1253)),NA(), N1252)</f>
        <v>#N/A</v>
      </c>
    </row>
    <row r="1975" customFormat="false" ht="15" hidden="false" customHeight="false" outlineLevel="0" collapsed="false">
      <c r="E1975" s="0" t="e">
        <f aca="false">IF(ISNA(F1975),NA(),E1253)</f>
        <v>#N/A</v>
      </c>
      <c r="F1975" s="0" t="e">
        <f aca="false">IF(OR(F1253="",AND(F1253=F1252,F1253=F1254)),NA(), F1253)</f>
        <v>#N/A</v>
      </c>
      <c r="G1975" s="0" t="e">
        <f aca="false">IF(ISNA(H1975),NA(),G1253)</f>
        <v>#N/A</v>
      </c>
      <c r="H1975" s="0" t="e">
        <f aca="false">IF(OR(H1253="",AND(H1253=H1252,H1253=H1254)),NA(), H1253)</f>
        <v>#N/A</v>
      </c>
      <c r="K1975" s="0" t="e">
        <f aca="false">IF(ISNA(L1975),NA(),K1253)</f>
        <v>#N/A</v>
      </c>
      <c r="L1975" s="0" t="e">
        <f aca="false">IF(OR(L1253="",AND(L1253=L1252,L1253=L1254)),NA(), L1253)</f>
        <v>#N/A</v>
      </c>
      <c r="M1975" s="0" t="e">
        <f aca="false">IF(ISNA(N1975),NA(),M1253)</f>
        <v>#N/A</v>
      </c>
      <c r="N1975" s="0" t="e">
        <f aca="false">IF(OR(N1253="",AND(N1253=N1252,N1253=N1254)),NA(), N1253)</f>
        <v>#N/A</v>
      </c>
    </row>
    <row r="1976" customFormat="false" ht="15" hidden="false" customHeight="false" outlineLevel="0" collapsed="false">
      <c r="E1976" s="0" t="e">
        <f aca="false">IF(ISNA(F1976),NA(),E1254)</f>
        <v>#N/A</v>
      </c>
      <c r="F1976" s="0" t="e">
        <f aca="false">IF(OR(F1254="",AND(F1254=F1253,F1254=F1255)),NA(), F1254)</f>
        <v>#N/A</v>
      </c>
      <c r="G1976" s="0" t="e">
        <f aca="false">IF(ISNA(H1976),NA(),G1254)</f>
        <v>#N/A</v>
      </c>
      <c r="H1976" s="0" t="e">
        <f aca="false">IF(OR(H1254="",AND(H1254=H1253,H1254=H1255)),NA(), H1254)</f>
        <v>#N/A</v>
      </c>
      <c r="K1976" s="0" t="e">
        <f aca="false">IF(ISNA(L1976),NA(),K1254)</f>
        <v>#N/A</v>
      </c>
      <c r="L1976" s="0" t="e">
        <f aca="false">IF(OR(L1254="",AND(L1254=L1253,L1254=L1255)),NA(), L1254)</f>
        <v>#N/A</v>
      </c>
      <c r="M1976" s="0" t="e">
        <f aca="false">IF(ISNA(N1976),NA(),M1254)</f>
        <v>#N/A</v>
      </c>
      <c r="N1976" s="0" t="e">
        <f aca="false">IF(OR(N1254="",AND(N1254=N1253,N1254=N1255)),NA(), N1254)</f>
        <v>#N/A</v>
      </c>
    </row>
    <row r="1977" customFormat="false" ht="15" hidden="false" customHeight="false" outlineLevel="0" collapsed="false">
      <c r="E1977" s="0" t="e">
        <f aca="false">IF(ISNA(F1977),NA(),E1255)</f>
        <v>#N/A</v>
      </c>
      <c r="F1977" s="0" t="e">
        <f aca="false">IF(OR(F1255="",AND(F1255=F1254,F1255=F1256)),NA(), F1255)</f>
        <v>#N/A</v>
      </c>
      <c r="G1977" s="0" t="e">
        <f aca="false">IF(ISNA(H1977),NA(),G1255)</f>
        <v>#N/A</v>
      </c>
      <c r="H1977" s="0" t="e">
        <f aca="false">IF(OR(H1255="",AND(H1255=H1254,H1255=H1256)),NA(), H1255)</f>
        <v>#N/A</v>
      </c>
      <c r="K1977" s="0" t="e">
        <f aca="false">IF(ISNA(L1977),NA(),K1255)</f>
        <v>#N/A</v>
      </c>
      <c r="L1977" s="0" t="e">
        <f aca="false">IF(OR(L1255="",AND(L1255=L1254,L1255=L1256)),NA(), L1255)</f>
        <v>#N/A</v>
      </c>
      <c r="M1977" s="0" t="e">
        <f aca="false">IF(ISNA(N1977),NA(),M1255)</f>
        <v>#N/A</v>
      </c>
      <c r="N1977" s="0" t="e">
        <f aca="false">IF(OR(N1255="",AND(N1255=N1254,N1255=N1256)),NA(), N1255)</f>
        <v>#N/A</v>
      </c>
    </row>
    <row r="1978" customFormat="false" ht="15" hidden="false" customHeight="false" outlineLevel="0" collapsed="false">
      <c r="E1978" s="0" t="e">
        <f aca="false">IF(ISNA(F1978),NA(),E1256)</f>
        <v>#N/A</v>
      </c>
      <c r="F1978" s="0" t="e">
        <f aca="false">IF(OR(F1256="",AND(F1256=F1255,F1256=F1257)),NA(), F1256)</f>
        <v>#N/A</v>
      </c>
      <c r="G1978" s="0" t="e">
        <f aca="false">IF(ISNA(H1978),NA(),G1256)</f>
        <v>#N/A</v>
      </c>
      <c r="H1978" s="0" t="e">
        <f aca="false">IF(OR(H1256="",AND(H1256=H1255,H1256=H1257)),NA(), H1256)</f>
        <v>#N/A</v>
      </c>
      <c r="K1978" s="0" t="e">
        <f aca="false">IF(ISNA(L1978),NA(),K1256)</f>
        <v>#N/A</v>
      </c>
      <c r="L1978" s="0" t="e">
        <f aca="false">IF(OR(L1256="",AND(L1256=L1255,L1256=L1257)),NA(), L1256)</f>
        <v>#N/A</v>
      </c>
      <c r="M1978" s="0" t="e">
        <f aca="false">IF(ISNA(N1978),NA(),M1256)</f>
        <v>#N/A</v>
      </c>
      <c r="N1978" s="0" t="e">
        <f aca="false">IF(OR(N1256="",AND(N1256=N1255,N1256=N1257)),NA(), N1256)</f>
        <v>#N/A</v>
      </c>
    </row>
    <row r="1979" customFormat="false" ht="15" hidden="false" customHeight="false" outlineLevel="0" collapsed="false">
      <c r="E1979" s="0" t="e">
        <f aca="false">IF(ISNA(F1979),NA(),E1257)</f>
        <v>#N/A</v>
      </c>
      <c r="F1979" s="0" t="e">
        <f aca="false">IF(OR(F1257="",AND(F1257=F1256,F1257=F1258)),NA(), F1257)</f>
        <v>#N/A</v>
      </c>
      <c r="G1979" s="0" t="e">
        <f aca="false">IF(ISNA(H1979),NA(),G1257)</f>
        <v>#N/A</v>
      </c>
      <c r="H1979" s="0" t="e">
        <f aca="false">IF(OR(H1257="",AND(H1257=H1256,H1257=H1258)),NA(), H1257)</f>
        <v>#N/A</v>
      </c>
      <c r="K1979" s="0" t="e">
        <f aca="false">IF(ISNA(L1979),NA(),K1257)</f>
        <v>#N/A</v>
      </c>
      <c r="L1979" s="0" t="e">
        <f aca="false">IF(OR(L1257="",AND(L1257=L1256,L1257=L1258)),NA(), L1257)</f>
        <v>#N/A</v>
      </c>
      <c r="M1979" s="0" t="e">
        <f aca="false">IF(ISNA(N1979),NA(),M1257)</f>
        <v>#N/A</v>
      </c>
      <c r="N1979" s="0" t="e">
        <f aca="false">IF(OR(N1257="",AND(N1257=N1256,N1257=N1258)),NA(), N1257)</f>
        <v>#N/A</v>
      </c>
    </row>
    <row r="1980" customFormat="false" ht="15" hidden="false" customHeight="false" outlineLevel="0" collapsed="false">
      <c r="E1980" s="0" t="e">
        <f aca="false">IF(ISNA(F1980),NA(),E1258)</f>
        <v>#N/A</v>
      </c>
      <c r="F1980" s="0" t="e">
        <f aca="false">IF(OR(F1258="",AND(F1258=F1257,F1258=F1259)),NA(), F1258)</f>
        <v>#N/A</v>
      </c>
      <c r="G1980" s="0" t="e">
        <f aca="false">IF(ISNA(H1980),NA(),G1258)</f>
        <v>#N/A</v>
      </c>
      <c r="H1980" s="0" t="e">
        <f aca="false">IF(OR(H1258="",AND(H1258=H1257,H1258=H1259)),NA(), H1258)</f>
        <v>#N/A</v>
      </c>
      <c r="K1980" s="0" t="e">
        <f aca="false">IF(ISNA(L1980),NA(),K1258)</f>
        <v>#N/A</v>
      </c>
      <c r="L1980" s="0" t="e">
        <f aca="false">IF(OR(L1258="",AND(L1258=L1257,L1258=L1259)),NA(), L1258)</f>
        <v>#N/A</v>
      </c>
      <c r="M1980" s="0" t="e">
        <f aca="false">IF(ISNA(N1980),NA(),M1258)</f>
        <v>#N/A</v>
      </c>
      <c r="N1980" s="0" t="e">
        <f aca="false">IF(OR(N1258="",AND(N1258=N1257,N1258=N1259)),NA(), N1258)</f>
        <v>#N/A</v>
      </c>
    </row>
    <row r="1981" customFormat="false" ht="15" hidden="false" customHeight="false" outlineLevel="0" collapsed="false">
      <c r="E1981" s="0" t="e">
        <f aca="false">IF(ISNA(F1981),NA(),E1259)</f>
        <v>#N/A</v>
      </c>
      <c r="F1981" s="0" t="e">
        <f aca="false">IF(OR(F1259="",AND(F1259=F1258,F1259=F1260)),NA(), F1259)</f>
        <v>#N/A</v>
      </c>
      <c r="G1981" s="0" t="e">
        <f aca="false">IF(ISNA(H1981),NA(),G1259)</f>
        <v>#N/A</v>
      </c>
      <c r="H1981" s="0" t="e">
        <f aca="false">IF(OR(H1259="",AND(H1259=H1258,H1259=H1260)),NA(), H1259)</f>
        <v>#N/A</v>
      </c>
      <c r="K1981" s="0" t="e">
        <f aca="false">IF(ISNA(L1981),NA(),K1259)</f>
        <v>#N/A</v>
      </c>
      <c r="L1981" s="0" t="e">
        <f aca="false">IF(OR(L1259="",AND(L1259=L1258,L1259=L1260)),NA(), L1259)</f>
        <v>#N/A</v>
      </c>
      <c r="M1981" s="0" t="e">
        <f aca="false">IF(ISNA(N1981),NA(),M1259)</f>
        <v>#N/A</v>
      </c>
      <c r="N1981" s="0" t="e">
        <f aca="false">IF(OR(N1259="",AND(N1259=N1258,N1259=N1260)),NA(), N1259)</f>
        <v>#N/A</v>
      </c>
    </row>
    <row r="1982" customFormat="false" ht="15" hidden="false" customHeight="false" outlineLevel="0" collapsed="false">
      <c r="E1982" s="0" t="e">
        <f aca="false">IF(ISNA(F1982),NA(),E1260)</f>
        <v>#N/A</v>
      </c>
      <c r="F1982" s="0" t="e">
        <f aca="false">IF(OR(F1260="",AND(F1260=F1259,F1260=F1261)),NA(), F1260)</f>
        <v>#N/A</v>
      </c>
      <c r="G1982" s="0" t="e">
        <f aca="false">IF(ISNA(H1982),NA(),G1260)</f>
        <v>#N/A</v>
      </c>
      <c r="H1982" s="0" t="e">
        <f aca="false">IF(OR(H1260="",AND(H1260=H1259,H1260=H1261)),NA(), H1260)</f>
        <v>#N/A</v>
      </c>
      <c r="K1982" s="0" t="e">
        <f aca="false">IF(ISNA(L1982),NA(),K1260)</f>
        <v>#N/A</v>
      </c>
      <c r="L1982" s="0" t="e">
        <f aca="false">IF(OR(L1260="",AND(L1260=L1259,L1260=L1261)),NA(), L1260)</f>
        <v>#N/A</v>
      </c>
      <c r="M1982" s="0" t="e">
        <f aca="false">IF(ISNA(N1982),NA(),M1260)</f>
        <v>#N/A</v>
      </c>
      <c r="N1982" s="0" t="e">
        <f aca="false">IF(OR(N1260="",AND(N1260=N1259,N1260=N1261)),NA(), N1260)</f>
        <v>#N/A</v>
      </c>
    </row>
    <row r="1983" customFormat="false" ht="15" hidden="false" customHeight="false" outlineLevel="0" collapsed="false">
      <c r="E1983" s="0" t="e">
        <f aca="false">IF(ISNA(F1983),NA(),E1261)</f>
        <v>#N/A</v>
      </c>
      <c r="F1983" s="0" t="e">
        <f aca="false">IF(OR(F1261="",AND(F1261=F1260,F1261=F1262)),NA(), F1261)</f>
        <v>#N/A</v>
      </c>
      <c r="G1983" s="0" t="e">
        <f aca="false">IF(ISNA(H1983),NA(),G1261)</f>
        <v>#N/A</v>
      </c>
      <c r="H1983" s="0" t="e">
        <f aca="false">IF(OR(H1261="",AND(H1261=H1260,H1261=H1262)),NA(), H1261)</f>
        <v>#N/A</v>
      </c>
      <c r="K1983" s="0" t="e">
        <f aca="false">IF(ISNA(L1983),NA(),K1261)</f>
        <v>#N/A</v>
      </c>
      <c r="L1983" s="0" t="e">
        <f aca="false">IF(OR(L1261="",AND(L1261=L1260,L1261=L1262)),NA(), L1261)</f>
        <v>#N/A</v>
      </c>
      <c r="M1983" s="0" t="e">
        <f aca="false">IF(ISNA(N1983),NA(),M1261)</f>
        <v>#N/A</v>
      </c>
      <c r="N1983" s="0" t="e">
        <f aca="false">IF(OR(N1261="",AND(N1261=N1260,N1261=N1262)),NA(), N1261)</f>
        <v>#N/A</v>
      </c>
    </row>
    <row r="1984" customFormat="false" ht="15" hidden="false" customHeight="false" outlineLevel="0" collapsed="false">
      <c r="E1984" s="0" t="e">
        <f aca="false">IF(ISNA(F1984),NA(),E1262)</f>
        <v>#N/A</v>
      </c>
      <c r="F1984" s="0" t="e">
        <f aca="false">IF(OR(F1262="",AND(F1262=F1261,F1262=F1263)),NA(), F1262)</f>
        <v>#N/A</v>
      </c>
      <c r="G1984" s="0" t="e">
        <f aca="false">IF(ISNA(H1984),NA(),G1262)</f>
        <v>#N/A</v>
      </c>
      <c r="H1984" s="0" t="e">
        <f aca="false">IF(OR(H1262="",AND(H1262=H1261,H1262=H1263)),NA(), H1262)</f>
        <v>#N/A</v>
      </c>
      <c r="K1984" s="0" t="e">
        <f aca="false">IF(ISNA(L1984),NA(),K1262)</f>
        <v>#N/A</v>
      </c>
      <c r="L1984" s="0" t="e">
        <f aca="false">IF(OR(L1262="",AND(L1262=L1261,L1262=L1263)),NA(), L1262)</f>
        <v>#N/A</v>
      </c>
      <c r="M1984" s="0" t="e">
        <f aca="false">IF(ISNA(N1984),NA(),M1262)</f>
        <v>#N/A</v>
      </c>
      <c r="N1984" s="0" t="e">
        <f aca="false">IF(OR(N1262="",AND(N1262=N1261,N1262=N1263)),NA(), N1262)</f>
        <v>#N/A</v>
      </c>
    </row>
    <row r="1985" customFormat="false" ht="15" hidden="false" customHeight="false" outlineLevel="0" collapsed="false">
      <c r="E1985" s="0" t="e">
        <f aca="false">IF(ISNA(F1985),NA(),E1263)</f>
        <v>#N/A</v>
      </c>
      <c r="F1985" s="0" t="e">
        <f aca="false">IF(OR(F1263="",AND(F1263=F1262,F1263=F1264)),NA(), F1263)</f>
        <v>#N/A</v>
      </c>
      <c r="G1985" s="0" t="e">
        <f aca="false">IF(ISNA(H1985),NA(),G1263)</f>
        <v>#N/A</v>
      </c>
      <c r="H1985" s="0" t="e">
        <f aca="false">IF(OR(H1263="",AND(H1263=H1262,H1263=H1264)),NA(), H1263)</f>
        <v>#N/A</v>
      </c>
      <c r="K1985" s="0" t="e">
        <f aca="false">IF(ISNA(L1985),NA(),K1263)</f>
        <v>#N/A</v>
      </c>
      <c r="L1985" s="0" t="e">
        <f aca="false">IF(OR(L1263="",AND(L1263=L1262,L1263=L1264)),NA(), L1263)</f>
        <v>#N/A</v>
      </c>
      <c r="M1985" s="0" t="e">
        <f aca="false">IF(ISNA(N1985),NA(),M1263)</f>
        <v>#N/A</v>
      </c>
      <c r="N1985" s="0" t="e">
        <f aca="false">IF(OR(N1263="",AND(N1263=N1262,N1263=N1264)),NA(), N1263)</f>
        <v>#N/A</v>
      </c>
    </row>
    <row r="1986" customFormat="false" ht="15" hidden="false" customHeight="false" outlineLevel="0" collapsed="false">
      <c r="E1986" s="0" t="e">
        <f aca="false">IF(ISNA(F1986),NA(),E1264)</f>
        <v>#N/A</v>
      </c>
      <c r="F1986" s="0" t="e">
        <f aca="false">IF(OR(F1264="",AND(F1264=F1263,F1264=F1265)),NA(), F1264)</f>
        <v>#N/A</v>
      </c>
      <c r="G1986" s="0" t="e">
        <f aca="false">IF(ISNA(H1986),NA(),G1264)</f>
        <v>#N/A</v>
      </c>
      <c r="H1986" s="0" t="e">
        <f aca="false">IF(OR(H1264="",AND(H1264=H1263,H1264=H1265)),NA(), H1264)</f>
        <v>#N/A</v>
      </c>
      <c r="K1986" s="0" t="e">
        <f aca="false">IF(ISNA(L1986),NA(),K1264)</f>
        <v>#N/A</v>
      </c>
      <c r="L1986" s="0" t="e">
        <f aca="false">IF(OR(L1264="",AND(L1264=L1263,L1264=L1265)),NA(), L1264)</f>
        <v>#N/A</v>
      </c>
      <c r="M1986" s="0" t="e">
        <f aca="false">IF(ISNA(N1986),NA(),M1264)</f>
        <v>#N/A</v>
      </c>
      <c r="N1986" s="0" t="e">
        <f aca="false">IF(OR(N1264="",AND(N1264=N1263,N1264=N1265)),NA(), N1264)</f>
        <v>#N/A</v>
      </c>
    </row>
    <row r="1987" customFormat="false" ht="15" hidden="false" customHeight="false" outlineLevel="0" collapsed="false">
      <c r="E1987" s="0" t="e">
        <f aca="false">IF(ISNA(F1987),NA(),E1265)</f>
        <v>#N/A</v>
      </c>
      <c r="F1987" s="0" t="e">
        <f aca="false">IF(OR(F1265="",AND(F1265=F1264,F1265=F1266)),NA(), F1265)</f>
        <v>#N/A</v>
      </c>
      <c r="G1987" s="0" t="e">
        <f aca="false">IF(ISNA(H1987),NA(),G1265)</f>
        <v>#N/A</v>
      </c>
      <c r="H1987" s="0" t="e">
        <f aca="false">IF(OR(H1265="",AND(H1265=H1264,H1265=H1266)),NA(), H1265)</f>
        <v>#N/A</v>
      </c>
      <c r="K1987" s="0" t="e">
        <f aca="false">IF(ISNA(L1987),NA(),K1265)</f>
        <v>#N/A</v>
      </c>
      <c r="L1987" s="0" t="e">
        <f aca="false">IF(OR(L1265="",AND(L1265=L1264,L1265=L1266)),NA(), L1265)</f>
        <v>#N/A</v>
      </c>
      <c r="M1987" s="0" t="e">
        <f aca="false">IF(ISNA(N1987),NA(),M1265)</f>
        <v>#N/A</v>
      </c>
      <c r="N1987" s="0" t="e">
        <f aca="false">IF(OR(N1265="",AND(N1265=N1264,N1265=N1266)),NA(), N1265)</f>
        <v>#N/A</v>
      </c>
    </row>
    <row r="1988" customFormat="false" ht="15" hidden="false" customHeight="false" outlineLevel="0" collapsed="false">
      <c r="E1988" s="0" t="e">
        <f aca="false">IF(ISNA(F1988),NA(),E1266)</f>
        <v>#N/A</v>
      </c>
      <c r="F1988" s="0" t="e">
        <f aca="false">IF(OR(F1266="",AND(F1266=F1265,F1266=F1267)),NA(), F1266)</f>
        <v>#N/A</v>
      </c>
      <c r="G1988" s="0" t="e">
        <f aca="false">IF(ISNA(H1988),NA(),G1266)</f>
        <v>#N/A</v>
      </c>
      <c r="H1988" s="0" t="e">
        <f aca="false">IF(OR(H1266="",AND(H1266=H1265,H1266=H1267)),NA(), H1266)</f>
        <v>#N/A</v>
      </c>
      <c r="K1988" s="0" t="e">
        <f aca="false">IF(ISNA(L1988),NA(),K1266)</f>
        <v>#N/A</v>
      </c>
      <c r="L1988" s="0" t="e">
        <f aca="false">IF(OR(L1266="",AND(L1266=L1265,L1266=L1267)),NA(), L1266)</f>
        <v>#N/A</v>
      </c>
      <c r="M1988" s="0" t="e">
        <f aca="false">IF(ISNA(N1988),NA(),M1266)</f>
        <v>#N/A</v>
      </c>
      <c r="N1988" s="0" t="e">
        <f aca="false">IF(OR(N1266="",AND(N1266=N1265,N1266=N1267)),NA(), N1266)</f>
        <v>#N/A</v>
      </c>
    </row>
    <row r="1989" customFormat="false" ht="15" hidden="false" customHeight="false" outlineLevel="0" collapsed="false">
      <c r="E1989" s="0" t="e">
        <f aca="false">IF(ISNA(F1989),NA(),E1267)</f>
        <v>#N/A</v>
      </c>
      <c r="F1989" s="0" t="e">
        <f aca="false">IF(OR(F1267="",AND(F1267=F1266,F1267=F1268)),NA(), F1267)</f>
        <v>#N/A</v>
      </c>
      <c r="G1989" s="0" t="e">
        <f aca="false">IF(ISNA(H1989),NA(),G1267)</f>
        <v>#N/A</v>
      </c>
      <c r="H1989" s="0" t="e">
        <f aca="false">IF(OR(H1267="",AND(H1267=H1266,H1267=H1268)),NA(), H1267)</f>
        <v>#N/A</v>
      </c>
      <c r="K1989" s="0" t="e">
        <f aca="false">IF(ISNA(L1989),NA(),K1267)</f>
        <v>#N/A</v>
      </c>
      <c r="L1989" s="0" t="e">
        <f aca="false">IF(OR(L1267="",AND(L1267=L1266,L1267=L1268)),NA(), L1267)</f>
        <v>#N/A</v>
      </c>
      <c r="M1989" s="0" t="e">
        <f aca="false">IF(ISNA(N1989),NA(),M1267)</f>
        <v>#N/A</v>
      </c>
      <c r="N1989" s="0" t="e">
        <f aca="false">IF(OR(N1267="",AND(N1267=N1266,N1267=N1268)),NA(), N1267)</f>
        <v>#N/A</v>
      </c>
    </row>
    <row r="1990" customFormat="false" ht="15" hidden="false" customHeight="false" outlineLevel="0" collapsed="false">
      <c r="E1990" s="0" t="e">
        <f aca="false">IF(ISNA(F1990),NA(),E1268)</f>
        <v>#N/A</v>
      </c>
      <c r="F1990" s="0" t="e">
        <f aca="false">IF(OR(F1268="",AND(F1268=F1267,F1268=F1269)),NA(), F1268)</f>
        <v>#N/A</v>
      </c>
      <c r="G1990" s="0" t="e">
        <f aca="false">IF(ISNA(H1990),NA(),G1268)</f>
        <v>#N/A</v>
      </c>
      <c r="H1990" s="0" t="e">
        <f aca="false">IF(OR(H1268="",AND(H1268=H1267,H1268=H1269)),NA(), H1268)</f>
        <v>#N/A</v>
      </c>
      <c r="K1990" s="0" t="e">
        <f aca="false">IF(ISNA(L1990),NA(),K1268)</f>
        <v>#N/A</v>
      </c>
      <c r="L1990" s="0" t="e">
        <f aca="false">IF(OR(L1268="",AND(L1268=L1267,L1268=L1269)),NA(), L1268)</f>
        <v>#N/A</v>
      </c>
      <c r="M1990" s="0" t="e">
        <f aca="false">IF(ISNA(N1990),NA(),M1268)</f>
        <v>#N/A</v>
      </c>
      <c r="N1990" s="0" t="e">
        <f aca="false">IF(OR(N1268="",AND(N1268=N1267,N1268=N1269)),NA(), N1268)</f>
        <v>#N/A</v>
      </c>
    </row>
    <row r="1991" customFormat="false" ht="15" hidden="false" customHeight="false" outlineLevel="0" collapsed="false">
      <c r="E1991" s="0" t="e">
        <f aca="false">IF(ISNA(F1991),NA(),E1269)</f>
        <v>#N/A</v>
      </c>
      <c r="F1991" s="0" t="e">
        <f aca="false">IF(OR(F1269="",AND(F1269=F1268,F1269=F1270)),NA(), F1269)</f>
        <v>#N/A</v>
      </c>
      <c r="G1991" s="0" t="e">
        <f aca="false">IF(ISNA(H1991),NA(),G1269)</f>
        <v>#N/A</v>
      </c>
      <c r="H1991" s="0" t="e">
        <f aca="false">IF(OR(H1269="",AND(H1269=H1268,H1269=H1270)),NA(), H1269)</f>
        <v>#N/A</v>
      </c>
      <c r="K1991" s="0" t="e">
        <f aca="false">IF(ISNA(L1991),NA(),K1269)</f>
        <v>#N/A</v>
      </c>
      <c r="L1991" s="0" t="e">
        <f aca="false">IF(OR(L1269="",AND(L1269=L1268,L1269=L1270)),NA(), L1269)</f>
        <v>#N/A</v>
      </c>
      <c r="M1991" s="0" t="e">
        <f aca="false">IF(ISNA(N1991),NA(),M1269)</f>
        <v>#N/A</v>
      </c>
      <c r="N1991" s="0" t="e">
        <f aca="false">IF(OR(N1269="",AND(N1269=N1268,N1269=N1270)),NA(), N1269)</f>
        <v>#N/A</v>
      </c>
    </row>
    <row r="1992" customFormat="false" ht="15" hidden="false" customHeight="false" outlineLevel="0" collapsed="false">
      <c r="E1992" s="0" t="e">
        <f aca="false">IF(ISNA(F1992),NA(),E1270)</f>
        <v>#N/A</v>
      </c>
      <c r="F1992" s="0" t="e">
        <f aca="false">IF(OR(F1270="",AND(F1270=F1269,F1270=F1271)),NA(), F1270)</f>
        <v>#N/A</v>
      </c>
      <c r="G1992" s="0" t="e">
        <f aca="false">IF(ISNA(H1992),NA(),G1270)</f>
        <v>#N/A</v>
      </c>
      <c r="H1992" s="0" t="e">
        <f aca="false">IF(OR(H1270="",AND(H1270=H1269,H1270=H1271)),NA(), H1270)</f>
        <v>#N/A</v>
      </c>
      <c r="K1992" s="0" t="e">
        <f aca="false">IF(ISNA(L1992),NA(),K1270)</f>
        <v>#N/A</v>
      </c>
      <c r="L1992" s="0" t="e">
        <f aca="false">IF(OR(L1270="",AND(L1270=L1269,L1270=L1271)),NA(), L1270)</f>
        <v>#N/A</v>
      </c>
      <c r="M1992" s="0" t="e">
        <f aca="false">IF(ISNA(N1992),NA(),M1270)</f>
        <v>#N/A</v>
      </c>
      <c r="N1992" s="0" t="e">
        <f aca="false">IF(OR(N1270="",AND(N1270=N1269,N1270=N1271)),NA(), N1270)</f>
        <v>#N/A</v>
      </c>
    </row>
    <row r="1993" customFormat="false" ht="15" hidden="false" customHeight="false" outlineLevel="0" collapsed="false">
      <c r="E1993" s="0" t="e">
        <f aca="false">IF(ISNA(F1993),NA(),E1271)</f>
        <v>#N/A</v>
      </c>
      <c r="F1993" s="0" t="e">
        <f aca="false">IF(OR(F1271="",AND(F1271=F1270,F1271=F1272)),NA(), F1271)</f>
        <v>#N/A</v>
      </c>
      <c r="G1993" s="0" t="e">
        <f aca="false">IF(ISNA(H1993),NA(),G1271)</f>
        <v>#N/A</v>
      </c>
      <c r="H1993" s="0" t="e">
        <f aca="false">IF(OR(H1271="",AND(H1271=H1270,H1271=H1272)),NA(), H1271)</f>
        <v>#N/A</v>
      </c>
      <c r="K1993" s="0" t="e">
        <f aca="false">IF(ISNA(L1993),NA(),K1271)</f>
        <v>#N/A</v>
      </c>
      <c r="L1993" s="0" t="e">
        <f aca="false">IF(OR(L1271="",AND(L1271=L1270,L1271=L1272)),NA(), L1271)</f>
        <v>#N/A</v>
      </c>
      <c r="M1993" s="0" t="e">
        <f aca="false">IF(ISNA(N1993),NA(),M1271)</f>
        <v>#N/A</v>
      </c>
      <c r="N1993" s="0" t="e">
        <f aca="false">IF(OR(N1271="",AND(N1271=N1270,N1271=N1272)),NA(), N1271)</f>
        <v>#N/A</v>
      </c>
    </row>
    <row r="1994" customFormat="false" ht="15" hidden="false" customHeight="false" outlineLevel="0" collapsed="false">
      <c r="E1994" s="0" t="e">
        <f aca="false">IF(ISNA(F1994),NA(),E1272)</f>
        <v>#N/A</v>
      </c>
      <c r="F1994" s="0" t="e">
        <f aca="false">IF(OR(F1272="",AND(F1272=F1271,F1272=F1273)),NA(), F1272)</f>
        <v>#N/A</v>
      </c>
      <c r="G1994" s="0" t="e">
        <f aca="false">IF(ISNA(H1994),NA(),G1272)</f>
        <v>#N/A</v>
      </c>
      <c r="H1994" s="0" t="e">
        <f aca="false">IF(OR(H1272="",AND(H1272=H1271,H1272=H1273)),NA(), H1272)</f>
        <v>#N/A</v>
      </c>
      <c r="K1994" s="0" t="e">
        <f aca="false">IF(ISNA(L1994),NA(),K1272)</f>
        <v>#N/A</v>
      </c>
      <c r="L1994" s="0" t="e">
        <f aca="false">IF(OR(L1272="",AND(L1272=L1271,L1272=L1273)),NA(), L1272)</f>
        <v>#N/A</v>
      </c>
      <c r="M1994" s="0" t="e">
        <f aca="false">IF(ISNA(N1994),NA(),M1272)</f>
        <v>#N/A</v>
      </c>
      <c r="N1994" s="0" t="e">
        <f aca="false">IF(OR(N1272="",AND(N1272=N1271,N1272=N1273)),NA(), N1272)</f>
        <v>#N/A</v>
      </c>
    </row>
    <row r="1995" customFormat="false" ht="15" hidden="false" customHeight="false" outlineLevel="0" collapsed="false">
      <c r="E1995" s="0" t="e">
        <f aca="false">IF(ISNA(F1995),NA(),E1273)</f>
        <v>#N/A</v>
      </c>
      <c r="F1995" s="0" t="e">
        <f aca="false">IF(OR(F1273="",AND(F1273=F1272,F1273=F1274)),NA(), F1273)</f>
        <v>#N/A</v>
      </c>
      <c r="G1995" s="0" t="e">
        <f aca="false">IF(ISNA(H1995),NA(),G1273)</f>
        <v>#N/A</v>
      </c>
      <c r="H1995" s="0" t="e">
        <f aca="false">IF(OR(H1273="",AND(H1273=H1272,H1273=H1274)),NA(), H1273)</f>
        <v>#N/A</v>
      </c>
      <c r="K1995" s="0" t="e">
        <f aca="false">IF(ISNA(L1995),NA(),K1273)</f>
        <v>#N/A</v>
      </c>
      <c r="L1995" s="0" t="e">
        <f aca="false">IF(OR(L1273="",AND(L1273=L1272,L1273=L1274)),NA(), L1273)</f>
        <v>#N/A</v>
      </c>
      <c r="M1995" s="0" t="e">
        <f aca="false">IF(ISNA(N1995),NA(),M1273)</f>
        <v>#N/A</v>
      </c>
      <c r="N1995" s="0" t="e">
        <f aca="false">IF(OR(N1273="",AND(N1273=N1272,N1273=N1274)),NA(), N1273)</f>
        <v>#N/A</v>
      </c>
    </row>
    <row r="1996" customFormat="false" ht="15" hidden="false" customHeight="false" outlineLevel="0" collapsed="false">
      <c r="E1996" s="0" t="e">
        <f aca="false">IF(ISNA(F1996),NA(),E1274)</f>
        <v>#N/A</v>
      </c>
      <c r="F1996" s="0" t="e">
        <f aca="false">IF(OR(F1274="",AND(F1274=F1273,F1274=F1275)),NA(), F1274)</f>
        <v>#N/A</v>
      </c>
      <c r="G1996" s="0" t="e">
        <f aca="false">IF(ISNA(H1996),NA(),G1274)</f>
        <v>#N/A</v>
      </c>
      <c r="H1996" s="0" t="e">
        <f aca="false">IF(OR(H1274="",AND(H1274=H1273,H1274=H1275)),NA(), H1274)</f>
        <v>#N/A</v>
      </c>
      <c r="K1996" s="0" t="e">
        <f aca="false">IF(ISNA(L1996),NA(),K1274)</f>
        <v>#N/A</v>
      </c>
      <c r="L1996" s="0" t="e">
        <f aca="false">IF(OR(L1274="",AND(L1274=L1273,L1274=L1275)),NA(), L1274)</f>
        <v>#N/A</v>
      </c>
      <c r="M1996" s="0" t="e">
        <f aca="false">IF(ISNA(N1996),NA(),M1274)</f>
        <v>#N/A</v>
      </c>
      <c r="N1996" s="0" t="e">
        <f aca="false">IF(OR(N1274="",AND(N1274=N1273,N1274=N1275)),NA(), N1274)</f>
        <v>#N/A</v>
      </c>
    </row>
    <row r="1997" customFormat="false" ht="15" hidden="false" customHeight="false" outlineLevel="0" collapsed="false">
      <c r="E1997" s="0" t="e">
        <f aca="false">IF(ISNA(F1997),NA(),E1275)</f>
        <v>#N/A</v>
      </c>
      <c r="F1997" s="0" t="e">
        <f aca="false">IF(OR(F1275="",AND(F1275=F1274,F1275=F1276)),NA(), F1275)</f>
        <v>#N/A</v>
      </c>
      <c r="G1997" s="0" t="e">
        <f aca="false">IF(ISNA(H1997),NA(),G1275)</f>
        <v>#N/A</v>
      </c>
      <c r="H1997" s="0" t="e">
        <f aca="false">IF(OR(H1275="",AND(H1275=H1274,H1275=H1276)),NA(), H1275)</f>
        <v>#N/A</v>
      </c>
      <c r="K1997" s="0" t="e">
        <f aca="false">IF(ISNA(L1997),NA(),K1275)</f>
        <v>#N/A</v>
      </c>
      <c r="L1997" s="0" t="e">
        <f aca="false">IF(OR(L1275="",AND(L1275=L1274,L1275=L1276)),NA(), L1275)</f>
        <v>#N/A</v>
      </c>
      <c r="M1997" s="0" t="e">
        <f aca="false">IF(ISNA(N1997),NA(),M1275)</f>
        <v>#N/A</v>
      </c>
      <c r="N1997" s="0" t="e">
        <f aca="false">IF(OR(N1275="",AND(N1275=N1274,N1275=N1276)),NA(), N1275)</f>
        <v>#N/A</v>
      </c>
    </row>
    <row r="1998" customFormat="false" ht="15" hidden="false" customHeight="false" outlineLevel="0" collapsed="false">
      <c r="E1998" s="0" t="e">
        <f aca="false">IF(ISNA(F1998),NA(),E1276)</f>
        <v>#N/A</v>
      </c>
      <c r="F1998" s="0" t="e">
        <f aca="false">IF(OR(F1276="",AND(F1276=F1275,F1276=F1277)),NA(), F1276)</f>
        <v>#N/A</v>
      </c>
      <c r="G1998" s="0" t="e">
        <f aca="false">IF(ISNA(H1998),NA(),G1276)</f>
        <v>#N/A</v>
      </c>
      <c r="H1998" s="0" t="e">
        <f aca="false">IF(OR(H1276="",AND(H1276=H1275,H1276=H1277)),NA(), H1276)</f>
        <v>#N/A</v>
      </c>
      <c r="K1998" s="0" t="e">
        <f aca="false">IF(ISNA(L1998),NA(),K1276)</f>
        <v>#N/A</v>
      </c>
      <c r="L1998" s="0" t="e">
        <f aca="false">IF(OR(L1276="",AND(L1276=L1275,L1276=L1277)),NA(), L1276)</f>
        <v>#N/A</v>
      </c>
      <c r="M1998" s="0" t="e">
        <f aca="false">IF(ISNA(N1998),NA(),M1276)</f>
        <v>#N/A</v>
      </c>
      <c r="N1998" s="0" t="e">
        <f aca="false">IF(OR(N1276="",AND(N1276=N1275,N1276=N1277)),NA(), N1276)</f>
        <v>#N/A</v>
      </c>
    </row>
    <row r="1999" customFormat="false" ht="15" hidden="false" customHeight="false" outlineLevel="0" collapsed="false">
      <c r="E1999" s="0" t="e">
        <f aca="false">IF(ISNA(F1999),NA(),E1277)</f>
        <v>#N/A</v>
      </c>
      <c r="F1999" s="0" t="e">
        <f aca="false">IF(OR(F1277="",AND(F1277=F1276,F1277=F1278)),NA(), F1277)</f>
        <v>#N/A</v>
      </c>
      <c r="G1999" s="0" t="e">
        <f aca="false">IF(ISNA(H1999),NA(),G1277)</f>
        <v>#N/A</v>
      </c>
      <c r="H1999" s="0" t="e">
        <f aca="false">IF(OR(H1277="",AND(H1277=H1276,H1277=H1278)),NA(), H1277)</f>
        <v>#N/A</v>
      </c>
      <c r="K1999" s="0" t="e">
        <f aca="false">IF(ISNA(L1999),NA(),K1277)</f>
        <v>#N/A</v>
      </c>
      <c r="L1999" s="0" t="e">
        <f aca="false">IF(OR(L1277="",AND(L1277=L1276,L1277=L1278)),NA(), L1277)</f>
        <v>#N/A</v>
      </c>
      <c r="M1999" s="0" t="e">
        <f aca="false">IF(ISNA(N1999),NA(),M1277)</f>
        <v>#N/A</v>
      </c>
      <c r="N1999" s="0" t="e">
        <f aca="false">IF(OR(N1277="",AND(N1277=N1276,N1277=N1278)),NA(), N1277)</f>
        <v>#N/A</v>
      </c>
    </row>
    <row r="2000" customFormat="false" ht="15" hidden="false" customHeight="false" outlineLevel="0" collapsed="false">
      <c r="E2000" s="0" t="e">
        <f aca="false">IF(ISNA(F2000),NA(),E1278)</f>
        <v>#N/A</v>
      </c>
      <c r="F2000" s="0" t="e">
        <f aca="false">IF(OR(F1278="",AND(F1278=F1277,F1278=F1279)),NA(), F1278)</f>
        <v>#N/A</v>
      </c>
      <c r="G2000" s="0" t="e">
        <f aca="false">IF(ISNA(H2000),NA(),G1278)</f>
        <v>#N/A</v>
      </c>
      <c r="H2000" s="0" t="e">
        <f aca="false">IF(OR(H1278="",AND(H1278=H1277,H1278=H1279)),NA(), H1278)</f>
        <v>#N/A</v>
      </c>
      <c r="K2000" s="0" t="e">
        <f aca="false">IF(ISNA(L2000),NA(),K1278)</f>
        <v>#N/A</v>
      </c>
      <c r="L2000" s="0" t="e">
        <f aca="false">IF(OR(L1278="",AND(L1278=L1277,L1278=L1279)),NA(), L1278)</f>
        <v>#N/A</v>
      </c>
      <c r="M2000" s="0" t="e">
        <f aca="false">IF(ISNA(N2000),NA(),M1278)</f>
        <v>#N/A</v>
      </c>
      <c r="N2000" s="0" t="e">
        <f aca="false">IF(OR(N1278="",AND(N1278=N1277,N1278=N1279)),NA(), N1278)</f>
        <v>#N/A</v>
      </c>
    </row>
    <row r="2001" customFormat="false" ht="15" hidden="false" customHeight="false" outlineLevel="0" collapsed="false">
      <c r="E2001" s="0" t="e">
        <f aca="false">IF(ISNA(F2001),NA(),E1279)</f>
        <v>#N/A</v>
      </c>
      <c r="F2001" s="0" t="e">
        <f aca="false">IF(OR(F1279="",AND(F1279=F1278,F1279=F1280)),NA(), F1279)</f>
        <v>#N/A</v>
      </c>
      <c r="G2001" s="0" t="e">
        <f aca="false">IF(ISNA(H2001),NA(),G1279)</f>
        <v>#N/A</v>
      </c>
      <c r="H2001" s="0" t="e">
        <f aca="false">IF(OR(H1279="",AND(H1279=H1278,H1279=H1280)),NA(), H1279)</f>
        <v>#N/A</v>
      </c>
      <c r="K2001" s="0" t="e">
        <f aca="false">IF(ISNA(L2001),NA(),K1279)</f>
        <v>#N/A</v>
      </c>
      <c r="L2001" s="0" t="e">
        <f aca="false">IF(OR(L1279="",AND(L1279=L1278,L1279=L1280)),NA(), L1279)</f>
        <v>#N/A</v>
      </c>
      <c r="M2001" s="0" t="e">
        <f aca="false">IF(ISNA(N2001),NA(),M1279)</f>
        <v>#N/A</v>
      </c>
      <c r="N2001" s="0" t="e">
        <f aca="false">IF(OR(N1279="",AND(N1279=N1278,N1279=N1280)),NA(), N1279)</f>
        <v>#N/A</v>
      </c>
    </row>
    <row r="2002" customFormat="false" ht="15" hidden="false" customHeight="false" outlineLevel="0" collapsed="false">
      <c r="E2002" s="0" t="e">
        <f aca="false">IF(ISNA(F2002),NA(),E1280)</f>
        <v>#N/A</v>
      </c>
      <c r="F2002" s="0" t="e">
        <f aca="false">IF(OR(F1280="",AND(F1280=F1279,F1280=F1281)),NA(), F1280)</f>
        <v>#N/A</v>
      </c>
      <c r="G2002" s="0" t="e">
        <f aca="false">IF(ISNA(H2002),NA(),G1280)</f>
        <v>#N/A</v>
      </c>
      <c r="H2002" s="0" t="e">
        <f aca="false">IF(OR(H1280="",AND(H1280=H1279,H1280=H1281)),NA(), H1280)</f>
        <v>#N/A</v>
      </c>
      <c r="K2002" s="0" t="e">
        <f aca="false">IF(ISNA(L2002),NA(),K1280)</f>
        <v>#N/A</v>
      </c>
      <c r="L2002" s="0" t="e">
        <f aca="false">IF(OR(L1280="",AND(L1280=L1279,L1280=L1281)),NA(), L1280)</f>
        <v>#N/A</v>
      </c>
      <c r="M2002" s="0" t="e">
        <f aca="false">IF(ISNA(N2002),NA(),M1280)</f>
        <v>#N/A</v>
      </c>
      <c r="N2002" s="0" t="e">
        <f aca="false">IF(OR(N1280="",AND(N1280=N1279,N1280=N1281)),NA(), N1280)</f>
        <v>#N/A</v>
      </c>
    </row>
    <row r="2003" customFormat="false" ht="15" hidden="false" customHeight="false" outlineLevel="0" collapsed="false">
      <c r="E2003" s="0" t="e">
        <f aca="false">IF(ISNA(F2003),NA(),E1281)</f>
        <v>#N/A</v>
      </c>
      <c r="F2003" s="0" t="e">
        <f aca="false">IF(OR(F1281="",AND(F1281=F1280,F1281=F1282)),NA(), F1281)</f>
        <v>#N/A</v>
      </c>
      <c r="G2003" s="0" t="e">
        <f aca="false">IF(ISNA(H2003),NA(),G1281)</f>
        <v>#N/A</v>
      </c>
      <c r="H2003" s="0" t="e">
        <f aca="false">IF(OR(H1281="",AND(H1281=H1280,H1281=H1282)),NA(), H1281)</f>
        <v>#N/A</v>
      </c>
      <c r="K2003" s="0" t="e">
        <f aca="false">IF(ISNA(L2003),NA(),K1281)</f>
        <v>#N/A</v>
      </c>
      <c r="L2003" s="0" t="e">
        <f aca="false">IF(OR(L1281="",AND(L1281=L1280,L1281=L1282)),NA(), L1281)</f>
        <v>#N/A</v>
      </c>
      <c r="M2003" s="0" t="e">
        <f aca="false">IF(ISNA(N2003),NA(),M1281)</f>
        <v>#N/A</v>
      </c>
      <c r="N2003" s="0" t="e">
        <f aca="false">IF(OR(N1281="",AND(N1281=N1280,N1281=N1282)),NA(), N1281)</f>
        <v>#N/A</v>
      </c>
    </row>
    <row r="2004" customFormat="false" ht="15" hidden="false" customHeight="false" outlineLevel="0" collapsed="false">
      <c r="E2004" s="0" t="e">
        <f aca="false">IF(ISNA(F2004),NA(),E1282)</f>
        <v>#N/A</v>
      </c>
      <c r="F2004" s="0" t="e">
        <f aca="false">IF(OR(F1282="",AND(F1282=F1281,F1282=F1283)),NA(), F1282)</f>
        <v>#N/A</v>
      </c>
      <c r="G2004" s="0" t="e">
        <f aca="false">IF(ISNA(H2004),NA(),G1282)</f>
        <v>#N/A</v>
      </c>
      <c r="H2004" s="0" t="e">
        <f aca="false">IF(OR(H1282="",AND(H1282=H1281,H1282=H1283)),NA(), H1282)</f>
        <v>#N/A</v>
      </c>
      <c r="K2004" s="0" t="e">
        <f aca="false">IF(ISNA(L2004),NA(),K1282)</f>
        <v>#N/A</v>
      </c>
      <c r="L2004" s="0" t="e">
        <f aca="false">IF(OR(L1282="",AND(L1282=L1281,L1282=L1283)),NA(), L1282)</f>
        <v>#N/A</v>
      </c>
      <c r="M2004" s="0" t="e">
        <f aca="false">IF(ISNA(N2004),NA(),M1282)</f>
        <v>#N/A</v>
      </c>
      <c r="N2004" s="0" t="e">
        <f aca="false">IF(OR(N1282="",AND(N1282=N1281,N1282=N1283)),NA(), N1282)</f>
        <v>#N/A</v>
      </c>
    </row>
    <row r="2005" customFormat="false" ht="15" hidden="false" customHeight="false" outlineLevel="0" collapsed="false">
      <c r="E2005" s="0" t="e">
        <f aca="false">IF(ISNA(F2005),NA(),E1283)</f>
        <v>#N/A</v>
      </c>
      <c r="F2005" s="0" t="e">
        <f aca="false">IF(OR(F1283="",AND(F1283=F1282,F1283=F1284)),NA(), F1283)</f>
        <v>#N/A</v>
      </c>
      <c r="G2005" s="0" t="e">
        <f aca="false">IF(ISNA(H2005),NA(),G1283)</f>
        <v>#N/A</v>
      </c>
      <c r="H2005" s="0" t="e">
        <f aca="false">IF(OR(H1283="",AND(H1283=H1282,H1283=H1284)),NA(), H1283)</f>
        <v>#N/A</v>
      </c>
      <c r="K2005" s="0" t="e">
        <f aca="false">IF(ISNA(L2005),NA(),K1283)</f>
        <v>#N/A</v>
      </c>
      <c r="L2005" s="0" t="e">
        <f aca="false">IF(OR(L1283="",AND(L1283=L1282,L1283=L1284)),NA(), L1283)</f>
        <v>#N/A</v>
      </c>
      <c r="M2005" s="0" t="e">
        <f aca="false">IF(ISNA(N2005),NA(),M1283)</f>
        <v>#N/A</v>
      </c>
      <c r="N2005" s="0" t="e">
        <f aca="false">IF(OR(N1283="",AND(N1283=N1282,N1283=N1284)),NA(), N1283)</f>
        <v>#N/A</v>
      </c>
    </row>
    <row r="2006" customFormat="false" ht="15" hidden="false" customHeight="false" outlineLevel="0" collapsed="false">
      <c r="E2006" s="0" t="e">
        <f aca="false">IF(ISNA(F2006),NA(),E1284)</f>
        <v>#N/A</v>
      </c>
      <c r="F2006" s="0" t="e">
        <f aca="false">IF(OR(F1284="",AND(F1284=F1283,F1284=F1285)),NA(), F1284)</f>
        <v>#N/A</v>
      </c>
      <c r="G2006" s="0" t="e">
        <f aca="false">IF(ISNA(H2006),NA(),G1284)</f>
        <v>#N/A</v>
      </c>
      <c r="H2006" s="0" t="e">
        <f aca="false">IF(OR(H1284="",AND(H1284=H1283,H1284=H1285)),NA(), H1284)</f>
        <v>#N/A</v>
      </c>
      <c r="K2006" s="0" t="e">
        <f aca="false">IF(ISNA(L2006),NA(),K1284)</f>
        <v>#N/A</v>
      </c>
      <c r="L2006" s="0" t="e">
        <f aca="false">IF(OR(L1284="",AND(L1284=L1283,L1284=L1285)),NA(), L1284)</f>
        <v>#N/A</v>
      </c>
      <c r="M2006" s="0" t="e">
        <f aca="false">IF(ISNA(N2006),NA(),M1284)</f>
        <v>#N/A</v>
      </c>
      <c r="N2006" s="0" t="e">
        <f aca="false">IF(OR(N1284="",AND(N1284=N1283,N1284=N1285)),NA(), N1284)</f>
        <v>#N/A</v>
      </c>
    </row>
    <row r="2007" customFormat="false" ht="15" hidden="false" customHeight="false" outlineLevel="0" collapsed="false">
      <c r="E2007" s="0" t="e">
        <f aca="false">IF(ISNA(F2007),NA(),E1285)</f>
        <v>#N/A</v>
      </c>
      <c r="F2007" s="0" t="e">
        <f aca="false">IF(OR(F1285="",AND(F1285=F1284,F1285=F1286)),NA(), F1285)</f>
        <v>#N/A</v>
      </c>
      <c r="G2007" s="0" t="e">
        <f aca="false">IF(ISNA(H2007),NA(),G1285)</f>
        <v>#N/A</v>
      </c>
      <c r="H2007" s="0" t="e">
        <f aca="false">IF(OR(H1285="",AND(H1285=H1284,H1285=H1286)),NA(), H1285)</f>
        <v>#N/A</v>
      </c>
      <c r="K2007" s="0" t="e">
        <f aca="false">IF(ISNA(L2007),NA(),K1285)</f>
        <v>#N/A</v>
      </c>
      <c r="L2007" s="0" t="e">
        <f aca="false">IF(OR(L1285="",AND(L1285=L1284,L1285=L1286)),NA(), L1285)</f>
        <v>#N/A</v>
      </c>
      <c r="M2007" s="0" t="e">
        <f aca="false">IF(ISNA(N2007),NA(),M1285)</f>
        <v>#N/A</v>
      </c>
      <c r="N2007" s="0" t="e">
        <f aca="false">IF(OR(N1285="",AND(N1285=N1284,N1285=N1286)),NA(), N1285)</f>
        <v>#N/A</v>
      </c>
    </row>
    <row r="2008" customFormat="false" ht="15" hidden="false" customHeight="false" outlineLevel="0" collapsed="false">
      <c r="E2008" s="0" t="e">
        <f aca="false">IF(ISNA(F2008),NA(),E1286)</f>
        <v>#N/A</v>
      </c>
      <c r="F2008" s="0" t="e">
        <f aca="false">IF(OR(F1286="",AND(F1286=F1285,F1286=F1287)),NA(), F1286)</f>
        <v>#N/A</v>
      </c>
      <c r="G2008" s="0" t="e">
        <f aca="false">IF(ISNA(H2008),NA(),G1286)</f>
        <v>#N/A</v>
      </c>
      <c r="H2008" s="0" t="e">
        <f aca="false">IF(OR(H1286="",AND(H1286=H1285,H1286=H1287)),NA(), H1286)</f>
        <v>#N/A</v>
      </c>
      <c r="K2008" s="0" t="e">
        <f aca="false">IF(ISNA(L2008),NA(),K1286)</f>
        <v>#N/A</v>
      </c>
      <c r="L2008" s="0" t="e">
        <f aca="false">IF(OR(L1286="",AND(L1286=L1285,L1286=L1287)),NA(), L1286)</f>
        <v>#N/A</v>
      </c>
      <c r="M2008" s="0" t="e">
        <f aca="false">IF(ISNA(N2008),NA(),M1286)</f>
        <v>#N/A</v>
      </c>
      <c r="N2008" s="0" t="e">
        <f aca="false">IF(OR(N1286="",AND(N1286=N1285,N1286=N1287)),NA(), N1286)</f>
        <v>#N/A</v>
      </c>
    </row>
    <row r="2009" customFormat="false" ht="15" hidden="false" customHeight="false" outlineLevel="0" collapsed="false">
      <c r="E2009" s="0" t="e">
        <f aca="false">IF(ISNA(F2009),NA(),E1287)</f>
        <v>#N/A</v>
      </c>
      <c r="F2009" s="0" t="e">
        <f aca="false">IF(OR(F1287="",AND(F1287=F1286,F1287=F1288)),NA(), F1287)</f>
        <v>#N/A</v>
      </c>
      <c r="G2009" s="0" t="e">
        <f aca="false">IF(ISNA(H2009),NA(),G1287)</f>
        <v>#N/A</v>
      </c>
      <c r="H2009" s="0" t="e">
        <f aca="false">IF(OR(H1287="",AND(H1287=H1286,H1287=H1288)),NA(), H1287)</f>
        <v>#N/A</v>
      </c>
      <c r="K2009" s="0" t="e">
        <f aca="false">IF(ISNA(L2009),NA(),K1287)</f>
        <v>#N/A</v>
      </c>
      <c r="L2009" s="0" t="e">
        <f aca="false">IF(OR(L1287="",AND(L1287=L1286,L1287=L1288)),NA(), L1287)</f>
        <v>#N/A</v>
      </c>
      <c r="M2009" s="0" t="e">
        <f aca="false">IF(ISNA(N2009),NA(),M1287)</f>
        <v>#N/A</v>
      </c>
      <c r="N2009" s="0" t="e">
        <f aca="false">IF(OR(N1287="",AND(N1287=N1286,N1287=N1288)),NA(), N1287)</f>
        <v>#N/A</v>
      </c>
    </row>
    <row r="2010" customFormat="false" ht="15" hidden="false" customHeight="false" outlineLevel="0" collapsed="false">
      <c r="E2010" s="0" t="e">
        <f aca="false">IF(ISNA(F2010),NA(),E1288)</f>
        <v>#N/A</v>
      </c>
      <c r="F2010" s="0" t="e">
        <f aca="false">IF(OR(F1288="",AND(F1288=F1287,F1288=F1289)),NA(), F1288)</f>
        <v>#N/A</v>
      </c>
      <c r="G2010" s="0" t="e">
        <f aca="false">IF(ISNA(H2010),NA(),G1288)</f>
        <v>#N/A</v>
      </c>
      <c r="H2010" s="0" t="e">
        <f aca="false">IF(OR(H1288="",AND(H1288=H1287,H1288=H1289)),NA(), H1288)</f>
        <v>#N/A</v>
      </c>
      <c r="K2010" s="0" t="e">
        <f aca="false">IF(ISNA(L2010),NA(),K1288)</f>
        <v>#N/A</v>
      </c>
      <c r="L2010" s="0" t="e">
        <f aca="false">IF(OR(L1288="",AND(L1288=L1287,L1288=L1289)),NA(), L1288)</f>
        <v>#N/A</v>
      </c>
      <c r="M2010" s="0" t="e">
        <f aca="false">IF(ISNA(N2010),NA(),M1288)</f>
        <v>#N/A</v>
      </c>
      <c r="N2010" s="0" t="e">
        <f aca="false">IF(OR(N1288="",AND(N1288=N1287,N1288=N1289)),NA(), N1288)</f>
        <v>#N/A</v>
      </c>
    </row>
    <row r="2011" customFormat="false" ht="15" hidden="false" customHeight="false" outlineLevel="0" collapsed="false">
      <c r="E2011" s="0" t="e">
        <f aca="false">IF(ISNA(F2011),NA(),E1289)</f>
        <v>#N/A</v>
      </c>
      <c r="F2011" s="0" t="e">
        <f aca="false">IF(OR(F1289="",AND(F1289=F1288,F1289=F1290)),NA(), F1289)</f>
        <v>#N/A</v>
      </c>
      <c r="G2011" s="0" t="e">
        <f aca="false">IF(ISNA(H2011),NA(),G1289)</f>
        <v>#N/A</v>
      </c>
      <c r="H2011" s="0" t="e">
        <f aca="false">IF(OR(H1289="",AND(H1289=H1288,H1289=H1290)),NA(), H1289)</f>
        <v>#N/A</v>
      </c>
      <c r="K2011" s="0" t="e">
        <f aca="false">IF(ISNA(L2011),NA(),K1289)</f>
        <v>#N/A</v>
      </c>
      <c r="L2011" s="0" t="e">
        <f aca="false">IF(OR(L1289="",AND(L1289=L1288,L1289=L1290)),NA(), L1289)</f>
        <v>#N/A</v>
      </c>
      <c r="M2011" s="0" t="e">
        <f aca="false">IF(ISNA(N2011),NA(),M1289)</f>
        <v>#N/A</v>
      </c>
      <c r="N2011" s="0" t="e">
        <f aca="false">IF(OR(N1289="",AND(N1289=N1288,N1289=N1290)),NA(), N1289)</f>
        <v>#N/A</v>
      </c>
    </row>
    <row r="2012" customFormat="false" ht="15" hidden="false" customHeight="false" outlineLevel="0" collapsed="false">
      <c r="E2012" s="0" t="e">
        <f aca="false">IF(ISNA(F2012),NA(),E1290)</f>
        <v>#N/A</v>
      </c>
      <c r="F2012" s="0" t="e">
        <f aca="false">IF(OR(F1290="",AND(F1290=F1289,F1290=F1291)),NA(), F1290)</f>
        <v>#N/A</v>
      </c>
      <c r="G2012" s="0" t="e">
        <f aca="false">IF(ISNA(H2012),NA(),G1290)</f>
        <v>#N/A</v>
      </c>
      <c r="H2012" s="0" t="e">
        <f aca="false">IF(OR(H1290="",AND(H1290=H1289,H1290=H1291)),NA(), H1290)</f>
        <v>#N/A</v>
      </c>
      <c r="K2012" s="0" t="e">
        <f aca="false">IF(ISNA(L2012),NA(),K1290)</f>
        <v>#N/A</v>
      </c>
      <c r="L2012" s="0" t="e">
        <f aca="false">IF(OR(L1290="",AND(L1290=L1289,L1290=L1291)),NA(), L1290)</f>
        <v>#N/A</v>
      </c>
      <c r="M2012" s="0" t="e">
        <f aca="false">IF(ISNA(N2012),NA(),M1290)</f>
        <v>#N/A</v>
      </c>
      <c r="N2012" s="0" t="e">
        <f aca="false">IF(OR(N1290="",AND(N1290=N1289,N1290=N1291)),NA(), N1290)</f>
        <v>#N/A</v>
      </c>
    </row>
    <row r="2013" customFormat="false" ht="15" hidden="false" customHeight="false" outlineLevel="0" collapsed="false">
      <c r="E2013" s="0" t="e">
        <f aca="false">IF(ISNA(F2013),NA(),E1291)</f>
        <v>#N/A</v>
      </c>
      <c r="F2013" s="0" t="e">
        <f aca="false">IF(OR(F1291="",AND(F1291=F1290,F1291=F1292)),NA(), F1291)</f>
        <v>#N/A</v>
      </c>
      <c r="G2013" s="0" t="e">
        <f aca="false">IF(ISNA(H2013),NA(),G1291)</f>
        <v>#N/A</v>
      </c>
      <c r="H2013" s="0" t="e">
        <f aca="false">IF(OR(H1291="",AND(H1291=H1290,H1291=H1292)),NA(), H1291)</f>
        <v>#N/A</v>
      </c>
      <c r="K2013" s="0" t="e">
        <f aca="false">IF(ISNA(L2013),NA(),K1291)</f>
        <v>#N/A</v>
      </c>
      <c r="L2013" s="0" t="e">
        <f aca="false">IF(OR(L1291="",AND(L1291=L1290,L1291=L1292)),NA(), L1291)</f>
        <v>#N/A</v>
      </c>
      <c r="M2013" s="0" t="e">
        <f aca="false">IF(ISNA(N2013),NA(),M1291)</f>
        <v>#N/A</v>
      </c>
      <c r="N2013" s="0" t="e">
        <f aca="false">IF(OR(N1291="",AND(N1291=N1290,N1291=N1292)),NA(), N1291)</f>
        <v>#N/A</v>
      </c>
    </row>
    <row r="2014" customFormat="false" ht="15" hidden="false" customHeight="false" outlineLevel="0" collapsed="false">
      <c r="E2014" s="0" t="e">
        <f aca="false">IF(ISNA(F2014),NA(),E1292)</f>
        <v>#N/A</v>
      </c>
      <c r="F2014" s="0" t="e">
        <f aca="false">IF(OR(F1292="",AND(F1292=F1291,F1292=F1293)),NA(), F1292)</f>
        <v>#N/A</v>
      </c>
      <c r="G2014" s="0" t="e">
        <f aca="false">IF(ISNA(H2014),NA(),G1292)</f>
        <v>#N/A</v>
      </c>
      <c r="H2014" s="0" t="e">
        <f aca="false">IF(OR(H1292="",AND(H1292=H1291,H1292=H1293)),NA(), H1292)</f>
        <v>#N/A</v>
      </c>
      <c r="K2014" s="0" t="e">
        <f aca="false">IF(ISNA(L2014),NA(),K1292)</f>
        <v>#N/A</v>
      </c>
      <c r="L2014" s="0" t="e">
        <f aca="false">IF(OR(L1292="",AND(L1292=L1291,L1292=L1293)),NA(), L1292)</f>
        <v>#N/A</v>
      </c>
      <c r="M2014" s="0" t="e">
        <f aca="false">IF(ISNA(N2014),NA(),M1292)</f>
        <v>#N/A</v>
      </c>
      <c r="N2014" s="0" t="e">
        <f aca="false">IF(OR(N1292="",AND(N1292=N1291,N1292=N1293)),NA(), N1292)</f>
        <v>#N/A</v>
      </c>
    </row>
    <row r="2015" customFormat="false" ht="15" hidden="false" customHeight="false" outlineLevel="0" collapsed="false">
      <c r="E2015" s="0" t="e">
        <f aca="false">IF(ISNA(F2015),NA(),E1293)</f>
        <v>#N/A</v>
      </c>
      <c r="F2015" s="0" t="e">
        <f aca="false">IF(OR(F1293="",AND(F1293=F1292,F1293=F1294)),NA(), F1293)</f>
        <v>#N/A</v>
      </c>
      <c r="G2015" s="0" t="e">
        <f aca="false">IF(ISNA(H2015),NA(),G1293)</f>
        <v>#N/A</v>
      </c>
      <c r="H2015" s="0" t="e">
        <f aca="false">IF(OR(H1293="",AND(H1293=H1292,H1293=H1294)),NA(), H1293)</f>
        <v>#N/A</v>
      </c>
      <c r="K2015" s="0" t="e">
        <f aca="false">IF(ISNA(L2015),NA(),K1293)</f>
        <v>#N/A</v>
      </c>
      <c r="L2015" s="0" t="e">
        <f aca="false">IF(OR(L1293="",AND(L1293=L1292,L1293=L1294)),NA(), L1293)</f>
        <v>#N/A</v>
      </c>
      <c r="M2015" s="0" t="e">
        <f aca="false">IF(ISNA(N2015),NA(),M1293)</f>
        <v>#N/A</v>
      </c>
      <c r="N2015" s="0" t="e">
        <f aca="false">IF(OR(N1293="",AND(N1293=N1292,N1293=N1294)),NA(), N1293)</f>
        <v>#N/A</v>
      </c>
    </row>
    <row r="2016" customFormat="false" ht="15" hidden="false" customHeight="false" outlineLevel="0" collapsed="false">
      <c r="E2016" s="0" t="e">
        <f aca="false">IF(ISNA(F2016),NA(),E1294)</f>
        <v>#N/A</v>
      </c>
      <c r="F2016" s="0" t="e">
        <f aca="false">IF(OR(F1294="",AND(F1294=F1293,F1294=F1295)),NA(), F1294)</f>
        <v>#N/A</v>
      </c>
      <c r="G2016" s="0" t="e">
        <f aca="false">IF(ISNA(H2016),NA(),G1294)</f>
        <v>#N/A</v>
      </c>
      <c r="H2016" s="0" t="e">
        <f aca="false">IF(OR(H1294="",AND(H1294=H1293,H1294=H1295)),NA(), H1294)</f>
        <v>#N/A</v>
      </c>
      <c r="K2016" s="0" t="e">
        <f aca="false">IF(ISNA(L2016),NA(),K1294)</f>
        <v>#N/A</v>
      </c>
      <c r="L2016" s="0" t="e">
        <f aca="false">IF(OR(L1294="",AND(L1294=L1293,L1294=L1295)),NA(), L1294)</f>
        <v>#N/A</v>
      </c>
      <c r="M2016" s="0" t="e">
        <f aca="false">IF(ISNA(N2016),NA(),M1294)</f>
        <v>#N/A</v>
      </c>
      <c r="N2016" s="0" t="e">
        <f aca="false">IF(OR(N1294="",AND(N1294=N1293,N1294=N1295)),NA(), N1294)</f>
        <v>#N/A</v>
      </c>
    </row>
    <row r="2017" customFormat="false" ht="15" hidden="false" customHeight="false" outlineLevel="0" collapsed="false">
      <c r="E2017" s="0" t="e">
        <f aca="false">IF(ISNA(F2017),NA(),E1295)</f>
        <v>#N/A</v>
      </c>
      <c r="F2017" s="0" t="e">
        <f aca="false">IF(OR(F1295="",AND(F1295=F1294,F1295=F1296)),NA(), F1295)</f>
        <v>#N/A</v>
      </c>
      <c r="G2017" s="0" t="e">
        <f aca="false">IF(ISNA(H2017),NA(),G1295)</f>
        <v>#N/A</v>
      </c>
      <c r="H2017" s="0" t="e">
        <f aca="false">IF(OR(H1295="",AND(H1295=H1294,H1295=H1296)),NA(), H1295)</f>
        <v>#N/A</v>
      </c>
      <c r="K2017" s="0" t="e">
        <f aca="false">IF(ISNA(L2017),NA(),K1295)</f>
        <v>#N/A</v>
      </c>
      <c r="L2017" s="0" t="e">
        <f aca="false">IF(OR(L1295="",AND(L1295=L1294,L1295=L1296)),NA(), L1295)</f>
        <v>#N/A</v>
      </c>
      <c r="M2017" s="0" t="e">
        <f aca="false">IF(ISNA(N2017),NA(),M1295)</f>
        <v>#N/A</v>
      </c>
      <c r="N2017" s="0" t="e">
        <f aca="false">IF(OR(N1295="",AND(N1295=N1294,N1295=N1296)),NA(), N1295)</f>
        <v>#N/A</v>
      </c>
    </row>
    <row r="2018" customFormat="false" ht="15" hidden="false" customHeight="false" outlineLevel="0" collapsed="false">
      <c r="E2018" s="0" t="e">
        <f aca="false">IF(ISNA(F2018),NA(),E1296)</f>
        <v>#N/A</v>
      </c>
      <c r="F2018" s="0" t="e">
        <f aca="false">IF(OR(F1296="",AND(F1296=F1295,F1296=F1297)),NA(), F1296)</f>
        <v>#N/A</v>
      </c>
      <c r="G2018" s="0" t="e">
        <f aca="false">IF(ISNA(H2018),NA(),G1296)</f>
        <v>#N/A</v>
      </c>
      <c r="H2018" s="0" t="e">
        <f aca="false">IF(OR(H1296="",AND(H1296=H1295,H1296=H1297)),NA(), H1296)</f>
        <v>#N/A</v>
      </c>
      <c r="K2018" s="0" t="e">
        <f aca="false">IF(ISNA(L2018),NA(),K1296)</f>
        <v>#N/A</v>
      </c>
      <c r="L2018" s="0" t="e">
        <f aca="false">IF(OR(L1296="",AND(L1296=L1295,L1296=L1297)),NA(), L1296)</f>
        <v>#N/A</v>
      </c>
      <c r="M2018" s="0" t="e">
        <f aca="false">IF(ISNA(N2018),NA(),M1296)</f>
        <v>#N/A</v>
      </c>
      <c r="N2018" s="0" t="e">
        <f aca="false">IF(OR(N1296="",AND(N1296=N1295,N1296=N1297)),NA(), N1296)</f>
        <v>#N/A</v>
      </c>
    </row>
    <row r="2019" customFormat="false" ht="15" hidden="false" customHeight="false" outlineLevel="0" collapsed="false">
      <c r="E2019" s="0" t="e">
        <f aca="false">IF(ISNA(F2019),NA(),E1297)</f>
        <v>#N/A</v>
      </c>
      <c r="F2019" s="0" t="e">
        <f aca="false">IF(OR(F1297="",AND(F1297=F1296,F1297=F1298)),NA(), F1297)</f>
        <v>#N/A</v>
      </c>
      <c r="G2019" s="0" t="e">
        <f aca="false">IF(ISNA(H2019),NA(),G1297)</f>
        <v>#N/A</v>
      </c>
      <c r="H2019" s="0" t="e">
        <f aca="false">IF(OR(H1297="",AND(H1297=H1296,H1297=H1298)),NA(), H1297)</f>
        <v>#N/A</v>
      </c>
      <c r="K2019" s="0" t="e">
        <f aca="false">IF(ISNA(L2019),NA(),K1297)</f>
        <v>#N/A</v>
      </c>
      <c r="L2019" s="0" t="e">
        <f aca="false">IF(OR(L1297="",AND(L1297=L1296,L1297=L1298)),NA(), L1297)</f>
        <v>#N/A</v>
      </c>
      <c r="M2019" s="0" t="e">
        <f aca="false">IF(ISNA(N2019),NA(),M1297)</f>
        <v>#N/A</v>
      </c>
      <c r="N2019" s="0" t="e">
        <f aca="false">IF(OR(N1297="",AND(N1297=N1296,N1297=N1298)),NA(), N1297)</f>
        <v>#N/A</v>
      </c>
    </row>
    <row r="2020" customFormat="false" ht="15" hidden="false" customHeight="false" outlineLevel="0" collapsed="false">
      <c r="E2020" s="0" t="e">
        <f aca="false">IF(ISNA(F2020),NA(),E1298)</f>
        <v>#N/A</v>
      </c>
      <c r="F2020" s="0" t="e">
        <f aca="false">IF(OR(F1298="",AND(F1298=F1297,F1298=F1299)),NA(), F1298)</f>
        <v>#N/A</v>
      </c>
      <c r="G2020" s="0" t="e">
        <f aca="false">IF(ISNA(H2020),NA(),G1298)</f>
        <v>#N/A</v>
      </c>
      <c r="H2020" s="0" t="e">
        <f aca="false">IF(OR(H1298="",AND(H1298=H1297,H1298=H1299)),NA(), H1298)</f>
        <v>#N/A</v>
      </c>
      <c r="K2020" s="0" t="e">
        <f aca="false">IF(ISNA(L2020),NA(),K1298)</f>
        <v>#N/A</v>
      </c>
      <c r="L2020" s="0" t="e">
        <f aca="false">IF(OR(L1298="",AND(L1298=L1297,L1298=L1299)),NA(), L1298)</f>
        <v>#N/A</v>
      </c>
      <c r="M2020" s="0" t="e">
        <f aca="false">IF(ISNA(N2020),NA(),M1298)</f>
        <v>#N/A</v>
      </c>
      <c r="N2020" s="0" t="e">
        <f aca="false">IF(OR(N1298="",AND(N1298=N1297,N1298=N1299)),NA(), N1298)</f>
        <v>#N/A</v>
      </c>
    </row>
    <row r="2021" customFormat="false" ht="15" hidden="false" customHeight="false" outlineLevel="0" collapsed="false">
      <c r="E2021" s="0" t="e">
        <f aca="false">IF(ISNA(F2021),NA(),E1299)</f>
        <v>#N/A</v>
      </c>
      <c r="F2021" s="0" t="e">
        <f aca="false">IF(OR(F1299="",AND(F1299=F1298,F1299=F1300)),NA(), F1299)</f>
        <v>#N/A</v>
      </c>
      <c r="G2021" s="0" t="e">
        <f aca="false">IF(ISNA(H2021),NA(),G1299)</f>
        <v>#N/A</v>
      </c>
      <c r="H2021" s="0" t="e">
        <f aca="false">IF(OR(H1299="",AND(H1299=H1298,H1299=H1300)),NA(), H1299)</f>
        <v>#N/A</v>
      </c>
      <c r="K2021" s="0" t="e">
        <f aca="false">IF(ISNA(L2021),NA(),K1299)</f>
        <v>#N/A</v>
      </c>
      <c r="L2021" s="0" t="e">
        <f aca="false">IF(OR(L1299="",AND(L1299=L1298,L1299=L1300)),NA(), L1299)</f>
        <v>#N/A</v>
      </c>
      <c r="M2021" s="0" t="e">
        <f aca="false">IF(ISNA(N2021),NA(),M1299)</f>
        <v>#N/A</v>
      </c>
      <c r="N2021" s="0" t="e">
        <f aca="false">IF(OR(N1299="",AND(N1299=N1298,N1299=N1300)),NA(), N1299)</f>
        <v>#N/A</v>
      </c>
    </row>
    <row r="2022" customFormat="false" ht="15" hidden="false" customHeight="false" outlineLevel="0" collapsed="false">
      <c r="E2022" s="0" t="e">
        <f aca="false">IF(ISNA(F2022),NA(),E1300)</f>
        <v>#N/A</v>
      </c>
      <c r="F2022" s="0" t="e">
        <f aca="false">IF(OR(F1300="",AND(F1300=F1299,F1300=F1301)),NA(), F1300)</f>
        <v>#N/A</v>
      </c>
      <c r="G2022" s="0" t="e">
        <f aca="false">IF(ISNA(H2022),NA(),G1300)</f>
        <v>#N/A</v>
      </c>
      <c r="H2022" s="0" t="e">
        <f aca="false">IF(OR(H1300="",AND(H1300=H1299,H1300=H1301)),NA(), H1300)</f>
        <v>#N/A</v>
      </c>
      <c r="K2022" s="0" t="e">
        <f aca="false">IF(ISNA(L2022),NA(),K1300)</f>
        <v>#N/A</v>
      </c>
      <c r="L2022" s="0" t="e">
        <f aca="false">IF(OR(L1300="",AND(L1300=L1299,L1300=L1301)),NA(), L1300)</f>
        <v>#N/A</v>
      </c>
      <c r="M2022" s="0" t="e">
        <f aca="false">IF(ISNA(N2022),NA(),M1300)</f>
        <v>#N/A</v>
      </c>
      <c r="N2022" s="0" t="e">
        <f aca="false">IF(OR(N1300="",AND(N1300=N1299,N1300=N1301)),NA(), N1300)</f>
        <v>#N/A</v>
      </c>
    </row>
    <row r="2023" customFormat="false" ht="15" hidden="false" customHeight="false" outlineLevel="0" collapsed="false">
      <c r="E2023" s="0" t="e">
        <f aca="false">IF(ISNA(F2023),NA(),E1301)</f>
        <v>#N/A</v>
      </c>
      <c r="F2023" s="0" t="e">
        <f aca="false">IF(OR(F1301="",AND(F1301=F1300,F1301=F1302)),NA(), F1301)</f>
        <v>#N/A</v>
      </c>
      <c r="G2023" s="0" t="e">
        <f aca="false">IF(ISNA(H2023),NA(),G1301)</f>
        <v>#N/A</v>
      </c>
      <c r="H2023" s="0" t="e">
        <f aca="false">IF(OR(H1301="",AND(H1301=H1300,H1301=H1302)),NA(), H1301)</f>
        <v>#N/A</v>
      </c>
      <c r="K2023" s="0" t="e">
        <f aca="false">IF(ISNA(L2023),NA(),K1301)</f>
        <v>#N/A</v>
      </c>
      <c r="L2023" s="0" t="e">
        <f aca="false">IF(OR(L1301="",AND(L1301=L1300,L1301=L1302)),NA(), L1301)</f>
        <v>#N/A</v>
      </c>
      <c r="M2023" s="0" t="e">
        <f aca="false">IF(ISNA(N2023),NA(),M1301)</f>
        <v>#N/A</v>
      </c>
      <c r="N2023" s="0" t="e">
        <f aca="false">IF(OR(N1301="",AND(N1301=N1300,N1301=N1302)),NA(), N1301)</f>
        <v>#N/A</v>
      </c>
    </row>
    <row r="2024" customFormat="false" ht="15" hidden="false" customHeight="false" outlineLevel="0" collapsed="false">
      <c r="E2024" s="0" t="e">
        <f aca="false">IF(ISNA(F2024),NA(),E1302)</f>
        <v>#N/A</v>
      </c>
      <c r="F2024" s="0" t="e">
        <f aca="false">IF(OR(F1302="",AND(F1302=F1301,F1302=F1303)),NA(), F1302)</f>
        <v>#N/A</v>
      </c>
      <c r="G2024" s="0" t="e">
        <f aca="false">IF(ISNA(H2024),NA(),G1302)</f>
        <v>#N/A</v>
      </c>
      <c r="H2024" s="0" t="e">
        <f aca="false">IF(OR(H1302="",AND(H1302=H1301,H1302=H1303)),NA(), H1302)</f>
        <v>#N/A</v>
      </c>
      <c r="K2024" s="0" t="e">
        <f aca="false">IF(ISNA(L2024),NA(),K1302)</f>
        <v>#N/A</v>
      </c>
      <c r="L2024" s="0" t="e">
        <f aca="false">IF(OR(L1302="",AND(L1302=L1301,L1302=L1303)),NA(), L1302)</f>
        <v>#N/A</v>
      </c>
      <c r="M2024" s="0" t="e">
        <f aca="false">IF(ISNA(N2024),NA(),M1302)</f>
        <v>#N/A</v>
      </c>
      <c r="N2024" s="0" t="e">
        <f aca="false">IF(OR(N1302="",AND(N1302=N1301,N1302=N1303)),NA(), N1302)</f>
        <v>#N/A</v>
      </c>
    </row>
    <row r="2025" customFormat="false" ht="15" hidden="false" customHeight="false" outlineLevel="0" collapsed="false">
      <c r="E2025" s="0" t="e">
        <f aca="false">IF(ISNA(F2025),NA(),E1303)</f>
        <v>#N/A</v>
      </c>
      <c r="F2025" s="0" t="e">
        <f aca="false">IF(OR(F1303="",AND(F1303=F1302,F1303=F1304)),NA(), F1303)</f>
        <v>#N/A</v>
      </c>
      <c r="G2025" s="0" t="e">
        <f aca="false">IF(ISNA(H2025),NA(),G1303)</f>
        <v>#N/A</v>
      </c>
      <c r="H2025" s="0" t="e">
        <f aca="false">IF(OR(H1303="",AND(H1303=H1302,H1303=H1304)),NA(), H1303)</f>
        <v>#N/A</v>
      </c>
      <c r="K2025" s="0" t="e">
        <f aca="false">IF(ISNA(L2025),NA(),K1303)</f>
        <v>#N/A</v>
      </c>
      <c r="L2025" s="0" t="e">
        <f aca="false">IF(OR(L1303="",AND(L1303=L1302,L1303=L1304)),NA(), L1303)</f>
        <v>#N/A</v>
      </c>
      <c r="M2025" s="0" t="e">
        <f aca="false">IF(ISNA(N2025),NA(),M1303)</f>
        <v>#N/A</v>
      </c>
      <c r="N2025" s="0" t="e">
        <f aca="false">IF(OR(N1303="",AND(N1303=N1302,N1303=N1304)),NA(), N1303)</f>
        <v>#N/A</v>
      </c>
    </row>
    <row r="2026" customFormat="false" ht="15" hidden="false" customHeight="false" outlineLevel="0" collapsed="false">
      <c r="E2026" s="0" t="e">
        <f aca="false">IF(ISNA(F2026),NA(),E1304)</f>
        <v>#N/A</v>
      </c>
      <c r="F2026" s="0" t="e">
        <f aca="false">IF(OR(F1304="",AND(F1304=F1303,F1304=F1305)),NA(), F1304)</f>
        <v>#N/A</v>
      </c>
      <c r="G2026" s="0" t="e">
        <f aca="false">IF(ISNA(H2026),NA(),G1304)</f>
        <v>#N/A</v>
      </c>
      <c r="H2026" s="0" t="e">
        <f aca="false">IF(OR(H1304="",AND(H1304=H1303,H1304=H1305)),NA(), H1304)</f>
        <v>#N/A</v>
      </c>
      <c r="K2026" s="0" t="e">
        <f aca="false">IF(ISNA(L2026),NA(),K1304)</f>
        <v>#N/A</v>
      </c>
      <c r="L2026" s="0" t="e">
        <f aca="false">IF(OR(L1304="",AND(L1304=L1303,L1304=L1305)),NA(), L1304)</f>
        <v>#N/A</v>
      </c>
      <c r="M2026" s="0" t="e">
        <f aca="false">IF(ISNA(N2026),NA(),M1304)</f>
        <v>#N/A</v>
      </c>
      <c r="N2026" s="0" t="e">
        <f aca="false">IF(OR(N1304="",AND(N1304=N1303,N1304=N1305)),NA(), N1304)</f>
        <v>#N/A</v>
      </c>
    </row>
    <row r="2027" customFormat="false" ht="15" hidden="false" customHeight="false" outlineLevel="0" collapsed="false">
      <c r="E2027" s="0" t="e">
        <f aca="false">IF(ISNA(F2027),NA(),E1305)</f>
        <v>#N/A</v>
      </c>
      <c r="F2027" s="0" t="e">
        <f aca="false">IF(OR(F1305="",AND(F1305=F1304,F1305=F1306)),NA(), F1305)</f>
        <v>#N/A</v>
      </c>
      <c r="G2027" s="0" t="e">
        <f aca="false">IF(ISNA(H2027),NA(),G1305)</f>
        <v>#N/A</v>
      </c>
      <c r="H2027" s="0" t="e">
        <f aca="false">IF(OR(H1305="",AND(H1305=H1304,H1305=H1306)),NA(), H1305)</f>
        <v>#N/A</v>
      </c>
      <c r="K2027" s="0" t="e">
        <f aca="false">IF(ISNA(L2027),NA(),K1305)</f>
        <v>#N/A</v>
      </c>
      <c r="L2027" s="0" t="e">
        <f aca="false">IF(OR(L1305="",AND(L1305=L1304,L1305=L1306)),NA(), L1305)</f>
        <v>#N/A</v>
      </c>
      <c r="M2027" s="0" t="e">
        <f aca="false">IF(ISNA(N2027),NA(),M1305)</f>
        <v>#N/A</v>
      </c>
      <c r="N2027" s="0" t="e">
        <f aca="false">IF(OR(N1305="",AND(N1305=N1304,N1305=N1306)),NA(), N1305)</f>
        <v>#N/A</v>
      </c>
    </row>
    <row r="2028" customFormat="false" ht="15" hidden="false" customHeight="false" outlineLevel="0" collapsed="false">
      <c r="E2028" s="0" t="e">
        <f aca="false">IF(ISNA(F2028),NA(),E1306)</f>
        <v>#N/A</v>
      </c>
      <c r="F2028" s="0" t="e">
        <f aca="false">IF(OR(F1306="",AND(F1306=F1305,F1306=F1307)),NA(), F1306)</f>
        <v>#N/A</v>
      </c>
      <c r="G2028" s="0" t="e">
        <f aca="false">IF(ISNA(H2028),NA(),G1306)</f>
        <v>#N/A</v>
      </c>
      <c r="H2028" s="0" t="e">
        <f aca="false">IF(OR(H1306="",AND(H1306=H1305,H1306=H1307)),NA(), H1306)</f>
        <v>#N/A</v>
      </c>
      <c r="K2028" s="0" t="e">
        <f aca="false">IF(ISNA(L2028),NA(),K1306)</f>
        <v>#N/A</v>
      </c>
      <c r="L2028" s="0" t="e">
        <f aca="false">IF(OR(L1306="",AND(L1306=L1305,L1306=L1307)),NA(), L1306)</f>
        <v>#N/A</v>
      </c>
      <c r="M2028" s="0" t="e">
        <f aca="false">IF(ISNA(N2028),NA(),M1306)</f>
        <v>#N/A</v>
      </c>
      <c r="N2028" s="0" t="e">
        <f aca="false">IF(OR(N1306="",AND(N1306=N1305,N1306=N1307)),NA(), N1306)</f>
        <v>#N/A</v>
      </c>
    </row>
    <row r="2029" customFormat="false" ht="15" hidden="false" customHeight="false" outlineLevel="0" collapsed="false">
      <c r="E2029" s="0" t="e">
        <f aca="false">IF(ISNA(F2029),NA(),E1307)</f>
        <v>#N/A</v>
      </c>
      <c r="F2029" s="0" t="e">
        <f aca="false">IF(OR(F1307="",AND(F1307=F1306,F1307=F1308)),NA(), F1307)</f>
        <v>#N/A</v>
      </c>
      <c r="G2029" s="0" t="e">
        <f aca="false">IF(ISNA(H2029),NA(),G1307)</f>
        <v>#N/A</v>
      </c>
      <c r="H2029" s="0" t="e">
        <f aca="false">IF(OR(H1307="",AND(H1307=H1306,H1307=H1308)),NA(), H1307)</f>
        <v>#N/A</v>
      </c>
      <c r="K2029" s="0" t="e">
        <f aca="false">IF(ISNA(L2029),NA(),K1307)</f>
        <v>#N/A</v>
      </c>
      <c r="L2029" s="0" t="e">
        <f aca="false">IF(OR(L1307="",AND(L1307=L1306,L1307=L1308)),NA(), L1307)</f>
        <v>#N/A</v>
      </c>
      <c r="M2029" s="0" t="e">
        <f aca="false">IF(ISNA(N2029),NA(),M1307)</f>
        <v>#N/A</v>
      </c>
      <c r="N2029" s="0" t="e">
        <f aca="false">IF(OR(N1307="",AND(N1307=N1306,N1307=N1308)),NA(), N1307)</f>
        <v>#N/A</v>
      </c>
    </row>
    <row r="2030" customFormat="false" ht="15" hidden="false" customHeight="false" outlineLevel="0" collapsed="false">
      <c r="E2030" s="0" t="e">
        <f aca="false">IF(ISNA(F2030),NA(),E1308)</f>
        <v>#N/A</v>
      </c>
      <c r="F2030" s="0" t="e">
        <f aca="false">IF(OR(F1308="",AND(F1308=F1307,F1308=F1309)),NA(), F1308)</f>
        <v>#N/A</v>
      </c>
      <c r="G2030" s="0" t="e">
        <f aca="false">IF(ISNA(H2030),NA(),G1308)</f>
        <v>#N/A</v>
      </c>
      <c r="H2030" s="0" t="e">
        <f aca="false">IF(OR(H1308="",AND(H1308=H1307,H1308=H1309)),NA(), H1308)</f>
        <v>#N/A</v>
      </c>
      <c r="K2030" s="0" t="e">
        <f aca="false">IF(ISNA(L2030),NA(),K1308)</f>
        <v>#N/A</v>
      </c>
      <c r="L2030" s="0" t="e">
        <f aca="false">IF(OR(L1308="",AND(L1308=L1307,L1308=L1309)),NA(), L1308)</f>
        <v>#N/A</v>
      </c>
      <c r="M2030" s="0" t="e">
        <f aca="false">IF(ISNA(N2030),NA(),M1308)</f>
        <v>#N/A</v>
      </c>
      <c r="N2030" s="0" t="e">
        <f aca="false">IF(OR(N1308="",AND(N1308=N1307,N1308=N1309)),NA(), N1308)</f>
        <v>#N/A</v>
      </c>
    </row>
    <row r="2031" customFormat="false" ht="15" hidden="false" customHeight="false" outlineLevel="0" collapsed="false">
      <c r="E2031" s="0" t="e">
        <f aca="false">IF(ISNA(F2031),NA(),E1309)</f>
        <v>#N/A</v>
      </c>
      <c r="F2031" s="0" t="e">
        <f aca="false">IF(OR(F1309="",AND(F1309=F1308,F1309=F1310)),NA(), F1309)</f>
        <v>#N/A</v>
      </c>
      <c r="G2031" s="0" t="e">
        <f aca="false">IF(ISNA(H2031),NA(),G1309)</f>
        <v>#N/A</v>
      </c>
      <c r="H2031" s="0" t="e">
        <f aca="false">IF(OR(H1309="",AND(H1309=H1308,H1309=H1310)),NA(), H1309)</f>
        <v>#N/A</v>
      </c>
      <c r="K2031" s="0" t="e">
        <f aca="false">IF(ISNA(L2031),NA(),K1309)</f>
        <v>#N/A</v>
      </c>
      <c r="L2031" s="0" t="e">
        <f aca="false">IF(OR(L1309="",AND(L1309=L1308,L1309=L1310)),NA(), L1309)</f>
        <v>#N/A</v>
      </c>
      <c r="M2031" s="0" t="e">
        <f aca="false">IF(ISNA(N2031),NA(),M1309)</f>
        <v>#N/A</v>
      </c>
      <c r="N2031" s="0" t="e">
        <f aca="false">IF(OR(N1309="",AND(N1309=N1308,N1309=N1310)),NA(), N1309)</f>
        <v>#N/A</v>
      </c>
    </row>
    <row r="2032" customFormat="false" ht="15" hidden="false" customHeight="false" outlineLevel="0" collapsed="false">
      <c r="E2032" s="0" t="e">
        <f aca="false">IF(ISNA(F2032),NA(),E1310)</f>
        <v>#N/A</v>
      </c>
      <c r="F2032" s="0" t="e">
        <f aca="false">IF(OR(F1310="",AND(F1310=F1309,F1310=F1311)),NA(), F1310)</f>
        <v>#N/A</v>
      </c>
      <c r="G2032" s="0" t="e">
        <f aca="false">IF(ISNA(H2032),NA(),G1310)</f>
        <v>#N/A</v>
      </c>
      <c r="H2032" s="0" t="e">
        <f aca="false">IF(OR(H1310="",AND(H1310=H1309,H1310=H1311)),NA(), H1310)</f>
        <v>#N/A</v>
      </c>
      <c r="K2032" s="0" t="e">
        <f aca="false">IF(ISNA(L2032),NA(),K1310)</f>
        <v>#N/A</v>
      </c>
      <c r="L2032" s="0" t="e">
        <f aca="false">IF(OR(L1310="",AND(L1310=L1309,L1310=L1311)),NA(), L1310)</f>
        <v>#N/A</v>
      </c>
      <c r="M2032" s="0" t="e">
        <f aca="false">IF(ISNA(N2032),NA(),M1310)</f>
        <v>#N/A</v>
      </c>
      <c r="N2032" s="0" t="e">
        <f aca="false">IF(OR(N1310="",AND(N1310=N1309,N1310=N1311)),NA(), N1310)</f>
        <v>#N/A</v>
      </c>
    </row>
    <row r="2033" customFormat="false" ht="15" hidden="false" customHeight="false" outlineLevel="0" collapsed="false">
      <c r="E2033" s="0" t="e">
        <f aca="false">IF(ISNA(F2033),NA(),E1311)</f>
        <v>#N/A</v>
      </c>
      <c r="F2033" s="0" t="e">
        <f aca="false">IF(OR(F1311="",AND(F1311=F1310,F1311=F1312)),NA(), F1311)</f>
        <v>#N/A</v>
      </c>
      <c r="G2033" s="0" t="e">
        <f aca="false">IF(ISNA(H2033),NA(),G1311)</f>
        <v>#N/A</v>
      </c>
      <c r="H2033" s="0" t="e">
        <f aca="false">IF(OR(H1311="",AND(H1311=H1310,H1311=H1312)),NA(), H1311)</f>
        <v>#N/A</v>
      </c>
      <c r="K2033" s="0" t="e">
        <f aca="false">IF(ISNA(L2033),NA(),K1311)</f>
        <v>#N/A</v>
      </c>
      <c r="L2033" s="0" t="e">
        <f aca="false">IF(OR(L1311="",AND(L1311=L1310,L1311=L1312)),NA(), L1311)</f>
        <v>#N/A</v>
      </c>
      <c r="M2033" s="0" t="e">
        <f aca="false">IF(ISNA(N2033),NA(),M1311)</f>
        <v>#N/A</v>
      </c>
      <c r="N2033" s="0" t="e">
        <f aca="false">IF(OR(N1311="",AND(N1311=N1310,N1311=N1312)),NA(), N1311)</f>
        <v>#N/A</v>
      </c>
    </row>
    <row r="2034" customFormat="false" ht="15" hidden="false" customHeight="false" outlineLevel="0" collapsed="false">
      <c r="E2034" s="0" t="e">
        <f aca="false">IF(ISNA(F2034),NA(),E1312)</f>
        <v>#N/A</v>
      </c>
      <c r="F2034" s="0" t="e">
        <f aca="false">IF(OR(F1312="",AND(F1312=F1311,F1312=F1313)),NA(), F1312)</f>
        <v>#N/A</v>
      </c>
      <c r="G2034" s="0" t="e">
        <f aca="false">IF(ISNA(H2034),NA(),G1312)</f>
        <v>#N/A</v>
      </c>
      <c r="H2034" s="0" t="e">
        <f aca="false">IF(OR(H1312="",AND(H1312=H1311,H1312=H1313)),NA(), H1312)</f>
        <v>#N/A</v>
      </c>
      <c r="K2034" s="0" t="e">
        <f aca="false">IF(ISNA(L2034),NA(),K1312)</f>
        <v>#N/A</v>
      </c>
      <c r="L2034" s="0" t="e">
        <f aca="false">IF(OR(L1312="",AND(L1312=L1311,L1312=L1313)),NA(), L1312)</f>
        <v>#N/A</v>
      </c>
      <c r="M2034" s="0" t="e">
        <f aca="false">IF(ISNA(N2034),NA(),M1312)</f>
        <v>#N/A</v>
      </c>
      <c r="N2034" s="0" t="e">
        <f aca="false">IF(OR(N1312="",AND(N1312=N1311,N1312=N1313)),NA(), N1312)</f>
        <v>#N/A</v>
      </c>
    </row>
    <row r="2035" customFormat="false" ht="15" hidden="false" customHeight="false" outlineLevel="0" collapsed="false">
      <c r="E2035" s="0" t="e">
        <f aca="false">IF(ISNA(F2035),NA(),E1313)</f>
        <v>#N/A</v>
      </c>
      <c r="F2035" s="0" t="e">
        <f aca="false">IF(OR(F1313="",AND(F1313=F1312,F1313=F1314)),NA(), F1313)</f>
        <v>#N/A</v>
      </c>
      <c r="G2035" s="0" t="e">
        <f aca="false">IF(ISNA(H2035),NA(),G1313)</f>
        <v>#N/A</v>
      </c>
      <c r="H2035" s="0" t="e">
        <f aca="false">IF(OR(H1313="",AND(H1313=H1312,H1313=H1314)),NA(), H1313)</f>
        <v>#N/A</v>
      </c>
      <c r="K2035" s="0" t="e">
        <f aca="false">IF(ISNA(L2035),NA(),K1313)</f>
        <v>#N/A</v>
      </c>
      <c r="L2035" s="0" t="e">
        <f aca="false">IF(OR(L1313="",AND(L1313=L1312,L1313=L1314)),NA(), L1313)</f>
        <v>#N/A</v>
      </c>
      <c r="M2035" s="0" t="e">
        <f aca="false">IF(ISNA(N2035),NA(),M1313)</f>
        <v>#N/A</v>
      </c>
      <c r="N2035" s="0" t="e">
        <f aca="false">IF(OR(N1313="",AND(N1313=N1312,N1313=N1314)),NA(), N1313)</f>
        <v>#N/A</v>
      </c>
    </row>
    <row r="2036" customFormat="false" ht="15" hidden="false" customHeight="false" outlineLevel="0" collapsed="false">
      <c r="E2036" s="0" t="e">
        <f aca="false">IF(ISNA(F2036),NA(),E1314)</f>
        <v>#N/A</v>
      </c>
      <c r="F2036" s="0" t="e">
        <f aca="false">IF(OR(F1314="",AND(F1314=F1313,F1314=F1315)),NA(), F1314)</f>
        <v>#N/A</v>
      </c>
      <c r="G2036" s="0" t="e">
        <f aca="false">IF(ISNA(H2036),NA(),G1314)</f>
        <v>#N/A</v>
      </c>
      <c r="H2036" s="0" t="e">
        <f aca="false">IF(OR(H1314="",AND(H1314=H1313,H1314=H1315)),NA(), H1314)</f>
        <v>#N/A</v>
      </c>
      <c r="K2036" s="0" t="e">
        <f aca="false">IF(ISNA(L2036),NA(),K1314)</f>
        <v>#N/A</v>
      </c>
      <c r="L2036" s="0" t="e">
        <f aca="false">IF(OR(L1314="",AND(L1314=L1313,L1314=L1315)),NA(), L1314)</f>
        <v>#N/A</v>
      </c>
      <c r="M2036" s="0" t="e">
        <f aca="false">IF(ISNA(N2036),NA(),M1314)</f>
        <v>#N/A</v>
      </c>
      <c r="N2036" s="0" t="e">
        <f aca="false">IF(OR(N1314="",AND(N1314=N1313,N1314=N1315)),NA(), N1314)</f>
        <v>#N/A</v>
      </c>
    </row>
    <row r="2037" customFormat="false" ht="15" hidden="false" customHeight="false" outlineLevel="0" collapsed="false">
      <c r="E2037" s="0" t="e">
        <f aca="false">IF(ISNA(F2037),NA(),E1315)</f>
        <v>#N/A</v>
      </c>
      <c r="F2037" s="0" t="e">
        <f aca="false">IF(OR(F1315="",AND(F1315=F1314,F1315=F1316)),NA(), F1315)</f>
        <v>#N/A</v>
      </c>
      <c r="G2037" s="0" t="e">
        <f aca="false">IF(ISNA(H2037),NA(),G1315)</f>
        <v>#N/A</v>
      </c>
      <c r="H2037" s="0" t="e">
        <f aca="false">IF(OR(H1315="",AND(H1315=H1314,H1315=H1316)),NA(), H1315)</f>
        <v>#N/A</v>
      </c>
      <c r="K2037" s="0" t="e">
        <f aca="false">IF(ISNA(L2037),NA(),K1315)</f>
        <v>#N/A</v>
      </c>
      <c r="L2037" s="0" t="e">
        <f aca="false">IF(OR(L1315="",AND(L1315=L1314,L1315=L1316)),NA(), L1315)</f>
        <v>#N/A</v>
      </c>
      <c r="M2037" s="0" t="e">
        <f aca="false">IF(ISNA(N2037),NA(),M1315)</f>
        <v>#N/A</v>
      </c>
      <c r="N2037" s="0" t="e">
        <f aca="false">IF(OR(N1315="",AND(N1315=N1314,N1315=N1316)),NA(), N1315)</f>
        <v>#N/A</v>
      </c>
    </row>
    <row r="2038" customFormat="false" ht="15" hidden="false" customHeight="false" outlineLevel="0" collapsed="false">
      <c r="E2038" s="0" t="e">
        <f aca="false">IF(ISNA(F2038),NA(),E1316)</f>
        <v>#N/A</v>
      </c>
      <c r="F2038" s="0" t="e">
        <f aca="false">IF(OR(F1316="",AND(F1316=F1315,F1316=F1317)),NA(), F1316)</f>
        <v>#N/A</v>
      </c>
      <c r="G2038" s="0" t="e">
        <f aca="false">IF(ISNA(H2038),NA(),G1316)</f>
        <v>#N/A</v>
      </c>
      <c r="H2038" s="0" t="e">
        <f aca="false">IF(OR(H1316="",AND(H1316=H1315,H1316=H1317)),NA(), H1316)</f>
        <v>#N/A</v>
      </c>
      <c r="K2038" s="0" t="e">
        <f aca="false">IF(ISNA(L2038),NA(),K1316)</f>
        <v>#N/A</v>
      </c>
      <c r="L2038" s="0" t="e">
        <f aca="false">IF(OR(L1316="",AND(L1316=L1315,L1316=L1317)),NA(), L1316)</f>
        <v>#N/A</v>
      </c>
      <c r="M2038" s="0" t="e">
        <f aca="false">IF(ISNA(N2038),NA(),M1316)</f>
        <v>#N/A</v>
      </c>
      <c r="N2038" s="0" t="e">
        <f aca="false">IF(OR(N1316="",AND(N1316=N1315,N1316=N1317)),NA(), N1316)</f>
        <v>#N/A</v>
      </c>
    </row>
    <row r="2039" customFormat="false" ht="15" hidden="false" customHeight="false" outlineLevel="0" collapsed="false">
      <c r="E2039" s="0" t="e">
        <f aca="false">IF(ISNA(F2039),NA(),E1317)</f>
        <v>#N/A</v>
      </c>
      <c r="F2039" s="0" t="e">
        <f aca="false">IF(OR(F1317="",AND(F1317=F1316,F1317=F1318)),NA(), F1317)</f>
        <v>#N/A</v>
      </c>
      <c r="G2039" s="0" t="e">
        <f aca="false">IF(ISNA(H2039),NA(),G1317)</f>
        <v>#N/A</v>
      </c>
      <c r="H2039" s="0" t="e">
        <f aca="false">IF(OR(H1317="",AND(H1317=H1316,H1317=H1318)),NA(), H1317)</f>
        <v>#N/A</v>
      </c>
      <c r="K2039" s="0" t="e">
        <f aca="false">IF(ISNA(L2039),NA(),K1317)</f>
        <v>#N/A</v>
      </c>
      <c r="L2039" s="0" t="e">
        <f aca="false">IF(OR(L1317="",AND(L1317=L1316,L1317=L1318)),NA(), L1317)</f>
        <v>#N/A</v>
      </c>
      <c r="M2039" s="0" t="e">
        <f aca="false">IF(ISNA(N2039),NA(),M1317)</f>
        <v>#N/A</v>
      </c>
      <c r="N2039" s="0" t="e">
        <f aca="false">IF(OR(N1317="",AND(N1317=N1316,N1317=N1318)),NA(), N1317)</f>
        <v>#N/A</v>
      </c>
    </row>
    <row r="2040" customFormat="false" ht="15" hidden="false" customHeight="false" outlineLevel="0" collapsed="false">
      <c r="E2040" s="0" t="e">
        <f aca="false">IF(ISNA(F2040),NA(),E1318)</f>
        <v>#N/A</v>
      </c>
      <c r="F2040" s="0" t="e">
        <f aca="false">IF(OR(F1318="",AND(F1318=F1317,F1318=F1319)),NA(), F1318)</f>
        <v>#N/A</v>
      </c>
      <c r="G2040" s="0" t="e">
        <f aca="false">IF(ISNA(H2040),NA(),G1318)</f>
        <v>#N/A</v>
      </c>
      <c r="H2040" s="0" t="e">
        <f aca="false">IF(OR(H1318="",AND(H1318=H1317,H1318=H1319)),NA(), H1318)</f>
        <v>#N/A</v>
      </c>
      <c r="K2040" s="0" t="e">
        <f aca="false">IF(ISNA(L2040),NA(),K1318)</f>
        <v>#N/A</v>
      </c>
      <c r="L2040" s="0" t="e">
        <f aca="false">IF(OR(L1318="",AND(L1318=L1317,L1318=L1319)),NA(), L1318)</f>
        <v>#N/A</v>
      </c>
      <c r="M2040" s="0" t="e">
        <f aca="false">IF(ISNA(N2040),NA(),M1318)</f>
        <v>#N/A</v>
      </c>
      <c r="N2040" s="0" t="e">
        <f aca="false">IF(OR(N1318="",AND(N1318=N1317,N1318=N1319)),NA(), N1318)</f>
        <v>#N/A</v>
      </c>
    </row>
    <row r="2041" customFormat="false" ht="15" hidden="false" customHeight="false" outlineLevel="0" collapsed="false">
      <c r="E2041" s="0" t="e">
        <f aca="false">IF(ISNA(F2041),NA(),E1319)</f>
        <v>#N/A</v>
      </c>
      <c r="F2041" s="0" t="e">
        <f aca="false">IF(OR(F1319="",AND(F1319=F1318,F1319=F1320)),NA(), F1319)</f>
        <v>#N/A</v>
      </c>
      <c r="G2041" s="0" t="e">
        <f aca="false">IF(ISNA(H2041),NA(),G1319)</f>
        <v>#N/A</v>
      </c>
      <c r="H2041" s="0" t="e">
        <f aca="false">IF(OR(H1319="",AND(H1319=H1318,H1319=H1320)),NA(), H1319)</f>
        <v>#N/A</v>
      </c>
      <c r="K2041" s="0" t="e">
        <f aca="false">IF(ISNA(L2041),NA(),K1319)</f>
        <v>#N/A</v>
      </c>
      <c r="L2041" s="0" t="e">
        <f aca="false">IF(OR(L1319="",AND(L1319=L1318,L1319=L1320)),NA(), L1319)</f>
        <v>#N/A</v>
      </c>
      <c r="M2041" s="0" t="e">
        <f aca="false">IF(ISNA(N2041),NA(),M1319)</f>
        <v>#N/A</v>
      </c>
      <c r="N2041" s="0" t="e">
        <f aca="false">IF(OR(N1319="",AND(N1319=N1318,N1319=N1320)),NA(), N1319)</f>
        <v>#N/A</v>
      </c>
    </row>
    <row r="2042" customFormat="false" ht="15" hidden="false" customHeight="false" outlineLevel="0" collapsed="false">
      <c r="E2042" s="0" t="e">
        <f aca="false">IF(ISNA(F2042),NA(),E1320)</f>
        <v>#N/A</v>
      </c>
      <c r="F2042" s="0" t="e">
        <f aca="false">IF(OR(F1320="",AND(F1320=F1319,F1320=F1321)),NA(), F1320)</f>
        <v>#N/A</v>
      </c>
      <c r="G2042" s="0" t="e">
        <f aca="false">IF(ISNA(H2042),NA(),G1320)</f>
        <v>#N/A</v>
      </c>
      <c r="H2042" s="0" t="e">
        <f aca="false">IF(OR(H1320="",AND(H1320=H1319,H1320=H1321)),NA(), H1320)</f>
        <v>#N/A</v>
      </c>
      <c r="K2042" s="0" t="e">
        <f aca="false">IF(ISNA(L2042),NA(),K1320)</f>
        <v>#N/A</v>
      </c>
      <c r="L2042" s="0" t="e">
        <f aca="false">IF(OR(L1320="",AND(L1320=L1319,L1320=L1321)),NA(), L1320)</f>
        <v>#N/A</v>
      </c>
      <c r="M2042" s="0" t="e">
        <f aca="false">IF(ISNA(N2042),NA(),M1320)</f>
        <v>#N/A</v>
      </c>
      <c r="N2042" s="0" t="e">
        <f aca="false">IF(OR(N1320="",AND(N1320=N1319,N1320=N1321)),NA(), N1320)</f>
        <v>#N/A</v>
      </c>
    </row>
    <row r="2043" customFormat="false" ht="15" hidden="false" customHeight="false" outlineLevel="0" collapsed="false">
      <c r="E2043" s="0" t="e">
        <f aca="false">IF(ISNA(F2043),NA(),E1321)</f>
        <v>#N/A</v>
      </c>
      <c r="F2043" s="0" t="e">
        <f aca="false">IF(OR(F1321="",AND(F1321=F1320,F1321=F1322)),NA(), F1321)</f>
        <v>#N/A</v>
      </c>
      <c r="G2043" s="0" t="e">
        <f aca="false">IF(ISNA(H2043),NA(),G1321)</f>
        <v>#N/A</v>
      </c>
      <c r="H2043" s="0" t="e">
        <f aca="false">IF(OR(H1321="",AND(H1321=H1320,H1321=H1322)),NA(), H1321)</f>
        <v>#N/A</v>
      </c>
      <c r="K2043" s="0" t="e">
        <f aca="false">IF(ISNA(L2043),NA(),K1321)</f>
        <v>#N/A</v>
      </c>
      <c r="L2043" s="0" t="e">
        <f aca="false">IF(OR(L1321="",AND(L1321=L1320,L1321=L1322)),NA(), L1321)</f>
        <v>#N/A</v>
      </c>
      <c r="M2043" s="0" t="e">
        <f aca="false">IF(ISNA(N2043),NA(),M1321)</f>
        <v>#N/A</v>
      </c>
      <c r="N2043" s="0" t="e">
        <f aca="false">IF(OR(N1321="",AND(N1321=N1320,N1321=N1322)),NA(), N1321)</f>
        <v>#N/A</v>
      </c>
    </row>
    <row r="2044" customFormat="false" ht="15" hidden="false" customHeight="false" outlineLevel="0" collapsed="false">
      <c r="E2044" s="0" t="e">
        <f aca="false">IF(ISNA(F2044),NA(),E1322)</f>
        <v>#N/A</v>
      </c>
      <c r="F2044" s="0" t="e">
        <f aca="false">IF(OR(F1322="",AND(F1322=F1321,F1322=F1323)),NA(), F1322)</f>
        <v>#N/A</v>
      </c>
      <c r="G2044" s="0" t="e">
        <f aca="false">IF(ISNA(H2044),NA(),G1322)</f>
        <v>#N/A</v>
      </c>
      <c r="H2044" s="0" t="e">
        <f aca="false">IF(OR(H1322="",AND(H1322=H1321,H1322=H1323)),NA(), H1322)</f>
        <v>#N/A</v>
      </c>
      <c r="K2044" s="0" t="e">
        <f aca="false">IF(ISNA(L2044),NA(),K1322)</f>
        <v>#N/A</v>
      </c>
      <c r="L2044" s="0" t="e">
        <f aca="false">IF(OR(L1322="",AND(L1322=L1321,L1322=L1323)),NA(), L1322)</f>
        <v>#N/A</v>
      </c>
      <c r="M2044" s="0" t="e">
        <f aca="false">IF(ISNA(N2044),NA(),M1322)</f>
        <v>#N/A</v>
      </c>
      <c r="N2044" s="0" t="e">
        <f aca="false">IF(OR(N1322="",AND(N1322=N1321,N1322=N1323)),NA(), N1322)</f>
        <v>#N/A</v>
      </c>
    </row>
    <row r="2045" customFormat="false" ht="15" hidden="false" customHeight="false" outlineLevel="0" collapsed="false">
      <c r="E2045" s="0" t="e">
        <f aca="false">IF(ISNA(F2045),NA(),E1323)</f>
        <v>#N/A</v>
      </c>
      <c r="F2045" s="0" t="e">
        <f aca="false">IF(OR(F1323="",AND(F1323=F1322,F1323=F1324)),NA(), F1323)</f>
        <v>#N/A</v>
      </c>
      <c r="G2045" s="0" t="e">
        <f aca="false">IF(ISNA(H2045),NA(),G1323)</f>
        <v>#N/A</v>
      </c>
      <c r="H2045" s="0" t="e">
        <f aca="false">IF(OR(H1323="",AND(H1323=H1322,H1323=H1324)),NA(), H1323)</f>
        <v>#N/A</v>
      </c>
      <c r="K2045" s="0" t="e">
        <f aca="false">IF(ISNA(L2045),NA(),K1323)</f>
        <v>#N/A</v>
      </c>
      <c r="L2045" s="0" t="e">
        <f aca="false">IF(OR(L1323="",AND(L1323=L1322,L1323=L1324)),NA(), L1323)</f>
        <v>#N/A</v>
      </c>
      <c r="M2045" s="0" t="e">
        <f aca="false">IF(ISNA(N2045),NA(),M1323)</f>
        <v>#N/A</v>
      </c>
      <c r="N2045" s="0" t="e">
        <f aca="false">IF(OR(N1323="",AND(N1323=N1322,N1323=N1324)),NA(), N1323)</f>
        <v>#N/A</v>
      </c>
    </row>
    <row r="2046" customFormat="false" ht="15" hidden="false" customHeight="false" outlineLevel="0" collapsed="false">
      <c r="E2046" s="0" t="e">
        <f aca="false">IF(ISNA(F2046),NA(),E1324)</f>
        <v>#N/A</v>
      </c>
      <c r="F2046" s="0" t="e">
        <f aca="false">IF(OR(F1324="",AND(F1324=F1323,F1324=F1325)),NA(), F1324)</f>
        <v>#N/A</v>
      </c>
      <c r="G2046" s="0" t="e">
        <f aca="false">IF(ISNA(H2046),NA(),G1324)</f>
        <v>#N/A</v>
      </c>
      <c r="H2046" s="0" t="e">
        <f aca="false">IF(OR(H1324="",AND(H1324=H1323,H1324=H1325)),NA(), H1324)</f>
        <v>#N/A</v>
      </c>
      <c r="K2046" s="0" t="e">
        <f aca="false">IF(ISNA(L2046),NA(),K1324)</f>
        <v>#N/A</v>
      </c>
      <c r="L2046" s="0" t="e">
        <f aca="false">IF(OR(L1324="",AND(L1324=L1323,L1324=L1325)),NA(), L1324)</f>
        <v>#N/A</v>
      </c>
      <c r="M2046" s="0" t="e">
        <f aca="false">IF(ISNA(N2046),NA(),M1324)</f>
        <v>#N/A</v>
      </c>
      <c r="N2046" s="0" t="e">
        <f aca="false">IF(OR(N1324="",AND(N1324=N1323,N1324=N1325)),NA(), N1324)</f>
        <v>#N/A</v>
      </c>
    </row>
    <row r="2047" customFormat="false" ht="15" hidden="false" customHeight="false" outlineLevel="0" collapsed="false">
      <c r="E2047" s="0" t="e">
        <f aca="false">IF(ISNA(F2047),NA(),E1325)</f>
        <v>#N/A</v>
      </c>
      <c r="F2047" s="0" t="e">
        <f aca="false">IF(OR(F1325="",AND(F1325=F1324,F1325=F1326)),NA(), F1325)</f>
        <v>#N/A</v>
      </c>
      <c r="G2047" s="0" t="e">
        <f aca="false">IF(ISNA(H2047),NA(),G1325)</f>
        <v>#N/A</v>
      </c>
      <c r="H2047" s="0" t="e">
        <f aca="false">IF(OR(H1325="",AND(H1325=H1324,H1325=H1326)),NA(), H1325)</f>
        <v>#N/A</v>
      </c>
      <c r="K2047" s="0" t="e">
        <f aca="false">IF(ISNA(L2047),NA(),K1325)</f>
        <v>#N/A</v>
      </c>
      <c r="L2047" s="0" t="e">
        <f aca="false">IF(OR(L1325="",AND(L1325=L1324,L1325=L1326)),NA(), L1325)</f>
        <v>#N/A</v>
      </c>
      <c r="M2047" s="0" t="e">
        <f aca="false">IF(ISNA(N2047),NA(),M1325)</f>
        <v>#N/A</v>
      </c>
      <c r="N2047" s="0" t="e">
        <f aca="false">IF(OR(N1325="",AND(N1325=N1324,N1325=N1326)),NA(), N1325)</f>
        <v>#N/A</v>
      </c>
    </row>
    <row r="2048" customFormat="false" ht="15" hidden="false" customHeight="false" outlineLevel="0" collapsed="false">
      <c r="E2048" s="0" t="e">
        <f aca="false">IF(ISNA(F2048),NA(),E1326)</f>
        <v>#N/A</v>
      </c>
      <c r="F2048" s="0" t="e">
        <f aca="false">IF(OR(F1326="",AND(F1326=F1325,F1326=F1327)),NA(), F1326)</f>
        <v>#N/A</v>
      </c>
      <c r="G2048" s="0" t="e">
        <f aca="false">IF(ISNA(H2048),NA(),G1326)</f>
        <v>#N/A</v>
      </c>
      <c r="H2048" s="0" t="e">
        <f aca="false">IF(OR(H1326="",AND(H1326=H1325,H1326=H1327)),NA(), H1326)</f>
        <v>#N/A</v>
      </c>
      <c r="K2048" s="0" t="e">
        <f aca="false">IF(ISNA(L2048),NA(),K1326)</f>
        <v>#N/A</v>
      </c>
      <c r="L2048" s="0" t="e">
        <f aca="false">IF(OR(L1326="",AND(L1326=L1325,L1326=L1327)),NA(), L1326)</f>
        <v>#N/A</v>
      </c>
      <c r="M2048" s="0" t="e">
        <f aca="false">IF(ISNA(N2048),NA(),M1326)</f>
        <v>#N/A</v>
      </c>
      <c r="N2048" s="0" t="e">
        <f aca="false">IF(OR(N1326="",AND(N1326=N1325,N1326=N1327)),NA(), N1326)</f>
        <v>#N/A</v>
      </c>
    </row>
    <row r="2049" customFormat="false" ht="15" hidden="false" customHeight="false" outlineLevel="0" collapsed="false">
      <c r="E2049" s="0" t="e">
        <f aca="false">IF(ISNA(F2049),NA(),E1327)</f>
        <v>#N/A</v>
      </c>
      <c r="F2049" s="0" t="e">
        <f aca="false">IF(OR(F1327="",AND(F1327=F1326,F1327=F1328)),NA(), F1327)</f>
        <v>#N/A</v>
      </c>
      <c r="G2049" s="0" t="e">
        <f aca="false">IF(ISNA(H2049),NA(),G1327)</f>
        <v>#N/A</v>
      </c>
      <c r="H2049" s="0" t="e">
        <f aca="false">IF(OR(H1327="",AND(H1327=H1326,H1327=H1328)),NA(), H1327)</f>
        <v>#N/A</v>
      </c>
      <c r="K2049" s="0" t="e">
        <f aca="false">IF(ISNA(L2049),NA(),K1327)</f>
        <v>#N/A</v>
      </c>
      <c r="L2049" s="0" t="e">
        <f aca="false">IF(OR(L1327="",AND(L1327=L1326,L1327=L1328)),NA(), L1327)</f>
        <v>#N/A</v>
      </c>
      <c r="M2049" s="0" t="e">
        <f aca="false">IF(ISNA(N2049),NA(),M1327)</f>
        <v>#N/A</v>
      </c>
      <c r="N2049" s="0" t="e">
        <f aca="false">IF(OR(N1327="",AND(N1327=N1326,N1327=N1328)),NA(), N1327)</f>
        <v>#N/A</v>
      </c>
    </row>
    <row r="2050" customFormat="false" ht="15" hidden="false" customHeight="false" outlineLevel="0" collapsed="false">
      <c r="E2050" s="0" t="e">
        <f aca="false">IF(ISNA(F2050),NA(),E1328)</f>
        <v>#N/A</v>
      </c>
      <c r="F2050" s="0" t="e">
        <f aca="false">IF(OR(F1328="",AND(F1328=F1327,F1328=F1329)),NA(), F1328)</f>
        <v>#N/A</v>
      </c>
      <c r="G2050" s="0" t="e">
        <f aca="false">IF(ISNA(H2050),NA(),G1328)</f>
        <v>#N/A</v>
      </c>
      <c r="H2050" s="0" t="e">
        <f aca="false">IF(OR(H1328="",AND(H1328=H1327,H1328=H1329)),NA(), H1328)</f>
        <v>#N/A</v>
      </c>
      <c r="K2050" s="0" t="e">
        <f aca="false">IF(ISNA(L2050),NA(),K1328)</f>
        <v>#N/A</v>
      </c>
      <c r="L2050" s="0" t="e">
        <f aca="false">IF(OR(L1328="",AND(L1328=L1327,L1328=L1329)),NA(), L1328)</f>
        <v>#N/A</v>
      </c>
      <c r="M2050" s="0" t="e">
        <f aca="false">IF(ISNA(N2050),NA(),M1328)</f>
        <v>#N/A</v>
      </c>
      <c r="N2050" s="0" t="e">
        <f aca="false">IF(OR(N1328="",AND(N1328=N1327,N1328=N1329)),NA(), N1328)</f>
        <v>#N/A</v>
      </c>
    </row>
    <row r="2051" customFormat="false" ht="15" hidden="false" customHeight="false" outlineLevel="0" collapsed="false">
      <c r="E2051" s="0" t="e">
        <f aca="false">IF(ISNA(F2051),NA(),E1329)</f>
        <v>#N/A</v>
      </c>
      <c r="F2051" s="0" t="e">
        <f aca="false">IF(OR(F1329="",AND(F1329=F1328,F1329=F1330)),NA(), F1329)</f>
        <v>#N/A</v>
      </c>
      <c r="G2051" s="0" t="e">
        <f aca="false">IF(ISNA(H2051),NA(),G1329)</f>
        <v>#N/A</v>
      </c>
      <c r="H2051" s="0" t="e">
        <f aca="false">IF(OR(H1329="",AND(H1329=H1328,H1329=H1330)),NA(), H1329)</f>
        <v>#N/A</v>
      </c>
      <c r="K2051" s="0" t="e">
        <f aca="false">IF(ISNA(L2051),NA(),K1329)</f>
        <v>#N/A</v>
      </c>
      <c r="L2051" s="0" t="e">
        <f aca="false">IF(OR(L1329="",AND(L1329=L1328,L1329=L1330)),NA(), L1329)</f>
        <v>#N/A</v>
      </c>
      <c r="M2051" s="0" t="e">
        <f aca="false">IF(ISNA(N2051),NA(),M1329)</f>
        <v>#N/A</v>
      </c>
      <c r="N2051" s="0" t="e">
        <f aca="false">IF(OR(N1329="",AND(N1329=N1328,N1329=N1330)),NA(), N1329)</f>
        <v>#N/A</v>
      </c>
    </row>
    <row r="2052" customFormat="false" ht="15" hidden="false" customHeight="false" outlineLevel="0" collapsed="false">
      <c r="E2052" s="0" t="e">
        <f aca="false">IF(ISNA(F2052),NA(),E1330)</f>
        <v>#N/A</v>
      </c>
      <c r="F2052" s="0" t="e">
        <f aca="false">IF(OR(F1330="",AND(F1330=F1329,F1330=F1331)),NA(), F1330)</f>
        <v>#N/A</v>
      </c>
      <c r="G2052" s="0" t="e">
        <f aca="false">IF(ISNA(H2052),NA(),G1330)</f>
        <v>#N/A</v>
      </c>
      <c r="H2052" s="0" t="e">
        <f aca="false">IF(OR(H1330="",AND(H1330=H1329,H1330=H1331)),NA(), H1330)</f>
        <v>#N/A</v>
      </c>
      <c r="K2052" s="0" t="e">
        <f aca="false">IF(ISNA(L2052),NA(),K1330)</f>
        <v>#N/A</v>
      </c>
      <c r="L2052" s="0" t="e">
        <f aca="false">IF(OR(L1330="",AND(L1330=L1329,L1330=L1331)),NA(), L1330)</f>
        <v>#N/A</v>
      </c>
      <c r="M2052" s="0" t="e">
        <f aca="false">IF(ISNA(N2052),NA(),M1330)</f>
        <v>#N/A</v>
      </c>
      <c r="N2052" s="0" t="e">
        <f aca="false">IF(OR(N1330="",AND(N1330=N1329,N1330=N1331)),NA(), N1330)</f>
        <v>#N/A</v>
      </c>
    </row>
    <row r="2053" customFormat="false" ht="15" hidden="false" customHeight="false" outlineLevel="0" collapsed="false">
      <c r="E2053" s="0" t="e">
        <f aca="false">IF(ISNA(F2053),NA(),E1331)</f>
        <v>#N/A</v>
      </c>
      <c r="F2053" s="0" t="e">
        <f aca="false">IF(OR(F1331="",AND(F1331=F1330,F1331=F1332)),NA(), F1331)</f>
        <v>#N/A</v>
      </c>
      <c r="G2053" s="0" t="e">
        <f aca="false">IF(ISNA(H2053),NA(),G1331)</f>
        <v>#N/A</v>
      </c>
      <c r="H2053" s="0" t="e">
        <f aca="false">IF(OR(H1331="",AND(H1331=H1330,H1331=H1332)),NA(), H1331)</f>
        <v>#N/A</v>
      </c>
      <c r="K2053" s="0" t="e">
        <f aca="false">IF(ISNA(L2053),NA(),K1331)</f>
        <v>#N/A</v>
      </c>
      <c r="L2053" s="0" t="e">
        <f aca="false">IF(OR(L1331="",AND(L1331=L1330,L1331=L1332)),NA(), L1331)</f>
        <v>#N/A</v>
      </c>
      <c r="M2053" s="0" t="e">
        <f aca="false">IF(ISNA(N2053),NA(),M1331)</f>
        <v>#N/A</v>
      </c>
      <c r="N2053" s="0" t="e">
        <f aca="false">IF(OR(N1331="",AND(N1331=N1330,N1331=N1332)),NA(), N1331)</f>
        <v>#N/A</v>
      </c>
    </row>
    <row r="2054" customFormat="false" ht="15" hidden="false" customHeight="false" outlineLevel="0" collapsed="false">
      <c r="E2054" s="0" t="e">
        <f aca="false">IF(ISNA(F2054),NA(),E1332)</f>
        <v>#N/A</v>
      </c>
      <c r="F2054" s="0" t="e">
        <f aca="false">IF(OR(F1332="",AND(F1332=F1331,F1332=F1333)),NA(), F1332)</f>
        <v>#N/A</v>
      </c>
      <c r="G2054" s="0" t="e">
        <f aca="false">IF(ISNA(H2054),NA(),G1332)</f>
        <v>#N/A</v>
      </c>
      <c r="H2054" s="0" t="e">
        <f aca="false">IF(OR(H1332="",AND(H1332=H1331,H1332=H1333)),NA(), H1332)</f>
        <v>#N/A</v>
      </c>
      <c r="K2054" s="0" t="e">
        <f aca="false">IF(ISNA(L2054),NA(),K1332)</f>
        <v>#N/A</v>
      </c>
      <c r="L2054" s="0" t="e">
        <f aca="false">IF(OR(L1332="",AND(L1332=L1331,L1332=L1333)),NA(), L1332)</f>
        <v>#N/A</v>
      </c>
      <c r="M2054" s="0" t="e">
        <f aca="false">IF(ISNA(N2054),NA(),M1332)</f>
        <v>#N/A</v>
      </c>
      <c r="N2054" s="0" t="e">
        <f aca="false">IF(OR(N1332="",AND(N1332=N1331,N1332=N1333)),NA(), N1332)</f>
        <v>#N/A</v>
      </c>
    </row>
    <row r="2055" customFormat="false" ht="15" hidden="false" customHeight="false" outlineLevel="0" collapsed="false">
      <c r="E2055" s="0" t="e">
        <f aca="false">IF(ISNA(F2055),NA(),E1333)</f>
        <v>#N/A</v>
      </c>
      <c r="F2055" s="0" t="e">
        <f aca="false">IF(OR(F1333="",AND(F1333=F1332,F1333=F1334)),NA(), F1333)</f>
        <v>#N/A</v>
      </c>
      <c r="G2055" s="0" t="e">
        <f aca="false">IF(ISNA(H2055),NA(),G1333)</f>
        <v>#N/A</v>
      </c>
      <c r="H2055" s="0" t="e">
        <f aca="false">IF(OR(H1333="",AND(H1333=H1332,H1333=H1334)),NA(), H1333)</f>
        <v>#N/A</v>
      </c>
      <c r="K2055" s="0" t="e">
        <f aca="false">IF(ISNA(L2055),NA(),K1333)</f>
        <v>#N/A</v>
      </c>
      <c r="L2055" s="0" t="e">
        <f aca="false">IF(OR(L1333="",AND(L1333=L1332,L1333=L1334)),NA(), L1333)</f>
        <v>#N/A</v>
      </c>
      <c r="M2055" s="0" t="e">
        <f aca="false">IF(ISNA(N2055),NA(),M1333)</f>
        <v>#N/A</v>
      </c>
      <c r="N2055" s="0" t="e">
        <f aca="false">IF(OR(N1333="",AND(N1333=N1332,N1333=N1334)),NA(), N1333)</f>
        <v>#N/A</v>
      </c>
    </row>
    <row r="2056" customFormat="false" ht="15" hidden="false" customHeight="false" outlineLevel="0" collapsed="false">
      <c r="E2056" s="0" t="e">
        <f aca="false">IF(ISNA(F2056),NA(),E1334)</f>
        <v>#N/A</v>
      </c>
      <c r="F2056" s="0" t="e">
        <f aca="false">IF(OR(F1334="",AND(F1334=F1333,F1334=F1335)),NA(), F1334)</f>
        <v>#N/A</v>
      </c>
      <c r="G2056" s="0" t="e">
        <f aca="false">IF(ISNA(H2056),NA(),G1334)</f>
        <v>#N/A</v>
      </c>
      <c r="H2056" s="0" t="e">
        <f aca="false">IF(OR(H1334="",AND(H1334=H1333,H1334=H1335)),NA(), H1334)</f>
        <v>#N/A</v>
      </c>
      <c r="K2056" s="0" t="e">
        <f aca="false">IF(ISNA(L2056),NA(),K1334)</f>
        <v>#N/A</v>
      </c>
      <c r="L2056" s="0" t="e">
        <f aca="false">IF(OR(L1334="",AND(L1334=L1333,L1334=L1335)),NA(), L1334)</f>
        <v>#N/A</v>
      </c>
      <c r="M2056" s="0" t="e">
        <f aca="false">IF(ISNA(N2056),NA(),M1334)</f>
        <v>#N/A</v>
      </c>
      <c r="N2056" s="0" t="e">
        <f aca="false">IF(OR(N1334="",AND(N1334=N1333,N1334=N1335)),NA(), N1334)</f>
        <v>#N/A</v>
      </c>
    </row>
    <row r="2057" customFormat="false" ht="15" hidden="false" customHeight="false" outlineLevel="0" collapsed="false">
      <c r="E2057" s="0" t="e">
        <f aca="false">IF(ISNA(F2057),NA(),E1335)</f>
        <v>#N/A</v>
      </c>
      <c r="F2057" s="0" t="e">
        <f aca="false">IF(OR(F1335="",AND(F1335=F1334,F1335=F1336)),NA(), F1335)</f>
        <v>#N/A</v>
      </c>
      <c r="G2057" s="0" t="e">
        <f aca="false">IF(ISNA(H2057),NA(),G1335)</f>
        <v>#N/A</v>
      </c>
      <c r="H2057" s="0" t="e">
        <f aca="false">IF(OR(H1335="",AND(H1335=H1334,H1335=H1336)),NA(), H1335)</f>
        <v>#N/A</v>
      </c>
      <c r="K2057" s="0" t="e">
        <f aca="false">IF(ISNA(L2057),NA(),K1335)</f>
        <v>#N/A</v>
      </c>
      <c r="L2057" s="0" t="e">
        <f aca="false">IF(OR(L1335="",AND(L1335=L1334,L1335=L1336)),NA(), L1335)</f>
        <v>#N/A</v>
      </c>
      <c r="M2057" s="0" t="e">
        <f aca="false">IF(ISNA(N2057),NA(),M1335)</f>
        <v>#N/A</v>
      </c>
      <c r="N2057" s="0" t="e">
        <f aca="false">IF(OR(N1335="",AND(N1335=N1334,N1335=N1336)),NA(), N1335)</f>
        <v>#N/A</v>
      </c>
    </row>
    <row r="2058" customFormat="false" ht="15" hidden="false" customHeight="false" outlineLevel="0" collapsed="false">
      <c r="E2058" s="0" t="e">
        <f aca="false">IF(ISNA(F2058),NA(),E1336)</f>
        <v>#N/A</v>
      </c>
      <c r="F2058" s="0" t="e">
        <f aca="false">IF(OR(F1336="",AND(F1336=F1335,F1336=F1337)),NA(), F1336)</f>
        <v>#N/A</v>
      </c>
      <c r="G2058" s="0" t="e">
        <f aca="false">IF(ISNA(H2058),NA(),G1336)</f>
        <v>#N/A</v>
      </c>
      <c r="H2058" s="0" t="e">
        <f aca="false">IF(OR(H1336="",AND(H1336=H1335,H1336=H1337)),NA(), H1336)</f>
        <v>#N/A</v>
      </c>
      <c r="K2058" s="0" t="e">
        <f aca="false">IF(ISNA(L2058),NA(),K1336)</f>
        <v>#N/A</v>
      </c>
      <c r="L2058" s="0" t="e">
        <f aca="false">IF(OR(L1336="",AND(L1336=L1335,L1336=L1337)),NA(), L1336)</f>
        <v>#N/A</v>
      </c>
      <c r="M2058" s="0" t="e">
        <f aca="false">IF(ISNA(N2058),NA(),M1336)</f>
        <v>#N/A</v>
      </c>
      <c r="N2058" s="0" t="e">
        <f aca="false">IF(OR(N1336="",AND(N1336=N1335,N1336=N1337)),NA(), N1336)</f>
        <v>#N/A</v>
      </c>
    </row>
    <row r="2059" customFormat="false" ht="15" hidden="false" customHeight="false" outlineLevel="0" collapsed="false">
      <c r="E2059" s="0" t="e">
        <f aca="false">IF(ISNA(F2059),NA(),E1337)</f>
        <v>#N/A</v>
      </c>
      <c r="F2059" s="0" t="e">
        <f aca="false">IF(OR(F1337="",AND(F1337=F1336,F1337=F1338)),NA(), F1337)</f>
        <v>#N/A</v>
      </c>
      <c r="G2059" s="0" t="e">
        <f aca="false">IF(ISNA(H2059),NA(),G1337)</f>
        <v>#N/A</v>
      </c>
      <c r="H2059" s="0" t="e">
        <f aca="false">IF(OR(H1337="",AND(H1337=H1336,H1337=H1338)),NA(), H1337)</f>
        <v>#N/A</v>
      </c>
      <c r="K2059" s="0" t="e">
        <f aca="false">IF(ISNA(L2059),NA(),K1337)</f>
        <v>#N/A</v>
      </c>
      <c r="L2059" s="0" t="e">
        <f aca="false">IF(OR(L1337="",AND(L1337=L1336,L1337=L1338)),NA(), L1337)</f>
        <v>#N/A</v>
      </c>
      <c r="M2059" s="0" t="e">
        <f aca="false">IF(ISNA(N2059),NA(),M1337)</f>
        <v>#N/A</v>
      </c>
      <c r="N2059" s="0" t="e">
        <f aca="false">IF(OR(N1337="",AND(N1337=N1336,N1337=N1338)),NA(), N1337)</f>
        <v>#N/A</v>
      </c>
    </row>
    <row r="2060" customFormat="false" ht="15" hidden="false" customHeight="false" outlineLevel="0" collapsed="false">
      <c r="E2060" s="0" t="e">
        <f aca="false">IF(ISNA(F2060),NA(),E1338)</f>
        <v>#N/A</v>
      </c>
      <c r="F2060" s="0" t="e">
        <f aca="false">IF(OR(F1338="",AND(F1338=F1337,F1338=F1339)),NA(), F1338)</f>
        <v>#N/A</v>
      </c>
      <c r="G2060" s="0" t="e">
        <f aca="false">IF(ISNA(H2060),NA(),G1338)</f>
        <v>#N/A</v>
      </c>
      <c r="H2060" s="0" t="e">
        <f aca="false">IF(OR(H1338="",AND(H1338=H1337,H1338=H1339)),NA(), H1338)</f>
        <v>#N/A</v>
      </c>
      <c r="K2060" s="0" t="e">
        <f aca="false">IF(ISNA(L2060),NA(),K1338)</f>
        <v>#N/A</v>
      </c>
      <c r="L2060" s="0" t="e">
        <f aca="false">IF(OR(L1338="",AND(L1338=L1337,L1338=L1339)),NA(), L1338)</f>
        <v>#N/A</v>
      </c>
      <c r="M2060" s="0" t="e">
        <f aca="false">IF(ISNA(N2060),NA(),M1338)</f>
        <v>#N/A</v>
      </c>
      <c r="N2060" s="0" t="e">
        <f aca="false">IF(OR(N1338="",AND(N1338=N1337,N1338=N1339)),NA(), N1338)</f>
        <v>#N/A</v>
      </c>
    </row>
    <row r="2061" customFormat="false" ht="15" hidden="false" customHeight="false" outlineLevel="0" collapsed="false">
      <c r="E2061" s="0" t="e">
        <f aca="false">IF(ISNA(F2061),NA(),E1339)</f>
        <v>#N/A</v>
      </c>
      <c r="F2061" s="0" t="e">
        <f aca="false">IF(OR(F1339="",AND(F1339=F1338,F1339=F1340)),NA(), F1339)</f>
        <v>#N/A</v>
      </c>
      <c r="G2061" s="0" t="e">
        <f aca="false">IF(ISNA(H2061),NA(),G1339)</f>
        <v>#N/A</v>
      </c>
      <c r="H2061" s="0" t="e">
        <f aca="false">IF(OR(H1339="",AND(H1339=H1338,H1339=H1340)),NA(), H1339)</f>
        <v>#N/A</v>
      </c>
      <c r="K2061" s="0" t="e">
        <f aca="false">IF(ISNA(L2061),NA(),K1339)</f>
        <v>#N/A</v>
      </c>
      <c r="L2061" s="0" t="e">
        <f aca="false">IF(OR(L1339="",AND(L1339=L1338,L1339=L1340)),NA(), L1339)</f>
        <v>#N/A</v>
      </c>
      <c r="M2061" s="0" t="e">
        <f aca="false">IF(ISNA(N2061),NA(),M1339)</f>
        <v>#N/A</v>
      </c>
      <c r="N2061" s="0" t="e">
        <f aca="false">IF(OR(N1339="",AND(N1339=N1338,N1339=N1340)),NA(), N1339)</f>
        <v>#N/A</v>
      </c>
    </row>
    <row r="2062" customFormat="false" ht="15" hidden="false" customHeight="false" outlineLevel="0" collapsed="false">
      <c r="E2062" s="0" t="e">
        <f aca="false">IF(ISNA(F2062),NA(),E1340)</f>
        <v>#N/A</v>
      </c>
      <c r="F2062" s="0" t="e">
        <f aca="false">IF(OR(F1340="",AND(F1340=F1339,F1340=F1341)),NA(), F1340)</f>
        <v>#N/A</v>
      </c>
      <c r="G2062" s="0" t="e">
        <f aca="false">IF(ISNA(H2062),NA(),G1340)</f>
        <v>#N/A</v>
      </c>
      <c r="H2062" s="0" t="e">
        <f aca="false">IF(OR(H1340="",AND(H1340=H1339,H1340=H1341)),NA(), H1340)</f>
        <v>#N/A</v>
      </c>
      <c r="K2062" s="0" t="e">
        <f aca="false">IF(ISNA(L2062),NA(),K1340)</f>
        <v>#N/A</v>
      </c>
      <c r="L2062" s="0" t="e">
        <f aca="false">IF(OR(L1340="",AND(L1340=L1339,L1340=L1341)),NA(), L1340)</f>
        <v>#N/A</v>
      </c>
      <c r="M2062" s="0" t="e">
        <f aca="false">IF(ISNA(N2062),NA(),M1340)</f>
        <v>#N/A</v>
      </c>
      <c r="N2062" s="0" t="e">
        <f aca="false">IF(OR(N1340="",AND(N1340=N1339,N1340=N1341)),NA(), N1340)</f>
        <v>#N/A</v>
      </c>
    </row>
    <row r="2063" customFormat="false" ht="15" hidden="false" customHeight="false" outlineLevel="0" collapsed="false">
      <c r="E2063" s="0" t="e">
        <f aca="false">IF(ISNA(F2063),NA(),E1341)</f>
        <v>#N/A</v>
      </c>
      <c r="F2063" s="0" t="e">
        <f aca="false">IF(OR(F1341="",AND(F1341=F1340,F1341=F1342)),NA(), F1341)</f>
        <v>#N/A</v>
      </c>
      <c r="G2063" s="0" t="e">
        <f aca="false">IF(ISNA(H2063),NA(),G1341)</f>
        <v>#N/A</v>
      </c>
      <c r="H2063" s="0" t="e">
        <f aca="false">IF(OR(H1341="",AND(H1341=H1340,H1341=H1342)),NA(), H1341)</f>
        <v>#N/A</v>
      </c>
      <c r="K2063" s="0" t="e">
        <f aca="false">IF(ISNA(L2063),NA(),K1341)</f>
        <v>#N/A</v>
      </c>
      <c r="L2063" s="0" t="e">
        <f aca="false">IF(OR(L1341="",AND(L1341=L1340,L1341=L1342)),NA(), L1341)</f>
        <v>#N/A</v>
      </c>
      <c r="M2063" s="0" t="e">
        <f aca="false">IF(ISNA(N2063),NA(),M1341)</f>
        <v>#N/A</v>
      </c>
      <c r="N2063" s="0" t="e">
        <f aca="false">IF(OR(N1341="",AND(N1341=N1340,N1341=N1342)),NA(), N1341)</f>
        <v>#N/A</v>
      </c>
    </row>
    <row r="2064" customFormat="false" ht="15" hidden="false" customHeight="false" outlineLevel="0" collapsed="false">
      <c r="E2064" s="0" t="e">
        <f aca="false">IF(ISNA(F2064),NA(),E1342)</f>
        <v>#N/A</v>
      </c>
      <c r="F2064" s="0" t="e">
        <f aca="false">IF(OR(F1342="",AND(F1342=F1341,F1342=F1343)),NA(), F1342)</f>
        <v>#N/A</v>
      </c>
      <c r="G2064" s="0" t="e">
        <f aca="false">IF(ISNA(H2064),NA(),G1342)</f>
        <v>#N/A</v>
      </c>
      <c r="H2064" s="0" t="e">
        <f aca="false">IF(OR(H1342="",AND(H1342=H1341,H1342=H1343)),NA(), H1342)</f>
        <v>#N/A</v>
      </c>
      <c r="K2064" s="0" t="e">
        <f aca="false">IF(ISNA(L2064),NA(),K1342)</f>
        <v>#N/A</v>
      </c>
      <c r="L2064" s="0" t="e">
        <f aca="false">IF(OR(L1342="",AND(L1342=L1341,L1342=L1343)),NA(), L1342)</f>
        <v>#N/A</v>
      </c>
      <c r="M2064" s="0" t="e">
        <f aca="false">IF(ISNA(N2064),NA(),M1342)</f>
        <v>#N/A</v>
      </c>
      <c r="N2064" s="0" t="e">
        <f aca="false">IF(OR(N1342="",AND(N1342=N1341,N1342=N1343)),NA(), N1342)</f>
        <v>#N/A</v>
      </c>
    </row>
    <row r="2065" customFormat="false" ht="15" hidden="false" customHeight="false" outlineLevel="0" collapsed="false">
      <c r="E2065" s="0" t="e">
        <f aca="false">IF(ISNA(F2065),NA(),E1343)</f>
        <v>#N/A</v>
      </c>
      <c r="F2065" s="0" t="e">
        <f aca="false">IF(OR(F1343="",AND(F1343=F1342,F1343=F1344)),NA(), F1343)</f>
        <v>#N/A</v>
      </c>
      <c r="G2065" s="0" t="e">
        <f aca="false">IF(ISNA(H2065),NA(),G1343)</f>
        <v>#N/A</v>
      </c>
      <c r="H2065" s="0" t="e">
        <f aca="false">IF(OR(H1343="",AND(H1343=H1342,H1343=H1344)),NA(), H1343)</f>
        <v>#N/A</v>
      </c>
      <c r="K2065" s="0" t="e">
        <f aca="false">IF(ISNA(L2065),NA(),K1343)</f>
        <v>#N/A</v>
      </c>
      <c r="L2065" s="0" t="e">
        <f aca="false">IF(OR(L1343="",AND(L1343=L1342,L1343=L1344)),NA(), L1343)</f>
        <v>#N/A</v>
      </c>
      <c r="M2065" s="0" t="e">
        <f aca="false">IF(ISNA(N2065),NA(),M1343)</f>
        <v>#N/A</v>
      </c>
      <c r="N2065" s="0" t="e">
        <f aca="false">IF(OR(N1343="",AND(N1343=N1342,N1343=N1344)),NA(), N1343)</f>
        <v>#N/A</v>
      </c>
    </row>
    <row r="2066" customFormat="false" ht="15" hidden="false" customHeight="false" outlineLevel="0" collapsed="false">
      <c r="E2066" s="0" t="e">
        <f aca="false">IF(ISNA(F2066),NA(),E1344)</f>
        <v>#N/A</v>
      </c>
      <c r="F2066" s="0" t="e">
        <f aca="false">IF(OR(F1344="",AND(F1344=F1343,F1344=F1345)),NA(), F1344)</f>
        <v>#N/A</v>
      </c>
      <c r="G2066" s="0" t="e">
        <f aca="false">IF(ISNA(H2066),NA(),G1344)</f>
        <v>#N/A</v>
      </c>
      <c r="H2066" s="0" t="e">
        <f aca="false">IF(OR(H1344="",AND(H1344=H1343,H1344=H1345)),NA(), H1344)</f>
        <v>#N/A</v>
      </c>
      <c r="K2066" s="0" t="e">
        <f aca="false">IF(ISNA(L2066),NA(),K1344)</f>
        <v>#N/A</v>
      </c>
      <c r="L2066" s="0" t="e">
        <f aca="false">IF(OR(L1344="",AND(L1344=L1343,L1344=L1345)),NA(), L1344)</f>
        <v>#N/A</v>
      </c>
      <c r="M2066" s="0" t="e">
        <f aca="false">IF(ISNA(N2066),NA(),M1344)</f>
        <v>#N/A</v>
      </c>
      <c r="N2066" s="0" t="e">
        <f aca="false">IF(OR(N1344="",AND(N1344=N1343,N1344=N1345)),NA(), N1344)</f>
        <v>#N/A</v>
      </c>
    </row>
    <row r="2067" customFormat="false" ht="15" hidden="false" customHeight="false" outlineLevel="0" collapsed="false">
      <c r="E2067" s="0" t="e">
        <f aca="false">IF(ISNA(F2067),NA(),E1345)</f>
        <v>#N/A</v>
      </c>
      <c r="F2067" s="0" t="e">
        <f aca="false">IF(OR(F1345="",AND(F1345=F1344,F1345=F1346)),NA(), F1345)</f>
        <v>#N/A</v>
      </c>
      <c r="G2067" s="0" t="e">
        <f aca="false">IF(ISNA(H2067),NA(),G1345)</f>
        <v>#N/A</v>
      </c>
      <c r="H2067" s="0" t="e">
        <f aca="false">IF(OR(H1345="",AND(H1345=H1344,H1345=H1346)),NA(), H1345)</f>
        <v>#N/A</v>
      </c>
      <c r="K2067" s="0" t="e">
        <f aca="false">IF(ISNA(L2067),NA(),K1345)</f>
        <v>#N/A</v>
      </c>
      <c r="L2067" s="0" t="e">
        <f aca="false">IF(OR(L1345="",AND(L1345=L1344,L1345=L1346)),NA(), L1345)</f>
        <v>#N/A</v>
      </c>
      <c r="M2067" s="0" t="e">
        <f aca="false">IF(ISNA(N2067),NA(),M1345)</f>
        <v>#N/A</v>
      </c>
      <c r="N2067" s="0" t="e">
        <f aca="false">IF(OR(N1345="",AND(N1345=N1344,N1345=N1346)),NA(), N1345)</f>
        <v>#N/A</v>
      </c>
    </row>
    <row r="2068" customFormat="false" ht="15" hidden="false" customHeight="false" outlineLevel="0" collapsed="false">
      <c r="E2068" s="0" t="e">
        <f aca="false">IF(ISNA(F2068),NA(),E1346)</f>
        <v>#N/A</v>
      </c>
      <c r="F2068" s="0" t="e">
        <f aca="false">IF(OR(F1346="",AND(F1346=F1345,F1346=F1347)),NA(), F1346)</f>
        <v>#N/A</v>
      </c>
      <c r="G2068" s="0" t="e">
        <f aca="false">IF(ISNA(H2068),NA(),G1346)</f>
        <v>#N/A</v>
      </c>
      <c r="H2068" s="0" t="e">
        <f aca="false">IF(OR(H1346="",AND(H1346=H1345,H1346=H1347)),NA(), H1346)</f>
        <v>#N/A</v>
      </c>
      <c r="K2068" s="0" t="e">
        <f aca="false">IF(ISNA(L2068),NA(),K1346)</f>
        <v>#N/A</v>
      </c>
      <c r="L2068" s="0" t="e">
        <f aca="false">IF(OR(L1346="",AND(L1346=L1345,L1346=L1347)),NA(), L1346)</f>
        <v>#N/A</v>
      </c>
      <c r="M2068" s="0" t="e">
        <f aca="false">IF(ISNA(N2068),NA(),M1346)</f>
        <v>#N/A</v>
      </c>
      <c r="N2068" s="0" t="e">
        <f aca="false">IF(OR(N1346="",AND(N1346=N1345,N1346=N1347)),NA(), N1346)</f>
        <v>#N/A</v>
      </c>
    </row>
    <row r="2069" customFormat="false" ht="15" hidden="false" customHeight="false" outlineLevel="0" collapsed="false">
      <c r="E2069" s="0" t="e">
        <f aca="false">IF(ISNA(F2069),NA(),E1347)</f>
        <v>#N/A</v>
      </c>
      <c r="F2069" s="0" t="e">
        <f aca="false">IF(OR(F1347="",AND(F1347=F1346,F1347=F1348)),NA(), F1347)</f>
        <v>#N/A</v>
      </c>
      <c r="G2069" s="0" t="e">
        <f aca="false">IF(ISNA(H2069),NA(),G1347)</f>
        <v>#N/A</v>
      </c>
      <c r="H2069" s="0" t="e">
        <f aca="false">IF(OR(H1347="",AND(H1347=H1346,H1347=H1348)),NA(), H1347)</f>
        <v>#N/A</v>
      </c>
      <c r="K2069" s="0" t="e">
        <f aca="false">IF(ISNA(L2069),NA(),K1347)</f>
        <v>#N/A</v>
      </c>
      <c r="L2069" s="0" t="e">
        <f aca="false">IF(OR(L1347="",AND(L1347=L1346,L1347=L1348)),NA(), L1347)</f>
        <v>#N/A</v>
      </c>
      <c r="M2069" s="0" t="e">
        <f aca="false">IF(ISNA(N2069),NA(),M1347)</f>
        <v>#N/A</v>
      </c>
      <c r="N2069" s="0" t="e">
        <f aca="false">IF(OR(N1347="",AND(N1347=N1346,N1347=N1348)),NA(), N1347)</f>
        <v>#N/A</v>
      </c>
    </row>
    <row r="2070" customFormat="false" ht="15" hidden="false" customHeight="false" outlineLevel="0" collapsed="false">
      <c r="E2070" s="0" t="e">
        <f aca="false">IF(ISNA(F2070),NA(),E1348)</f>
        <v>#N/A</v>
      </c>
      <c r="F2070" s="0" t="e">
        <f aca="false">IF(OR(F1348="",AND(F1348=F1347,F1348=F1349)),NA(), F1348)</f>
        <v>#N/A</v>
      </c>
      <c r="G2070" s="0" t="e">
        <f aca="false">IF(ISNA(H2070),NA(),G1348)</f>
        <v>#N/A</v>
      </c>
      <c r="H2070" s="0" t="e">
        <f aca="false">IF(OR(H1348="",AND(H1348=H1347,H1348=H1349)),NA(), H1348)</f>
        <v>#N/A</v>
      </c>
      <c r="K2070" s="0" t="e">
        <f aca="false">IF(ISNA(L2070),NA(),K1348)</f>
        <v>#N/A</v>
      </c>
      <c r="L2070" s="0" t="e">
        <f aca="false">IF(OR(L1348="",AND(L1348=L1347,L1348=L1349)),NA(), L1348)</f>
        <v>#N/A</v>
      </c>
      <c r="M2070" s="0" t="e">
        <f aca="false">IF(ISNA(N2070),NA(),M1348)</f>
        <v>#N/A</v>
      </c>
      <c r="N2070" s="0" t="e">
        <f aca="false">IF(OR(N1348="",AND(N1348=N1347,N1348=N1349)),NA(), N1348)</f>
        <v>#N/A</v>
      </c>
    </row>
    <row r="2071" customFormat="false" ht="15" hidden="false" customHeight="false" outlineLevel="0" collapsed="false">
      <c r="E2071" s="0" t="e">
        <f aca="false">IF(ISNA(F2071),NA(),E1349)</f>
        <v>#N/A</v>
      </c>
      <c r="F2071" s="0" t="e">
        <f aca="false">IF(OR(F1349="",AND(F1349=F1348,F1349=F1350)),NA(), F1349)</f>
        <v>#N/A</v>
      </c>
      <c r="G2071" s="0" t="e">
        <f aca="false">IF(ISNA(H2071),NA(),G1349)</f>
        <v>#N/A</v>
      </c>
      <c r="H2071" s="0" t="e">
        <f aca="false">IF(OR(H1349="",AND(H1349=H1348,H1349=H1350)),NA(), H1349)</f>
        <v>#N/A</v>
      </c>
      <c r="K2071" s="0" t="e">
        <f aca="false">IF(ISNA(L2071),NA(),K1349)</f>
        <v>#N/A</v>
      </c>
      <c r="L2071" s="0" t="e">
        <f aca="false">IF(OR(L1349="",AND(L1349=L1348,L1349=L1350)),NA(), L1349)</f>
        <v>#N/A</v>
      </c>
      <c r="M2071" s="0" t="e">
        <f aca="false">IF(ISNA(N2071),NA(),M1349)</f>
        <v>#N/A</v>
      </c>
      <c r="N2071" s="0" t="e">
        <f aca="false">IF(OR(N1349="",AND(N1349=N1348,N1349=N1350)),NA(), N1349)</f>
        <v>#N/A</v>
      </c>
    </row>
    <row r="2072" customFormat="false" ht="15" hidden="false" customHeight="false" outlineLevel="0" collapsed="false">
      <c r="E2072" s="0" t="e">
        <f aca="false">IF(ISNA(F2072),NA(),E1350)</f>
        <v>#N/A</v>
      </c>
      <c r="F2072" s="0" t="e">
        <f aca="false">IF(OR(F1350="",AND(F1350=F1349,F1350=F1351)),NA(), F1350)</f>
        <v>#N/A</v>
      </c>
      <c r="G2072" s="0" t="e">
        <f aca="false">IF(ISNA(H2072),NA(),G1350)</f>
        <v>#N/A</v>
      </c>
      <c r="H2072" s="0" t="e">
        <f aca="false">IF(OR(H1350="",AND(H1350=H1349,H1350=H1351)),NA(), H1350)</f>
        <v>#N/A</v>
      </c>
      <c r="K2072" s="0" t="e">
        <f aca="false">IF(ISNA(L2072),NA(),K1350)</f>
        <v>#N/A</v>
      </c>
      <c r="L2072" s="0" t="e">
        <f aca="false">IF(OR(L1350="",AND(L1350=L1349,L1350=L1351)),NA(), L1350)</f>
        <v>#N/A</v>
      </c>
      <c r="M2072" s="0" t="e">
        <f aca="false">IF(ISNA(N2072),NA(),M1350)</f>
        <v>#N/A</v>
      </c>
      <c r="N2072" s="0" t="e">
        <f aca="false">IF(OR(N1350="",AND(N1350=N1349,N1350=N1351)),NA(), N1350)</f>
        <v>#N/A</v>
      </c>
    </row>
    <row r="2073" customFormat="false" ht="15" hidden="false" customHeight="false" outlineLevel="0" collapsed="false">
      <c r="E2073" s="0" t="e">
        <f aca="false">IF(ISNA(F2073),NA(),E1351)</f>
        <v>#N/A</v>
      </c>
      <c r="F2073" s="0" t="e">
        <f aca="false">IF(OR(F1351="",AND(F1351=F1350,F1351=F1352)),NA(), F1351)</f>
        <v>#N/A</v>
      </c>
      <c r="G2073" s="0" t="e">
        <f aca="false">IF(ISNA(H2073),NA(),G1351)</f>
        <v>#N/A</v>
      </c>
      <c r="H2073" s="0" t="e">
        <f aca="false">IF(OR(H1351="",AND(H1351=H1350,H1351=H1352)),NA(), H1351)</f>
        <v>#N/A</v>
      </c>
      <c r="K2073" s="0" t="e">
        <f aca="false">IF(ISNA(L2073),NA(),K1351)</f>
        <v>#N/A</v>
      </c>
      <c r="L2073" s="0" t="e">
        <f aca="false">IF(OR(L1351="",AND(L1351=L1350,L1351=L1352)),NA(), L1351)</f>
        <v>#N/A</v>
      </c>
      <c r="M2073" s="0" t="e">
        <f aca="false">IF(ISNA(N2073),NA(),M1351)</f>
        <v>#N/A</v>
      </c>
      <c r="N2073" s="0" t="e">
        <f aca="false">IF(OR(N1351="",AND(N1351=N1350,N1351=N1352)),NA(), N1351)</f>
        <v>#N/A</v>
      </c>
    </row>
    <row r="2074" customFormat="false" ht="15" hidden="false" customHeight="false" outlineLevel="0" collapsed="false">
      <c r="E2074" s="0" t="e">
        <f aca="false">IF(ISNA(F2074),NA(),E1352)</f>
        <v>#N/A</v>
      </c>
      <c r="F2074" s="0" t="e">
        <f aca="false">IF(OR(F1352="",AND(F1352=F1351,F1352=F1353)),NA(), F1352)</f>
        <v>#N/A</v>
      </c>
      <c r="G2074" s="0" t="e">
        <f aca="false">IF(ISNA(H2074),NA(),G1352)</f>
        <v>#N/A</v>
      </c>
      <c r="H2074" s="0" t="e">
        <f aca="false">IF(OR(H1352="",AND(H1352=H1351,H1352=H1353)),NA(), H1352)</f>
        <v>#N/A</v>
      </c>
      <c r="K2074" s="0" t="e">
        <f aca="false">IF(ISNA(L2074),NA(),K1352)</f>
        <v>#N/A</v>
      </c>
      <c r="L2074" s="0" t="e">
        <f aca="false">IF(OR(L1352="",AND(L1352=L1351,L1352=L1353)),NA(), L1352)</f>
        <v>#N/A</v>
      </c>
      <c r="M2074" s="0" t="e">
        <f aca="false">IF(ISNA(N2074),NA(),M1352)</f>
        <v>#N/A</v>
      </c>
      <c r="N2074" s="0" t="e">
        <f aca="false">IF(OR(N1352="",AND(N1352=N1351,N1352=N1353)),NA(), N1352)</f>
        <v>#N/A</v>
      </c>
    </row>
    <row r="2075" customFormat="false" ht="15" hidden="false" customHeight="false" outlineLevel="0" collapsed="false">
      <c r="E2075" s="0" t="e">
        <f aca="false">IF(ISNA(F2075),NA(),E1353)</f>
        <v>#N/A</v>
      </c>
      <c r="F2075" s="0" t="e">
        <f aca="false">IF(OR(F1353="",AND(F1353=F1352,F1353=F1354)),NA(), F1353)</f>
        <v>#N/A</v>
      </c>
      <c r="G2075" s="0" t="e">
        <f aca="false">IF(ISNA(H2075),NA(),G1353)</f>
        <v>#N/A</v>
      </c>
      <c r="H2075" s="0" t="e">
        <f aca="false">IF(OR(H1353="",AND(H1353=H1352,H1353=H1354)),NA(), H1353)</f>
        <v>#N/A</v>
      </c>
      <c r="K2075" s="0" t="e">
        <f aca="false">IF(ISNA(L2075),NA(),K1353)</f>
        <v>#N/A</v>
      </c>
      <c r="L2075" s="0" t="e">
        <f aca="false">IF(OR(L1353="",AND(L1353=L1352,L1353=L1354)),NA(), L1353)</f>
        <v>#N/A</v>
      </c>
      <c r="M2075" s="0" t="e">
        <f aca="false">IF(ISNA(N2075),NA(),M1353)</f>
        <v>#N/A</v>
      </c>
      <c r="N2075" s="0" t="e">
        <f aca="false">IF(OR(N1353="",AND(N1353=N1352,N1353=N1354)),NA(), N1353)</f>
        <v>#N/A</v>
      </c>
    </row>
    <row r="2076" customFormat="false" ht="15" hidden="false" customHeight="false" outlineLevel="0" collapsed="false">
      <c r="E2076" s="0" t="e">
        <f aca="false">IF(ISNA(F2076),NA(),E1354)</f>
        <v>#N/A</v>
      </c>
      <c r="F2076" s="0" t="e">
        <f aca="false">IF(OR(F1354="",AND(F1354=F1353,F1354=F1355)),NA(), F1354)</f>
        <v>#N/A</v>
      </c>
      <c r="G2076" s="0" t="e">
        <f aca="false">IF(ISNA(H2076),NA(),G1354)</f>
        <v>#N/A</v>
      </c>
      <c r="H2076" s="0" t="e">
        <f aca="false">IF(OR(H1354="",AND(H1354=H1353,H1354=H1355)),NA(), H1354)</f>
        <v>#N/A</v>
      </c>
      <c r="K2076" s="0" t="e">
        <f aca="false">IF(ISNA(L2076),NA(),K1354)</f>
        <v>#N/A</v>
      </c>
      <c r="L2076" s="0" t="e">
        <f aca="false">IF(OR(L1354="",AND(L1354=L1353,L1354=L1355)),NA(), L1354)</f>
        <v>#N/A</v>
      </c>
      <c r="M2076" s="0" t="e">
        <f aca="false">IF(ISNA(N2076),NA(),M1354)</f>
        <v>#N/A</v>
      </c>
      <c r="N2076" s="0" t="e">
        <f aca="false">IF(OR(N1354="",AND(N1354=N1353,N1354=N1355)),NA(), N1354)</f>
        <v>#N/A</v>
      </c>
    </row>
    <row r="2077" customFormat="false" ht="15" hidden="false" customHeight="false" outlineLevel="0" collapsed="false">
      <c r="E2077" s="0" t="e">
        <f aca="false">IF(ISNA(F2077),NA(),E1355)</f>
        <v>#N/A</v>
      </c>
      <c r="F2077" s="0" t="e">
        <f aca="false">IF(OR(F1355="",AND(F1355=F1354,F1355=F1356)),NA(), F1355)</f>
        <v>#N/A</v>
      </c>
      <c r="G2077" s="0" t="e">
        <f aca="false">IF(ISNA(H2077),NA(),G1355)</f>
        <v>#N/A</v>
      </c>
      <c r="H2077" s="0" t="e">
        <f aca="false">IF(OR(H1355="",AND(H1355=H1354,H1355=H1356)),NA(), H1355)</f>
        <v>#N/A</v>
      </c>
      <c r="K2077" s="0" t="e">
        <f aca="false">IF(ISNA(L2077),NA(),K1355)</f>
        <v>#N/A</v>
      </c>
      <c r="L2077" s="0" t="e">
        <f aca="false">IF(OR(L1355="",AND(L1355=L1354,L1355=L1356)),NA(), L1355)</f>
        <v>#N/A</v>
      </c>
      <c r="M2077" s="0" t="e">
        <f aca="false">IF(ISNA(N2077),NA(),M1355)</f>
        <v>#N/A</v>
      </c>
      <c r="N2077" s="0" t="e">
        <f aca="false">IF(OR(N1355="",AND(N1355=N1354,N1355=N1356)),NA(), N1355)</f>
        <v>#N/A</v>
      </c>
    </row>
    <row r="2078" customFormat="false" ht="15" hidden="false" customHeight="false" outlineLevel="0" collapsed="false">
      <c r="E2078" s="0" t="e">
        <f aca="false">IF(ISNA(F2078),NA(),E1356)</f>
        <v>#N/A</v>
      </c>
      <c r="F2078" s="0" t="e">
        <f aca="false">IF(OR(F1356="",AND(F1356=F1355,F1356=F1357)),NA(), F1356)</f>
        <v>#N/A</v>
      </c>
      <c r="G2078" s="0" t="e">
        <f aca="false">IF(ISNA(H2078),NA(),G1356)</f>
        <v>#N/A</v>
      </c>
      <c r="H2078" s="0" t="e">
        <f aca="false">IF(OR(H1356="",AND(H1356=H1355,H1356=H1357)),NA(), H1356)</f>
        <v>#N/A</v>
      </c>
      <c r="K2078" s="0" t="e">
        <f aca="false">IF(ISNA(L2078),NA(),K1356)</f>
        <v>#N/A</v>
      </c>
      <c r="L2078" s="0" t="e">
        <f aca="false">IF(OR(L1356="",AND(L1356=L1355,L1356=L1357)),NA(), L1356)</f>
        <v>#N/A</v>
      </c>
      <c r="M2078" s="0" t="e">
        <f aca="false">IF(ISNA(N2078),NA(),M1356)</f>
        <v>#N/A</v>
      </c>
      <c r="N2078" s="0" t="e">
        <f aca="false">IF(OR(N1356="",AND(N1356=N1355,N1356=N1357)),NA(), N1356)</f>
        <v>#N/A</v>
      </c>
    </row>
    <row r="2079" customFormat="false" ht="15" hidden="false" customHeight="false" outlineLevel="0" collapsed="false">
      <c r="E2079" s="0" t="e">
        <f aca="false">IF(ISNA(F2079),NA(),E1357)</f>
        <v>#N/A</v>
      </c>
      <c r="F2079" s="0" t="e">
        <f aca="false">IF(OR(F1357="",AND(F1357=F1356,F1357=F1358)),NA(), F1357)</f>
        <v>#N/A</v>
      </c>
      <c r="G2079" s="0" t="e">
        <f aca="false">IF(ISNA(H2079),NA(),G1357)</f>
        <v>#N/A</v>
      </c>
      <c r="H2079" s="0" t="e">
        <f aca="false">IF(OR(H1357="",AND(H1357=H1356,H1357=H1358)),NA(), H1357)</f>
        <v>#N/A</v>
      </c>
      <c r="K2079" s="0" t="e">
        <f aca="false">IF(ISNA(L2079),NA(),K1357)</f>
        <v>#N/A</v>
      </c>
      <c r="L2079" s="0" t="e">
        <f aca="false">IF(OR(L1357="",AND(L1357=L1356,L1357=L1358)),NA(), L1357)</f>
        <v>#N/A</v>
      </c>
      <c r="M2079" s="0" t="e">
        <f aca="false">IF(ISNA(N2079),NA(),M1357)</f>
        <v>#N/A</v>
      </c>
      <c r="N2079" s="0" t="e">
        <f aca="false">IF(OR(N1357="",AND(N1357=N1356,N1357=N1358)),NA(), N1357)</f>
        <v>#N/A</v>
      </c>
    </row>
    <row r="2080" customFormat="false" ht="15" hidden="false" customHeight="false" outlineLevel="0" collapsed="false">
      <c r="E2080" s="0" t="e">
        <f aca="false">IF(ISNA(F2080),NA(),E1358)</f>
        <v>#N/A</v>
      </c>
      <c r="F2080" s="0" t="e">
        <f aca="false">IF(OR(F1358="",AND(F1358=F1357,F1358=F1359)),NA(), F1358)</f>
        <v>#N/A</v>
      </c>
      <c r="G2080" s="0" t="e">
        <f aca="false">IF(ISNA(H2080),NA(),G1358)</f>
        <v>#N/A</v>
      </c>
      <c r="H2080" s="0" t="e">
        <f aca="false">IF(OR(H1358="",AND(H1358=H1357,H1358=H1359)),NA(), H1358)</f>
        <v>#N/A</v>
      </c>
      <c r="K2080" s="0" t="e">
        <f aca="false">IF(ISNA(L2080),NA(),K1358)</f>
        <v>#N/A</v>
      </c>
      <c r="L2080" s="0" t="e">
        <f aca="false">IF(OR(L1358="",AND(L1358=L1357,L1358=L1359)),NA(), L1358)</f>
        <v>#N/A</v>
      </c>
      <c r="M2080" s="0" t="e">
        <f aca="false">IF(ISNA(N2080),NA(),M1358)</f>
        <v>#N/A</v>
      </c>
      <c r="N2080" s="0" t="e">
        <f aca="false">IF(OR(N1358="",AND(N1358=N1357,N1358=N1359)),NA(), N1358)</f>
        <v>#N/A</v>
      </c>
    </row>
    <row r="2081" customFormat="false" ht="15" hidden="false" customHeight="false" outlineLevel="0" collapsed="false">
      <c r="E2081" s="0" t="e">
        <f aca="false">IF(ISNA(F2081),NA(),E1359)</f>
        <v>#N/A</v>
      </c>
      <c r="F2081" s="0" t="e">
        <f aca="false">IF(OR(F1359="",AND(F1359=F1358,F1359=F1360)),NA(), F1359)</f>
        <v>#N/A</v>
      </c>
      <c r="G2081" s="0" t="e">
        <f aca="false">IF(ISNA(H2081),NA(),G1359)</f>
        <v>#N/A</v>
      </c>
      <c r="H2081" s="0" t="e">
        <f aca="false">IF(OR(H1359="",AND(H1359=H1358,H1359=H1360)),NA(), H1359)</f>
        <v>#N/A</v>
      </c>
      <c r="K2081" s="0" t="e">
        <f aca="false">IF(ISNA(L2081),NA(),K1359)</f>
        <v>#N/A</v>
      </c>
      <c r="L2081" s="0" t="e">
        <f aca="false">IF(OR(L1359="",AND(L1359=L1358,L1359=L1360)),NA(), L1359)</f>
        <v>#N/A</v>
      </c>
      <c r="M2081" s="0" t="e">
        <f aca="false">IF(ISNA(N2081),NA(),M1359)</f>
        <v>#N/A</v>
      </c>
      <c r="N2081" s="0" t="e">
        <f aca="false">IF(OR(N1359="",AND(N1359=N1358,N1359=N1360)),NA(), N1359)</f>
        <v>#N/A</v>
      </c>
    </row>
    <row r="2082" customFormat="false" ht="15" hidden="false" customHeight="false" outlineLevel="0" collapsed="false">
      <c r="E2082" s="0" t="e">
        <f aca="false">IF(ISNA(F2082),NA(),E1360)</f>
        <v>#N/A</v>
      </c>
      <c r="F2082" s="0" t="e">
        <f aca="false">IF(OR(F1360="",AND(F1360=F1359,F1360=F1361)),NA(), F1360)</f>
        <v>#N/A</v>
      </c>
      <c r="G2082" s="0" t="e">
        <f aca="false">IF(ISNA(H2082),NA(),G1360)</f>
        <v>#N/A</v>
      </c>
      <c r="H2082" s="0" t="e">
        <f aca="false">IF(OR(H1360="",AND(H1360=H1359,H1360=H1361)),NA(), H1360)</f>
        <v>#N/A</v>
      </c>
      <c r="K2082" s="0" t="e">
        <f aca="false">IF(ISNA(L2082),NA(),K1360)</f>
        <v>#N/A</v>
      </c>
      <c r="L2082" s="0" t="e">
        <f aca="false">IF(OR(L1360="",AND(L1360=L1359,L1360=L1361)),NA(), L1360)</f>
        <v>#N/A</v>
      </c>
      <c r="M2082" s="0" t="e">
        <f aca="false">IF(ISNA(N2082),NA(),M1360)</f>
        <v>#N/A</v>
      </c>
      <c r="N2082" s="0" t="e">
        <f aca="false">IF(OR(N1360="",AND(N1360=N1359,N1360=N1361)),NA(), N1360)</f>
        <v>#N/A</v>
      </c>
    </row>
    <row r="2083" customFormat="false" ht="15" hidden="false" customHeight="false" outlineLevel="0" collapsed="false">
      <c r="E2083" s="0" t="e">
        <f aca="false">IF(ISNA(F2083),NA(),E1361)</f>
        <v>#N/A</v>
      </c>
      <c r="F2083" s="0" t="e">
        <f aca="false">IF(OR(F1361="",AND(F1361=F1360,F1361=F1362)),NA(), F1361)</f>
        <v>#N/A</v>
      </c>
      <c r="G2083" s="0" t="e">
        <f aca="false">IF(ISNA(H2083),NA(),G1361)</f>
        <v>#N/A</v>
      </c>
      <c r="H2083" s="0" t="e">
        <f aca="false">IF(OR(H1361="",AND(H1361=H1360,H1361=H1362)),NA(), H1361)</f>
        <v>#N/A</v>
      </c>
      <c r="K2083" s="0" t="e">
        <f aca="false">IF(ISNA(L2083),NA(),K1361)</f>
        <v>#N/A</v>
      </c>
      <c r="L2083" s="0" t="e">
        <f aca="false">IF(OR(L1361="",AND(L1361=L1360,L1361=L1362)),NA(), L1361)</f>
        <v>#N/A</v>
      </c>
      <c r="M2083" s="0" t="e">
        <f aca="false">IF(ISNA(N2083),NA(),M1361)</f>
        <v>#N/A</v>
      </c>
      <c r="N2083" s="0" t="e">
        <f aca="false">IF(OR(N1361="",AND(N1361=N1360,N1361=N1362)),NA(), N1361)</f>
        <v>#N/A</v>
      </c>
    </row>
    <row r="2084" customFormat="false" ht="15" hidden="false" customHeight="false" outlineLevel="0" collapsed="false">
      <c r="E2084" s="0" t="e">
        <f aca="false">IF(ISNA(F2084),NA(),E1362)</f>
        <v>#N/A</v>
      </c>
      <c r="F2084" s="0" t="e">
        <f aca="false">IF(OR(F1362="",AND(F1362=F1361,F1362=F1363)),NA(), F1362)</f>
        <v>#N/A</v>
      </c>
      <c r="G2084" s="0" t="e">
        <f aca="false">IF(ISNA(H2084),NA(),G1362)</f>
        <v>#N/A</v>
      </c>
      <c r="H2084" s="0" t="e">
        <f aca="false">IF(OR(H1362="",AND(H1362=H1361,H1362=H1363)),NA(), H1362)</f>
        <v>#N/A</v>
      </c>
      <c r="K2084" s="0" t="e">
        <f aca="false">IF(ISNA(L2084),NA(),K1362)</f>
        <v>#N/A</v>
      </c>
      <c r="L2084" s="0" t="e">
        <f aca="false">IF(OR(L1362="",AND(L1362=L1361,L1362=L1363)),NA(), L1362)</f>
        <v>#N/A</v>
      </c>
      <c r="M2084" s="0" t="e">
        <f aca="false">IF(ISNA(N2084),NA(),M1362)</f>
        <v>#N/A</v>
      </c>
      <c r="N2084" s="0" t="e">
        <f aca="false">IF(OR(N1362="",AND(N1362=N1361,N1362=N1363)),NA(), N1362)</f>
        <v>#N/A</v>
      </c>
    </row>
    <row r="2085" customFormat="false" ht="15" hidden="false" customHeight="false" outlineLevel="0" collapsed="false">
      <c r="E2085" s="0" t="e">
        <f aca="false">IF(ISNA(F2085),NA(),E1363)</f>
        <v>#N/A</v>
      </c>
      <c r="F2085" s="0" t="e">
        <f aca="false">IF(OR(F1363="",AND(F1363=F1362,F1363=F1364)),NA(), F1363)</f>
        <v>#N/A</v>
      </c>
      <c r="G2085" s="0" t="e">
        <f aca="false">IF(ISNA(H2085),NA(),G1363)</f>
        <v>#N/A</v>
      </c>
      <c r="H2085" s="0" t="e">
        <f aca="false">IF(OR(H1363="",AND(H1363=H1362,H1363=H1364)),NA(), H1363)</f>
        <v>#N/A</v>
      </c>
      <c r="K2085" s="0" t="e">
        <f aca="false">IF(ISNA(L2085),NA(),K1363)</f>
        <v>#N/A</v>
      </c>
      <c r="L2085" s="0" t="e">
        <f aca="false">IF(OR(L1363="",AND(L1363=L1362,L1363=L1364)),NA(), L1363)</f>
        <v>#N/A</v>
      </c>
      <c r="M2085" s="0" t="e">
        <f aca="false">IF(ISNA(N2085),NA(),M1363)</f>
        <v>#N/A</v>
      </c>
      <c r="N2085" s="0" t="e">
        <f aca="false">IF(OR(N1363="",AND(N1363=N1362,N1363=N1364)),NA(), N1363)</f>
        <v>#N/A</v>
      </c>
    </row>
    <row r="2086" customFormat="false" ht="15" hidden="false" customHeight="false" outlineLevel="0" collapsed="false">
      <c r="E2086" s="0" t="e">
        <f aca="false">IF(ISNA(F2086),NA(),E1364)</f>
        <v>#N/A</v>
      </c>
      <c r="F2086" s="0" t="e">
        <f aca="false">IF(OR(F1364="",AND(F1364=F1363,F1364=F1365)),NA(), F1364)</f>
        <v>#N/A</v>
      </c>
      <c r="G2086" s="0" t="e">
        <f aca="false">IF(ISNA(H2086),NA(),G1364)</f>
        <v>#N/A</v>
      </c>
      <c r="H2086" s="0" t="e">
        <f aca="false">IF(OR(H1364="",AND(H1364=H1363,H1364=H1365)),NA(), H1364)</f>
        <v>#N/A</v>
      </c>
      <c r="K2086" s="0" t="e">
        <f aca="false">IF(ISNA(L2086),NA(),K1364)</f>
        <v>#N/A</v>
      </c>
      <c r="L2086" s="0" t="e">
        <f aca="false">IF(OR(L1364="",AND(L1364=L1363,L1364=L1365)),NA(), L1364)</f>
        <v>#N/A</v>
      </c>
      <c r="M2086" s="0" t="e">
        <f aca="false">IF(ISNA(N2086),NA(),M1364)</f>
        <v>#N/A</v>
      </c>
      <c r="N2086" s="0" t="e">
        <f aca="false">IF(OR(N1364="",AND(N1364=N1363,N1364=N1365)),NA(), N1364)</f>
        <v>#N/A</v>
      </c>
    </row>
    <row r="2087" customFormat="false" ht="15" hidden="false" customHeight="false" outlineLevel="0" collapsed="false">
      <c r="E2087" s="0" t="e">
        <f aca="false">IF(ISNA(F2087),NA(),E1365)</f>
        <v>#N/A</v>
      </c>
      <c r="F2087" s="0" t="e">
        <f aca="false">IF(OR(F1365="",AND(F1365=F1364,F1365=F1366)),NA(), F1365)</f>
        <v>#N/A</v>
      </c>
      <c r="G2087" s="0" t="e">
        <f aca="false">IF(ISNA(H2087),NA(),G1365)</f>
        <v>#N/A</v>
      </c>
      <c r="H2087" s="0" t="e">
        <f aca="false">IF(OR(H1365="",AND(H1365=H1364,H1365=H1366)),NA(), H1365)</f>
        <v>#N/A</v>
      </c>
      <c r="K2087" s="0" t="e">
        <f aca="false">IF(ISNA(L2087),NA(),K1365)</f>
        <v>#N/A</v>
      </c>
      <c r="L2087" s="0" t="e">
        <f aca="false">IF(OR(L1365="",AND(L1365=L1364,L1365=L1366)),NA(), L1365)</f>
        <v>#N/A</v>
      </c>
      <c r="M2087" s="0" t="e">
        <f aca="false">IF(ISNA(N2087),NA(),M1365)</f>
        <v>#N/A</v>
      </c>
      <c r="N2087" s="0" t="e">
        <f aca="false">IF(OR(N1365="",AND(N1365=N1364,N1365=N1366)),NA(), N1365)</f>
        <v>#N/A</v>
      </c>
    </row>
    <row r="2088" customFormat="false" ht="15" hidden="false" customHeight="false" outlineLevel="0" collapsed="false">
      <c r="E2088" s="0" t="e">
        <f aca="false">IF(ISNA(F2088),NA(),E1366)</f>
        <v>#N/A</v>
      </c>
      <c r="F2088" s="0" t="e">
        <f aca="false">IF(OR(F1366="",AND(F1366=F1365,F1366=F1367)),NA(), F1366)</f>
        <v>#N/A</v>
      </c>
      <c r="G2088" s="0" t="e">
        <f aca="false">IF(ISNA(H2088),NA(),G1366)</f>
        <v>#N/A</v>
      </c>
      <c r="H2088" s="0" t="e">
        <f aca="false">IF(OR(H1366="",AND(H1366=H1365,H1366=H1367)),NA(), H1366)</f>
        <v>#N/A</v>
      </c>
      <c r="K2088" s="0" t="e">
        <f aca="false">IF(ISNA(L2088),NA(),K1366)</f>
        <v>#N/A</v>
      </c>
      <c r="L2088" s="0" t="e">
        <f aca="false">IF(OR(L1366="",AND(L1366=L1365,L1366=L1367)),NA(), L1366)</f>
        <v>#N/A</v>
      </c>
      <c r="M2088" s="0" t="e">
        <f aca="false">IF(ISNA(N2088),NA(),M1366)</f>
        <v>#N/A</v>
      </c>
      <c r="N2088" s="0" t="e">
        <f aca="false">IF(OR(N1366="",AND(N1366=N1365,N1366=N1367)),NA(), N1366)</f>
        <v>#N/A</v>
      </c>
    </row>
    <row r="2089" customFormat="false" ht="15" hidden="false" customHeight="false" outlineLevel="0" collapsed="false">
      <c r="E2089" s="0" t="e">
        <f aca="false">IF(ISNA(F2089),NA(),E1367)</f>
        <v>#N/A</v>
      </c>
      <c r="F2089" s="0" t="e">
        <f aca="false">IF(OR(F1367="",AND(F1367=F1366,F1367=F1368)),NA(), F1367)</f>
        <v>#N/A</v>
      </c>
      <c r="G2089" s="0" t="e">
        <f aca="false">IF(ISNA(H2089),NA(),G1367)</f>
        <v>#N/A</v>
      </c>
      <c r="H2089" s="0" t="e">
        <f aca="false">IF(OR(H1367="",AND(H1367=H1366,H1367=H1368)),NA(), H1367)</f>
        <v>#N/A</v>
      </c>
      <c r="K2089" s="0" t="e">
        <f aca="false">IF(ISNA(L2089),NA(),K1367)</f>
        <v>#N/A</v>
      </c>
      <c r="L2089" s="0" t="e">
        <f aca="false">IF(OR(L1367="",AND(L1367=L1366,L1367=L1368)),NA(), L1367)</f>
        <v>#N/A</v>
      </c>
      <c r="M2089" s="0" t="e">
        <f aca="false">IF(ISNA(N2089),NA(),M1367)</f>
        <v>#N/A</v>
      </c>
      <c r="N2089" s="0" t="e">
        <f aca="false">IF(OR(N1367="",AND(N1367=N1366,N1367=N1368)),NA(), N1367)</f>
        <v>#N/A</v>
      </c>
    </row>
    <row r="2090" customFormat="false" ht="15" hidden="false" customHeight="false" outlineLevel="0" collapsed="false">
      <c r="E2090" s="0" t="e">
        <f aca="false">IF(ISNA(F2090),NA(),E1368)</f>
        <v>#N/A</v>
      </c>
      <c r="F2090" s="0" t="e">
        <f aca="false">IF(OR(F1368="",AND(F1368=F1367,F1368=F1369)),NA(), F1368)</f>
        <v>#N/A</v>
      </c>
      <c r="G2090" s="0" t="e">
        <f aca="false">IF(ISNA(H2090),NA(),G1368)</f>
        <v>#N/A</v>
      </c>
      <c r="H2090" s="0" t="e">
        <f aca="false">IF(OR(H1368="",AND(H1368=H1367,H1368=H1369)),NA(), H1368)</f>
        <v>#N/A</v>
      </c>
      <c r="K2090" s="0" t="e">
        <f aca="false">IF(ISNA(L2090),NA(),K1368)</f>
        <v>#N/A</v>
      </c>
      <c r="L2090" s="0" t="e">
        <f aca="false">IF(OR(L1368="",AND(L1368=L1367,L1368=L1369)),NA(), L1368)</f>
        <v>#N/A</v>
      </c>
      <c r="M2090" s="0" t="e">
        <f aca="false">IF(ISNA(N2090),NA(),M1368)</f>
        <v>#N/A</v>
      </c>
      <c r="N2090" s="0" t="e">
        <f aca="false">IF(OR(N1368="",AND(N1368=N1367,N1368=N1369)),NA(), N1368)</f>
        <v>#N/A</v>
      </c>
    </row>
    <row r="2091" customFormat="false" ht="15" hidden="false" customHeight="false" outlineLevel="0" collapsed="false">
      <c r="E2091" s="0" t="e">
        <f aca="false">IF(ISNA(F2091),NA(),E1369)</f>
        <v>#N/A</v>
      </c>
      <c r="F2091" s="0" t="e">
        <f aca="false">IF(OR(F1369="",AND(F1369=F1368,F1369=F1370)),NA(), F1369)</f>
        <v>#N/A</v>
      </c>
      <c r="G2091" s="0" t="e">
        <f aca="false">IF(ISNA(H2091),NA(),G1369)</f>
        <v>#N/A</v>
      </c>
      <c r="H2091" s="0" t="e">
        <f aca="false">IF(OR(H1369="",AND(H1369=H1368,H1369=H1370)),NA(), H1369)</f>
        <v>#N/A</v>
      </c>
      <c r="K2091" s="0" t="e">
        <f aca="false">IF(ISNA(L2091),NA(),K1369)</f>
        <v>#N/A</v>
      </c>
      <c r="L2091" s="0" t="e">
        <f aca="false">IF(OR(L1369="",AND(L1369=L1368,L1369=L1370)),NA(), L1369)</f>
        <v>#N/A</v>
      </c>
      <c r="M2091" s="0" t="e">
        <f aca="false">IF(ISNA(N2091),NA(),M1369)</f>
        <v>#N/A</v>
      </c>
      <c r="N2091" s="0" t="e">
        <f aca="false">IF(OR(N1369="",AND(N1369=N1368,N1369=N1370)),NA(), N1369)</f>
        <v>#N/A</v>
      </c>
    </row>
    <row r="2092" customFormat="false" ht="15" hidden="false" customHeight="false" outlineLevel="0" collapsed="false">
      <c r="E2092" s="0" t="e">
        <f aca="false">IF(ISNA(F2092),NA(),E1370)</f>
        <v>#N/A</v>
      </c>
      <c r="F2092" s="0" t="e">
        <f aca="false">IF(OR(F1370="",AND(F1370=F1369,F1370=F1371)),NA(), F1370)</f>
        <v>#N/A</v>
      </c>
      <c r="G2092" s="0" t="e">
        <f aca="false">IF(ISNA(H2092),NA(),G1370)</f>
        <v>#N/A</v>
      </c>
      <c r="H2092" s="0" t="e">
        <f aca="false">IF(OR(H1370="",AND(H1370=H1369,H1370=H1371)),NA(), H1370)</f>
        <v>#N/A</v>
      </c>
      <c r="K2092" s="0" t="e">
        <f aca="false">IF(ISNA(L2092),NA(),K1370)</f>
        <v>#N/A</v>
      </c>
      <c r="L2092" s="0" t="e">
        <f aca="false">IF(OR(L1370="",AND(L1370=L1369,L1370=L1371)),NA(), L1370)</f>
        <v>#N/A</v>
      </c>
      <c r="M2092" s="0" t="e">
        <f aca="false">IF(ISNA(N2092),NA(),M1370)</f>
        <v>#N/A</v>
      </c>
      <c r="N2092" s="0" t="e">
        <f aca="false">IF(OR(N1370="",AND(N1370=N1369,N1370=N1371)),NA(), N1370)</f>
        <v>#N/A</v>
      </c>
    </row>
    <row r="2093" customFormat="false" ht="15" hidden="false" customHeight="false" outlineLevel="0" collapsed="false">
      <c r="E2093" s="0" t="e">
        <f aca="false">IF(ISNA(F2093),NA(),E1371)</f>
        <v>#N/A</v>
      </c>
      <c r="F2093" s="0" t="e">
        <f aca="false">IF(OR(F1371="",AND(F1371=F1370,F1371=F1372)),NA(), F1371)</f>
        <v>#N/A</v>
      </c>
      <c r="G2093" s="0" t="e">
        <f aca="false">IF(ISNA(H2093),NA(),G1371)</f>
        <v>#N/A</v>
      </c>
      <c r="H2093" s="0" t="e">
        <f aca="false">IF(OR(H1371="",AND(H1371=H1370,H1371=H1372)),NA(), H1371)</f>
        <v>#N/A</v>
      </c>
      <c r="K2093" s="0" t="e">
        <f aca="false">IF(ISNA(L2093),NA(),K1371)</f>
        <v>#N/A</v>
      </c>
      <c r="L2093" s="0" t="e">
        <f aca="false">IF(OR(L1371="",AND(L1371=L1370,L1371=L1372)),NA(), L1371)</f>
        <v>#N/A</v>
      </c>
      <c r="M2093" s="0" t="e">
        <f aca="false">IF(ISNA(N2093),NA(),M1371)</f>
        <v>#N/A</v>
      </c>
      <c r="N2093" s="0" t="e">
        <f aca="false">IF(OR(N1371="",AND(N1371=N1370,N1371=N1372)),NA(), N1371)</f>
        <v>#N/A</v>
      </c>
    </row>
    <row r="2094" customFormat="false" ht="15" hidden="false" customHeight="false" outlineLevel="0" collapsed="false">
      <c r="E2094" s="0" t="e">
        <f aca="false">IF(ISNA(F2094),NA(),E1372)</f>
        <v>#N/A</v>
      </c>
      <c r="F2094" s="0" t="e">
        <f aca="false">IF(OR(F1372="",AND(F1372=F1371,F1372=F1373)),NA(), F1372)</f>
        <v>#N/A</v>
      </c>
      <c r="G2094" s="0" t="e">
        <f aca="false">IF(ISNA(H2094),NA(),G1372)</f>
        <v>#N/A</v>
      </c>
      <c r="H2094" s="0" t="e">
        <f aca="false">IF(OR(H1372="",AND(H1372=H1371,H1372=H1373)),NA(), H1372)</f>
        <v>#N/A</v>
      </c>
      <c r="K2094" s="0" t="e">
        <f aca="false">IF(ISNA(L2094),NA(),K1372)</f>
        <v>#N/A</v>
      </c>
      <c r="L2094" s="0" t="e">
        <f aca="false">IF(OR(L1372="",AND(L1372=L1371,L1372=L1373)),NA(), L1372)</f>
        <v>#N/A</v>
      </c>
      <c r="M2094" s="0" t="e">
        <f aca="false">IF(ISNA(N2094),NA(),M1372)</f>
        <v>#N/A</v>
      </c>
      <c r="N2094" s="0" t="e">
        <f aca="false">IF(OR(N1372="",AND(N1372=N1371,N1372=N1373)),NA(), N1372)</f>
        <v>#N/A</v>
      </c>
    </row>
    <row r="2095" customFormat="false" ht="15" hidden="false" customHeight="false" outlineLevel="0" collapsed="false">
      <c r="E2095" s="0" t="e">
        <f aca="false">IF(ISNA(F2095),NA(),E1373)</f>
        <v>#N/A</v>
      </c>
      <c r="F2095" s="0" t="e">
        <f aca="false">IF(OR(F1373="",AND(F1373=F1372,F1373=F1374)),NA(), F1373)</f>
        <v>#N/A</v>
      </c>
      <c r="G2095" s="0" t="e">
        <f aca="false">IF(ISNA(H2095),NA(),G1373)</f>
        <v>#N/A</v>
      </c>
      <c r="H2095" s="0" t="e">
        <f aca="false">IF(OR(H1373="",AND(H1373=H1372,H1373=H1374)),NA(), H1373)</f>
        <v>#N/A</v>
      </c>
      <c r="K2095" s="0" t="e">
        <f aca="false">IF(ISNA(L2095),NA(),K1373)</f>
        <v>#N/A</v>
      </c>
      <c r="L2095" s="0" t="e">
        <f aca="false">IF(OR(L1373="",AND(L1373=L1372,L1373=L1374)),NA(), L1373)</f>
        <v>#N/A</v>
      </c>
      <c r="M2095" s="0" t="e">
        <f aca="false">IF(ISNA(N2095),NA(),M1373)</f>
        <v>#N/A</v>
      </c>
      <c r="N2095" s="0" t="e">
        <f aca="false">IF(OR(N1373="",AND(N1373=N1372,N1373=N1374)),NA(), N1373)</f>
        <v>#N/A</v>
      </c>
    </row>
    <row r="2096" customFormat="false" ht="15" hidden="false" customHeight="false" outlineLevel="0" collapsed="false">
      <c r="E2096" s="0" t="e">
        <f aca="false">IF(ISNA(F2096),NA(),E1374)</f>
        <v>#N/A</v>
      </c>
      <c r="F2096" s="0" t="e">
        <f aca="false">IF(OR(F1374="",AND(F1374=F1373,F1374=F1375)),NA(), F1374)</f>
        <v>#N/A</v>
      </c>
      <c r="G2096" s="0" t="e">
        <f aca="false">IF(ISNA(H2096),NA(),G1374)</f>
        <v>#N/A</v>
      </c>
      <c r="H2096" s="0" t="e">
        <f aca="false">IF(OR(H1374="",AND(H1374=H1373,H1374=H1375)),NA(), H1374)</f>
        <v>#N/A</v>
      </c>
      <c r="K2096" s="0" t="e">
        <f aca="false">IF(ISNA(L2096),NA(),K1374)</f>
        <v>#N/A</v>
      </c>
      <c r="L2096" s="0" t="e">
        <f aca="false">IF(OR(L1374="",AND(L1374=L1373,L1374=L1375)),NA(), L1374)</f>
        <v>#N/A</v>
      </c>
      <c r="M2096" s="0" t="e">
        <f aca="false">IF(ISNA(N2096),NA(),M1374)</f>
        <v>#N/A</v>
      </c>
      <c r="N2096" s="0" t="e">
        <f aca="false">IF(OR(N1374="",AND(N1374=N1373,N1374=N1375)),NA(), N1374)</f>
        <v>#N/A</v>
      </c>
    </row>
    <row r="2097" customFormat="false" ht="15" hidden="false" customHeight="false" outlineLevel="0" collapsed="false">
      <c r="E2097" s="0" t="e">
        <f aca="false">IF(ISNA(F2097),NA(),E1375)</f>
        <v>#N/A</v>
      </c>
      <c r="F2097" s="0" t="e">
        <f aca="false">IF(OR(F1375="",AND(F1375=F1374,F1375=F1376)),NA(), F1375)</f>
        <v>#N/A</v>
      </c>
      <c r="G2097" s="0" t="e">
        <f aca="false">IF(ISNA(H2097),NA(),G1375)</f>
        <v>#N/A</v>
      </c>
      <c r="H2097" s="0" t="e">
        <f aca="false">IF(OR(H1375="",AND(H1375=H1374,H1375=H1376)),NA(), H1375)</f>
        <v>#N/A</v>
      </c>
      <c r="K2097" s="0" t="e">
        <f aca="false">IF(ISNA(L2097),NA(),K1375)</f>
        <v>#N/A</v>
      </c>
      <c r="L2097" s="0" t="e">
        <f aca="false">IF(OR(L1375="",AND(L1375=L1374,L1375=L1376)),NA(), L1375)</f>
        <v>#N/A</v>
      </c>
      <c r="M2097" s="0" t="e">
        <f aca="false">IF(ISNA(N2097),NA(),M1375)</f>
        <v>#N/A</v>
      </c>
      <c r="N2097" s="0" t="e">
        <f aca="false">IF(OR(N1375="",AND(N1375=N1374,N1375=N1376)),NA(), N1375)</f>
        <v>#N/A</v>
      </c>
    </row>
    <row r="2098" customFormat="false" ht="15" hidden="false" customHeight="false" outlineLevel="0" collapsed="false">
      <c r="E2098" s="0" t="e">
        <f aca="false">IF(ISNA(F2098),NA(),E1376)</f>
        <v>#N/A</v>
      </c>
      <c r="F2098" s="0" t="e">
        <f aca="false">IF(OR(F1376="",AND(F1376=F1375,F1376=F1377)),NA(), F1376)</f>
        <v>#N/A</v>
      </c>
      <c r="G2098" s="0" t="e">
        <f aca="false">IF(ISNA(H2098),NA(),G1376)</f>
        <v>#N/A</v>
      </c>
      <c r="H2098" s="0" t="e">
        <f aca="false">IF(OR(H1376="",AND(H1376=H1375,H1376=H1377)),NA(), H1376)</f>
        <v>#N/A</v>
      </c>
      <c r="K2098" s="0" t="e">
        <f aca="false">IF(ISNA(L2098),NA(),K1376)</f>
        <v>#N/A</v>
      </c>
      <c r="L2098" s="0" t="e">
        <f aca="false">IF(OR(L1376="",AND(L1376=L1375,L1376=L1377)),NA(), L1376)</f>
        <v>#N/A</v>
      </c>
      <c r="M2098" s="0" t="e">
        <f aca="false">IF(ISNA(N2098),NA(),M1376)</f>
        <v>#N/A</v>
      </c>
      <c r="N2098" s="0" t="e">
        <f aca="false">IF(OR(N1376="",AND(N1376=N1375,N1376=N1377)),NA(), N1376)</f>
        <v>#N/A</v>
      </c>
    </row>
    <row r="2099" customFormat="false" ht="15" hidden="false" customHeight="false" outlineLevel="0" collapsed="false">
      <c r="E2099" s="0" t="e">
        <f aca="false">IF(ISNA(F2099),NA(),E1377)</f>
        <v>#N/A</v>
      </c>
      <c r="F2099" s="0" t="e">
        <f aca="false">IF(OR(F1377="",AND(F1377=F1376,F1377=F1378)),NA(), F1377)</f>
        <v>#N/A</v>
      </c>
      <c r="G2099" s="0" t="e">
        <f aca="false">IF(ISNA(H2099),NA(),G1377)</f>
        <v>#N/A</v>
      </c>
      <c r="H2099" s="0" t="e">
        <f aca="false">IF(OR(H1377="",AND(H1377=H1376,H1377=H1378)),NA(), H1377)</f>
        <v>#N/A</v>
      </c>
      <c r="K2099" s="0" t="e">
        <f aca="false">IF(ISNA(L2099),NA(),K1377)</f>
        <v>#N/A</v>
      </c>
      <c r="L2099" s="0" t="e">
        <f aca="false">IF(OR(L1377="",AND(L1377=L1376,L1377=L1378)),NA(), L1377)</f>
        <v>#N/A</v>
      </c>
      <c r="M2099" s="0" t="e">
        <f aca="false">IF(ISNA(N2099),NA(),M1377)</f>
        <v>#N/A</v>
      </c>
      <c r="N2099" s="0" t="e">
        <f aca="false">IF(OR(N1377="",AND(N1377=N1376,N1377=N1378)),NA(), N1377)</f>
        <v>#N/A</v>
      </c>
    </row>
    <row r="2100" customFormat="false" ht="15" hidden="false" customHeight="false" outlineLevel="0" collapsed="false">
      <c r="E2100" s="0" t="e">
        <f aca="false">IF(ISNA(F2100),NA(),E1378)</f>
        <v>#N/A</v>
      </c>
      <c r="F2100" s="0" t="e">
        <f aca="false">IF(OR(F1378="",AND(F1378=F1377,F1378=F1379)),NA(), F1378)</f>
        <v>#N/A</v>
      </c>
      <c r="G2100" s="0" t="e">
        <f aca="false">IF(ISNA(H2100),NA(),G1378)</f>
        <v>#N/A</v>
      </c>
      <c r="H2100" s="0" t="e">
        <f aca="false">IF(OR(H1378="",AND(H1378=H1377,H1378=H1379)),NA(), H1378)</f>
        <v>#N/A</v>
      </c>
      <c r="K2100" s="0" t="e">
        <f aca="false">IF(ISNA(L2100),NA(),K1378)</f>
        <v>#N/A</v>
      </c>
      <c r="L2100" s="0" t="e">
        <f aca="false">IF(OR(L1378="",AND(L1378=L1377,L1378=L1379)),NA(), L1378)</f>
        <v>#N/A</v>
      </c>
      <c r="M2100" s="0" t="e">
        <f aca="false">IF(ISNA(N2100),NA(),M1378)</f>
        <v>#N/A</v>
      </c>
      <c r="N2100" s="0" t="e">
        <f aca="false">IF(OR(N1378="",AND(N1378=N1377,N1378=N1379)),NA(), N1378)</f>
        <v>#N/A</v>
      </c>
    </row>
    <row r="2101" customFormat="false" ht="15" hidden="false" customHeight="false" outlineLevel="0" collapsed="false">
      <c r="E2101" s="0" t="e">
        <f aca="false">IF(ISNA(F2101),NA(),E1379)</f>
        <v>#N/A</v>
      </c>
      <c r="F2101" s="0" t="e">
        <f aca="false">IF(OR(F1379="",AND(F1379=F1378,F1379=F1380)),NA(), F1379)</f>
        <v>#N/A</v>
      </c>
      <c r="G2101" s="0" t="e">
        <f aca="false">IF(ISNA(H2101),NA(),G1379)</f>
        <v>#N/A</v>
      </c>
      <c r="H2101" s="0" t="e">
        <f aca="false">IF(OR(H1379="",AND(H1379=H1378,H1379=H1380)),NA(), H1379)</f>
        <v>#N/A</v>
      </c>
      <c r="K2101" s="0" t="e">
        <f aca="false">IF(ISNA(L2101),NA(),K1379)</f>
        <v>#N/A</v>
      </c>
      <c r="L2101" s="0" t="e">
        <f aca="false">IF(OR(L1379="",AND(L1379=L1378,L1379=L1380)),NA(), L1379)</f>
        <v>#N/A</v>
      </c>
      <c r="M2101" s="0" t="e">
        <f aca="false">IF(ISNA(N2101),NA(),M1379)</f>
        <v>#N/A</v>
      </c>
      <c r="N2101" s="0" t="e">
        <f aca="false">IF(OR(N1379="",AND(N1379=N1378,N1379=N1380)),NA(), N1379)</f>
        <v>#N/A</v>
      </c>
    </row>
    <row r="2102" customFormat="false" ht="15" hidden="false" customHeight="false" outlineLevel="0" collapsed="false">
      <c r="E2102" s="0" t="e">
        <f aca="false">IF(ISNA(F2102),NA(),E1380)</f>
        <v>#N/A</v>
      </c>
      <c r="F2102" s="0" t="e">
        <f aca="false">IF(OR(F1380="",AND(F1380=F1379,F1380=F1381)),NA(), F1380)</f>
        <v>#N/A</v>
      </c>
      <c r="G2102" s="0" t="e">
        <f aca="false">IF(ISNA(H2102),NA(),G1380)</f>
        <v>#N/A</v>
      </c>
      <c r="H2102" s="0" t="e">
        <f aca="false">IF(OR(H1380="",AND(H1380=H1379,H1380=H1381)),NA(), H1380)</f>
        <v>#N/A</v>
      </c>
      <c r="K2102" s="0" t="e">
        <f aca="false">IF(ISNA(L2102),NA(),K1380)</f>
        <v>#N/A</v>
      </c>
      <c r="L2102" s="0" t="e">
        <f aca="false">IF(OR(L1380="",AND(L1380=L1379,L1380=L1381)),NA(), L1380)</f>
        <v>#N/A</v>
      </c>
      <c r="M2102" s="0" t="e">
        <f aca="false">IF(ISNA(N2102),NA(),M1380)</f>
        <v>#N/A</v>
      </c>
      <c r="N2102" s="0" t="e">
        <f aca="false">IF(OR(N1380="",AND(N1380=N1379,N1380=N1381)),NA(), N1380)</f>
        <v>#N/A</v>
      </c>
    </row>
    <row r="2103" customFormat="false" ht="15" hidden="false" customHeight="false" outlineLevel="0" collapsed="false">
      <c r="E2103" s="0" t="e">
        <f aca="false">IF(ISNA(F2103),NA(),E1381)</f>
        <v>#N/A</v>
      </c>
      <c r="F2103" s="0" t="e">
        <f aca="false">IF(OR(F1381="",AND(F1381=F1380,F1381=F1382)),NA(), F1381)</f>
        <v>#N/A</v>
      </c>
      <c r="G2103" s="0" t="e">
        <f aca="false">IF(ISNA(H2103),NA(),G1381)</f>
        <v>#N/A</v>
      </c>
      <c r="H2103" s="0" t="e">
        <f aca="false">IF(OR(H1381="",AND(H1381=H1380,H1381=H1382)),NA(), H1381)</f>
        <v>#N/A</v>
      </c>
      <c r="K2103" s="0" t="e">
        <f aca="false">IF(ISNA(L2103),NA(),K1381)</f>
        <v>#N/A</v>
      </c>
      <c r="L2103" s="0" t="e">
        <f aca="false">IF(OR(L1381="",AND(L1381=L1380,L1381=L1382)),NA(), L1381)</f>
        <v>#N/A</v>
      </c>
      <c r="M2103" s="0" t="e">
        <f aca="false">IF(ISNA(N2103),NA(),M1381)</f>
        <v>#N/A</v>
      </c>
      <c r="N2103" s="0" t="e">
        <f aca="false">IF(OR(N1381="",AND(N1381=N1380,N1381=N1382)),NA(), N1381)</f>
        <v>#N/A</v>
      </c>
    </row>
    <row r="2104" customFormat="false" ht="15" hidden="false" customHeight="false" outlineLevel="0" collapsed="false">
      <c r="E2104" s="0" t="e">
        <f aca="false">IF(ISNA(F2104),NA(),E1382)</f>
        <v>#N/A</v>
      </c>
      <c r="F2104" s="0" t="e">
        <f aca="false">IF(OR(F1382="",AND(F1382=F1381,F1382=F1383)),NA(), F1382)</f>
        <v>#N/A</v>
      </c>
      <c r="G2104" s="0" t="e">
        <f aca="false">IF(ISNA(H2104),NA(),G1382)</f>
        <v>#N/A</v>
      </c>
      <c r="H2104" s="0" t="e">
        <f aca="false">IF(OR(H1382="",AND(H1382=H1381,H1382=H1383)),NA(), H1382)</f>
        <v>#N/A</v>
      </c>
      <c r="K2104" s="0" t="e">
        <f aca="false">IF(ISNA(L2104),NA(),K1382)</f>
        <v>#N/A</v>
      </c>
      <c r="L2104" s="0" t="e">
        <f aca="false">IF(OR(L1382="",AND(L1382=L1381,L1382=L1383)),NA(), L1382)</f>
        <v>#N/A</v>
      </c>
      <c r="M2104" s="0" t="e">
        <f aca="false">IF(ISNA(N2104),NA(),M1382)</f>
        <v>#N/A</v>
      </c>
      <c r="N2104" s="0" t="e">
        <f aca="false">IF(OR(N1382="",AND(N1382=N1381,N1382=N1383)),NA(), N1382)</f>
        <v>#N/A</v>
      </c>
    </row>
    <row r="2105" customFormat="false" ht="15" hidden="false" customHeight="false" outlineLevel="0" collapsed="false">
      <c r="E2105" s="0" t="e">
        <f aca="false">IF(ISNA(F2105),NA(),E1383)</f>
        <v>#N/A</v>
      </c>
      <c r="F2105" s="0" t="e">
        <f aca="false">IF(OR(F1383="",AND(F1383=F1382,F1383=F1384)),NA(), F1383)</f>
        <v>#N/A</v>
      </c>
      <c r="G2105" s="0" t="e">
        <f aca="false">IF(ISNA(H2105),NA(),G1383)</f>
        <v>#N/A</v>
      </c>
      <c r="H2105" s="0" t="e">
        <f aca="false">IF(OR(H1383="",AND(H1383=H1382,H1383=H1384)),NA(), H1383)</f>
        <v>#N/A</v>
      </c>
      <c r="K2105" s="0" t="e">
        <f aca="false">IF(ISNA(L2105),NA(),K1383)</f>
        <v>#N/A</v>
      </c>
      <c r="L2105" s="0" t="e">
        <f aca="false">IF(OR(L1383="",AND(L1383=L1382,L1383=L1384)),NA(), L1383)</f>
        <v>#N/A</v>
      </c>
      <c r="M2105" s="0" t="e">
        <f aca="false">IF(ISNA(N2105),NA(),M1383)</f>
        <v>#N/A</v>
      </c>
      <c r="N2105" s="0" t="e">
        <f aca="false">IF(OR(N1383="",AND(N1383=N1382,N1383=N1384)),NA(), N1383)</f>
        <v>#N/A</v>
      </c>
    </row>
    <row r="2106" customFormat="false" ht="15" hidden="false" customHeight="false" outlineLevel="0" collapsed="false">
      <c r="E2106" s="0" t="e">
        <f aca="false">IF(ISNA(F2106),NA(),E1384)</f>
        <v>#N/A</v>
      </c>
      <c r="F2106" s="0" t="e">
        <f aca="false">IF(OR(F1384="",AND(F1384=F1383,F1384=F1385)),NA(), F1384)</f>
        <v>#N/A</v>
      </c>
      <c r="G2106" s="0" t="e">
        <f aca="false">IF(ISNA(H2106),NA(),G1384)</f>
        <v>#N/A</v>
      </c>
      <c r="H2106" s="0" t="e">
        <f aca="false">IF(OR(H1384="",AND(H1384=H1383,H1384=H1385)),NA(), H1384)</f>
        <v>#N/A</v>
      </c>
      <c r="K2106" s="0" t="e">
        <f aca="false">IF(ISNA(L2106),NA(),K1384)</f>
        <v>#N/A</v>
      </c>
      <c r="L2106" s="0" t="e">
        <f aca="false">IF(OR(L1384="",AND(L1384=L1383,L1384=L1385)),NA(), L1384)</f>
        <v>#N/A</v>
      </c>
      <c r="M2106" s="0" t="e">
        <f aca="false">IF(ISNA(N2106),NA(),M1384)</f>
        <v>#N/A</v>
      </c>
      <c r="N2106" s="0" t="e">
        <f aca="false">IF(OR(N1384="",AND(N1384=N1383,N1384=N1385)),NA(), N1384)</f>
        <v>#N/A</v>
      </c>
    </row>
    <row r="2107" customFormat="false" ht="15" hidden="false" customHeight="false" outlineLevel="0" collapsed="false">
      <c r="E2107" s="0" t="e">
        <f aca="false">IF(ISNA(F2107),NA(),E1385)</f>
        <v>#N/A</v>
      </c>
      <c r="F2107" s="0" t="e">
        <f aca="false">IF(OR(F1385="",AND(F1385=F1384,F1385=F1386)),NA(), F1385)</f>
        <v>#N/A</v>
      </c>
      <c r="G2107" s="0" t="e">
        <f aca="false">IF(ISNA(H2107),NA(),G1385)</f>
        <v>#N/A</v>
      </c>
      <c r="H2107" s="0" t="e">
        <f aca="false">IF(OR(H1385="",AND(H1385=H1384,H1385=H1386)),NA(), H1385)</f>
        <v>#N/A</v>
      </c>
      <c r="K2107" s="0" t="e">
        <f aca="false">IF(ISNA(L2107),NA(),K1385)</f>
        <v>#N/A</v>
      </c>
      <c r="L2107" s="0" t="e">
        <f aca="false">IF(OR(L1385="",AND(L1385=L1384,L1385=L1386)),NA(), L1385)</f>
        <v>#N/A</v>
      </c>
      <c r="M2107" s="0" t="e">
        <f aca="false">IF(ISNA(N2107),NA(),M1385)</f>
        <v>#N/A</v>
      </c>
      <c r="N2107" s="0" t="e">
        <f aca="false">IF(OR(N1385="",AND(N1385=N1384,N1385=N1386)),NA(), N1385)</f>
        <v>#N/A</v>
      </c>
    </row>
    <row r="2108" customFormat="false" ht="15" hidden="false" customHeight="false" outlineLevel="0" collapsed="false">
      <c r="E2108" s="0" t="e">
        <f aca="false">IF(ISNA(F2108),NA(),E1386)</f>
        <v>#N/A</v>
      </c>
      <c r="F2108" s="0" t="e">
        <f aca="false">IF(OR(F1386="",AND(F1386=F1385,F1386=F1387)),NA(), F1386)</f>
        <v>#N/A</v>
      </c>
      <c r="G2108" s="0" t="e">
        <f aca="false">IF(ISNA(H2108),NA(),G1386)</f>
        <v>#N/A</v>
      </c>
      <c r="H2108" s="0" t="e">
        <f aca="false">IF(OR(H1386="",AND(H1386=H1385,H1386=H1387)),NA(), H1386)</f>
        <v>#N/A</v>
      </c>
      <c r="K2108" s="0" t="e">
        <f aca="false">IF(ISNA(L2108),NA(),K1386)</f>
        <v>#N/A</v>
      </c>
      <c r="L2108" s="0" t="e">
        <f aca="false">IF(OR(L1386="",AND(L1386=L1385,L1386=L1387)),NA(), L1386)</f>
        <v>#N/A</v>
      </c>
      <c r="M2108" s="0" t="e">
        <f aca="false">IF(ISNA(N2108),NA(),M1386)</f>
        <v>#N/A</v>
      </c>
      <c r="N2108" s="0" t="e">
        <f aca="false">IF(OR(N1386="",AND(N1386=N1385,N1386=N1387)),NA(), N1386)</f>
        <v>#N/A</v>
      </c>
    </row>
    <row r="2109" customFormat="false" ht="15" hidden="false" customHeight="false" outlineLevel="0" collapsed="false">
      <c r="E2109" s="0" t="e">
        <f aca="false">IF(ISNA(F2109),NA(),E1387)</f>
        <v>#N/A</v>
      </c>
      <c r="F2109" s="0" t="e">
        <f aca="false">IF(OR(F1387="",AND(F1387=F1386,F1387=F1388)),NA(), F1387)</f>
        <v>#N/A</v>
      </c>
      <c r="G2109" s="0" t="e">
        <f aca="false">IF(ISNA(H2109),NA(),G1387)</f>
        <v>#N/A</v>
      </c>
      <c r="H2109" s="0" t="e">
        <f aca="false">IF(OR(H1387="",AND(H1387=H1386,H1387=H1388)),NA(), H1387)</f>
        <v>#N/A</v>
      </c>
      <c r="K2109" s="0" t="e">
        <f aca="false">IF(ISNA(L2109),NA(),K1387)</f>
        <v>#N/A</v>
      </c>
      <c r="L2109" s="0" t="e">
        <f aca="false">IF(OR(L1387="",AND(L1387=L1386,L1387=L1388)),NA(), L1387)</f>
        <v>#N/A</v>
      </c>
      <c r="M2109" s="0" t="e">
        <f aca="false">IF(ISNA(N2109),NA(),M1387)</f>
        <v>#N/A</v>
      </c>
      <c r="N2109" s="0" t="e">
        <f aca="false">IF(OR(N1387="",AND(N1387=N1386,N1387=N1388)),NA(), N1387)</f>
        <v>#N/A</v>
      </c>
    </row>
    <row r="2110" customFormat="false" ht="15" hidden="false" customHeight="false" outlineLevel="0" collapsed="false">
      <c r="E2110" s="0" t="e">
        <f aca="false">IF(ISNA(F2110),NA(),E1388)</f>
        <v>#N/A</v>
      </c>
      <c r="F2110" s="0" t="e">
        <f aca="false">IF(OR(F1388="",AND(F1388=F1387,F1388=F1389)),NA(), F1388)</f>
        <v>#N/A</v>
      </c>
      <c r="G2110" s="0" t="e">
        <f aca="false">IF(ISNA(H2110),NA(),G1388)</f>
        <v>#N/A</v>
      </c>
      <c r="H2110" s="0" t="e">
        <f aca="false">IF(OR(H1388="",AND(H1388=H1387,H1388=H1389)),NA(), H1388)</f>
        <v>#N/A</v>
      </c>
      <c r="K2110" s="0" t="e">
        <f aca="false">IF(ISNA(L2110),NA(),K1388)</f>
        <v>#N/A</v>
      </c>
      <c r="L2110" s="0" t="e">
        <f aca="false">IF(OR(L1388="",AND(L1388=L1387,L1388=L1389)),NA(), L1388)</f>
        <v>#N/A</v>
      </c>
      <c r="M2110" s="0" t="e">
        <f aca="false">IF(ISNA(N2110),NA(),M1388)</f>
        <v>#N/A</v>
      </c>
      <c r="N2110" s="0" t="e">
        <f aca="false">IF(OR(N1388="",AND(N1388=N1387,N1388=N1389)),NA(), N1388)</f>
        <v>#N/A</v>
      </c>
    </row>
    <row r="2111" customFormat="false" ht="15" hidden="false" customHeight="false" outlineLevel="0" collapsed="false">
      <c r="E2111" s="0" t="e">
        <f aca="false">IF(ISNA(F2111),NA(),E1389)</f>
        <v>#N/A</v>
      </c>
      <c r="F2111" s="0" t="e">
        <f aca="false">IF(OR(F1389="",AND(F1389=F1388,F1389=F1390)),NA(), F1389)</f>
        <v>#N/A</v>
      </c>
      <c r="G2111" s="0" t="e">
        <f aca="false">IF(ISNA(H2111),NA(),G1389)</f>
        <v>#N/A</v>
      </c>
      <c r="H2111" s="0" t="e">
        <f aca="false">IF(OR(H1389="",AND(H1389=H1388,H1389=H1390)),NA(), H1389)</f>
        <v>#N/A</v>
      </c>
      <c r="K2111" s="0" t="e">
        <f aca="false">IF(ISNA(L2111),NA(),K1389)</f>
        <v>#N/A</v>
      </c>
      <c r="L2111" s="0" t="e">
        <f aca="false">IF(OR(L1389="",AND(L1389=L1388,L1389=L1390)),NA(), L1389)</f>
        <v>#N/A</v>
      </c>
      <c r="M2111" s="0" t="e">
        <f aca="false">IF(ISNA(N2111),NA(),M1389)</f>
        <v>#N/A</v>
      </c>
      <c r="N2111" s="0" t="e">
        <f aca="false">IF(OR(N1389="",AND(N1389=N1388,N1389=N1390)),NA(), N1389)</f>
        <v>#N/A</v>
      </c>
    </row>
    <row r="2112" customFormat="false" ht="15" hidden="false" customHeight="false" outlineLevel="0" collapsed="false">
      <c r="E2112" s="0" t="e">
        <f aca="false">IF(ISNA(F2112),NA(),E1390)</f>
        <v>#N/A</v>
      </c>
      <c r="F2112" s="0" t="e">
        <f aca="false">IF(OR(F1390="",AND(F1390=F1389,F1390=F1391)),NA(), F1390)</f>
        <v>#N/A</v>
      </c>
      <c r="G2112" s="0" t="e">
        <f aca="false">IF(ISNA(H2112),NA(),G1390)</f>
        <v>#N/A</v>
      </c>
      <c r="H2112" s="0" t="e">
        <f aca="false">IF(OR(H1390="",AND(H1390=H1389,H1390=H1391)),NA(), H1390)</f>
        <v>#N/A</v>
      </c>
      <c r="K2112" s="0" t="e">
        <f aca="false">IF(ISNA(L2112),NA(),K1390)</f>
        <v>#N/A</v>
      </c>
      <c r="L2112" s="0" t="e">
        <f aca="false">IF(OR(L1390="",AND(L1390=L1389,L1390=L1391)),NA(), L1390)</f>
        <v>#N/A</v>
      </c>
      <c r="M2112" s="0" t="e">
        <f aca="false">IF(ISNA(N2112),NA(),M1390)</f>
        <v>#N/A</v>
      </c>
      <c r="N2112" s="0" t="e">
        <f aca="false">IF(OR(N1390="",AND(N1390=N1389,N1390=N1391)),NA(), N1390)</f>
        <v>#N/A</v>
      </c>
    </row>
    <row r="2113" customFormat="false" ht="15" hidden="false" customHeight="false" outlineLevel="0" collapsed="false">
      <c r="E2113" s="0" t="e">
        <f aca="false">IF(ISNA(F2113),NA(),E1391)</f>
        <v>#N/A</v>
      </c>
      <c r="F2113" s="0" t="e">
        <f aca="false">IF(OR(F1391="",AND(F1391=F1390,F1391=F1392)),NA(), F1391)</f>
        <v>#N/A</v>
      </c>
      <c r="G2113" s="0" t="e">
        <f aca="false">IF(ISNA(H2113),NA(),G1391)</f>
        <v>#N/A</v>
      </c>
      <c r="H2113" s="0" t="e">
        <f aca="false">IF(OR(H1391="",AND(H1391=H1390,H1391=H1392)),NA(), H1391)</f>
        <v>#N/A</v>
      </c>
      <c r="K2113" s="0" t="e">
        <f aca="false">IF(ISNA(L2113),NA(),K1391)</f>
        <v>#N/A</v>
      </c>
      <c r="L2113" s="0" t="e">
        <f aca="false">IF(OR(L1391="",AND(L1391=L1390,L1391=L1392)),NA(), L1391)</f>
        <v>#N/A</v>
      </c>
      <c r="M2113" s="0" t="e">
        <f aca="false">IF(ISNA(N2113),NA(),M1391)</f>
        <v>#N/A</v>
      </c>
      <c r="N2113" s="0" t="e">
        <f aca="false">IF(OR(N1391="",AND(N1391=N1390,N1391=N1392)),NA(), N1391)</f>
        <v>#N/A</v>
      </c>
    </row>
    <row r="2114" customFormat="false" ht="15" hidden="false" customHeight="false" outlineLevel="0" collapsed="false">
      <c r="E2114" s="0" t="e">
        <f aca="false">IF(ISNA(F2114),NA(),E1392)</f>
        <v>#N/A</v>
      </c>
      <c r="F2114" s="0" t="e">
        <f aca="false">IF(OR(F1392="",AND(F1392=F1391,F1392=F1393)),NA(), F1392)</f>
        <v>#N/A</v>
      </c>
      <c r="G2114" s="0" t="e">
        <f aca="false">IF(ISNA(H2114),NA(),G1392)</f>
        <v>#N/A</v>
      </c>
      <c r="H2114" s="0" t="e">
        <f aca="false">IF(OR(H1392="",AND(H1392=H1391,H1392=H1393)),NA(), H1392)</f>
        <v>#N/A</v>
      </c>
      <c r="K2114" s="0" t="e">
        <f aca="false">IF(ISNA(L2114),NA(),K1392)</f>
        <v>#N/A</v>
      </c>
      <c r="L2114" s="0" t="e">
        <f aca="false">IF(OR(L1392="",AND(L1392=L1391,L1392=L1393)),NA(), L1392)</f>
        <v>#N/A</v>
      </c>
      <c r="M2114" s="0" t="e">
        <f aca="false">IF(ISNA(N2114),NA(),M1392)</f>
        <v>#N/A</v>
      </c>
      <c r="N2114" s="0" t="e">
        <f aca="false">IF(OR(N1392="",AND(N1392=N1391,N1392=N1393)),NA(), N1392)</f>
        <v>#N/A</v>
      </c>
    </row>
    <row r="2115" customFormat="false" ht="15" hidden="false" customHeight="false" outlineLevel="0" collapsed="false">
      <c r="E2115" s="0" t="e">
        <f aca="false">IF(ISNA(F2115),NA(),E1393)</f>
        <v>#N/A</v>
      </c>
      <c r="F2115" s="0" t="e">
        <f aca="false">IF(OR(F1393="",AND(F1393=F1392,F1393=F1394)),NA(), F1393)</f>
        <v>#N/A</v>
      </c>
      <c r="G2115" s="0" t="e">
        <f aca="false">IF(ISNA(H2115),NA(),G1393)</f>
        <v>#N/A</v>
      </c>
      <c r="H2115" s="0" t="e">
        <f aca="false">IF(OR(H1393="",AND(H1393=H1392,H1393=H1394)),NA(), H1393)</f>
        <v>#N/A</v>
      </c>
      <c r="K2115" s="0" t="e">
        <f aca="false">IF(ISNA(L2115),NA(),K1393)</f>
        <v>#N/A</v>
      </c>
      <c r="L2115" s="0" t="e">
        <f aca="false">IF(OR(L1393="",AND(L1393=L1392,L1393=L1394)),NA(), L1393)</f>
        <v>#N/A</v>
      </c>
      <c r="M2115" s="0" t="e">
        <f aca="false">IF(ISNA(N2115),NA(),M1393)</f>
        <v>#N/A</v>
      </c>
      <c r="N2115" s="0" t="e">
        <f aca="false">IF(OR(N1393="",AND(N1393=N1392,N1393=N1394)),NA(), N1393)</f>
        <v>#N/A</v>
      </c>
    </row>
    <row r="2116" customFormat="false" ht="15" hidden="false" customHeight="false" outlineLevel="0" collapsed="false">
      <c r="E2116" s="0" t="e">
        <f aca="false">IF(ISNA(F2116),NA(),E1394)</f>
        <v>#N/A</v>
      </c>
      <c r="F2116" s="0" t="e">
        <f aca="false">IF(OR(F1394="",AND(F1394=F1393,F1394=F1395)),NA(), F1394)</f>
        <v>#N/A</v>
      </c>
      <c r="G2116" s="0" t="e">
        <f aca="false">IF(ISNA(H2116),NA(),G1394)</f>
        <v>#N/A</v>
      </c>
      <c r="H2116" s="0" t="e">
        <f aca="false">IF(OR(H1394="",AND(H1394=H1393,H1394=H1395)),NA(), H1394)</f>
        <v>#N/A</v>
      </c>
      <c r="K2116" s="0" t="e">
        <f aca="false">IF(ISNA(L2116),NA(),K1394)</f>
        <v>#N/A</v>
      </c>
      <c r="L2116" s="0" t="e">
        <f aca="false">IF(OR(L1394="",AND(L1394=L1393,L1394=L1395)),NA(), L1394)</f>
        <v>#N/A</v>
      </c>
      <c r="M2116" s="0" t="e">
        <f aca="false">IF(ISNA(N2116),NA(),M1394)</f>
        <v>#N/A</v>
      </c>
      <c r="N2116" s="0" t="e">
        <f aca="false">IF(OR(N1394="",AND(N1394=N1393,N1394=N1395)),NA(), N1394)</f>
        <v>#N/A</v>
      </c>
    </row>
    <row r="2117" customFormat="false" ht="15" hidden="false" customHeight="false" outlineLevel="0" collapsed="false">
      <c r="E2117" s="0" t="e">
        <f aca="false">IF(ISNA(F2117),NA(),E1395)</f>
        <v>#N/A</v>
      </c>
      <c r="F2117" s="0" t="e">
        <f aca="false">IF(OR(F1395="",AND(F1395=F1394,F1395=F1396)),NA(), F1395)</f>
        <v>#N/A</v>
      </c>
      <c r="G2117" s="0" t="e">
        <f aca="false">IF(ISNA(H2117),NA(),G1395)</f>
        <v>#N/A</v>
      </c>
      <c r="H2117" s="0" t="e">
        <f aca="false">IF(OR(H1395="",AND(H1395=H1394,H1395=H1396)),NA(), H1395)</f>
        <v>#N/A</v>
      </c>
      <c r="K2117" s="0" t="e">
        <f aca="false">IF(ISNA(L2117),NA(),K1395)</f>
        <v>#N/A</v>
      </c>
      <c r="L2117" s="0" t="e">
        <f aca="false">IF(OR(L1395="",AND(L1395=L1394,L1395=L1396)),NA(), L1395)</f>
        <v>#N/A</v>
      </c>
      <c r="M2117" s="0" t="e">
        <f aca="false">IF(ISNA(N2117),NA(),M1395)</f>
        <v>#N/A</v>
      </c>
      <c r="N2117" s="0" t="e">
        <f aca="false">IF(OR(N1395="",AND(N1395=N1394,N1395=N1396)),NA(), N1395)</f>
        <v>#N/A</v>
      </c>
    </row>
    <row r="2118" customFormat="false" ht="15" hidden="false" customHeight="false" outlineLevel="0" collapsed="false">
      <c r="E2118" s="0" t="e">
        <f aca="false">IF(ISNA(F2118),NA(),E1396)</f>
        <v>#N/A</v>
      </c>
      <c r="F2118" s="0" t="e">
        <f aca="false">IF(OR(F1396="",AND(F1396=F1395,F1396=F1397)),NA(), F1396)</f>
        <v>#N/A</v>
      </c>
      <c r="G2118" s="0" t="e">
        <f aca="false">IF(ISNA(H2118),NA(),G1396)</f>
        <v>#N/A</v>
      </c>
      <c r="H2118" s="0" t="e">
        <f aca="false">IF(OR(H1396="",AND(H1396=H1395,H1396=H1397)),NA(), H1396)</f>
        <v>#N/A</v>
      </c>
      <c r="K2118" s="0" t="e">
        <f aca="false">IF(ISNA(L2118),NA(),K1396)</f>
        <v>#N/A</v>
      </c>
      <c r="L2118" s="0" t="e">
        <f aca="false">IF(OR(L1396="",AND(L1396=L1395,L1396=L1397)),NA(), L1396)</f>
        <v>#N/A</v>
      </c>
      <c r="M2118" s="0" t="e">
        <f aca="false">IF(ISNA(N2118),NA(),M1396)</f>
        <v>#N/A</v>
      </c>
      <c r="N2118" s="0" t="e">
        <f aca="false">IF(OR(N1396="",AND(N1396=N1395,N1396=N1397)),NA(), N1396)</f>
        <v>#N/A</v>
      </c>
    </row>
    <row r="2119" customFormat="false" ht="15" hidden="false" customHeight="false" outlineLevel="0" collapsed="false">
      <c r="E2119" s="0" t="e">
        <f aca="false">IF(ISNA(F2119),NA(),E1397)</f>
        <v>#N/A</v>
      </c>
      <c r="F2119" s="0" t="e">
        <f aca="false">IF(OR(F1397="",AND(F1397=F1396,F1397=F1398)),NA(), F1397)</f>
        <v>#N/A</v>
      </c>
      <c r="G2119" s="0" t="e">
        <f aca="false">IF(ISNA(H2119),NA(),G1397)</f>
        <v>#N/A</v>
      </c>
      <c r="H2119" s="0" t="e">
        <f aca="false">IF(OR(H1397="",AND(H1397=H1396,H1397=H1398)),NA(), H1397)</f>
        <v>#N/A</v>
      </c>
      <c r="K2119" s="0" t="e">
        <f aca="false">IF(ISNA(L2119),NA(),K1397)</f>
        <v>#N/A</v>
      </c>
      <c r="L2119" s="0" t="e">
        <f aca="false">IF(OR(L1397="",AND(L1397=L1396,L1397=L1398)),NA(), L1397)</f>
        <v>#N/A</v>
      </c>
      <c r="M2119" s="0" t="e">
        <f aca="false">IF(ISNA(N2119),NA(),M1397)</f>
        <v>#N/A</v>
      </c>
      <c r="N2119" s="0" t="e">
        <f aca="false">IF(OR(N1397="",AND(N1397=N1396,N1397=N1398)),NA(), N1397)</f>
        <v>#N/A</v>
      </c>
    </row>
    <row r="2120" customFormat="false" ht="15" hidden="false" customHeight="false" outlineLevel="0" collapsed="false">
      <c r="E2120" s="0" t="e">
        <f aca="false">IF(ISNA(F2120),NA(),E1398)</f>
        <v>#N/A</v>
      </c>
      <c r="F2120" s="0" t="e">
        <f aca="false">IF(OR(F1398="",AND(F1398=F1397,F1398=F1399)),NA(), F1398)</f>
        <v>#N/A</v>
      </c>
      <c r="G2120" s="0" t="e">
        <f aca="false">IF(ISNA(H2120),NA(),G1398)</f>
        <v>#N/A</v>
      </c>
      <c r="H2120" s="0" t="e">
        <f aca="false">IF(OR(H1398="",AND(H1398=H1397,H1398=H1399)),NA(), H1398)</f>
        <v>#N/A</v>
      </c>
      <c r="K2120" s="0" t="e">
        <f aca="false">IF(ISNA(L2120),NA(),K1398)</f>
        <v>#N/A</v>
      </c>
      <c r="L2120" s="0" t="e">
        <f aca="false">IF(OR(L1398="",AND(L1398=L1397,L1398=L1399)),NA(), L1398)</f>
        <v>#N/A</v>
      </c>
      <c r="M2120" s="0" t="e">
        <f aca="false">IF(ISNA(N2120),NA(),M1398)</f>
        <v>#N/A</v>
      </c>
      <c r="N2120" s="0" t="e">
        <f aca="false">IF(OR(N1398="",AND(N1398=N1397,N1398=N1399)),NA(), N1398)</f>
        <v>#N/A</v>
      </c>
    </row>
    <row r="2121" customFormat="false" ht="15" hidden="false" customHeight="false" outlineLevel="0" collapsed="false">
      <c r="E2121" s="0" t="e">
        <f aca="false">IF(ISNA(F2121),NA(),E1399)</f>
        <v>#N/A</v>
      </c>
      <c r="F2121" s="0" t="e">
        <f aca="false">IF(OR(F1399="",AND(F1399=F1398,F1399=F1400)),NA(), F1399)</f>
        <v>#N/A</v>
      </c>
      <c r="G2121" s="0" t="e">
        <f aca="false">IF(ISNA(H2121),NA(),G1399)</f>
        <v>#N/A</v>
      </c>
      <c r="H2121" s="0" t="e">
        <f aca="false">IF(OR(H1399="",AND(H1399=H1398,H1399=H1400)),NA(), H1399)</f>
        <v>#N/A</v>
      </c>
      <c r="K2121" s="0" t="e">
        <f aca="false">IF(ISNA(L2121),NA(),K1399)</f>
        <v>#N/A</v>
      </c>
      <c r="L2121" s="0" t="e">
        <f aca="false">IF(OR(L1399="",AND(L1399=L1398,L1399=L1400)),NA(), L1399)</f>
        <v>#N/A</v>
      </c>
      <c r="M2121" s="0" t="e">
        <f aca="false">IF(ISNA(N2121),NA(),M1399)</f>
        <v>#N/A</v>
      </c>
      <c r="N2121" s="0" t="e">
        <f aca="false">IF(OR(N1399="",AND(N1399=N1398,N1399=N1400)),NA(), N1399)</f>
        <v>#N/A</v>
      </c>
    </row>
    <row r="2122" customFormat="false" ht="15" hidden="false" customHeight="false" outlineLevel="0" collapsed="false">
      <c r="E2122" s="0" t="e">
        <f aca="false">IF(ISNA(F2122),NA(),E1400)</f>
        <v>#N/A</v>
      </c>
      <c r="F2122" s="0" t="e">
        <f aca="false">IF(OR(F1400="",AND(F1400=F1399,F1400=F1401)),NA(), F1400)</f>
        <v>#N/A</v>
      </c>
      <c r="G2122" s="0" t="e">
        <f aca="false">IF(ISNA(H2122),NA(),G1400)</f>
        <v>#N/A</v>
      </c>
      <c r="H2122" s="0" t="e">
        <f aca="false">IF(OR(H1400="",AND(H1400=H1399,H1400=H1401)),NA(), H1400)</f>
        <v>#N/A</v>
      </c>
      <c r="K2122" s="0" t="e">
        <f aca="false">IF(ISNA(L2122),NA(),K1400)</f>
        <v>#N/A</v>
      </c>
      <c r="L2122" s="0" t="e">
        <f aca="false">IF(OR(L1400="",AND(L1400=L1399,L1400=L1401)),NA(), L1400)</f>
        <v>#N/A</v>
      </c>
      <c r="M2122" s="0" t="e">
        <f aca="false">IF(ISNA(N2122),NA(),M1400)</f>
        <v>#N/A</v>
      </c>
      <c r="N2122" s="0" t="e">
        <f aca="false">IF(OR(N1400="",AND(N1400=N1399,N1400=N1401)),NA(), N1400)</f>
        <v>#N/A</v>
      </c>
    </row>
    <row r="2123" customFormat="false" ht="15" hidden="false" customHeight="false" outlineLevel="0" collapsed="false">
      <c r="E2123" s="0" t="e">
        <f aca="false">IF(ISNA(F2123),NA(),E1401)</f>
        <v>#N/A</v>
      </c>
      <c r="F2123" s="0" t="e">
        <f aca="false">IF(OR(F1401="",AND(F1401=F1400,F1401=F1402)),NA(), F1401)</f>
        <v>#N/A</v>
      </c>
      <c r="G2123" s="0" t="e">
        <f aca="false">IF(ISNA(H2123),NA(),G1401)</f>
        <v>#N/A</v>
      </c>
      <c r="H2123" s="0" t="e">
        <f aca="false">IF(OR(H1401="",AND(H1401=H1400,H1401=H1402)),NA(), H1401)</f>
        <v>#N/A</v>
      </c>
      <c r="K2123" s="0" t="e">
        <f aca="false">IF(ISNA(L2123),NA(),K1401)</f>
        <v>#N/A</v>
      </c>
      <c r="L2123" s="0" t="e">
        <f aca="false">IF(OR(L1401="",AND(L1401=L1400,L1401=L1402)),NA(), L1401)</f>
        <v>#N/A</v>
      </c>
      <c r="M2123" s="0" t="e">
        <f aca="false">IF(ISNA(N2123),NA(),M1401)</f>
        <v>#N/A</v>
      </c>
      <c r="N2123" s="0" t="e">
        <f aca="false">IF(OR(N1401="",AND(N1401=N1400,N1401=N1402)),NA(), N1401)</f>
        <v>#N/A</v>
      </c>
    </row>
    <row r="2124" customFormat="false" ht="15" hidden="false" customHeight="false" outlineLevel="0" collapsed="false">
      <c r="E2124" s="0" t="e">
        <f aca="false">IF(ISNA(F2124),NA(),E1402)</f>
        <v>#N/A</v>
      </c>
      <c r="F2124" s="0" t="e">
        <f aca="false">IF(OR(F1402="",AND(F1402=F1401,F1402=F1403)),NA(), F1402)</f>
        <v>#N/A</v>
      </c>
      <c r="G2124" s="0" t="e">
        <f aca="false">IF(ISNA(H2124),NA(),G1402)</f>
        <v>#N/A</v>
      </c>
      <c r="H2124" s="0" t="e">
        <f aca="false">IF(OR(H1402="",AND(H1402=H1401,H1402=H1403)),NA(), H1402)</f>
        <v>#N/A</v>
      </c>
      <c r="K2124" s="0" t="e">
        <f aca="false">IF(ISNA(L2124),NA(),K1402)</f>
        <v>#N/A</v>
      </c>
      <c r="L2124" s="0" t="e">
        <f aca="false">IF(OR(L1402="",AND(L1402=L1401,L1402=L1403)),NA(), L1402)</f>
        <v>#N/A</v>
      </c>
      <c r="M2124" s="0" t="e">
        <f aca="false">IF(ISNA(N2124),NA(),M1402)</f>
        <v>#N/A</v>
      </c>
      <c r="N2124" s="0" t="e">
        <f aca="false">IF(OR(N1402="",AND(N1402=N1401,N1402=N1403)),NA(), N1402)</f>
        <v>#N/A</v>
      </c>
    </row>
    <row r="2125" customFormat="false" ht="15" hidden="false" customHeight="false" outlineLevel="0" collapsed="false">
      <c r="E2125" s="0" t="e">
        <f aca="false">IF(ISNA(F2125),NA(),E1403)</f>
        <v>#N/A</v>
      </c>
      <c r="F2125" s="0" t="e">
        <f aca="false">IF(OR(F1403="",AND(F1403=F1402,F1403=F1404)),NA(), F1403)</f>
        <v>#N/A</v>
      </c>
      <c r="G2125" s="0" t="e">
        <f aca="false">IF(ISNA(H2125),NA(),G1403)</f>
        <v>#N/A</v>
      </c>
      <c r="H2125" s="0" t="e">
        <f aca="false">IF(OR(H1403="",AND(H1403=H1402,H1403=H1404)),NA(), H1403)</f>
        <v>#N/A</v>
      </c>
      <c r="K2125" s="0" t="e">
        <f aca="false">IF(ISNA(L2125),NA(),K1403)</f>
        <v>#N/A</v>
      </c>
      <c r="L2125" s="0" t="e">
        <f aca="false">IF(OR(L1403="",AND(L1403=L1402,L1403=L1404)),NA(), L1403)</f>
        <v>#N/A</v>
      </c>
      <c r="M2125" s="0" t="e">
        <f aca="false">IF(ISNA(N2125),NA(),M1403)</f>
        <v>#N/A</v>
      </c>
      <c r="N2125" s="0" t="e">
        <f aca="false">IF(OR(N1403="",AND(N1403=N1402,N1403=N1404)),NA(), N1403)</f>
        <v>#N/A</v>
      </c>
    </row>
    <row r="2126" customFormat="false" ht="15" hidden="false" customHeight="false" outlineLevel="0" collapsed="false">
      <c r="E2126" s="0" t="e">
        <f aca="false">IF(ISNA(F2126),NA(),E1404)</f>
        <v>#N/A</v>
      </c>
      <c r="F2126" s="0" t="e">
        <f aca="false">IF(OR(F1404="",AND(F1404=F1403,F1404=F1405)),NA(), F1404)</f>
        <v>#N/A</v>
      </c>
      <c r="G2126" s="0" t="e">
        <f aca="false">IF(ISNA(H2126),NA(),G1404)</f>
        <v>#N/A</v>
      </c>
      <c r="H2126" s="0" t="e">
        <f aca="false">IF(OR(H1404="",AND(H1404=H1403,H1404=H1405)),NA(), H1404)</f>
        <v>#N/A</v>
      </c>
      <c r="K2126" s="0" t="e">
        <f aca="false">IF(ISNA(L2126),NA(),K1404)</f>
        <v>#N/A</v>
      </c>
      <c r="L2126" s="0" t="e">
        <f aca="false">IF(OR(L1404="",AND(L1404=L1403,L1404=L1405)),NA(), L1404)</f>
        <v>#N/A</v>
      </c>
      <c r="M2126" s="0" t="e">
        <f aca="false">IF(ISNA(N2126),NA(),M1404)</f>
        <v>#N/A</v>
      </c>
      <c r="N2126" s="0" t="e">
        <f aca="false">IF(OR(N1404="",AND(N1404=N1403,N1404=N1405)),NA(), N1404)</f>
        <v>#N/A</v>
      </c>
    </row>
    <row r="2127" customFormat="false" ht="15" hidden="false" customHeight="false" outlineLevel="0" collapsed="false">
      <c r="E2127" s="0" t="e">
        <f aca="false">IF(ISNA(F2127),NA(),E1405)</f>
        <v>#N/A</v>
      </c>
      <c r="F2127" s="0" t="e">
        <f aca="false">IF(OR(F1405="",AND(F1405=F1404,F1405=F1406)),NA(), F1405)</f>
        <v>#N/A</v>
      </c>
      <c r="G2127" s="0" t="e">
        <f aca="false">IF(ISNA(H2127),NA(),G1405)</f>
        <v>#N/A</v>
      </c>
      <c r="H2127" s="0" t="e">
        <f aca="false">IF(OR(H1405="",AND(H1405=H1404,H1405=H1406)),NA(), H1405)</f>
        <v>#N/A</v>
      </c>
      <c r="K2127" s="0" t="e">
        <f aca="false">IF(ISNA(L2127),NA(),K1405)</f>
        <v>#N/A</v>
      </c>
      <c r="L2127" s="0" t="e">
        <f aca="false">IF(OR(L1405="",AND(L1405=L1404,L1405=L1406)),NA(), L1405)</f>
        <v>#N/A</v>
      </c>
      <c r="M2127" s="0" t="e">
        <f aca="false">IF(ISNA(N2127),NA(),M1405)</f>
        <v>#N/A</v>
      </c>
      <c r="N2127" s="0" t="e">
        <f aca="false">IF(OR(N1405="",AND(N1405=N1404,N1405=N1406)),NA(), N1405)</f>
        <v>#N/A</v>
      </c>
    </row>
    <row r="2128" customFormat="false" ht="15" hidden="false" customHeight="false" outlineLevel="0" collapsed="false">
      <c r="E2128" s="0" t="e">
        <f aca="false">IF(ISNA(F2128),NA(),E1406)</f>
        <v>#N/A</v>
      </c>
      <c r="F2128" s="0" t="e">
        <f aca="false">IF(OR(F1406="",AND(F1406=F1405,F1406=F1407)),NA(), F1406)</f>
        <v>#N/A</v>
      </c>
      <c r="G2128" s="0" t="e">
        <f aca="false">IF(ISNA(H2128),NA(),G1406)</f>
        <v>#N/A</v>
      </c>
      <c r="H2128" s="0" t="e">
        <f aca="false">IF(OR(H1406="",AND(H1406=H1405,H1406=H1407)),NA(), H1406)</f>
        <v>#N/A</v>
      </c>
      <c r="K2128" s="0" t="e">
        <f aca="false">IF(ISNA(L2128),NA(),K1406)</f>
        <v>#N/A</v>
      </c>
      <c r="L2128" s="0" t="e">
        <f aca="false">IF(OR(L1406="",AND(L1406=L1405,L1406=L1407)),NA(), L1406)</f>
        <v>#N/A</v>
      </c>
      <c r="M2128" s="0" t="e">
        <f aca="false">IF(ISNA(N2128),NA(),M1406)</f>
        <v>#N/A</v>
      </c>
      <c r="N2128" s="0" t="e">
        <f aca="false">IF(OR(N1406="",AND(N1406=N1405,N1406=N1407)),NA(), N1406)</f>
        <v>#N/A</v>
      </c>
    </row>
    <row r="2129" customFormat="false" ht="15" hidden="false" customHeight="false" outlineLevel="0" collapsed="false">
      <c r="E2129" s="0" t="e">
        <f aca="false">IF(ISNA(F2129),NA(),E1407)</f>
        <v>#N/A</v>
      </c>
      <c r="F2129" s="0" t="e">
        <f aca="false">IF(OR(F1407="",AND(F1407=F1406,F1407=F1408)),NA(), F1407)</f>
        <v>#N/A</v>
      </c>
      <c r="G2129" s="0" t="e">
        <f aca="false">IF(ISNA(H2129),NA(),G1407)</f>
        <v>#N/A</v>
      </c>
      <c r="H2129" s="0" t="e">
        <f aca="false">IF(OR(H1407="",AND(H1407=H1406,H1407=H1408)),NA(), H1407)</f>
        <v>#N/A</v>
      </c>
      <c r="K2129" s="0" t="e">
        <f aca="false">IF(ISNA(L2129),NA(),K1407)</f>
        <v>#N/A</v>
      </c>
      <c r="L2129" s="0" t="e">
        <f aca="false">IF(OR(L1407="",AND(L1407=L1406,L1407=L1408)),NA(), L1407)</f>
        <v>#N/A</v>
      </c>
      <c r="M2129" s="0" t="e">
        <f aca="false">IF(ISNA(N2129),NA(),M1407)</f>
        <v>#N/A</v>
      </c>
      <c r="N2129" s="0" t="e">
        <f aca="false">IF(OR(N1407="",AND(N1407=N1406,N1407=N1408)),NA(), N1407)</f>
        <v>#N/A</v>
      </c>
    </row>
    <row r="2130" customFormat="false" ht="15" hidden="false" customHeight="false" outlineLevel="0" collapsed="false">
      <c r="E2130" s="0" t="e">
        <f aca="false">IF(ISNA(F2130),NA(),E1408)</f>
        <v>#N/A</v>
      </c>
      <c r="F2130" s="0" t="e">
        <f aca="false">IF(OR(F1408="",AND(F1408=F1407,F1408=F1409)),NA(), F1408)</f>
        <v>#N/A</v>
      </c>
      <c r="G2130" s="0" t="e">
        <f aca="false">IF(ISNA(H2130),NA(),G1408)</f>
        <v>#N/A</v>
      </c>
      <c r="H2130" s="0" t="e">
        <f aca="false">IF(OR(H1408="",AND(H1408=H1407,H1408=H1409)),NA(), H1408)</f>
        <v>#N/A</v>
      </c>
      <c r="K2130" s="0" t="e">
        <f aca="false">IF(ISNA(L2130),NA(),K1408)</f>
        <v>#N/A</v>
      </c>
      <c r="L2130" s="0" t="e">
        <f aca="false">IF(OR(L1408="",AND(L1408=L1407,L1408=L1409)),NA(), L1408)</f>
        <v>#N/A</v>
      </c>
      <c r="M2130" s="0" t="e">
        <f aca="false">IF(ISNA(N2130),NA(),M1408)</f>
        <v>#N/A</v>
      </c>
      <c r="N2130" s="0" t="e">
        <f aca="false">IF(OR(N1408="",AND(N1408=N1407,N1408=N1409)),NA(), N1408)</f>
        <v>#N/A</v>
      </c>
    </row>
    <row r="2131" customFormat="false" ht="15" hidden="false" customHeight="false" outlineLevel="0" collapsed="false">
      <c r="E2131" s="0" t="e">
        <f aca="false">IF(ISNA(F2131),NA(),E1409)</f>
        <v>#N/A</v>
      </c>
      <c r="F2131" s="0" t="e">
        <f aca="false">IF(OR(F1409="",AND(F1409=F1408,F1409=F1410)),NA(), F1409)</f>
        <v>#N/A</v>
      </c>
      <c r="G2131" s="0" t="e">
        <f aca="false">IF(ISNA(H2131),NA(),G1409)</f>
        <v>#N/A</v>
      </c>
      <c r="H2131" s="0" t="e">
        <f aca="false">IF(OR(H1409="",AND(H1409=H1408,H1409=H1410)),NA(), H1409)</f>
        <v>#N/A</v>
      </c>
      <c r="K2131" s="0" t="e">
        <f aca="false">IF(ISNA(L2131),NA(),K1409)</f>
        <v>#N/A</v>
      </c>
      <c r="L2131" s="0" t="e">
        <f aca="false">IF(OR(L1409="",AND(L1409=L1408,L1409=L1410)),NA(), L1409)</f>
        <v>#N/A</v>
      </c>
      <c r="M2131" s="0" t="e">
        <f aca="false">IF(ISNA(N2131),NA(),M1409)</f>
        <v>#N/A</v>
      </c>
      <c r="N2131" s="0" t="e">
        <f aca="false">IF(OR(N1409="",AND(N1409=N1408,N1409=N1410)),NA(), N1409)</f>
        <v>#N/A</v>
      </c>
    </row>
    <row r="2132" customFormat="false" ht="15" hidden="false" customHeight="false" outlineLevel="0" collapsed="false">
      <c r="E2132" s="0" t="e">
        <f aca="false">IF(ISNA(F2132),NA(),E1410)</f>
        <v>#N/A</v>
      </c>
      <c r="F2132" s="0" t="e">
        <f aca="false">IF(OR(F1410="",AND(F1410=F1409,F1410=F1411)),NA(), F1410)</f>
        <v>#N/A</v>
      </c>
      <c r="G2132" s="0" t="e">
        <f aca="false">IF(ISNA(H2132),NA(),G1410)</f>
        <v>#N/A</v>
      </c>
      <c r="H2132" s="0" t="e">
        <f aca="false">IF(OR(H1410="",AND(H1410=H1409,H1410=H1411)),NA(), H1410)</f>
        <v>#N/A</v>
      </c>
      <c r="K2132" s="0" t="e">
        <f aca="false">IF(ISNA(L2132),NA(),K1410)</f>
        <v>#N/A</v>
      </c>
      <c r="L2132" s="0" t="e">
        <f aca="false">IF(OR(L1410="",AND(L1410=L1409,L1410=L1411)),NA(), L1410)</f>
        <v>#N/A</v>
      </c>
      <c r="M2132" s="0" t="e">
        <f aca="false">IF(ISNA(N2132),NA(),M1410)</f>
        <v>#N/A</v>
      </c>
      <c r="N2132" s="0" t="e">
        <f aca="false">IF(OR(N1410="",AND(N1410=N1409,N1410=N1411)),NA(), N1410)</f>
        <v>#N/A</v>
      </c>
    </row>
    <row r="2133" customFormat="false" ht="15" hidden="false" customHeight="false" outlineLevel="0" collapsed="false">
      <c r="E2133" s="0" t="e">
        <f aca="false">IF(ISNA(F2133),NA(),E1411)</f>
        <v>#N/A</v>
      </c>
      <c r="F2133" s="0" t="e">
        <f aca="false">IF(OR(F1411="",AND(F1411=F1410,F1411=F1412)),NA(), F1411)</f>
        <v>#N/A</v>
      </c>
      <c r="G2133" s="0" t="e">
        <f aca="false">IF(ISNA(H2133),NA(),G1411)</f>
        <v>#N/A</v>
      </c>
      <c r="H2133" s="0" t="e">
        <f aca="false">IF(OR(H1411="",AND(H1411=H1410,H1411=H1412)),NA(), H1411)</f>
        <v>#N/A</v>
      </c>
      <c r="K2133" s="0" t="e">
        <f aca="false">IF(ISNA(L2133),NA(),K1411)</f>
        <v>#N/A</v>
      </c>
      <c r="L2133" s="0" t="e">
        <f aca="false">IF(OR(L1411="",AND(L1411=L1410,L1411=L1412)),NA(), L1411)</f>
        <v>#N/A</v>
      </c>
      <c r="M2133" s="0" t="e">
        <f aca="false">IF(ISNA(N2133),NA(),M1411)</f>
        <v>#N/A</v>
      </c>
      <c r="N2133" s="0" t="e">
        <f aca="false">IF(OR(N1411="",AND(N1411=N1410,N1411=N1412)),NA(), N1411)</f>
        <v>#N/A</v>
      </c>
    </row>
    <row r="2134" customFormat="false" ht="15" hidden="false" customHeight="false" outlineLevel="0" collapsed="false">
      <c r="E2134" s="0" t="e">
        <f aca="false">IF(ISNA(F2134),NA(),E1412)</f>
        <v>#N/A</v>
      </c>
      <c r="F2134" s="0" t="e">
        <f aca="false">IF(OR(F1412="",AND(F1412=F1411,F1412=F1413)),NA(), F1412)</f>
        <v>#N/A</v>
      </c>
      <c r="G2134" s="0" t="e">
        <f aca="false">IF(ISNA(H2134),NA(),G1412)</f>
        <v>#N/A</v>
      </c>
      <c r="H2134" s="0" t="e">
        <f aca="false">IF(OR(H1412="",AND(H1412=H1411,H1412=H1413)),NA(), H1412)</f>
        <v>#N/A</v>
      </c>
      <c r="K2134" s="0" t="e">
        <f aca="false">IF(ISNA(L2134),NA(),K1412)</f>
        <v>#N/A</v>
      </c>
      <c r="L2134" s="0" t="e">
        <f aca="false">IF(OR(L1412="",AND(L1412=L1411,L1412=L1413)),NA(), L1412)</f>
        <v>#N/A</v>
      </c>
      <c r="M2134" s="0" t="e">
        <f aca="false">IF(ISNA(N2134),NA(),M1412)</f>
        <v>#N/A</v>
      </c>
      <c r="N2134" s="0" t="e">
        <f aca="false">IF(OR(N1412="",AND(N1412=N1411,N1412=N1413)),NA(), N1412)</f>
        <v>#N/A</v>
      </c>
    </row>
    <row r="2135" customFormat="false" ht="15" hidden="false" customHeight="false" outlineLevel="0" collapsed="false">
      <c r="E2135" s="0" t="e">
        <f aca="false">IF(ISNA(F2135),NA(),E1413)</f>
        <v>#N/A</v>
      </c>
      <c r="F2135" s="0" t="e">
        <f aca="false">IF(OR(F1413="",AND(F1413=F1412,F1413=F1414)),NA(), F1413)</f>
        <v>#N/A</v>
      </c>
      <c r="G2135" s="0" t="e">
        <f aca="false">IF(ISNA(H2135),NA(),G1413)</f>
        <v>#N/A</v>
      </c>
      <c r="H2135" s="0" t="e">
        <f aca="false">IF(OR(H1413="",AND(H1413=H1412,H1413=H1414)),NA(), H1413)</f>
        <v>#N/A</v>
      </c>
      <c r="K2135" s="0" t="e">
        <f aca="false">IF(ISNA(L2135),NA(),K1413)</f>
        <v>#N/A</v>
      </c>
      <c r="L2135" s="0" t="e">
        <f aca="false">IF(OR(L1413="",AND(L1413=L1412,L1413=L1414)),NA(), L1413)</f>
        <v>#N/A</v>
      </c>
      <c r="M2135" s="0" t="e">
        <f aca="false">IF(ISNA(N2135),NA(),M1413)</f>
        <v>#N/A</v>
      </c>
      <c r="N2135" s="0" t="e">
        <f aca="false">IF(OR(N1413="",AND(N1413=N1412,N1413=N1414)),NA(), N1413)</f>
        <v>#N/A</v>
      </c>
    </row>
    <row r="2136" customFormat="false" ht="15" hidden="false" customHeight="false" outlineLevel="0" collapsed="false">
      <c r="E2136" s="0" t="e">
        <f aca="false">IF(ISNA(F2136),NA(),E1414)</f>
        <v>#N/A</v>
      </c>
      <c r="F2136" s="0" t="e">
        <f aca="false">IF(OR(F1414="",AND(F1414=F1413,F1414=F1415)),NA(), F1414)</f>
        <v>#N/A</v>
      </c>
      <c r="G2136" s="0" t="e">
        <f aca="false">IF(ISNA(H2136),NA(),G1414)</f>
        <v>#N/A</v>
      </c>
      <c r="H2136" s="0" t="e">
        <f aca="false">IF(OR(H1414="",AND(H1414=H1413,H1414=H1415)),NA(), H1414)</f>
        <v>#N/A</v>
      </c>
      <c r="K2136" s="0" t="e">
        <f aca="false">IF(ISNA(L2136),NA(),K1414)</f>
        <v>#N/A</v>
      </c>
      <c r="L2136" s="0" t="e">
        <f aca="false">IF(OR(L1414="",AND(L1414=L1413,L1414=L1415)),NA(), L1414)</f>
        <v>#N/A</v>
      </c>
      <c r="M2136" s="0" t="e">
        <f aca="false">IF(ISNA(N2136),NA(),M1414)</f>
        <v>#N/A</v>
      </c>
      <c r="N2136" s="0" t="e">
        <f aca="false">IF(OR(N1414="",AND(N1414=N1413,N1414=N1415)),NA(), N1414)</f>
        <v>#N/A</v>
      </c>
    </row>
    <row r="2137" customFormat="false" ht="15" hidden="false" customHeight="false" outlineLevel="0" collapsed="false">
      <c r="E2137" s="0" t="e">
        <f aca="false">IF(ISNA(F2137),NA(),E1415)</f>
        <v>#N/A</v>
      </c>
      <c r="F2137" s="0" t="e">
        <f aca="false">IF(OR(F1415="",AND(F1415=F1414,F1415=F1416)),NA(), F1415)</f>
        <v>#N/A</v>
      </c>
      <c r="G2137" s="0" t="e">
        <f aca="false">IF(ISNA(H2137),NA(),G1415)</f>
        <v>#N/A</v>
      </c>
      <c r="H2137" s="0" t="e">
        <f aca="false">IF(OR(H1415="",AND(H1415=H1414,H1415=H1416)),NA(), H1415)</f>
        <v>#N/A</v>
      </c>
      <c r="K2137" s="0" t="e">
        <f aca="false">IF(ISNA(L2137),NA(),K1415)</f>
        <v>#N/A</v>
      </c>
      <c r="L2137" s="0" t="e">
        <f aca="false">IF(OR(L1415="",AND(L1415=L1414,L1415=L1416)),NA(), L1415)</f>
        <v>#N/A</v>
      </c>
      <c r="M2137" s="0" t="e">
        <f aca="false">IF(ISNA(N2137),NA(),M1415)</f>
        <v>#N/A</v>
      </c>
      <c r="N2137" s="0" t="e">
        <f aca="false">IF(OR(N1415="",AND(N1415=N1414,N1415=N1416)),NA(), N1415)</f>
        <v>#N/A</v>
      </c>
    </row>
    <row r="2138" customFormat="false" ht="15" hidden="false" customHeight="false" outlineLevel="0" collapsed="false">
      <c r="E2138" s="0" t="e">
        <f aca="false">IF(ISNA(F2138),NA(),E1416)</f>
        <v>#N/A</v>
      </c>
      <c r="F2138" s="0" t="e">
        <f aca="false">IF(OR(F1416="",AND(F1416=F1415,F1416=F1417)),NA(), F1416)</f>
        <v>#N/A</v>
      </c>
      <c r="G2138" s="0" t="e">
        <f aca="false">IF(ISNA(H2138),NA(),G1416)</f>
        <v>#N/A</v>
      </c>
      <c r="H2138" s="0" t="e">
        <f aca="false">IF(OR(H1416="",AND(H1416=H1415,H1416=H1417)),NA(), H1416)</f>
        <v>#N/A</v>
      </c>
      <c r="K2138" s="0" t="e">
        <f aca="false">IF(ISNA(L2138),NA(),K1416)</f>
        <v>#N/A</v>
      </c>
      <c r="L2138" s="0" t="e">
        <f aca="false">IF(OR(L1416="",AND(L1416=L1415,L1416=L1417)),NA(), L1416)</f>
        <v>#N/A</v>
      </c>
      <c r="M2138" s="0" t="e">
        <f aca="false">IF(ISNA(N2138),NA(),M1416)</f>
        <v>#N/A</v>
      </c>
      <c r="N2138" s="0" t="e">
        <f aca="false">IF(OR(N1416="",AND(N1416=N1415,N1416=N1417)),NA(), N1416)</f>
        <v>#N/A</v>
      </c>
    </row>
    <row r="2139" customFormat="false" ht="15" hidden="false" customHeight="false" outlineLevel="0" collapsed="false">
      <c r="E2139" s="0" t="e">
        <f aca="false">IF(ISNA(F2139),NA(),E1417)</f>
        <v>#N/A</v>
      </c>
      <c r="F2139" s="0" t="e">
        <f aca="false">IF(OR(F1417="",AND(F1417=F1416,F1417=F1418)),NA(), F1417)</f>
        <v>#N/A</v>
      </c>
      <c r="G2139" s="0" t="e">
        <f aca="false">IF(ISNA(H2139),NA(),G1417)</f>
        <v>#N/A</v>
      </c>
      <c r="H2139" s="0" t="e">
        <f aca="false">IF(OR(H1417="",AND(H1417=H1416,H1417=H1418)),NA(), H1417)</f>
        <v>#N/A</v>
      </c>
      <c r="K2139" s="0" t="e">
        <f aca="false">IF(ISNA(L2139),NA(),K1417)</f>
        <v>#N/A</v>
      </c>
      <c r="L2139" s="0" t="e">
        <f aca="false">IF(OR(L1417="",AND(L1417=L1416,L1417=L1418)),NA(), L1417)</f>
        <v>#N/A</v>
      </c>
      <c r="M2139" s="0" t="e">
        <f aca="false">IF(ISNA(N2139),NA(),M1417)</f>
        <v>#N/A</v>
      </c>
      <c r="N2139" s="0" t="e">
        <f aca="false">IF(OR(N1417="",AND(N1417=N1416,N1417=N1418)),NA(), N1417)</f>
        <v>#N/A</v>
      </c>
    </row>
    <row r="2140" customFormat="false" ht="15" hidden="false" customHeight="false" outlineLevel="0" collapsed="false">
      <c r="E2140" s="0" t="e">
        <f aca="false">IF(ISNA(F2140),NA(),E1418)</f>
        <v>#N/A</v>
      </c>
      <c r="F2140" s="0" t="e">
        <f aca="false">IF(OR(F1418="",AND(F1418=F1417,F1418=F1419)),NA(), F1418)</f>
        <v>#N/A</v>
      </c>
      <c r="G2140" s="0" t="e">
        <f aca="false">IF(ISNA(H2140),NA(),G1418)</f>
        <v>#N/A</v>
      </c>
      <c r="H2140" s="0" t="e">
        <f aca="false">IF(OR(H1418="",AND(H1418=H1417,H1418=H1419)),NA(), H1418)</f>
        <v>#N/A</v>
      </c>
      <c r="K2140" s="0" t="e">
        <f aca="false">IF(ISNA(L2140),NA(),K1418)</f>
        <v>#N/A</v>
      </c>
      <c r="L2140" s="0" t="e">
        <f aca="false">IF(OR(L1418="",AND(L1418=L1417,L1418=L1419)),NA(), L1418)</f>
        <v>#N/A</v>
      </c>
      <c r="M2140" s="0" t="e">
        <f aca="false">IF(ISNA(N2140),NA(),M1418)</f>
        <v>#N/A</v>
      </c>
      <c r="N2140" s="0" t="e">
        <f aca="false">IF(OR(N1418="",AND(N1418=N1417,N1418=N1419)),NA(), N1418)</f>
        <v>#N/A</v>
      </c>
    </row>
    <row r="2141" customFormat="false" ht="15" hidden="false" customHeight="false" outlineLevel="0" collapsed="false">
      <c r="E2141" s="0" t="e">
        <f aca="false">IF(ISNA(F2141),NA(),E1419)</f>
        <v>#N/A</v>
      </c>
      <c r="F2141" s="0" t="e">
        <f aca="false">IF(OR(F1419="",AND(F1419=F1418,F1419=F1420)),NA(), F1419)</f>
        <v>#N/A</v>
      </c>
      <c r="G2141" s="0" t="e">
        <f aca="false">IF(ISNA(H2141),NA(),G1419)</f>
        <v>#N/A</v>
      </c>
      <c r="H2141" s="0" t="e">
        <f aca="false">IF(OR(H1419="",AND(H1419=H1418,H1419=H1420)),NA(), H1419)</f>
        <v>#N/A</v>
      </c>
      <c r="K2141" s="0" t="e">
        <f aca="false">IF(ISNA(L2141),NA(),K1419)</f>
        <v>#N/A</v>
      </c>
      <c r="L2141" s="0" t="e">
        <f aca="false">IF(OR(L1419="",AND(L1419=L1418,L1419=L1420)),NA(), L1419)</f>
        <v>#N/A</v>
      </c>
      <c r="M2141" s="0" t="e">
        <f aca="false">IF(ISNA(N2141),NA(),M1419)</f>
        <v>#N/A</v>
      </c>
      <c r="N2141" s="0" t="e">
        <f aca="false">IF(OR(N1419="",AND(N1419=N1418,N1419=N1420)),NA(), N1419)</f>
        <v>#N/A</v>
      </c>
    </row>
    <row r="2142" customFormat="false" ht="15" hidden="false" customHeight="false" outlineLevel="0" collapsed="false">
      <c r="E2142" s="0" t="e">
        <f aca="false">IF(ISNA(F2142),NA(),E1420)</f>
        <v>#N/A</v>
      </c>
      <c r="F2142" s="0" t="e">
        <f aca="false">IF(OR(F1420="",AND(F1420=F1419,F1420=F1421)),NA(), F1420)</f>
        <v>#N/A</v>
      </c>
      <c r="G2142" s="0" t="e">
        <f aca="false">IF(ISNA(H2142),NA(),G1420)</f>
        <v>#N/A</v>
      </c>
      <c r="H2142" s="0" t="e">
        <f aca="false">IF(OR(H1420="",AND(H1420=H1419,H1420=H1421)),NA(), H1420)</f>
        <v>#N/A</v>
      </c>
      <c r="K2142" s="0" t="e">
        <f aca="false">IF(ISNA(L2142),NA(),K1420)</f>
        <v>#N/A</v>
      </c>
      <c r="L2142" s="0" t="e">
        <f aca="false">IF(OR(L1420="",AND(L1420=L1419,L1420=L1421)),NA(), L1420)</f>
        <v>#N/A</v>
      </c>
      <c r="M2142" s="0" t="e">
        <f aca="false">IF(ISNA(N2142),NA(),M1420)</f>
        <v>#N/A</v>
      </c>
      <c r="N2142" s="0" t="e">
        <f aca="false">IF(OR(N1420="",AND(N1420=N1419,N1420=N1421)),NA(), N1420)</f>
        <v>#N/A</v>
      </c>
    </row>
    <row r="2143" customFormat="false" ht="15" hidden="false" customHeight="false" outlineLevel="0" collapsed="false">
      <c r="E2143" s="0" t="e">
        <f aca="false">IF(ISNA(F2143),NA(),E1421)</f>
        <v>#N/A</v>
      </c>
      <c r="F2143" s="0" t="e">
        <f aca="false">IF(OR(F1421="",AND(F1421=F1420,F1421=F1422)),NA(), F1421)</f>
        <v>#N/A</v>
      </c>
      <c r="G2143" s="0" t="e">
        <f aca="false">IF(ISNA(H2143),NA(),G1421)</f>
        <v>#N/A</v>
      </c>
      <c r="H2143" s="0" t="e">
        <f aca="false">IF(OR(H1421="",AND(H1421=H1420,H1421=H1422)),NA(), H1421)</f>
        <v>#N/A</v>
      </c>
      <c r="K2143" s="0" t="e">
        <f aca="false">IF(ISNA(L2143),NA(),K1421)</f>
        <v>#N/A</v>
      </c>
      <c r="L2143" s="0" t="e">
        <f aca="false">IF(OR(L1421="",AND(L1421=L1420,L1421=L1422)),NA(), L1421)</f>
        <v>#N/A</v>
      </c>
      <c r="M2143" s="0" t="e">
        <f aca="false">IF(ISNA(N2143),NA(),M1421)</f>
        <v>#N/A</v>
      </c>
      <c r="N2143" s="0" t="e">
        <f aca="false">IF(OR(N1421="",AND(N1421=N1420,N1421=N1422)),NA(), N1421)</f>
        <v>#N/A</v>
      </c>
    </row>
    <row r="2144" customFormat="false" ht="15" hidden="false" customHeight="false" outlineLevel="0" collapsed="false">
      <c r="E2144" s="0" t="e">
        <f aca="false">IF(ISNA(F2144),NA(),E1422)</f>
        <v>#N/A</v>
      </c>
      <c r="F2144" s="0" t="e">
        <f aca="false">IF(OR(F1422="",AND(F1422=F1421,F1422=F1423)),NA(), F1422)</f>
        <v>#N/A</v>
      </c>
      <c r="G2144" s="0" t="e">
        <f aca="false">IF(ISNA(H2144),NA(),G1422)</f>
        <v>#N/A</v>
      </c>
      <c r="H2144" s="0" t="e">
        <f aca="false">IF(OR(H1422="",AND(H1422=H1421,H1422=H1423)),NA(), H1422)</f>
        <v>#N/A</v>
      </c>
      <c r="K2144" s="0" t="e">
        <f aca="false">IF(ISNA(L2144),NA(),K1422)</f>
        <v>#N/A</v>
      </c>
      <c r="L2144" s="0" t="e">
        <f aca="false">IF(OR(L1422="",AND(L1422=L1421,L1422=L1423)),NA(), L1422)</f>
        <v>#N/A</v>
      </c>
      <c r="M2144" s="0" t="e">
        <f aca="false">IF(ISNA(N2144),NA(),M1422)</f>
        <v>#N/A</v>
      </c>
      <c r="N2144" s="0" t="e">
        <f aca="false">IF(OR(N1422="",AND(N1422=N1421,N1422=N1423)),NA(), N1422)</f>
        <v>#N/A</v>
      </c>
    </row>
    <row r="2145" customFormat="false" ht="15" hidden="false" customHeight="false" outlineLevel="0" collapsed="false">
      <c r="E2145" s="0" t="e">
        <f aca="false">IF(ISNA(F2145),NA(),E1423)</f>
        <v>#N/A</v>
      </c>
      <c r="F2145" s="0" t="e">
        <f aca="false">IF(OR(F1423="",AND(F1423=F1422,F1423=F1424)),NA(), F1423)</f>
        <v>#N/A</v>
      </c>
      <c r="G2145" s="0" t="e">
        <f aca="false">IF(ISNA(H2145),NA(),G1423)</f>
        <v>#N/A</v>
      </c>
      <c r="H2145" s="0" t="e">
        <f aca="false">IF(OR(H1423="",AND(H1423=H1422,H1423=H1424)),NA(), H1423)</f>
        <v>#N/A</v>
      </c>
      <c r="K2145" s="0" t="e">
        <f aca="false">IF(ISNA(L2145),NA(),K1423)</f>
        <v>#N/A</v>
      </c>
      <c r="L2145" s="0" t="e">
        <f aca="false">IF(OR(L1423="",AND(L1423=L1422,L1423=L1424)),NA(), L1423)</f>
        <v>#N/A</v>
      </c>
      <c r="M2145" s="0" t="e">
        <f aca="false">IF(ISNA(N2145),NA(),M1423)</f>
        <v>#N/A</v>
      </c>
      <c r="N2145" s="0" t="e">
        <f aca="false">IF(OR(N1423="",AND(N1423=N1422,N1423=N1424)),NA(), N1423)</f>
        <v>#N/A</v>
      </c>
    </row>
    <row r="2146" customFormat="false" ht="15" hidden="false" customHeight="false" outlineLevel="0" collapsed="false">
      <c r="E2146" s="0" t="e">
        <f aca="false">IF(ISNA(F2146),NA(),E1424)</f>
        <v>#N/A</v>
      </c>
      <c r="F2146" s="0" t="e">
        <f aca="false">IF(OR(F1424="",AND(F1424=F1423,F1424=F1425)),NA(), F1424)</f>
        <v>#N/A</v>
      </c>
      <c r="G2146" s="0" t="e">
        <f aca="false">IF(ISNA(H2146),NA(),G1424)</f>
        <v>#N/A</v>
      </c>
      <c r="H2146" s="0" t="e">
        <f aca="false">IF(OR(H1424="",AND(H1424=H1423,H1424=H1425)),NA(), H1424)</f>
        <v>#N/A</v>
      </c>
      <c r="K2146" s="0" t="e">
        <f aca="false">IF(ISNA(L2146),NA(),K1424)</f>
        <v>#N/A</v>
      </c>
      <c r="L2146" s="0" t="e">
        <f aca="false">IF(OR(L1424="",AND(L1424=L1423,L1424=L1425)),NA(), L1424)</f>
        <v>#N/A</v>
      </c>
      <c r="M2146" s="0" t="e">
        <f aca="false">IF(ISNA(N2146),NA(),M1424)</f>
        <v>#N/A</v>
      </c>
      <c r="N2146" s="0" t="e">
        <f aca="false">IF(OR(N1424="",AND(N1424=N1423,N1424=N1425)),NA(), N1424)</f>
        <v>#N/A</v>
      </c>
    </row>
    <row r="2147" customFormat="false" ht="15" hidden="false" customHeight="false" outlineLevel="0" collapsed="false">
      <c r="E2147" s="0" t="e">
        <f aca="false">IF(ISNA(F2147),NA(),E1425)</f>
        <v>#N/A</v>
      </c>
      <c r="F2147" s="0" t="e">
        <f aca="false">IF(OR(F1425="",AND(F1425=F1424,F1425=F1426)),NA(), F1425)</f>
        <v>#N/A</v>
      </c>
      <c r="G2147" s="0" t="e">
        <f aca="false">IF(ISNA(H2147),NA(),G1425)</f>
        <v>#N/A</v>
      </c>
      <c r="H2147" s="0" t="e">
        <f aca="false">IF(OR(H1425="",AND(H1425=H1424,H1425=H1426)),NA(), H1425)</f>
        <v>#N/A</v>
      </c>
      <c r="K2147" s="0" t="e">
        <f aca="false">IF(ISNA(L2147),NA(),K1425)</f>
        <v>#N/A</v>
      </c>
      <c r="L2147" s="0" t="e">
        <f aca="false">IF(OR(L1425="",AND(L1425=L1424,L1425=L1426)),NA(), L1425)</f>
        <v>#N/A</v>
      </c>
      <c r="M2147" s="0" t="e">
        <f aca="false">IF(ISNA(N2147),NA(),M1425)</f>
        <v>#N/A</v>
      </c>
      <c r="N2147" s="0" t="e">
        <f aca="false">IF(OR(N1425="",AND(N1425=N1424,N1425=N1426)),NA(), N1425)</f>
        <v>#N/A</v>
      </c>
    </row>
    <row r="2148" customFormat="false" ht="15" hidden="false" customHeight="false" outlineLevel="0" collapsed="false">
      <c r="E2148" s="0" t="e">
        <f aca="false">IF(ISNA(F2148),NA(),E1426)</f>
        <v>#N/A</v>
      </c>
      <c r="F2148" s="0" t="e">
        <f aca="false">IF(OR(F1426="",AND(F1426=F1425,F1426=F1427)),NA(), F1426)</f>
        <v>#N/A</v>
      </c>
      <c r="G2148" s="0" t="e">
        <f aca="false">IF(ISNA(H2148),NA(),G1426)</f>
        <v>#N/A</v>
      </c>
      <c r="H2148" s="0" t="e">
        <f aca="false">IF(OR(H1426="",AND(H1426=H1425,H1426=H1427)),NA(), H1426)</f>
        <v>#N/A</v>
      </c>
      <c r="K2148" s="0" t="e">
        <f aca="false">IF(ISNA(L2148),NA(),K1426)</f>
        <v>#N/A</v>
      </c>
      <c r="L2148" s="0" t="e">
        <f aca="false">IF(OR(L1426="",AND(L1426=L1425,L1426=L1427)),NA(), L1426)</f>
        <v>#N/A</v>
      </c>
      <c r="M2148" s="0" t="e">
        <f aca="false">IF(ISNA(N2148),NA(),M1426)</f>
        <v>#N/A</v>
      </c>
      <c r="N2148" s="0" t="e">
        <f aca="false">IF(OR(N1426="",AND(N1426=N1425,N1426=N1427)),NA(), N1426)</f>
        <v>#N/A</v>
      </c>
    </row>
    <row r="2149" customFormat="false" ht="15" hidden="false" customHeight="false" outlineLevel="0" collapsed="false">
      <c r="E2149" s="0" t="e">
        <f aca="false">IF(ISNA(F2149),NA(),E1427)</f>
        <v>#N/A</v>
      </c>
      <c r="F2149" s="0" t="e">
        <f aca="false">IF(OR(F1427="",AND(F1427=F1426,F1427=F1428)),NA(), F1427)</f>
        <v>#N/A</v>
      </c>
      <c r="G2149" s="0" t="e">
        <f aca="false">IF(ISNA(H2149),NA(),G1427)</f>
        <v>#N/A</v>
      </c>
      <c r="H2149" s="0" t="e">
        <f aca="false">IF(OR(H1427="",AND(H1427=H1426,H1427=H1428)),NA(), H1427)</f>
        <v>#N/A</v>
      </c>
      <c r="K2149" s="0" t="e">
        <f aca="false">IF(ISNA(L2149),NA(),K1427)</f>
        <v>#N/A</v>
      </c>
      <c r="L2149" s="0" t="e">
        <f aca="false">IF(OR(L1427="",AND(L1427=L1426,L1427=L1428)),NA(), L1427)</f>
        <v>#N/A</v>
      </c>
      <c r="M2149" s="0" t="e">
        <f aca="false">IF(ISNA(N2149),NA(),M1427)</f>
        <v>#N/A</v>
      </c>
      <c r="N2149" s="0" t="e">
        <f aca="false">IF(OR(N1427="",AND(N1427=N1426,N1427=N1428)),NA(), N1427)</f>
        <v>#N/A</v>
      </c>
    </row>
    <row r="2150" customFormat="false" ht="15" hidden="false" customHeight="false" outlineLevel="0" collapsed="false">
      <c r="E2150" s="0" t="e">
        <f aca="false">IF(ISNA(F2150),NA(),E1428)</f>
        <v>#N/A</v>
      </c>
      <c r="F2150" s="0" t="e">
        <f aca="false">IF(OR(F1428="",AND(F1428=F1427,F1428=F1429)),NA(), F1428)</f>
        <v>#N/A</v>
      </c>
      <c r="G2150" s="0" t="e">
        <f aca="false">IF(ISNA(H2150),NA(),G1428)</f>
        <v>#N/A</v>
      </c>
      <c r="H2150" s="0" t="e">
        <f aca="false">IF(OR(H1428="",AND(H1428=H1427,H1428=H1429)),NA(), H1428)</f>
        <v>#N/A</v>
      </c>
      <c r="K2150" s="0" t="e">
        <f aca="false">IF(ISNA(L2150),NA(),K1428)</f>
        <v>#N/A</v>
      </c>
      <c r="L2150" s="0" t="e">
        <f aca="false">IF(OR(L1428="",AND(L1428=L1427,L1428=L1429)),NA(), L1428)</f>
        <v>#N/A</v>
      </c>
      <c r="M2150" s="0" t="e">
        <f aca="false">IF(ISNA(N2150),NA(),M1428)</f>
        <v>#N/A</v>
      </c>
      <c r="N2150" s="0" t="e">
        <f aca="false">IF(OR(N1428="",AND(N1428=N1427,N1428=N1429)),NA(), N1428)</f>
        <v>#N/A</v>
      </c>
    </row>
    <row r="2151" customFormat="false" ht="15" hidden="false" customHeight="false" outlineLevel="0" collapsed="false">
      <c r="E2151" s="0" t="e">
        <f aca="false">IF(ISNA(F2151),NA(),E1429)</f>
        <v>#N/A</v>
      </c>
      <c r="F2151" s="0" t="e">
        <f aca="false">IF(OR(F1429="",AND(F1429=F1428,F1429=F1430)),NA(), F1429)</f>
        <v>#N/A</v>
      </c>
      <c r="G2151" s="0" t="e">
        <f aca="false">IF(ISNA(H2151),NA(),G1429)</f>
        <v>#N/A</v>
      </c>
      <c r="H2151" s="0" t="e">
        <f aca="false">IF(OR(H1429="",AND(H1429=H1428,H1429=H1430)),NA(), H1429)</f>
        <v>#N/A</v>
      </c>
      <c r="K2151" s="0" t="e">
        <f aca="false">IF(ISNA(L2151),NA(),K1429)</f>
        <v>#N/A</v>
      </c>
      <c r="L2151" s="0" t="e">
        <f aca="false">IF(OR(L1429="",AND(L1429=L1428,L1429=L1430)),NA(), L1429)</f>
        <v>#N/A</v>
      </c>
      <c r="M2151" s="0" t="e">
        <f aca="false">IF(ISNA(N2151),NA(),M1429)</f>
        <v>#N/A</v>
      </c>
      <c r="N2151" s="0" t="e">
        <f aca="false">IF(OR(N1429="",AND(N1429=N1428,N1429=N1430)),NA(), N1429)</f>
        <v>#N/A</v>
      </c>
    </row>
    <row r="2152" customFormat="false" ht="15" hidden="false" customHeight="false" outlineLevel="0" collapsed="false">
      <c r="E2152" s="0" t="e">
        <f aca="false">IF(ISNA(F2152),NA(),E1430)</f>
        <v>#N/A</v>
      </c>
      <c r="F2152" s="0" t="e">
        <f aca="false">IF(OR(F1430="",AND(F1430=F1429,F1430=F1431)),NA(), F1430)</f>
        <v>#N/A</v>
      </c>
      <c r="G2152" s="0" t="e">
        <f aca="false">IF(ISNA(H2152),NA(),G1430)</f>
        <v>#N/A</v>
      </c>
      <c r="H2152" s="0" t="e">
        <f aca="false">IF(OR(H1430="",AND(H1430=H1429,H1430=H1431)),NA(), H1430)</f>
        <v>#N/A</v>
      </c>
      <c r="K2152" s="0" t="e">
        <f aca="false">IF(ISNA(L2152),NA(),K1430)</f>
        <v>#N/A</v>
      </c>
      <c r="L2152" s="0" t="e">
        <f aca="false">IF(OR(L1430="",AND(L1430=L1429,L1430=L1431)),NA(), L1430)</f>
        <v>#N/A</v>
      </c>
      <c r="M2152" s="0" t="e">
        <f aca="false">IF(ISNA(N2152),NA(),M1430)</f>
        <v>#N/A</v>
      </c>
      <c r="N2152" s="0" t="e">
        <f aca="false">IF(OR(N1430="",AND(N1430=N1429,N1430=N1431)),NA(), N1430)</f>
        <v>#N/A</v>
      </c>
    </row>
    <row r="2153" customFormat="false" ht="15" hidden="false" customHeight="false" outlineLevel="0" collapsed="false">
      <c r="E2153" s="0" t="e">
        <f aca="false">IF(ISNA(F2153),NA(),E1431)</f>
        <v>#N/A</v>
      </c>
      <c r="F2153" s="0" t="e">
        <f aca="false">IF(OR(F1431="",AND(F1431=F1430,F1431=F1432)),NA(), F1431)</f>
        <v>#N/A</v>
      </c>
      <c r="G2153" s="0" t="e">
        <f aca="false">IF(ISNA(H2153),NA(),G1431)</f>
        <v>#N/A</v>
      </c>
      <c r="H2153" s="0" t="e">
        <f aca="false">IF(OR(H1431="",AND(H1431=H1430,H1431=H1432)),NA(), H1431)</f>
        <v>#N/A</v>
      </c>
      <c r="K2153" s="0" t="e">
        <f aca="false">IF(ISNA(L2153),NA(),K1431)</f>
        <v>#N/A</v>
      </c>
      <c r="L2153" s="0" t="e">
        <f aca="false">IF(OR(L1431="",AND(L1431=L1430,L1431=L1432)),NA(), L1431)</f>
        <v>#N/A</v>
      </c>
      <c r="M2153" s="0" t="e">
        <f aca="false">IF(ISNA(N2153),NA(),M1431)</f>
        <v>#N/A</v>
      </c>
      <c r="N2153" s="0" t="e">
        <f aca="false">IF(OR(N1431="",AND(N1431=N1430,N1431=N1432)),NA(), N1431)</f>
        <v>#N/A</v>
      </c>
    </row>
    <row r="2154" customFormat="false" ht="15" hidden="false" customHeight="false" outlineLevel="0" collapsed="false">
      <c r="E2154" s="0" t="e">
        <f aca="false">IF(ISNA(F2154),NA(),E1432)</f>
        <v>#N/A</v>
      </c>
      <c r="F2154" s="0" t="e">
        <f aca="false">IF(OR(F1432="",AND(F1432=F1431,F1432=F1433)),NA(), F1432)</f>
        <v>#N/A</v>
      </c>
      <c r="G2154" s="0" t="e">
        <f aca="false">IF(ISNA(H2154),NA(),G1432)</f>
        <v>#N/A</v>
      </c>
      <c r="H2154" s="0" t="e">
        <f aca="false">IF(OR(H1432="",AND(H1432=H1431,H1432=H1433)),NA(), H1432)</f>
        <v>#N/A</v>
      </c>
      <c r="K2154" s="0" t="e">
        <f aca="false">IF(ISNA(L2154),NA(),K1432)</f>
        <v>#N/A</v>
      </c>
      <c r="L2154" s="0" t="e">
        <f aca="false">IF(OR(L1432="",AND(L1432=L1431,L1432=L1433)),NA(), L1432)</f>
        <v>#N/A</v>
      </c>
      <c r="M2154" s="0" t="e">
        <f aca="false">IF(ISNA(N2154),NA(),M1432)</f>
        <v>#N/A</v>
      </c>
      <c r="N2154" s="0" t="e">
        <f aca="false">IF(OR(N1432="",AND(N1432=N1431,N1432=N1433)),NA(), N1432)</f>
        <v>#N/A</v>
      </c>
    </row>
    <row r="2155" customFormat="false" ht="15" hidden="false" customHeight="false" outlineLevel="0" collapsed="false">
      <c r="E2155" s="0" t="e">
        <f aca="false">IF(ISNA(F2155),NA(),E1433)</f>
        <v>#N/A</v>
      </c>
      <c r="F2155" s="0" t="e">
        <f aca="false">IF(OR(F1433="",AND(F1433=F1432,F1433=F1434)),NA(), F1433)</f>
        <v>#N/A</v>
      </c>
      <c r="G2155" s="0" t="e">
        <f aca="false">IF(ISNA(H2155),NA(),G1433)</f>
        <v>#N/A</v>
      </c>
      <c r="H2155" s="0" t="e">
        <f aca="false">IF(OR(H1433="",AND(H1433=H1432,H1433=H1434)),NA(), H1433)</f>
        <v>#N/A</v>
      </c>
      <c r="K2155" s="0" t="e">
        <f aca="false">IF(ISNA(L2155),NA(),K1433)</f>
        <v>#N/A</v>
      </c>
      <c r="L2155" s="0" t="e">
        <f aca="false">IF(OR(L1433="",AND(L1433=L1432,L1433=L1434)),NA(), L1433)</f>
        <v>#N/A</v>
      </c>
      <c r="M2155" s="0" t="e">
        <f aca="false">IF(ISNA(N2155),NA(),M1433)</f>
        <v>#N/A</v>
      </c>
      <c r="N2155" s="0" t="e">
        <f aca="false">IF(OR(N1433="",AND(N1433=N1432,N1433=N1434)),NA(), N1433)</f>
        <v>#N/A</v>
      </c>
    </row>
    <row r="2156" customFormat="false" ht="15" hidden="false" customHeight="false" outlineLevel="0" collapsed="false">
      <c r="E2156" s="0" t="e">
        <f aca="false">IF(ISNA(F2156),NA(),E1434)</f>
        <v>#N/A</v>
      </c>
      <c r="F2156" s="0" t="e">
        <f aca="false">IF(OR(F1434="",AND(F1434=F1433,F1434=F1435)),NA(), F1434)</f>
        <v>#N/A</v>
      </c>
      <c r="G2156" s="0" t="e">
        <f aca="false">IF(ISNA(H2156),NA(),G1434)</f>
        <v>#N/A</v>
      </c>
      <c r="H2156" s="0" t="e">
        <f aca="false">IF(OR(H1434="",AND(H1434=H1433,H1434=H1435)),NA(), H1434)</f>
        <v>#N/A</v>
      </c>
      <c r="K2156" s="0" t="e">
        <f aca="false">IF(ISNA(L2156),NA(),K1434)</f>
        <v>#N/A</v>
      </c>
      <c r="L2156" s="0" t="e">
        <f aca="false">IF(OR(L1434="",AND(L1434=L1433,L1434=L1435)),NA(), L1434)</f>
        <v>#N/A</v>
      </c>
      <c r="M2156" s="0" t="e">
        <f aca="false">IF(ISNA(N2156),NA(),M1434)</f>
        <v>#N/A</v>
      </c>
      <c r="N2156" s="0" t="e">
        <f aca="false">IF(OR(N1434="",AND(N1434=N1433,N1434=N1435)),NA(), N1434)</f>
        <v>#N/A</v>
      </c>
    </row>
    <row r="2157" customFormat="false" ht="15" hidden="false" customHeight="false" outlineLevel="0" collapsed="false">
      <c r="E2157" s="0" t="e">
        <f aca="false">IF(ISNA(F2157),NA(),E1435)</f>
        <v>#N/A</v>
      </c>
      <c r="F2157" s="0" t="e">
        <f aca="false">IF(OR(F1435="",AND(F1435=F1434,F1435=F1436)),NA(), F1435)</f>
        <v>#N/A</v>
      </c>
      <c r="G2157" s="0" t="e">
        <f aca="false">IF(ISNA(H2157),NA(),G1435)</f>
        <v>#N/A</v>
      </c>
      <c r="H2157" s="0" t="e">
        <f aca="false">IF(OR(H1435="",AND(H1435=H1434,H1435=H1436)),NA(), H1435)</f>
        <v>#N/A</v>
      </c>
      <c r="K2157" s="0" t="e">
        <f aca="false">IF(ISNA(L2157),NA(),K1435)</f>
        <v>#N/A</v>
      </c>
      <c r="L2157" s="0" t="e">
        <f aca="false">IF(OR(L1435="",AND(L1435=L1434,L1435=L1436)),NA(), L1435)</f>
        <v>#N/A</v>
      </c>
      <c r="M2157" s="0" t="e">
        <f aca="false">IF(ISNA(N2157),NA(),M1435)</f>
        <v>#N/A</v>
      </c>
      <c r="N2157" s="0" t="e">
        <f aca="false">IF(OR(N1435="",AND(N1435=N1434,N1435=N1436)),NA(), N1435)</f>
        <v>#N/A</v>
      </c>
    </row>
    <row r="2158" customFormat="false" ht="15" hidden="false" customHeight="false" outlineLevel="0" collapsed="false">
      <c r="E2158" s="0" t="e">
        <f aca="false">IF(ISNA(F2158),NA(),E1436)</f>
        <v>#N/A</v>
      </c>
      <c r="F2158" s="0" t="e">
        <f aca="false">IF(OR(F1436="",AND(F1436=F1435,F1436=F1437)),NA(), F1436)</f>
        <v>#N/A</v>
      </c>
      <c r="G2158" s="0" t="e">
        <f aca="false">IF(ISNA(H2158),NA(),G1436)</f>
        <v>#N/A</v>
      </c>
      <c r="H2158" s="0" t="e">
        <f aca="false">IF(OR(H1436="",AND(H1436=H1435,H1436=H1437)),NA(), H1436)</f>
        <v>#N/A</v>
      </c>
      <c r="K2158" s="0" t="e">
        <f aca="false">IF(ISNA(L2158),NA(),K1436)</f>
        <v>#N/A</v>
      </c>
      <c r="L2158" s="0" t="e">
        <f aca="false">IF(OR(L1436="",AND(L1436=L1435,L1436=L1437)),NA(), L1436)</f>
        <v>#N/A</v>
      </c>
      <c r="M2158" s="0" t="e">
        <f aca="false">IF(ISNA(N2158),NA(),M1436)</f>
        <v>#N/A</v>
      </c>
      <c r="N2158" s="0" t="e">
        <f aca="false">IF(OR(N1436="",AND(N1436=N1435,N1436=N1437)),NA(), N1436)</f>
        <v>#N/A</v>
      </c>
    </row>
    <row r="2159" customFormat="false" ht="15" hidden="false" customHeight="false" outlineLevel="0" collapsed="false">
      <c r="E2159" s="0" t="e">
        <f aca="false">IF(ISNA(F2159),NA(),E1437)</f>
        <v>#N/A</v>
      </c>
      <c r="F2159" s="0" t="e">
        <f aca="false">IF(OR(F1437="",AND(F1437=F1436,F1437=F1438)),NA(), F1437)</f>
        <v>#N/A</v>
      </c>
      <c r="G2159" s="0" t="e">
        <f aca="false">IF(ISNA(H2159),NA(),G1437)</f>
        <v>#N/A</v>
      </c>
      <c r="H2159" s="0" t="e">
        <f aca="false">IF(OR(H1437="",AND(H1437=H1436,H1437=H1438)),NA(), H1437)</f>
        <v>#N/A</v>
      </c>
      <c r="K2159" s="0" t="e">
        <f aca="false">IF(ISNA(L2159),NA(),K1437)</f>
        <v>#N/A</v>
      </c>
      <c r="L2159" s="0" t="e">
        <f aca="false">IF(OR(L1437="",AND(L1437=L1436,L1437=L1438)),NA(), L1437)</f>
        <v>#N/A</v>
      </c>
      <c r="M2159" s="0" t="e">
        <f aca="false">IF(ISNA(N2159),NA(),M1437)</f>
        <v>#N/A</v>
      </c>
      <c r="N2159" s="0" t="e">
        <f aca="false">IF(OR(N1437="",AND(N1437=N1436,N1437=N1438)),NA(), N1437)</f>
        <v>#N/A</v>
      </c>
    </row>
    <row r="2160" customFormat="false" ht="15" hidden="false" customHeight="false" outlineLevel="0" collapsed="false">
      <c r="E2160" s="0" t="e">
        <f aca="false">IF(ISNA(F2160),NA(),E1438)</f>
        <v>#N/A</v>
      </c>
      <c r="F2160" s="0" t="e">
        <f aca="false">IF(OR(F1438="",AND(F1438=F1437,F1438=F1439)),NA(), F1438)</f>
        <v>#N/A</v>
      </c>
      <c r="G2160" s="0" t="e">
        <f aca="false">IF(ISNA(H2160),NA(),G1438)</f>
        <v>#N/A</v>
      </c>
      <c r="H2160" s="0" t="e">
        <f aca="false">IF(OR(H1438="",AND(H1438=H1437,H1438=H1439)),NA(), H1438)</f>
        <v>#N/A</v>
      </c>
      <c r="K2160" s="0" t="e">
        <f aca="false">IF(ISNA(L2160),NA(),K1438)</f>
        <v>#N/A</v>
      </c>
      <c r="L2160" s="0" t="e">
        <f aca="false">IF(OR(L1438="",AND(L1438=L1437,L1438=L1439)),NA(), L1438)</f>
        <v>#N/A</v>
      </c>
      <c r="M2160" s="0" t="e">
        <f aca="false">IF(ISNA(N2160),NA(),M1438)</f>
        <v>#N/A</v>
      </c>
      <c r="N2160" s="0" t="e">
        <f aca="false">IF(OR(N1438="",AND(N1438=N1437,N1438=N1439)),NA(), N1438)</f>
        <v>#N/A</v>
      </c>
    </row>
    <row r="2161" customFormat="false" ht="15" hidden="false" customHeight="false" outlineLevel="0" collapsed="false">
      <c r="E2161" s="0" t="e">
        <f aca="false">IF(ISNA(F2161),NA(),E1439)</f>
        <v>#N/A</v>
      </c>
      <c r="F2161" s="0" t="e">
        <f aca="false">IF(OR(F1439="",AND(F1439=F1438,F1439=F1440)),NA(), F1439)</f>
        <v>#N/A</v>
      </c>
      <c r="G2161" s="0" t="e">
        <f aca="false">IF(ISNA(H2161),NA(),G1439)</f>
        <v>#N/A</v>
      </c>
      <c r="H2161" s="0" t="e">
        <f aca="false">IF(OR(H1439="",AND(H1439=H1438,H1439=H1440)),NA(), H1439)</f>
        <v>#N/A</v>
      </c>
      <c r="K2161" s="0" t="e">
        <f aca="false">IF(ISNA(L2161),NA(),K1439)</f>
        <v>#N/A</v>
      </c>
      <c r="L2161" s="0" t="e">
        <f aca="false">IF(OR(L1439="",AND(L1439=L1438,L1439=L1440)),NA(), L1439)</f>
        <v>#N/A</v>
      </c>
      <c r="M2161" s="0" t="e">
        <f aca="false">IF(ISNA(N2161),NA(),M1439)</f>
        <v>#N/A</v>
      </c>
      <c r="N2161" s="0" t="e">
        <f aca="false">IF(OR(N1439="",AND(N1439=N1438,N1439=N1440)),NA(), N1439)</f>
        <v>#N/A</v>
      </c>
    </row>
    <row r="2162" customFormat="false" ht="15" hidden="false" customHeight="false" outlineLevel="0" collapsed="false">
      <c r="E2162" s="0" t="e">
        <f aca="false">IF(ISNA(F2162),NA(),E1440)</f>
        <v>#N/A</v>
      </c>
      <c r="F2162" s="0" t="e">
        <f aca="false">IF(OR(F1440="",AND(F1440=F1439,F1440=F1441)),NA(), F1440)</f>
        <v>#N/A</v>
      </c>
      <c r="G2162" s="0" t="e">
        <f aca="false">IF(ISNA(H2162),NA(),G1440)</f>
        <v>#N/A</v>
      </c>
      <c r="H2162" s="0" t="e">
        <f aca="false">IF(OR(H1440="",AND(H1440=H1439,H1440=H1441)),NA(), H1440)</f>
        <v>#N/A</v>
      </c>
      <c r="K2162" s="0" t="e">
        <f aca="false">IF(ISNA(L2162),NA(),K1440)</f>
        <v>#N/A</v>
      </c>
      <c r="L2162" s="0" t="e">
        <f aca="false">IF(OR(L1440="",AND(L1440=L1439,L1440=L1441)),NA(), L1440)</f>
        <v>#N/A</v>
      </c>
      <c r="M2162" s="0" t="e">
        <f aca="false">IF(ISNA(N2162),NA(),M1440)</f>
        <v>#N/A</v>
      </c>
      <c r="N2162" s="0" t="e">
        <f aca="false">IF(OR(N1440="",AND(N1440=N1439,N1440=N1441)),NA(), N1440)</f>
        <v>#N/A</v>
      </c>
    </row>
    <row r="2163" customFormat="false" ht="15" hidden="false" customHeight="false" outlineLevel="0" collapsed="false">
      <c r="E2163" s="0" t="e">
        <f aca="false">IF(ISNA(F2163),NA(),E1441)</f>
        <v>#N/A</v>
      </c>
      <c r="F2163" s="0" t="e">
        <f aca="false">IF(OR(F1441="",AND(F1441=F1440,F1441=F1442)),NA(), F1441)</f>
        <v>#N/A</v>
      </c>
      <c r="G2163" s="0" t="e">
        <f aca="false">IF(ISNA(H2163),NA(),G1441)</f>
        <v>#N/A</v>
      </c>
      <c r="H2163" s="0" t="e">
        <f aca="false">IF(OR(H1441="",AND(H1441=H1440,H1441=H1442)),NA(), H1441)</f>
        <v>#N/A</v>
      </c>
      <c r="K2163" s="0" t="e">
        <f aca="false">IF(ISNA(L2163),NA(),K1441)</f>
        <v>#N/A</v>
      </c>
      <c r="L2163" s="0" t="e">
        <f aca="false">IF(OR(L1441="",AND(L1441=L1440,L1441=L1442)),NA(), L1441)</f>
        <v>#N/A</v>
      </c>
      <c r="M2163" s="0" t="e">
        <f aca="false">IF(ISNA(N2163),NA(),M1441)</f>
        <v>#N/A</v>
      </c>
      <c r="N2163" s="0" t="e">
        <f aca="false">IF(OR(N1441="",AND(N1441=N1440,N1441=N1442)),NA(), N1441)</f>
        <v>#N/A</v>
      </c>
    </row>
    <row r="2164" customFormat="false" ht="15" hidden="false" customHeight="false" outlineLevel="0" collapsed="false">
      <c r="E2164" s="0" t="e">
        <f aca="false">IF(ISNA(F2164),NA(),E1442)</f>
        <v>#N/A</v>
      </c>
      <c r="F2164" s="0" t="e">
        <f aca="false">IF(OR(F1442="",AND(F1442=F1441,F1442=F1443)),NA(), F1442)</f>
        <v>#N/A</v>
      </c>
      <c r="G2164" s="0" t="e">
        <f aca="false">IF(ISNA(H2164),NA(),G1442)</f>
        <v>#N/A</v>
      </c>
      <c r="H2164" s="0" t="e">
        <f aca="false">IF(OR(H1442="",AND(H1442=H1441,H1442=H1443)),NA(), H1442)</f>
        <v>#N/A</v>
      </c>
      <c r="K2164" s="0" t="e">
        <f aca="false">IF(ISNA(L2164),NA(),K1442)</f>
        <v>#N/A</v>
      </c>
      <c r="L2164" s="0" t="e">
        <f aca="false">IF(OR(L1442="",AND(L1442=L1441,L1442=L1443)),NA(), L1442)</f>
        <v>#N/A</v>
      </c>
      <c r="M2164" s="0" t="e">
        <f aca="false">IF(ISNA(N2164),NA(),M1442)</f>
        <v>#N/A</v>
      </c>
      <c r="N2164" s="0" t="e">
        <f aca="false">IF(OR(N1442="",AND(N1442=N1441,N1442=N1443)),NA(), N1442)</f>
        <v>#N/A</v>
      </c>
    </row>
    <row r="2165" customFormat="false" ht="15" hidden="false" customHeight="false" outlineLevel="0" collapsed="false">
      <c r="E2165" s="0" t="e">
        <f aca="false">IF(ISNA(F2165),NA(),E1443)</f>
        <v>#N/A</v>
      </c>
      <c r="F2165" s="0" t="e">
        <f aca="false">IF(OR(F1443="",AND(F1443=F1442,F1443=F1444)),NA(), F1443)</f>
        <v>#N/A</v>
      </c>
      <c r="G2165" s="0" t="e">
        <f aca="false">IF(ISNA(H2165),NA(),G1443)</f>
        <v>#N/A</v>
      </c>
      <c r="H2165" s="0" t="e">
        <f aca="false">IF(OR(H1443="",AND(H1443=H1442,H1443=H1444)),NA(), H1443)</f>
        <v>#N/A</v>
      </c>
      <c r="K2165" s="0" t="e">
        <f aca="false">IF(ISNA(L2165),NA(),K1443)</f>
        <v>#N/A</v>
      </c>
      <c r="L2165" s="0" t="e">
        <f aca="false">IF(OR(L1443="",AND(L1443=L1442,L1443=L1444)),NA(), L1443)</f>
        <v>#N/A</v>
      </c>
      <c r="M2165" s="0" t="e">
        <f aca="false">IF(ISNA(N2165),NA(),M1443)</f>
        <v>#N/A</v>
      </c>
      <c r="N2165" s="0" t="e">
        <f aca="false">IF(OR(N1443="",AND(N1443=N1442,N1443=N1444)),NA(), N1443)</f>
        <v>#N/A</v>
      </c>
    </row>
    <row r="2166" customFormat="false" ht="15" hidden="false" customHeight="false" outlineLevel="0" collapsed="false">
      <c r="E2166" s="0" t="e">
        <f aca="false">IF(ISNA(F2166),NA(),E1444)</f>
        <v>#N/A</v>
      </c>
      <c r="F2166" s="0" t="e">
        <f aca="false">IF(OR(F1444="",AND(F1444=F1443,F1444=F1445)),NA(), F1444)</f>
        <v>#N/A</v>
      </c>
      <c r="G2166" s="0" t="e">
        <f aca="false">IF(ISNA(H2166),NA(),G1444)</f>
        <v>#N/A</v>
      </c>
      <c r="H2166" s="0" t="e">
        <f aca="false">IF(OR(H1444="",AND(H1444=H1443,H1444=H1445)),NA(), H1444)</f>
        <v>#N/A</v>
      </c>
      <c r="K2166" s="0" t="e">
        <f aca="false">IF(ISNA(L2166),NA(),K1444)</f>
        <v>#N/A</v>
      </c>
      <c r="L2166" s="0" t="e">
        <f aca="false">IF(OR(L1444="",AND(L1444=L1443,L1444=L1445)),NA(), L1444)</f>
        <v>#N/A</v>
      </c>
      <c r="M2166" s="0" t="e">
        <f aca="false">IF(ISNA(N2166),NA(),M1444)</f>
        <v>#N/A</v>
      </c>
      <c r="N2166" s="0" t="e">
        <f aca="false">IF(OR(N1444="",AND(N1444=N1443,N1444=N1445)),NA(), N1444)</f>
        <v>#N/A</v>
      </c>
    </row>
    <row r="2167" customFormat="false" ht="15" hidden="false" customHeight="false" outlineLevel="0" collapsed="false">
      <c r="E2167" s="0" t="e">
        <f aca="false">IF(ISNA(F2167),NA(),E1445)</f>
        <v>#N/A</v>
      </c>
      <c r="F2167" s="0" t="e">
        <f aca="false">IF(OR(F1445="",AND(F1445=F1444,F1445=F1446)),NA(), F1445)</f>
        <v>#N/A</v>
      </c>
      <c r="G2167" s="0" t="e">
        <f aca="false">IF(ISNA(H2167),NA(),G1445)</f>
        <v>#N/A</v>
      </c>
      <c r="H2167" s="0" t="e">
        <f aca="false">IF(OR(H1445="",AND(H1445=H1444,H1445=H1446)),NA(), H1445)</f>
        <v>#N/A</v>
      </c>
      <c r="K2167" s="0" t="e">
        <f aca="false">IF(ISNA(L2167),NA(),K1445)</f>
        <v>#N/A</v>
      </c>
      <c r="L2167" s="0" t="e">
        <f aca="false">IF(OR(L1445="",AND(L1445=L1444,L1445=L1446)),NA(), L1445)</f>
        <v>#N/A</v>
      </c>
      <c r="M2167" s="0" t="e">
        <f aca="false">IF(ISNA(N2167),NA(),M1445)</f>
        <v>#N/A</v>
      </c>
      <c r="N2167" s="0" t="e">
        <f aca="false">IF(OR(N1445="",AND(N1445=N1444,N1445=N1446)),NA(), N1445)</f>
        <v>#N/A</v>
      </c>
    </row>
    <row r="2168" customFormat="false" ht="15" hidden="false" customHeight="false" outlineLevel="0" collapsed="false">
      <c r="E2168" s="0" t="e">
        <f aca="false">IF(ISNA(F2168),NA(),E1446)</f>
        <v>#N/A</v>
      </c>
      <c r="F2168" s="0" t="e">
        <f aca="false">IF(OR(F1446="",AND(F1446=F1445,F1446=F1447)),NA(), F1446)</f>
        <v>#N/A</v>
      </c>
      <c r="G2168" s="0" t="e">
        <f aca="false">IF(ISNA(H2168),NA(),G1446)</f>
        <v>#N/A</v>
      </c>
      <c r="H2168" s="0" t="e">
        <f aca="false">IF(OR(H1446="",AND(H1446=H1445,H1446=H1447)),NA(), H1446)</f>
        <v>#N/A</v>
      </c>
      <c r="K2168" s="0" t="e">
        <f aca="false">IF(ISNA(L2168),NA(),K1446)</f>
        <v>#N/A</v>
      </c>
      <c r="L2168" s="0" t="e">
        <f aca="false">IF(OR(L1446="",AND(L1446=L1445,L1446=L1447)),NA(), L1446)</f>
        <v>#N/A</v>
      </c>
      <c r="M2168" s="0" t="e">
        <f aca="false">IF(ISNA(N2168),NA(),M1446)</f>
        <v>#N/A</v>
      </c>
      <c r="N2168" s="0" t="e">
        <f aca="false">IF(OR(N1446="",AND(N1446=N1445,N1446=N1447)),NA(), N1446)</f>
        <v>#N/A</v>
      </c>
    </row>
    <row r="2169" customFormat="false" ht="15" hidden="false" customHeight="false" outlineLevel="0" collapsed="false">
      <c r="E2169" s="0" t="e">
        <f aca="false">IF(ISNA(F2169),NA(),E1447)</f>
        <v>#N/A</v>
      </c>
      <c r="F2169" s="0" t="e">
        <f aca="false">IF(OR(F1447="",AND(F1447=F1446,F1447=F1448)),NA(), F1447)</f>
        <v>#N/A</v>
      </c>
      <c r="G2169" s="0" t="e">
        <f aca="false">IF(ISNA(H2169),NA(),G1447)</f>
        <v>#N/A</v>
      </c>
      <c r="H2169" s="0" t="e">
        <f aca="false">IF(OR(H1447="",AND(H1447=H1446,H1447=H1448)),NA(), H1447)</f>
        <v>#N/A</v>
      </c>
      <c r="K2169" s="0" t="e">
        <f aca="false">IF(ISNA(L2169),NA(),K1447)</f>
        <v>#N/A</v>
      </c>
      <c r="L2169" s="0" t="e">
        <f aca="false">IF(OR(L1447="",AND(L1447=L1446,L1447=L1448)),NA(), L1447)</f>
        <v>#N/A</v>
      </c>
      <c r="M2169" s="0" t="e">
        <f aca="false">IF(ISNA(N2169),NA(),M1447)</f>
        <v>#N/A</v>
      </c>
      <c r="N2169" s="0" t="e">
        <f aca="false">IF(OR(N1447="",AND(N1447=N1446,N1447=N1448)),NA(), N1447)</f>
        <v>#N/A</v>
      </c>
    </row>
    <row r="2170" customFormat="false" ht="15" hidden="false" customHeight="false" outlineLevel="0" collapsed="false">
      <c r="E2170" s="0" t="e">
        <f aca="false">IF(ISNA(F2170),NA(),E1448)</f>
        <v>#N/A</v>
      </c>
      <c r="F2170" s="0" t="e">
        <f aca="false">IF(OR(F1448="",AND(F1448=F1447,F1448=F1449)),NA(), F1448)</f>
        <v>#N/A</v>
      </c>
      <c r="G2170" s="0" t="e">
        <f aca="false">IF(ISNA(H2170),NA(),G1448)</f>
        <v>#N/A</v>
      </c>
      <c r="H2170" s="0" t="e">
        <f aca="false">IF(OR(H1448="",AND(H1448=H1447,H1448=H1449)),NA(), H1448)</f>
        <v>#N/A</v>
      </c>
      <c r="K2170" s="0" t="e">
        <f aca="false">IF(ISNA(L2170),NA(),K1448)</f>
        <v>#N/A</v>
      </c>
      <c r="L2170" s="0" t="e">
        <f aca="false">IF(OR(L1448="",AND(L1448=L1447,L1448=L1449)),NA(), L1448)</f>
        <v>#N/A</v>
      </c>
      <c r="M2170" s="0" t="e">
        <f aca="false">IF(ISNA(N2170),NA(),M1448)</f>
        <v>#N/A</v>
      </c>
      <c r="N2170" s="0" t="e">
        <f aca="false">IF(OR(N1448="",AND(N1448=N1447,N1448=N1449)),NA(), N1448)</f>
        <v>#N/A</v>
      </c>
    </row>
    <row r="2171" customFormat="false" ht="15" hidden="false" customHeight="false" outlineLevel="0" collapsed="false">
      <c r="E2171" s="0" t="e">
        <f aca="false">IF(ISNA(F2171),NA(),E1449)</f>
        <v>#N/A</v>
      </c>
      <c r="F2171" s="0" t="e">
        <f aca="false">IF(OR(F1449="",AND(F1449=F1448,F1449=F1450)),NA(), F1449)</f>
        <v>#N/A</v>
      </c>
      <c r="G2171" s="0" t="e">
        <f aca="false">IF(ISNA(H2171),NA(),G1449)</f>
        <v>#N/A</v>
      </c>
      <c r="H2171" s="0" t="e">
        <f aca="false">IF(OR(H1449="",AND(H1449=H1448,H1449=H1450)),NA(), H1449)</f>
        <v>#N/A</v>
      </c>
      <c r="K2171" s="0" t="e">
        <f aca="false">IF(ISNA(L2171),NA(),K1449)</f>
        <v>#N/A</v>
      </c>
      <c r="L2171" s="0" t="e">
        <f aca="false">IF(OR(L1449="",AND(L1449=L1448,L1449=L1450)),NA(), L1449)</f>
        <v>#N/A</v>
      </c>
      <c r="M2171" s="0" t="e">
        <f aca="false">IF(ISNA(N2171),NA(),M1449)</f>
        <v>#N/A</v>
      </c>
      <c r="N2171" s="0" t="e">
        <f aca="false">IF(OR(N1449="",AND(N1449=N1448,N1449=N1450)),NA(), N1449)</f>
        <v>#N/A</v>
      </c>
    </row>
    <row r="2172" customFormat="false" ht="15" hidden="false" customHeight="false" outlineLevel="0" collapsed="false">
      <c r="E2172" s="0" t="e">
        <f aca="false">IF(ISNA(F2172),NA(),E1450)</f>
        <v>#N/A</v>
      </c>
      <c r="F2172" s="0" t="e">
        <f aca="false">IF(OR(F1450="",AND(F1450=F1449,F1450=F1451)),NA(), F1450)</f>
        <v>#N/A</v>
      </c>
      <c r="G2172" s="0" t="e">
        <f aca="false">IF(ISNA(H2172),NA(),G1450)</f>
        <v>#N/A</v>
      </c>
      <c r="H2172" s="0" t="e">
        <f aca="false">IF(OR(H1450="",AND(H1450=H1449,H1450=H1451)),NA(), H1450)</f>
        <v>#N/A</v>
      </c>
      <c r="K2172" s="0" t="e">
        <f aca="false">IF(ISNA(L2172),NA(),K1450)</f>
        <v>#N/A</v>
      </c>
      <c r="L2172" s="0" t="e">
        <f aca="false">IF(OR(L1450="",AND(L1450=L1449,L1450=L1451)),NA(), L1450)</f>
        <v>#N/A</v>
      </c>
      <c r="M2172" s="0" t="e">
        <f aca="false">IF(ISNA(N2172),NA(),M1450)</f>
        <v>#N/A</v>
      </c>
      <c r="N2172" s="0" t="e">
        <f aca="false">IF(OR(N1450="",AND(N1450=N1449,N1450=N1451)),NA(), N1450)</f>
        <v>#N/A</v>
      </c>
    </row>
    <row r="2173" customFormat="false" ht="15" hidden="false" customHeight="false" outlineLevel="0" collapsed="false">
      <c r="E2173" s="0" t="e">
        <f aca="false">IF(ISNA(F2173),NA(),E1451)</f>
        <v>#N/A</v>
      </c>
      <c r="F2173" s="0" t="e">
        <f aca="false">IF(OR(F1451="",AND(F1451=F1450,F1451=F1452)),NA(), F1451)</f>
        <v>#N/A</v>
      </c>
      <c r="G2173" s="0" t="e">
        <f aca="false">IF(ISNA(H2173),NA(),G1451)</f>
        <v>#N/A</v>
      </c>
      <c r="H2173" s="0" t="e">
        <f aca="false">IF(OR(H1451="",AND(H1451=H1450,H1451=H1452)),NA(), H1451)</f>
        <v>#N/A</v>
      </c>
      <c r="K2173" s="0" t="e">
        <f aca="false">IF(ISNA(L2173),NA(),K1451)</f>
        <v>#N/A</v>
      </c>
      <c r="L2173" s="0" t="e">
        <f aca="false">IF(OR(L1451="",AND(L1451=L1450,L1451=L1452)),NA(), L1451)</f>
        <v>#N/A</v>
      </c>
      <c r="M2173" s="0" t="e">
        <f aca="false">IF(ISNA(N2173),NA(),M1451)</f>
        <v>#N/A</v>
      </c>
      <c r="N2173" s="0" t="e">
        <f aca="false">IF(OR(N1451="",AND(N1451=N1450,N1451=N1452)),NA(), N1451)</f>
        <v>#N/A</v>
      </c>
    </row>
    <row r="2174" customFormat="false" ht="15" hidden="false" customHeight="false" outlineLevel="0" collapsed="false">
      <c r="E2174" s="0" t="e">
        <f aca="false">IF(ISNA(F2174),NA(),E1452)</f>
        <v>#N/A</v>
      </c>
      <c r="F2174" s="0" t="e">
        <f aca="false">IF(OR(F1452="",AND(F1452=F1451,F1452=F1453)),NA(), F1452)</f>
        <v>#N/A</v>
      </c>
      <c r="G2174" s="0" t="e">
        <f aca="false">IF(ISNA(H2174),NA(),G1452)</f>
        <v>#N/A</v>
      </c>
      <c r="H2174" s="0" t="e">
        <f aca="false">IF(OR(H1452="",AND(H1452=H1451,H1452=H1453)),NA(), H1452)</f>
        <v>#N/A</v>
      </c>
      <c r="K2174" s="0" t="e">
        <f aca="false">IF(ISNA(L2174),NA(),K1452)</f>
        <v>#N/A</v>
      </c>
      <c r="L2174" s="0" t="e">
        <f aca="false">IF(OR(L1452="",AND(L1452=L1451,L1452=L1453)),NA(), L1452)</f>
        <v>#N/A</v>
      </c>
      <c r="M2174" s="0" t="e">
        <f aca="false">IF(ISNA(N2174),NA(),M1452)</f>
        <v>#N/A</v>
      </c>
      <c r="N2174" s="0" t="e">
        <f aca="false">IF(OR(N1452="",AND(N1452=N1451,N1452=N1453)),NA(), N1452)</f>
        <v>#N/A</v>
      </c>
    </row>
    <row r="2175" customFormat="false" ht="15" hidden="false" customHeight="false" outlineLevel="0" collapsed="false">
      <c r="E2175" s="0" t="e">
        <f aca="false">IF(ISNA(F2175),NA(),E1453)</f>
        <v>#N/A</v>
      </c>
      <c r="F2175" s="0" t="e">
        <f aca="false">IF(OR(F1453="",AND(F1453=F1452,F1453=F1454)),NA(), F1453)</f>
        <v>#N/A</v>
      </c>
      <c r="G2175" s="0" t="e">
        <f aca="false">IF(ISNA(H2175),NA(),G1453)</f>
        <v>#N/A</v>
      </c>
      <c r="H2175" s="0" t="e">
        <f aca="false">IF(OR(H1453="",AND(H1453=H1452,H1453=H1454)),NA(), H1453)</f>
        <v>#N/A</v>
      </c>
      <c r="K2175" s="0" t="e">
        <f aca="false">IF(ISNA(L2175),NA(),K1453)</f>
        <v>#N/A</v>
      </c>
      <c r="L2175" s="0" t="e">
        <f aca="false">IF(OR(L1453="",AND(L1453=L1452,L1453=L1454)),NA(), L1453)</f>
        <v>#N/A</v>
      </c>
      <c r="M2175" s="0" t="e">
        <f aca="false">IF(ISNA(N2175),NA(),M1453)</f>
        <v>#N/A</v>
      </c>
      <c r="N2175" s="0" t="e">
        <f aca="false">IF(OR(N1453="",AND(N1453=N1452,N1453=N1454)),NA(), N1453)</f>
        <v>#N/A</v>
      </c>
    </row>
    <row r="2176" customFormat="false" ht="15" hidden="false" customHeight="false" outlineLevel="0" collapsed="false">
      <c r="E2176" s="0" t="e">
        <f aca="false">IF(ISNA(F2176),NA(),E1454)</f>
        <v>#N/A</v>
      </c>
      <c r="F2176" s="0" t="e">
        <f aca="false">IF(OR(F1454="",AND(F1454=F1453,F1454=F1455)),NA(), F1454)</f>
        <v>#N/A</v>
      </c>
      <c r="G2176" s="0" t="e">
        <f aca="false">IF(ISNA(H2176),NA(),G1454)</f>
        <v>#N/A</v>
      </c>
      <c r="H2176" s="0" t="e">
        <f aca="false">IF(OR(H1454="",AND(H1454=H1453,H1454=H1455)),NA(), H1454)</f>
        <v>#N/A</v>
      </c>
      <c r="K2176" s="0" t="e">
        <f aca="false">IF(ISNA(L2176),NA(),K1454)</f>
        <v>#N/A</v>
      </c>
      <c r="L2176" s="0" t="e">
        <f aca="false">IF(OR(L1454="",AND(L1454=L1453,L1454=L1455)),NA(), L1454)</f>
        <v>#N/A</v>
      </c>
      <c r="M2176" s="0" t="e">
        <f aca="false">IF(ISNA(N2176),NA(),M1454)</f>
        <v>#N/A</v>
      </c>
      <c r="N2176" s="0" t="e">
        <f aca="false">IF(OR(N1454="",AND(N1454=N1453,N1454=N1455)),NA(), N1454)</f>
        <v>#N/A</v>
      </c>
    </row>
    <row r="2177" customFormat="false" ht="15" hidden="false" customHeight="false" outlineLevel="0" collapsed="false">
      <c r="E2177" s="0" t="e">
        <f aca="false">IF(ISNA(F2177),NA(),E1455)</f>
        <v>#N/A</v>
      </c>
      <c r="F2177" s="0" t="e">
        <f aca="false">IF(OR(F1455="",AND(F1455=F1454,F1455=F1456)),NA(), F1455)</f>
        <v>#N/A</v>
      </c>
      <c r="G2177" s="0" t="e">
        <f aca="false">IF(ISNA(H2177),NA(),G1455)</f>
        <v>#N/A</v>
      </c>
      <c r="H2177" s="0" t="e">
        <f aca="false">IF(OR(H1455="",AND(H1455=H1454,H1455=H1456)),NA(), H1455)</f>
        <v>#N/A</v>
      </c>
      <c r="K2177" s="0" t="e">
        <f aca="false">IF(ISNA(L2177),NA(),K1455)</f>
        <v>#N/A</v>
      </c>
      <c r="L2177" s="0" t="e">
        <f aca="false">IF(OR(L1455="",AND(L1455=L1454,L1455=L1456)),NA(), L1455)</f>
        <v>#N/A</v>
      </c>
      <c r="M2177" s="0" t="e">
        <f aca="false">IF(ISNA(N2177),NA(),M1455)</f>
        <v>#N/A</v>
      </c>
      <c r="N2177" s="0" t="e">
        <f aca="false">IF(OR(N1455="",AND(N1455=N1454,N1455=N1456)),NA(), N1455)</f>
        <v>#N/A</v>
      </c>
    </row>
    <row r="2178" customFormat="false" ht="15" hidden="false" customHeight="false" outlineLevel="0" collapsed="false">
      <c r="E2178" s="0" t="e">
        <f aca="false">IF(ISNA(F2178),NA(),E1456)</f>
        <v>#N/A</v>
      </c>
      <c r="F2178" s="0" t="e">
        <f aca="false">IF(OR(F1456="",AND(F1456=F1455,F1456=F1457)),NA(), F1456)</f>
        <v>#N/A</v>
      </c>
      <c r="G2178" s="0" t="e">
        <f aca="false">IF(ISNA(H2178),NA(),G1456)</f>
        <v>#N/A</v>
      </c>
      <c r="H2178" s="0" t="e">
        <f aca="false">IF(OR(H1456="",AND(H1456=H1455,H1456=H1457)),NA(), H1456)</f>
        <v>#N/A</v>
      </c>
      <c r="K2178" s="0" t="e">
        <f aca="false">IF(ISNA(L2178),NA(),K1456)</f>
        <v>#N/A</v>
      </c>
      <c r="L2178" s="0" t="e">
        <f aca="false">IF(OR(L1456="",AND(L1456=L1455,L1456=L1457)),NA(), L1456)</f>
        <v>#N/A</v>
      </c>
      <c r="M2178" s="0" t="e">
        <f aca="false">IF(ISNA(N2178),NA(),M1456)</f>
        <v>#N/A</v>
      </c>
      <c r="N2178" s="0" t="e">
        <f aca="false">IF(OR(N1456="",AND(N1456=N1455,N1456=N1457)),NA(), N1456)</f>
        <v>#N/A</v>
      </c>
    </row>
    <row r="2179" customFormat="false" ht="15" hidden="false" customHeight="false" outlineLevel="0" collapsed="false">
      <c r="E2179" s="0" t="e">
        <f aca="false">IF(ISNA(F2179),NA(),E1457)</f>
        <v>#N/A</v>
      </c>
      <c r="F2179" s="0" t="e">
        <f aca="false">IF(OR(F1457="",AND(F1457=F1456,F1457=F1458)),NA(), F1457)</f>
        <v>#N/A</v>
      </c>
      <c r="G2179" s="0" t="e">
        <f aca="false">IF(ISNA(H2179),NA(),G1457)</f>
        <v>#N/A</v>
      </c>
      <c r="H2179" s="0" t="e">
        <f aca="false">IF(OR(H1457="",AND(H1457=H1456,H1457=H1458)),NA(), H1457)</f>
        <v>#N/A</v>
      </c>
      <c r="K2179" s="0" t="e">
        <f aca="false">IF(ISNA(L2179),NA(),K1457)</f>
        <v>#N/A</v>
      </c>
      <c r="L2179" s="0" t="e">
        <f aca="false">IF(OR(L1457="",AND(L1457=L1456,L1457=L1458)),NA(), L1457)</f>
        <v>#N/A</v>
      </c>
      <c r="M2179" s="0" t="e">
        <f aca="false">IF(ISNA(N2179),NA(),M1457)</f>
        <v>#N/A</v>
      </c>
      <c r="N2179" s="0" t="e">
        <f aca="false">IF(OR(N1457="",AND(N1457=N1456,N1457=N1458)),NA(), N1457)</f>
        <v>#N/A</v>
      </c>
    </row>
    <row r="2180" customFormat="false" ht="15" hidden="false" customHeight="false" outlineLevel="0" collapsed="false">
      <c r="E2180" s="0" t="e">
        <f aca="false">IF(ISNA(F2180),NA(),E1458)</f>
        <v>#N/A</v>
      </c>
      <c r="F2180" s="0" t="e">
        <f aca="false">IF(OR(F1458="",AND(F1458=F1457,F1458=F1459)),NA(), F1458)</f>
        <v>#N/A</v>
      </c>
      <c r="G2180" s="0" t="e">
        <f aca="false">IF(ISNA(H2180),NA(),G1458)</f>
        <v>#N/A</v>
      </c>
      <c r="H2180" s="0" t="e">
        <f aca="false">IF(OR(H1458="",AND(H1458=H1457,H1458=H1459)),NA(), H1458)</f>
        <v>#N/A</v>
      </c>
      <c r="K2180" s="0" t="e">
        <f aca="false">IF(ISNA(L2180),NA(),K1458)</f>
        <v>#N/A</v>
      </c>
      <c r="L2180" s="0" t="e">
        <f aca="false">IF(OR(L1458="",AND(L1458=L1457,L1458=L1459)),NA(), L1458)</f>
        <v>#N/A</v>
      </c>
      <c r="M2180" s="0" t="e">
        <f aca="false">IF(ISNA(N2180),NA(),M1458)</f>
        <v>#N/A</v>
      </c>
      <c r="N2180" s="0" t="e">
        <f aca="false">IF(OR(N1458="",AND(N1458=N1457,N1458=N1459)),NA(), N1458)</f>
        <v>#N/A</v>
      </c>
    </row>
    <row r="2181" customFormat="false" ht="15" hidden="false" customHeight="false" outlineLevel="0" collapsed="false">
      <c r="E2181" s="0" t="e">
        <f aca="false">IF(ISNA(F2181),NA(),E1459)</f>
        <v>#N/A</v>
      </c>
      <c r="F2181" s="0" t="e">
        <f aca="false">IF(OR(F1459="",AND(F1459=F1458,F1459=F1460)),NA(), F1459)</f>
        <v>#N/A</v>
      </c>
      <c r="G2181" s="0" t="e">
        <f aca="false">IF(ISNA(H2181),NA(),G1459)</f>
        <v>#N/A</v>
      </c>
      <c r="H2181" s="0" t="e">
        <f aca="false">IF(OR(H1459="",AND(H1459=H1458,H1459=H1460)),NA(), H1459)</f>
        <v>#N/A</v>
      </c>
      <c r="K2181" s="0" t="e">
        <f aca="false">IF(ISNA(L2181),NA(),K1459)</f>
        <v>#N/A</v>
      </c>
      <c r="L2181" s="0" t="e">
        <f aca="false">IF(OR(L1459="",AND(L1459=L1458,L1459=L1460)),NA(), L1459)</f>
        <v>#N/A</v>
      </c>
      <c r="M2181" s="0" t="e">
        <f aca="false">IF(ISNA(N2181),NA(),M1459)</f>
        <v>#N/A</v>
      </c>
      <c r="N2181" s="0" t="e">
        <f aca="false">IF(OR(N1459="",AND(N1459=N1458,N1459=N1460)),NA(), N1459)</f>
        <v>#N/A</v>
      </c>
    </row>
    <row r="2182" customFormat="false" ht="15" hidden="false" customHeight="false" outlineLevel="0" collapsed="false">
      <c r="E2182" s="0" t="e">
        <f aca="false">IF(ISNA(F2182),NA(),E1460)</f>
        <v>#N/A</v>
      </c>
      <c r="F2182" s="0" t="e">
        <f aca="false">IF(OR(F1460="",AND(F1460=F1459,F1460=F1461)),NA(), F1460)</f>
        <v>#N/A</v>
      </c>
      <c r="G2182" s="0" t="e">
        <f aca="false">IF(ISNA(H2182),NA(),G1460)</f>
        <v>#N/A</v>
      </c>
      <c r="H2182" s="0" t="e">
        <f aca="false">IF(OR(H1460="",AND(H1460=H1459,H1460=H1461)),NA(), H1460)</f>
        <v>#N/A</v>
      </c>
      <c r="K2182" s="0" t="e">
        <f aca="false">IF(ISNA(L2182),NA(),K1460)</f>
        <v>#N/A</v>
      </c>
      <c r="L2182" s="0" t="e">
        <f aca="false">IF(OR(L1460="",AND(L1460=L1459,L1460=L1461)),NA(), L1460)</f>
        <v>#N/A</v>
      </c>
      <c r="M2182" s="0" t="e">
        <f aca="false">IF(ISNA(N2182),NA(),M1460)</f>
        <v>#N/A</v>
      </c>
      <c r="N2182" s="0" t="e">
        <f aca="false">IF(OR(N1460="",AND(N1460=N1459,N1460=N1461)),NA(), N1460)</f>
        <v>#N/A</v>
      </c>
    </row>
    <row r="2183" customFormat="false" ht="15" hidden="false" customHeight="false" outlineLevel="0" collapsed="false">
      <c r="E2183" s="0" t="e">
        <f aca="false">IF(ISNA(F2183),NA(),E1461)</f>
        <v>#N/A</v>
      </c>
      <c r="F2183" s="0" t="e">
        <f aca="false">IF(OR(F1461="",AND(F1461=F1460,F1461=F1462)),NA(), F1461)</f>
        <v>#N/A</v>
      </c>
      <c r="G2183" s="0" t="e">
        <f aca="false">IF(ISNA(H2183),NA(),G1461)</f>
        <v>#N/A</v>
      </c>
      <c r="H2183" s="0" t="e">
        <f aca="false">IF(OR(H1461="",AND(H1461=H1460,H1461=H1462)),NA(), H1461)</f>
        <v>#N/A</v>
      </c>
      <c r="K2183" s="0" t="e">
        <f aca="false">IF(ISNA(L2183),NA(),K1461)</f>
        <v>#N/A</v>
      </c>
      <c r="L2183" s="0" t="e">
        <f aca="false">IF(OR(L1461="",AND(L1461=L1460,L1461=L1462)),NA(), L1461)</f>
        <v>#N/A</v>
      </c>
      <c r="M2183" s="0" t="e">
        <f aca="false">IF(ISNA(N2183),NA(),M1461)</f>
        <v>#N/A</v>
      </c>
      <c r="N2183" s="0" t="e">
        <f aca="false">IF(OR(N1461="",AND(N1461=N1460,N1461=N1462)),NA(), N1461)</f>
        <v>#N/A</v>
      </c>
    </row>
    <row r="2184" customFormat="false" ht="15" hidden="false" customHeight="false" outlineLevel="0" collapsed="false">
      <c r="E2184" s="0" t="e">
        <f aca="false">IF(ISNA(F2184),NA(),E1462)</f>
        <v>#N/A</v>
      </c>
      <c r="F2184" s="0" t="e">
        <f aca="false">IF(OR(F1462="",AND(F1462=F1461,F1462=F1463)),NA(), F1462)</f>
        <v>#N/A</v>
      </c>
      <c r="G2184" s="0" t="e">
        <f aca="false">IF(ISNA(H2184),NA(),G1462)</f>
        <v>#N/A</v>
      </c>
      <c r="H2184" s="0" t="e">
        <f aca="false">IF(OR(H1462="",AND(H1462=H1461,H1462=H1463)),NA(), H1462)</f>
        <v>#N/A</v>
      </c>
      <c r="K2184" s="0" t="e">
        <f aca="false">IF(ISNA(L2184),NA(),K1462)</f>
        <v>#N/A</v>
      </c>
      <c r="L2184" s="0" t="e">
        <f aca="false">IF(OR(L1462="",AND(L1462=L1461,L1462=L1463)),NA(), L1462)</f>
        <v>#N/A</v>
      </c>
      <c r="M2184" s="0" t="e">
        <f aca="false">IF(ISNA(N2184),NA(),M1462)</f>
        <v>#N/A</v>
      </c>
      <c r="N2184" s="0" t="e">
        <f aca="false">IF(OR(N1462="",AND(N1462=N1461,N1462=N1463)),NA(), N1462)</f>
        <v>#N/A</v>
      </c>
    </row>
    <row r="2185" customFormat="false" ht="15" hidden="false" customHeight="false" outlineLevel="0" collapsed="false">
      <c r="E2185" s="0" t="e">
        <f aca="false">IF(ISNA(F2185),NA(),E1463)</f>
        <v>#N/A</v>
      </c>
      <c r="F2185" s="0" t="e">
        <f aca="false">IF(OR(F1463="",AND(F1463=F1462,F1463=F1464)),NA(), F1463)</f>
        <v>#N/A</v>
      </c>
      <c r="G2185" s="0" t="e">
        <f aca="false">IF(ISNA(H2185),NA(),G1463)</f>
        <v>#N/A</v>
      </c>
      <c r="H2185" s="0" t="e">
        <f aca="false">IF(OR(H1463="",AND(H1463=H1462,H1463=H1464)),NA(), H1463)</f>
        <v>#N/A</v>
      </c>
      <c r="K2185" s="0" t="e">
        <f aca="false">IF(ISNA(L2185),NA(),K1463)</f>
        <v>#N/A</v>
      </c>
      <c r="L2185" s="0" t="e">
        <f aca="false">IF(OR(L1463="",AND(L1463=L1462,L1463=L1464)),NA(), L1463)</f>
        <v>#N/A</v>
      </c>
      <c r="M2185" s="0" t="e">
        <f aca="false">IF(ISNA(N2185),NA(),M1463)</f>
        <v>#N/A</v>
      </c>
      <c r="N2185" s="0" t="e">
        <f aca="false">IF(OR(N1463="",AND(N1463=N1462,N1463=N1464)),NA(), N1463)</f>
        <v>#N/A</v>
      </c>
    </row>
    <row r="2186" customFormat="false" ht="15" hidden="false" customHeight="false" outlineLevel="0" collapsed="false">
      <c r="E2186" s="0" t="e">
        <f aca="false">IF(ISNA(F2186),NA(),E1464)</f>
        <v>#N/A</v>
      </c>
      <c r="F2186" s="0" t="e">
        <f aca="false">IF(OR(F1464="",AND(F1464=F1463,F1464=F1465)),NA(), F1464)</f>
        <v>#N/A</v>
      </c>
      <c r="G2186" s="0" t="e">
        <f aca="false">IF(ISNA(H2186),NA(),G1464)</f>
        <v>#N/A</v>
      </c>
      <c r="H2186" s="0" t="e">
        <f aca="false">IF(OR(H1464="",AND(H1464=H1463,H1464=H1465)),NA(), H1464)</f>
        <v>#N/A</v>
      </c>
      <c r="K2186" s="0" t="e">
        <f aca="false">IF(ISNA(L2186),NA(),K1464)</f>
        <v>#N/A</v>
      </c>
      <c r="L2186" s="0" t="e">
        <f aca="false">IF(OR(L1464="",AND(L1464=L1463,L1464=L1465)),NA(), L1464)</f>
        <v>#N/A</v>
      </c>
      <c r="M2186" s="0" t="e">
        <f aca="false">IF(ISNA(N2186),NA(),M1464)</f>
        <v>#N/A</v>
      </c>
      <c r="N2186" s="0" t="e">
        <f aca="false">IF(OR(N1464="",AND(N1464=N1463,N1464=N1465)),NA(), N1464)</f>
        <v>#N/A</v>
      </c>
    </row>
    <row r="2187" customFormat="false" ht="15" hidden="false" customHeight="false" outlineLevel="0" collapsed="false">
      <c r="E2187" s="0" t="e">
        <f aca="false">IF(ISNA(F2187),NA(),E1465)</f>
        <v>#N/A</v>
      </c>
      <c r="F2187" s="0" t="e">
        <f aca="false">IF(OR(F1465="",AND(F1465=F1464,F1465=F1466)),NA(), F1465)</f>
        <v>#N/A</v>
      </c>
      <c r="G2187" s="0" t="e">
        <f aca="false">IF(ISNA(H2187),NA(),G1465)</f>
        <v>#N/A</v>
      </c>
      <c r="H2187" s="0" t="e">
        <f aca="false">IF(OR(H1465="",AND(H1465=H1464,H1465=H1466)),NA(), H1465)</f>
        <v>#N/A</v>
      </c>
      <c r="K2187" s="0" t="e">
        <f aca="false">IF(ISNA(L2187),NA(),K1465)</f>
        <v>#N/A</v>
      </c>
      <c r="L2187" s="0" t="e">
        <f aca="false">IF(OR(L1465="",AND(L1465=L1464,L1465=L1466)),NA(), L1465)</f>
        <v>#N/A</v>
      </c>
      <c r="M2187" s="0" t="e">
        <f aca="false">IF(ISNA(N2187),NA(),M1465)</f>
        <v>#N/A</v>
      </c>
      <c r="N2187" s="0" t="e">
        <f aca="false">IF(OR(N1465="",AND(N1465=N1464,N1465=N1466)),NA(), N1465)</f>
        <v>#N/A</v>
      </c>
    </row>
    <row r="2188" customFormat="false" ht="15" hidden="false" customHeight="false" outlineLevel="0" collapsed="false">
      <c r="E2188" s="0" t="e">
        <f aca="false">IF(ISNA(F2188),NA(),E1466)</f>
        <v>#N/A</v>
      </c>
      <c r="F2188" s="0" t="e">
        <f aca="false">IF(OR(F1466="",AND(F1466=F1465,F1466=F1467)),NA(), F1466)</f>
        <v>#N/A</v>
      </c>
      <c r="G2188" s="0" t="e">
        <f aca="false">IF(ISNA(H2188),NA(),G1466)</f>
        <v>#N/A</v>
      </c>
      <c r="H2188" s="0" t="e">
        <f aca="false">IF(OR(H1466="",AND(H1466=H1465,H1466=H1467)),NA(), H1466)</f>
        <v>#N/A</v>
      </c>
      <c r="K2188" s="0" t="e">
        <f aca="false">IF(ISNA(L2188),NA(),K1466)</f>
        <v>#N/A</v>
      </c>
      <c r="L2188" s="0" t="e">
        <f aca="false">IF(OR(L1466="",AND(L1466=L1465,L1466=L1467)),NA(), L1466)</f>
        <v>#N/A</v>
      </c>
      <c r="M2188" s="0" t="e">
        <f aca="false">IF(ISNA(N2188),NA(),M1466)</f>
        <v>#N/A</v>
      </c>
      <c r="N2188" s="0" t="e">
        <f aca="false">IF(OR(N1466="",AND(N1466=N1465,N1466=N1467)),NA(), N1466)</f>
        <v>#N/A</v>
      </c>
    </row>
    <row r="2189" customFormat="false" ht="15" hidden="false" customHeight="false" outlineLevel="0" collapsed="false">
      <c r="E2189" s="0" t="e">
        <f aca="false">IF(ISNA(F2189),NA(),E1467)</f>
        <v>#N/A</v>
      </c>
      <c r="F2189" s="0" t="e">
        <f aca="false">IF(OR(F1467="",AND(F1467=F1466,F1467=F1468)),NA(), F1467)</f>
        <v>#N/A</v>
      </c>
      <c r="G2189" s="0" t="e">
        <f aca="false">IF(ISNA(H2189),NA(),G1467)</f>
        <v>#N/A</v>
      </c>
      <c r="H2189" s="0" t="e">
        <f aca="false">IF(OR(H1467="",AND(H1467=H1466,H1467=H1468)),NA(), H1467)</f>
        <v>#N/A</v>
      </c>
      <c r="K2189" s="0" t="e">
        <f aca="false">IF(ISNA(L2189),NA(),K1467)</f>
        <v>#N/A</v>
      </c>
      <c r="L2189" s="0" t="e">
        <f aca="false">IF(OR(L1467="",AND(L1467=L1466,L1467=L1468)),NA(), L1467)</f>
        <v>#N/A</v>
      </c>
      <c r="M2189" s="0" t="e">
        <f aca="false">IF(ISNA(N2189),NA(),M1467)</f>
        <v>#N/A</v>
      </c>
      <c r="N2189" s="0" t="e">
        <f aca="false">IF(OR(N1467="",AND(N1467=N1466,N1467=N1468)),NA(), N1467)</f>
        <v>#N/A</v>
      </c>
    </row>
    <row r="2190" customFormat="false" ht="15" hidden="false" customHeight="false" outlineLevel="0" collapsed="false">
      <c r="E2190" s="0" t="e">
        <f aca="false">IF(ISNA(F2190),NA(),E1468)</f>
        <v>#N/A</v>
      </c>
      <c r="F2190" s="0" t="e">
        <f aca="false">IF(OR(F1468="",AND(F1468=F1467,F1468=F1469)),NA(), F1468)</f>
        <v>#N/A</v>
      </c>
      <c r="G2190" s="0" t="e">
        <f aca="false">IF(ISNA(H2190),NA(),G1468)</f>
        <v>#N/A</v>
      </c>
      <c r="H2190" s="0" t="e">
        <f aca="false">IF(OR(H1468="",AND(H1468=H1467,H1468=H1469)),NA(), H1468)</f>
        <v>#N/A</v>
      </c>
      <c r="K2190" s="0" t="e">
        <f aca="false">IF(ISNA(L2190),NA(),K1468)</f>
        <v>#N/A</v>
      </c>
      <c r="L2190" s="0" t="e">
        <f aca="false">IF(OR(L1468="",AND(L1468=L1467,L1468=L1469)),NA(), L1468)</f>
        <v>#N/A</v>
      </c>
      <c r="M2190" s="0" t="e">
        <f aca="false">IF(ISNA(N2190),NA(),M1468)</f>
        <v>#N/A</v>
      </c>
      <c r="N2190" s="0" t="e">
        <f aca="false">IF(OR(N1468="",AND(N1468=N1467,N1468=N1469)),NA(), N1468)</f>
        <v>#N/A</v>
      </c>
    </row>
    <row r="2191" customFormat="false" ht="15" hidden="false" customHeight="false" outlineLevel="0" collapsed="false">
      <c r="E2191" s="0" t="e">
        <f aca="false">IF(ISNA(F2191),NA(),E1469)</f>
        <v>#N/A</v>
      </c>
      <c r="F2191" s="0" t="e">
        <f aca="false">IF(OR(F1469="",AND(F1469=F1468,F1469=F1470)),NA(), F1469)</f>
        <v>#N/A</v>
      </c>
      <c r="G2191" s="0" t="e">
        <f aca="false">IF(ISNA(H2191),NA(),G1469)</f>
        <v>#N/A</v>
      </c>
      <c r="H2191" s="0" t="e">
        <f aca="false">IF(OR(H1469="",AND(H1469=H1468,H1469=H1470)),NA(), H1469)</f>
        <v>#N/A</v>
      </c>
      <c r="K2191" s="0" t="e">
        <f aca="false">IF(ISNA(L2191),NA(),K1469)</f>
        <v>#N/A</v>
      </c>
      <c r="L2191" s="0" t="e">
        <f aca="false">IF(OR(L1469="",AND(L1469=L1468,L1469=L1470)),NA(), L1469)</f>
        <v>#N/A</v>
      </c>
      <c r="M2191" s="0" t="e">
        <f aca="false">IF(ISNA(N2191),NA(),M1469)</f>
        <v>#N/A</v>
      </c>
      <c r="N2191" s="0" t="e">
        <f aca="false">IF(OR(N1469="",AND(N1469=N1468,N1469=N1470)),NA(), N1469)</f>
        <v>#N/A</v>
      </c>
    </row>
    <row r="2192" customFormat="false" ht="15" hidden="false" customHeight="false" outlineLevel="0" collapsed="false">
      <c r="E2192" s="0" t="e">
        <f aca="false">IF(ISNA(F2192),NA(),E1470)</f>
        <v>#N/A</v>
      </c>
      <c r="F2192" s="0" t="e">
        <f aca="false">IF(OR(F1470="",AND(F1470=F1469,F1470=F1471)),NA(), F1470)</f>
        <v>#N/A</v>
      </c>
      <c r="G2192" s="0" t="e">
        <f aca="false">IF(ISNA(H2192),NA(),G1470)</f>
        <v>#N/A</v>
      </c>
      <c r="H2192" s="0" t="e">
        <f aca="false">IF(OR(H1470="",AND(H1470=H1469,H1470=H1471)),NA(), H1470)</f>
        <v>#N/A</v>
      </c>
      <c r="K2192" s="0" t="e">
        <f aca="false">IF(ISNA(L2192),NA(),K1470)</f>
        <v>#N/A</v>
      </c>
      <c r="L2192" s="0" t="e">
        <f aca="false">IF(OR(L1470="",AND(L1470=L1469,L1470=L1471)),NA(), L1470)</f>
        <v>#N/A</v>
      </c>
      <c r="M2192" s="0" t="e">
        <f aca="false">IF(ISNA(N2192),NA(),M1470)</f>
        <v>#N/A</v>
      </c>
      <c r="N2192" s="0" t="e">
        <f aca="false">IF(OR(N1470="",AND(N1470=N1469,N1470=N1471)),NA(), N1470)</f>
        <v>#N/A</v>
      </c>
    </row>
    <row r="2193" customFormat="false" ht="15" hidden="false" customHeight="false" outlineLevel="0" collapsed="false">
      <c r="E2193" s="0" t="e">
        <f aca="false">IF(ISNA(F2193),NA(),E1471)</f>
        <v>#N/A</v>
      </c>
      <c r="F2193" s="0" t="e">
        <f aca="false">IF(OR(F1471="",AND(F1471=F1470,F1471=F1472)),NA(), F1471)</f>
        <v>#N/A</v>
      </c>
      <c r="G2193" s="0" t="e">
        <f aca="false">IF(ISNA(H2193),NA(),G1471)</f>
        <v>#N/A</v>
      </c>
      <c r="H2193" s="0" t="e">
        <f aca="false">IF(OR(H1471="",AND(H1471=H1470,H1471=H1472)),NA(), H1471)</f>
        <v>#N/A</v>
      </c>
      <c r="K2193" s="0" t="e">
        <f aca="false">IF(ISNA(L2193),NA(),K1471)</f>
        <v>#N/A</v>
      </c>
      <c r="L2193" s="0" t="e">
        <f aca="false">IF(OR(L1471="",AND(L1471=L1470,L1471=L1472)),NA(), L1471)</f>
        <v>#N/A</v>
      </c>
      <c r="M2193" s="0" t="e">
        <f aca="false">IF(ISNA(N2193),NA(),M1471)</f>
        <v>#N/A</v>
      </c>
      <c r="N2193" s="0" t="e">
        <f aca="false">IF(OR(N1471="",AND(N1471=N1470,N1471=N1472)),NA(), N1471)</f>
        <v>#N/A</v>
      </c>
    </row>
    <row r="2194" customFormat="false" ht="15" hidden="false" customHeight="false" outlineLevel="0" collapsed="false">
      <c r="E2194" s="0" t="e">
        <f aca="false">IF(ISNA(F2194),NA(),E1472)</f>
        <v>#N/A</v>
      </c>
      <c r="F2194" s="0" t="e">
        <f aca="false">IF(OR(F1472="",AND(F1472=F1471,F1472=F1473)),NA(), F1472)</f>
        <v>#N/A</v>
      </c>
      <c r="G2194" s="0" t="e">
        <f aca="false">IF(ISNA(H2194),NA(),G1472)</f>
        <v>#N/A</v>
      </c>
      <c r="H2194" s="0" t="e">
        <f aca="false">IF(OR(H1472="",AND(H1472=H1471,H1472=H1473)),NA(), H1472)</f>
        <v>#N/A</v>
      </c>
      <c r="K2194" s="0" t="e">
        <f aca="false">IF(ISNA(L2194),NA(),K1472)</f>
        <v>#N/A</v>
      </c>
      <c r="L2194" s="0" t="e">
        <f aca="false">IF(OR(L1472="",AND(L1472=L1471,L1472=L1473)),NA(), L1472)</f>
        <v>#N/A</v>
      </c>
      <c r="M2194" s="0" t="e">
        <f aca="false">IF(ISNA(N2194),NA(),M1472)</f>
        <v>#N/A</v>
      </c>
      <c r="N2194" s="0" t="e">
        <f aca="false">IF(OR(N1472="",AND(N1472=N1471,N1472=N1473)),NA(), N1472)</f>
        <v>#N/A</v>
      </c>
    </row>
    <row r="2195" customFormat="false" ht="15" hidden="false" customHeight="false" outlineLevel="0" collapsed="false">
      <c r="E2195" s="0" t="e">
        <f aca="false">IF(ISNA(F2195),NA(),E1473)</f>
        <v>#N/A</v>
      </c>
      <c r="F2195" s="0" t="e">
        <f aca="false">IF(OR(F1473="",AND(F1473=F1472,F1473=F1474)),NA(), F1473)</f>
        <v>#N/A</v>
      </c>
      <c r="G2195" s="0" t="e">
        <f aca="false">IF(ISNA(H2195),NA(),G1473)</f>
        <v>#N/A</v>
      </c>
      <c r="H2195" s="0" t="e">
        <f aca="false">IF(OR(H1473="",AND(H1473=H1472,H1473=H1474)),NA(), H1473)</f>
        <v>#N/A</v>
      </c>
      <c r="K2195" s="0" t="e">
        <f aca="false">IF(ISNA(L2195),NA(),K1473)</f>
        <v>#N/A</v>
      </c>
      <c r="L2195" s="0" t="e">
        <f aca="false">IF(OR(L1473="",AND(L1473=L1472,L1473=L1474)),NA(), L1473)</f>
        <v>#N/A</v>
      </c>
      <c r="M2195" s="0" t="e">
        <f aca="false">IF(ISNA(N2195),NA(),M1473)</f>
        <v>#N/A</v>
      </c>
      <c r="N2195" s="0" t="e">
        <f aca="false">IF(OR(N1473="",AND(N1473=N1472,N1473=N1474)),NA(), N1473)</f>
        <v>#N/A</v>
      </c>
    </row>
    <row r="2196" customFormat="false" ht="15" hidden="false" customHeight="false" outlineLevel="0" collapsed="false">
      <c r="E2196" s="0" t="e">
        <f aca="false">IF(ISNA(F2196),NA(),E1474)</f>
        <v>#N/A</v>
      </c>
      <c r="F2196" s="0" t="e">
        <f aca="false">IF(OR(F1474="",AND(F1474=F1473,F1474=F1475)),NA(), F1474)</f>
        <v>#N/A</v>
      </c>
      <c r="G2196" s="0" t="e">
        <f aca="false">IF(ISNA(H2196),NA(),G1474)</f>
        <v>#N/A</v>
      </c>
      <c r="H2196" s="0" t="e">
        <f aca="false">IF(OR(H1474="",AND(H1474=H1473,H1474=H1475)),NA(), H1474)</f>
        <v>#N/A</v>
      </c>
      <c r="K2196" s="0" t="e">
        <f aca="false">IF(ISNA(L2196),NA(),K1474)</f>
        <v>#N/A</v>
      </c>
      <c r="L2196" s="0" t="e">
        <f aca="false">IF(OR(L1474="",AND(L1474=L1473,L1474=L1475)),NA(), L1474)</f>
        <v>#N/A</v>
      </c>
      <c r="M2196" s="0" t="e">
        <f aca="false">IF(ISNA(N2196),NA(),M1474)</f>
        <v>#N/A</v>
      </c>
      <c r="N2196" s="0" t="e">
        <f aca="false">IF(OR(N1474="",AND(N1474=N1473,N1474=N1475)),NA(), N1474)</f>
        <v>#N/A</v>
      </c>
    </row>
    <row r="2197" customFormat="false" ht="15" hidden="false" customHeight="false" outlineLevel="0" collapsed="false">
      <c r="E2197" s="0" t="e">
        <f aca="false">IF(ISNA(F2197),NA(),E1475)</f>
        <v>#N/A</v>
      </c>
      <c r="F2197" s="0" t="e">
        <f aca="false">IF(OR(F1475="",AND(F1475=F1474,F1475=F1476)),NA(), F1475)</f>
        <v>#N/A</v>
      </c>
      <c r="G2197" s="0" t="e">
        <f aca="false">IF(ISNA(H2197),NA(),G1475)</f>
        <v>#N/A</v>
      </c>
      <c r="H2197" s="0" t="e">
        <f aca="false">IF(OR(H1475="",AND(H1475=H1474,H1475=H1476)),NA(), H1475)</f>
        <v>#N/A</v>
      </c>
      <c r="K2197" s="0" t="e">
        <f aca="false">IF(ISNA(L2197),NA(),K1475)</f>
        <v>#N/A</v>
      </c>
      <c r="L2197" s="0" t="e">
        <f aca="false">IF(OR(L1475="",AND(L1475=L1474,L1475=L1476)),NA(), L1475)</f>
        <v>#N/A</v>
      </c>
      <c r="M2197" s="0" t="e">
        <f aca="false">IF(ISNA(N2197),NA(),M1475)</f>
        <v>#N/A</v>
      </c>
      <c r="N2197" s="0" t="e">
        <f aca="false">IF(OR(N1475="",AND(N1475=N1474,N1475=N1476)),NA(), N1475)</f>
        <v>#N/A</v>
      </c>
    </row>
    <row r="2198" customFormat="false" ht="15" hidden="false" customHeight="false" outlineLevel="0" collapsed="false">
      <c r="E2198" s="0" t="e">
        <f aca="false">IF(ISNA(F2198),NA(),E1476)</f>
        <v>#N/A</v>
      </c>
      <c r="F2198" s="0" t="e">
        <f aca="false">IF(OR(F1476="",AND(F1476=F1475,F1476=F1477)),NA(), F1476)</f>
        <v>#N/A</v>
      </c>
      <c r="G2198" s="0" t="e">
        <f aca="false">IF(ISNA(H2198),NA(),G1476)</f>
        <v>#N/A</v>
      </c>
      <c r="H2198" s="0" t="e">
        <f aca="false">IF(OR(H1476="",AND(H1476=H1475,H1476=H1477)),NA(), H1476)</f>
        <v>#N/A</v>
      </c>
      <c r="K2198" s="0" t="e">
        <f aca="false">IF(ISNA(L2198),NA(),K1476)</f>
        <v>#N/A</v>
      </c>
      <c r="L2198" s="0" t="e">
        <f aca="false">IF(OR(L1476="",AND(L1476=L1475,L1476=L1477)),NA(), L1476)</f>
        <v>#N/A</v>
      </c>
      <c r="M2198" s="0" t="e">
        <f aca="false">IF(ISNA(N2198),NA(),M1476)</f>
        <v>#N/A</v>
      </c>
      <c r="N2198" s="0" t="e">
        <f aca="false">IF(OR(N1476="",AND(N1476=N1475,N1476=N1477)),NA(), N1476)</f>
        <v>#N/A</v>
      </c>
    </row>
    <row r="2199" customFormat="false" ht="15" hidden="false" customHeight="false" outlineLevel="0" collapsed="false">
      <c r="E2199" s="0" t="e">
        <f aca="false">IF(ISNA(F2199),NA(),E1477)</f>
        <v>#N/A</v>
      </c>
      <c r="F2199" s="0" t="e">
        <f aca="false">IF(OR(F1477="",AND(F1477=F1476,F1477=F1478)),NA(), F1477)</f>
        <v>#N/A</v>
      </c>
      <c r="G2199" s="0" t="e">
        <f aca="false">IF(ISNA(H2199),NA(),G1477)</f>
        <v>#N/A</v>
      </c>
      <c r="H2199" s="0" t="e">
        <f aca="false">IF(OR(H1477="",AND(H1477=H1476,H1477=H1478)),NA(), H1477)</f>
        <v>#N/A</v>
      </c>
      <c r="K2199" s="0" t="e">
        <f aca="false">IF(ISNA(L2199),NA(),K1477)</f>
        <v>#N/A</v>
      </c>
      <c r="L2199" s="0" t="e">
        <f aca="false">IF(OR(L1477="",AND(L1477=L1476,L1477=L1478)),NA(), L1477)</f>
        <v>#N/A</v>
      </c>
      <c r="M2199" s="0" t="e">
        <f aca="false">IF(ISNA(N2199),NA(),M1477)</f>
        <v>#N/A</v>
      </c>
      <c r="N2199" s="0" t="e">
        <f aca="false">IF(OR(N1477="",AND(N1477=N1476,N1477=N1478)),NA(), N1477)</f>
        <v>#N/A</v>
      </c>
    </row>
    <row r="2200" customFormat="false" ht="15" hidden="false" customHeight="false" outlineLevel="0" collapsed="false">
      <c r="E2200" s="0" t="e">
        <f aca="false">IF(ISNA(F2200),NA(),E1478)</f>
        <v>#N/A</v>
      </c>
      <c r="F2200" s="0" t="e">
        <f aca="false">IF(OR(F1478="",AND(F1478=F1477,F1478=F1479)),NA(), F1478)</f>
        <v>#N/A</v>
      </c>
      <c r="G2200" s="0" t="e">
        <f aca="false">IF(ISNA(H2200),NA(),G1478)</f>
        <v>#N/A</v>
      </c>
      <c r="H2200" s="0" t="e">
        <f aca="false">IF(OR(H1478="",AND(H1478=H1477,H1478=H1479)),NA(), H1478)</f>
        <v>#N/A</v>
      </c>
      <c r="K2200" s="0" t="e">
        <f aca="false">IF(ISNA(L2200),NA(),K1478)</f>
        <v>#N/A</v>
      </c>
      <c r="L2200" s="0" t="e">
        <f aca="false">IF(OR(L1478="",AND(L1478=L1477,L1478=L1479)),NA(), L1478)</f>
        <v>#N/A</v>
      </c>
      <c r="M2200" s="0" t="e">
        <f aca="false">IF(ISNA(N2200),NA(),M1478)</f>
        <v>#N/A</v>
      </c>
      <c r="N2200" s="0" t="e">
        <f aca="false">IF(OR(N1478="",AND(N1478=N1477,N1478=N1479)),NA(), N1478)</f>
        <v>#N/A</v>
      </c>
    </row>
    <row r="2201" customFormat="false" ht="15" hidden="false" customHeight="false" outlineLevel="0" collapsed="false">
      <c r="E2201" s="0" t="e">
        <f aca="false">IF(ISNA(F2201),NA(),E1479)</f>
        <v>#N/A</v>
      </c>
      <c r="F2201" s="0" t="e">
        <f aca="false">IF(OR(F1479="",AND(F1479=F1478,F1479=F1480)),NA(), F1479)</f>
        <v>#N/A</v>
      </c>
      <c r="G2201" s="0" t="e">
        <f aca="false">IF(ISNA(H2201),NA(),G1479)</f>
        <v>#N/A</v>
      </c>
      <c r="H2201" s="0" t="e">
        <f aca="false">IF(OR(H1479="",AND(H1479=H1478,H1479=H1480)),NA(), H1479)</f>
        <v>#N/A</v>
      </c>
      <c r="K2201" s="0" t="e">
        <f aca="false">IF(ISNA(L2201),NA(),K1479)</f>
        <v>#N/A</v>
      </c>
      <c r="L2201" s="0" t="e">
        <f aca="false">IF(OR(L1479="",AND(L1479=L1478,L1479=L1480)),NA(), L1479)</f>
        <v>#N/A</v>
      </c>
      <c r="M2201" s="0" t="e">
        <f aca="false">IF(ISNA(N2201),NA(),M1479)</f>
        <v>#N/A</v>
      </c>
      <c r="N2201" s="0" t="e">
        <f aca="false">IF(OR(N1479="",AND(N1479=N1478,N1479=N1480)),NA(), N1479)</f>
        <v>#N/A</v>
      </c>
    </row>
    <row r="2202" customFormat="false" ht="15" hidden="false" customHeight="false" outlineLevel="0" collapsed="false">
      <c r="E2202" s="0" t="e">
        <f aca="false">IF(ISNA(F2202),NA(),E1480)</f>
        <v>#N/A</v>
      </c>
      <c r="F2202" s="0" t="e">
        <f aca="false">IF(OR(F1480="",AND(F1480=F1479,F1480=F1481)),NA(), F1480)</f>
        <v>#N/A</v>
      </c>
      <c r="G2202" s="0" t="e">
        <f aca="false">IF(ISNA(H2202),NA(),G1480)</f>
        <v>#N/A</v>
      </c>
      <c r="H2202" s="0" t="e">
        <f aca="false">IF(OR(H1480="",AND(H1480=H1479,H1480=H1481)),NA(), H1480)</f>
        <v>#N/A</v>
      </c>
      <c r="K2202" s="0" t="e">
        <f aca="false">IF(ISNA(L2202),NA(),K1480)</f>
        <v>#N/A</v>
      </c>
      <c r="L2202" s="0" t="e">
        <f aca="false">IF(OR(L1480="",AND(L1480=L1479,L1480=L1481)),NA(), L1480)</f>
        <v>#N/A</v>
      </c>
      <c r="M2202" s="0" t="e">
        <f aca="false">IF(ISNA(N2202),NA(),M1480)</f>
        <v>#N/A</v>
      </c>
      <c r="N2202" s="0" t="e">
        <f aca="false">IF(OR(N1480="",AND(N1480=N1479,N1480=N1481)),NA(), N1480)</f>
        <v>#N/A</v>
      </c>
    </row>
    <row r="2203" customFormat="false" ht="15" hidden="false" customHeight="false" outlineLevel="0" collapsed="false">
      <c r="E2203" s="0" t="e">
        <f aca="false">IF(ISNA(F2203),NA(),E1481)</f>
        <v>#N/A</v>
      </c>
      <c r="F2203" s="0" t="e">
        <f aca="false">IF(OR(F1481="",AND(F1481=F1480,F1481=F1482)),NA(), F1481)</f>
        <v>#N/A</v>
      </c>
      <c r="G2203" s="0" t="e">
        <f aca="false">IF(ISNA(H2203),NA(),G1481)</f>
        <v>#N/A</v>
      </c>
      <c r="H2203" s="0" t="e">
        <f aca="false">IF(OR(H1481="",AND(H1481=H1480,H1481=H1482)),NA(), H1481)</f>
        <v>#N/A</v>
      </c>
      <c r="K2203" s="0" t="e">
        <f aca="false">IF(ISNA(L2203),NA(),K1481)</f>
        <v>#N/A</v>
      </c>
      <c r="L2203" s="0" t="e">
        <f aca="false">IF(OR(L1481="",AND(L1481=L1480,L1481=L1482)),NA(), L1481)</f>
        <v>#N/A</v>
      </c>
      <c r="M2203" s="0" t="e">
        <f aca="false">IF(ISNA(N2203),NA(),M1481)</f>
        <v>#N/A</v>
      </c>
      <c r="N2203" s="0" t="e">
        <f aca="false">IF(OR(N1481="",AND(N1481=N1480,N1481=N1482)),NA(), N1481)</f>
        <v>#N/A</v>
      </c>
    </row>
    <row r="2204" customFormat="false" ht="15" hidden="false" customHeight="false" outlineLevel="0" collapsed="false">
      <c r="E2204" s="0" t="e">
        <f aca="false">IF(ISNA(F2204),NA(),E1482)</f>
        <v>#N/A</v>
      </c>
      <c r="F2204" s="0" t="e">
        <f aca="false">IF(OR(F1482="",AND(F1482=F1481,F1482=F1483)),NA(), F1482)</f>
        <v>#N/A</v>
      </c>
      <c r="G2204" s="0" t="e">
        <f aca="false">IF(ISNA(H2204),NA(),G1482)</f>
        <v>#N/A</v>
      </c>
      <c r="H2204" s="0" t="e">
        <f aca="false">IF(OR(H1482="",AND(H1482=H1481,H1482=H1483)),NA(), H1482)</f>
        <v>#N/A</v>
      </c>
      <c r="K2204" s="0" t="e">
        <f aca="false">IF(ISNA(L2204),NA(),K1482)</f>
        <v>#N/A</v>
      </c>
      <c r="L2204" s="0" t="e">
        <f aca="false">IF(OR(L1482="",AND(L1482=L1481,L1482=L1483)),NA(), L1482)</f>
        <v>#N/A</v>
      </c>
      <c r="M2204" s="0" t="e">
        <f aca="false">IF(ISNA(N2204),NA(),M1482)</f>
        <v>#N/A</v>
      </c>
      <c r="N2204" s="0" t="e">
        <f aca="false">IF(OR(N1482="",AND(N1482=N1481,N1482=N1483)),NA(), N1482)</f>
        <v>#N/A</v>
      </c>
    </row>
    <row r="2205" customFormat="false" ht="15" hidden="false" customHeight="false" outlineLevel="0" collapsed="false">
      <c r="E2205" s="0" t="e">
        <f aca="false">IF(ISNA(F2205),NA(),E1483)</f>
        <v>#N/A</v>
      </c>
      <c r="F2205" s="0" t="e">
        <f aca="false">IF(OR(F1483="",AND(F1483=F1482,F1483=F1484)),NA(), F1483)</f>
        <v>#N/A</v>
      </c>
      <c r="G2205" s="0" t="e">
        <f aca="false">IF(ISNA(H2205),NA(),G1483)</f>
        <v>#N/A</v>
      </c>
      <c r="H2205" s="0" t="e">
        <f aca="false">IF(OR(H1483="",AND(H1483=H1482,H1483=H1484)),NA(), H1483)</f>
        <v>#N/A</v>
      </c>
      <c r="K2205" s="0" t="e">
        <f aca="false">IF(ISNA(L2205),NA(),K1483)</f>
        <v>#N/A</v>
      </c>
      <c r="L2205" s="0" t="e">
        <f aca="false">IF(OR(L1483="",AND(L1483=L1482,L1483=L1484)),NA(), L1483)</f>
        <v>#N/A</v>
      </c>
      <c r="M2205" s="0" t="e">
        <f aca="false">IF(ISNA(N2205),NA(),M1483)</f>
        <v>#N/A</v>
      </c>
      <c r="N2205" s="0" t="e">
        <f aca="false">IF(OR(N1483="",AND(N1483=N1482,N1483=N1484)),NA(), N1483)</f>
        <v>#N/A</v>
      </c>
    </row>
    <row r="2206" customFormat="false" ht="15" hidden="false" customHeight="false" outlineLevel="0" collapsed="false">
      <c r="E2206" s="0" t="e">
        <f aca="false">IF(ISNA(F2206),NA(),E1484)</f>
        <v>#N/A</v>
      </c>
      <c r="F2206" s="0" t="e">
        <f aca="false">IF(OR(F1484="",AND(F1484=F1483,F1484=F1485)),NA(), F1484)</f>
        <v>#N/A</v>
      </c>
      <c r="G2206" s="0" t="e">
        <f aca="false">IF(ISNA(H2206),NA(),G1484)</f>
        <v>#N/A</v>
      </c>
      <c r="H2206" s="0" t="e">
        <f aca="false">IF(OR(H1484="",AND(H1484=H1483,H1484=H1485)),NA(), H1484)</f>
        <v>#N/A</v>
      </c>
      <c r="K2206" s="0" t="e">
        <f aca="false">IF(ISNA(L2206),NA(),K1484)</f>
        <v>#N/A</v>
      </c>
      <c r="L2206" s="0" t="e">
        <f aca="false">IF(OR(L1484="",AND(L1484=L1483,L1484=L1485)),NA(), L1484)</f>
        <v>#N/A</v>
      </c>
      <c r="M2206" s="0" t="e">
        <f aca="false">IF(ISNA(N2206),NA(),M1484)</f>
        <v>#N/A</v>
      </c>
      <c r="N2206" s="0" t="e">
        <f aca="false">IF(OR(N1484="",AND(N1484=N1483,N1484=N1485)),NA(), N1484)</f>
        <v>#N/A</v>
      </c>
    </row>
    <row r="2207" customFormat="false" ht="15" hidden="false" customHeight="false" outlineLevel="0" collapsed="false">
      <c r="E2207" s="0" t="e">
        <f aca="false">IF(ISNA(F2207),NA(),E1485)</f>
        <v>#N/A</v>
      </c>
      <c r="F2207" s="0" t="e">
        <f aca="false">IF(OR(F1485="",AND(F1485=F1484,F1485=F1486)),NA(), F1485)</f>
        <v>#N/A</v>
      </c>
      <c r="G2207" s="0" t="e">
        <f aca="false">IF(ISNA(H2207),NA(),G1485)</f>
        <v>#N/A</v>
      </c>
      <c r="H2207" s="0" t="e">
        <f aca="false">IF(OR(H1485="",AND(H1485=H1484,H1485=H1486)),NA(), H1485)</f>
        <v>#N/A</v>
      </c>
      <c r="K2207" s="0" t="e">
        <f aca="false">IF(ISNA(L2207),NA(),K1485)</f>
        <v>#N/A</v>
      </c>
      <c r="L2207" s="0" t="e">
        <f aca="false">IF(OR(L1485="",AND(L1485=L1484,L1485=L1486)),NA(), L1485)</f>
        <v>#N/A</v>
      </c>
      <c r="M2207" s="0" t="e">
        <f aca="false">IF(ISNA(N2207),NA(),M1485)</f>
        <v>#N/A</v>
      </c>
      <c r="N2207" s="0" t="e">
        <f aca="false">IF(OR(N1485="",AND(N1485=N1484,N1485=N1486)),NA(), N1485)</f>
        <v>#N/A</v>
      </c>
    </row>
    <row r="2208" customFormat="false" ht="15" hidden="false" customHeight="false" outlineLevel="0" collapsed="false">
      <c r="E2208" s="0" t="e">
        <f aca="false">IF(ISNA(F2208),NA(),E1486)</f>
        <v>#N/A</v>
      </c>
      <c r="F2208" s="0" t="e">
        <f aca="false">IF(OR(F1486="",AND(F1486=F1485,F1486=F1487)),NA(), F1486)</f>
        <v>#N/A</v>
      </c>
      <c r="G2208" s="0" t="e">
        <f aca="false">IF(ISNA(H2208),NA(),G1486)</f>
        <v>#N/A</v>
      </c>
      <c r="H2208" s="0" t="e">
        <f aca="false">IF(OR(H1486="",AND(H1486=H1485,H1486=H1487)),NA(), H1486)</f>
        <v>#N/A</v>
      </c>
      <c r="K2208" s="0" t="e">
        <f aca="false">IF(ISNA(L2208),NA(),K1486)</f>
        <v>#N/A</v>
      </c>
      <c r="L2208" s="0" t="e">
        <f aca="false">IF(OR(L1486="",AND(L1486=L1485,L1486=L1487)),NA(), L1486)</f>
        <v>#N/A</v>
      </c>
      <c r="M2208" s="0" t="e">
        <f aca="false">IF(ISNA(N2208),NA(),M1486)</f>
        <v>#N/A</v>
      </c>
      <c r="N2208" s="0" t="e">
        <f aca="false">IF(OR(N1486="",AND(N1486=N1485,N1486=N1487)),NA(), N1486)</f>
        <v>#N/A</v>
      </c>
    </row>
    <row r="2209" customFormat="false" ht="15" hidden="false" customHeight="false" outlineLevel="0" collapsed="false">
      <c r="E2209" s="0" t="e">
        <f aca="false">IF(ISNA(F2209),NA(),E1487)</f>
        <v>#N/A</v>
      </c>
      <c r="F2209" s="0" t="e">
        <f aca="false">IF(OR(F1487="",AND(F1487=F1486,F1487=F1488)),NA(), F1487)</f>
        <v>#N/A</v>
      </c>
      <c r="G2209" s="0" t="e">
        <f aca="false">IF(ISNA(H2209),NA(),G1487)</f>
        <v>#N/A</v>
      </c>
      <c r="H2209" s="0" t="e">
        <f aca="false">IF(OR(H1487="",AND(H1487=H1486,H1487=H1488)),NA(), H1487)</f>
        <v>#N/A</v>
      </c>
      <c r="K2209" s="0" t="e">
        <f aca="false">IF(ISNA(L2209),NA(),K1487)</f>
        <v>#N/A</v>
      </c>
      <c r="L2209" s="0" t="e">
        <f aca="false">IF(OR(L1487="",AND(L1487=L1486,L1487=L1488)),NA(), L1487)</f>
        <v>#N/A</v>
      </c>
      <c r="M2209" s="0" t="e">
        <f aca="false">IF(ISNA(N2209),NA(),M1487)</f>
        <v>#N/A</v>
      </c>
      <c r="N2209" s="0" t="e">
        <f aca="false">IF(OR(N1487="",AND(N1487=N1486,N1487=N1488)),NA(), N1487)</f>
        <v>#N/A</v>
      </c>
    </row>
    <row r="2210" customFormat="false" ht="15" hidden="false" customHeight="false" outlineLevel="0" collapsed="false">
      <c r="E2210" s="0" t="e">
        <f aca="false">IF(ISNA(F2210),NA(),E1488)</f>
        <v>#N/A</v>
      </c>
      <c r="F2210" s="0" t="e">
        <f aca="false">IF(OR(F1488="",AND(F1488=F1487,F1488=F1489)),NA(), F1488)</f>
        <v>#N/A</v>
      </c>
      <c r="G2210" s="0" t="e">
        <f aca="false">IF(ISNA(H2210),NA(),G1488)</f>
        <v>#N/A</v>
      </c>
      <c r="H2210" s="0" t="e">
        <f aca="false">IF(OR(H1488="",AND(H1488=H1487,H1488=H1489)),NA(), H1488)</f>
        <v>#N/A</v>
      </c>
      <c r="K2210" s="0" t="e">
        <f aca="false">IF(ISNA(L2210),NA(),K1488)</f>
        <v>#N/A</v>
      </c>
      <c r="L2210" s="0" t="e">
        <f aca="false">IF(OR(L1488="",AND(L1488=L1487,L1488=L1489)),NA(), L1488)</f>
        <v>#N/A</v>
      </c>
      <c r="M2210" s="0" t="e">
        <f aca="false">IF(ISNA(N2210),NA(),M1488)</f>
        <v>#N/A</v>
      </c>
      <c r="N2210" s="0" t="e">
        <f aca="false">IF(OR(N1488="",AND(N1488=N1487,N1488=N1489)),NA(), N1488)</f>
        <v>#N/A</v>
      </c>
    </row>
    <row r="2211" customFormat="false" ht="15" hidden="false" customHeight="false" outlineLevel="0" collapsed="false">
      <c r="E2211" s="0" t="e">
        <f aca="false">IF(ISNA(F2211),NA(),E1489)</f>
        <v>#N/A</v>
      </c>
      <c r="F2211" s="0" t="e">
        <f aca="false">IF(OR(F1489="",AND(F1489=F1488,F1489=F1490)),NA(), F1489)</f>
        <v>#N/A</v>
      </c>
      <c r="G2211" s="0" t="e">
        <f aca="false">IF(ISNA(H2211),NA(),G1489)</f>
        <v>#N/A</v>
      </c>
      <c r="H2211" s="0" t="e">
        <f aca="false">IF(OR(H1489="",AND(H1489=H1488,H1489=H1490)),NA(), H1489)</f>
        <v>#N/A</v>
      </c>
      <c r="K2211" s="0" t="e">
        <f aca="false">IF(ISNA(L2211),NA(),K1489)</f>
        <v>#N/A</v>
      </c>
      <c r="L2211" s="0" t="e">
        <f aca="false">IF(OR(L1489="",AND(L1489=L1488,L1489=L1490)),NA(), L1489)</f>
        <v>#N/A</v>
      </c>
      <c r="M2211" s="0" t="e">
        <f aca="false">IF(ISNA(N2211),NA(),M1489)</f>
        <v>#N/A</v>
      </c>
      <c r="N2211" s="0" t="e">
        <f aca="false">IF(OR(N1489="",AND(N1489=N1488,N1489=N1490)),NA(), N1489)</f>
        <v>#N/A</v>
      </c>
    </row>
    <row r="2212" customFormat="false" ht="15" hidden="false" customHeight="false" outlineLevel="0" collapsed="false">
      <c r="E2212" s="0" t="e">
        <f aca="false">IF(ISNA(F2212),NA(),E1490)</f>
        <v>#N/A</v>
      </c>
      <c r="F2212" s="0" t="e">
        <f aca="false">IF(OR(F1490="",AND(F1490=F1489,F1490=F1491)),NA(), F1490)</f>
        <v>#N/A</v>
      </c>
      <c r="G2212" s="0" t="e">
        <f aca="false">IF(ISNA(H2212),NA(),G1490)</f>
        <v>#N/A</v>
      </c>
      <c r="H2212" s="0" t="e">
        <f aca="false">IF(OR(H1490="",AND(H1490=H1489,H1490=H1491)),NA(), H1490)</f>
        <v>#N/A</v>
      </c>
      <c r="K2212" s="0" t="e">
        <f aca="false">IF(ISNA(L2212),NA(),K1490)</f>
        <v>#N/A</v>
      </c>
      <c r="L2212" s="0" t="e">
        <f aca="false">IF(OR(L1490="",AND(L1490=L1489,L1490=L1491)),NA(), L1490)</f>
        <v>#N/A</v>
      </c>
      <c r="M2212" s="0" t="e">
        <f aca="false">IF(ISNA(N2212),NA(),M1490)</f>
        <v>#N/A</v>
      </c>
      <c r="N2212" s="0" t="e">
        <f aca="false">IF(OR(N1490="",AND(N1490=N1489,N1490=N1491)),NA(), N1490)</f>
        <v>#N/A</v>
      </c>
    </row>
    <row r="2213" customFormat="false" ht="15" hidden="false" customHeight="false" outlineLevel="0" collapsed="false">
      <c r="E2213" s="0" t="e">
        <f aca="false">IF(ISNA(F2213),NA(),E1491)</f>
        <v>#N/A</v>
      </c>
      <c r="F2213" s="0" t="e">
        <f aca="false">IF(OR(F1491="",AND(F1491=F1490,F1491=F1492)),NA(), F1491)</f>
        <v>#N/A</v>
      </c>
      <c r="G2213" s="0" t="e">
        <f aca="false">IF(ISNA(H2213),NA(),G1491)</f>
        <v>#N/A</v>
      </c>
      <c r="H2213" s="0" t="e">
        <f aca="false">IF(OR(H1491="",AND(H1491=H1490,H1491=H1492)),NA(), H1491)</f>
        <v>#N/A</v>
      </c>
      <c r="K2213" s="0" t="e">
        <f aca="false">IF(ISNA(L2213),NA(),K1491)</f>
        <v>#N/A</v>
      </c>
      <c r="L2213" s="0" t="e">
        <f aca="false">IF(OR(L1491="",AND(L1491=L1490,L1491=L1492)),NA(), L1491)</f>
        <v>#N/A</v>
      </c>
      <c r="M2213" s="0" t="e">
        <f aca="false">IF(ISNA(N2213),NA(),M1491)</f>
        <v>#N/A</v>
      </c>
      <c r="N2213" s="0" t="e">
        <f aca="false">IF(OR(N1491="",AND(N1491=N1490,N1491=N1492)),NA(), N1491)</f>
        <v>#N/A</v>
      </c>
    </row>
    <row r="2214" customFormat="false" ht="15" hidden="false" customHeight="false" outlineLevel="0" collapsed="false">
      <c r="E2214" s="0" t="e">
        <f aca="false">IF(ISNA(F2214),NA(),E1492)</f>
        <v>#N/A</v>
      </c>
      <c r="F2214" s="0" t="e">
        <f aca="false">IF(OR(F1492="",AND(F1492=F1491,F1492=F1493)),NA(), F1492)</f>
        <v>#N/A</v>
      </c>
      <c r="G2214" s="0" t="e">
        <f aca="false">IF(ISNA(H2214),NA(),G1492)</f>
        <v>#N/A</v>
      </c>
      <c r="H2214" s="0" t="e">
        <f aca="false">IF(OR(H1492="",AND(H1492=H1491,H1492=H1493)),NA(), H1492)</f>
        <v>#N/A</v>
      </c>
      <c r="K2214" s="0" t="e">
        <f aca="false">IF(ISNA(L2214),NA(),K1492)</f>
        <v>#N/A</v>
      </c>
      <c r="L2214" s="0" t="e">
        <f aca="false">IF(OR(L1492="",AND(L1492=L1491,L1492=L1493)),NA(), L1492)</f>
        <v>#N/A</v>
      </c>
      <c r="M2214" s="0" t="e">
        <f aca="false">IF(ISNA(N2214),NA(),M1492)</f>
        <v>#N/A</v>
      </c>
      <c r="N2214" s="0" t="e">
        <f aca="false">IF(OR(N1492="",AND(N1492=N1491,N1492=N1493)),NA(), N1492)</f>
        <v>#N/A</v>
      </c>
    </row>
    <row r="2215" customFormat="false" ht="15" hidden="false" customHeight="false" outlineLevel="0" collapsed="false">
      <c r="E2215" s="0" t="e">
        <f aca="false">IF(ISNA(F2215),NA(),E1493)</f>
        <v>#N/A</v>
      </c>
      <c r="F2215" s="0" t="e">
        <f aca="false">IF(OR(F1493="",AND(F1493=F1492,F1493=F1494)),NA(), F1493)</f>
        <v>#N/A</v>
      </c>
      <c r="G2215" s="0" t="e">
        <f aca="false">IF(ISNA(H2215),NA(),G1493)</f>
        <v>#N/A</v>
      </c>
      <c r="H2215" s="0" t="e">
        <f aca="false">IF(OR(H1493="",AND(H1493=H1492,H1493=H1494)),NA(), H1493)</f>
        <v>#N/A</v>
      </c>
      <c r="K2215" s="0" t="e">
        <f aca="false">IF(ISNA(L2215),NA(),K1493)</f>
        <v>#N/A</v>
      </c>
      <c r="L2215" s="0" t="e">
        <f aca="false">IF(OR(L1493="",AND(L1493=L1492,L1493=L1494)),NA(), L1493)</f>
        <v>#N/A</v>
      </c>
      <c r="M2215" s="0" t="e">
        <f aca="false">IF(ISNA(N2215),NA(),M1493)</f>
        <v>#N/A</v>
      </c>
      <c r="N2215" s="0" t="e">
        <f aca="false">IF(OR(N1493="",AND(N1493=N1492,N1493=N1494)),NA(), N1493)</f>
        <v>#N/A</v>
      </c>
    </row>
    <row r="2216" customFormat="false" ht="15" hidden="false" customHeight="false" outlineLevel="0" collapsed="false">
      <c r="E2216" s="0" t="e">
        <f aca="false">IF(ISNA(F2216),NA(),E1494)</f>
        <v>#N/A</v>
      </c>
      <c r="F2216" s="0" t="e">
        <f aca="false">IF(OR(F1494="",AND(F1494=F1493,F1494=F1495)),NA(), F1494)</f>
        <v>#N/A</v>
      </c>
      <c r="G2216" s="0" t="e">
        <f aca="false">IF(ISNA(H2216),NA(),G1494)</f>
        <v>#N/A</v>
      </c>
      <c r="H2216" s="0" t="e">
        <f aca="false">IF(OR(H1494="",AND(H1494=H1493,H1494=H1495)),NA(), H1494)</f>
        <v>#N/A</v>
      </c>
      <c r="K2216" s="0" t="e">
        <f aca="false">IF(ISNA(L2216),NA(),K1494)</f>
        <v>#N/A</v>
      </c>
      <c r="L2216" s="0" t="e">
        <f aca="false">IF(OR(L1494="",AND(L1494=L1493,L1494=L1495)),NA(), L1494)</f>
        <v>#N/A</v>
      </c>
      <c r="M2216" s="0" t="e">
        <f aca="false">IF(ISNA(N2216),NA(),M1494)</f>
        <v>#N/A</v>
      </c>
      <c r="N2216" s="0" t="e">
        <f aca="false">IF(OR(N1494="",AND(N1494=N1493,N1494=N1495)),NA(), N1494)</f>
        <v>#N/A</v>
      </c>
    </row>
    <row r="2217" customFormat="false" ht="15" hidden="false" customHeight="false" outlineLevel="0" collapsed="false">
      <c r="E2217" s="0" t="e">
        <f aca="false">IF(ISNA(F2217),NA(),E1495)</f>
        <v>#N/A</v>
      </c>
      <c r="F2217" s="0" t="e">
        <f aca="false">IF(OR(F1495="",AND(F1495=F1494,F1495=F1496)),NA(), F1495)</f>
        <v>#N/A</v>
      </c>
      <c r="G2217" s="0" t="e">
        <f aca="false">IF(ISNA(H2217),NA(),G1495)</f>
        <v>#N/A</v>
      </c>
      <c r="H2217" s="0" t="e">
        <f aca="false">IF(OR(H1495="",AND(H1495=H1494,H1495=H1496)),NA(), H1495)</f>
        <v>#N/A</v>
      </c>
      <c r="K2217" s="0" t="e">
        <f aca="false">IF(ISNA(L2217),NA(),K1495)</f>
        <v>#N/A</v>
      </c>
      <c r="L2217" s="0" t="e">
        <f aca="false">IF(OR(L1495="",AND(L1495=L1494,L1495=L1496)),NA(), L1495)</f>
        <v>#N/A</v>
      </c>
      <c r="M2217" s="0" t="e">
        <f aca="false">IF(ISNA(N2217),NA(),M1495)</f>
        <v>#N/A</v>
      </c>
      <c r="N2217" s="0" t="e">
        <f aca="false">IF(OR(N1495="",AND(N1495=N1494,N1495=N1496)),NA(), N1495)</f>
        <v>#N/A</v>
      </c>
    </row>
    <row r="2218" customFormat="false" ht="15" hidden="false" customHeight="false" outlineLevel="0" collapsed="false">
      <c r="E2218" s="0" t="e">
        <f aca="false">IF(ISNA(F2218),NA(),E1496)</f>
        <v>#N/A</v>
      </c>
      <c r="F2218" s="0" t="e">
        <f aca="false">IF(OR(F1496="",AND(F1496=F1495,F1496=F1497)),NA(), F1496)</f>
        <v>#N/A</v>
      </c>
      <c r="G2218" s="0" t="e">
        <f aca="false">IF(ISNA(H2218),NA(),G1496)</f>
        <v>#N/A</v>
      </c>
      <c r="H2218" s="0" t="e">
        <f aca="false">IF(OR(H1496="",AND(H1496=H1495,H1496=H1497)),NA(), H1496)</f>
        <v>#N/A</v>
      </c>
      <c r="K2218" s="0" t="e">
        <f aca="false">IF(ISNA(L2218),NA(),K1496)</f>
        <v>#N/A</v>
      </c>
      <c r="L2218" s="0" t="e">
        <f aca="false">IF(OR(L1496="",AND(L1496=L1495,L1496=L1497)),NA(), L1496)</f>
        <v>#N/A</v>
      </c>
      <c r="M2218" s="0" t="e">
        <f aca="false">IF(ISNA(N2218),NA(),M1496)</f>
        <v>#N/A</v>
      </c>
      <c r="N2218" s="0" t="e">
        <f aca="false">IF(OR(N1496="",AND(N1496=N1495,N1496=N1497)),NA(), N1496)</f>
        <v>#N/A</v>
      </c>
    </row>
    <row r="2219" customFormat="false" ht="15" hidden="false" customHeight="false" outlineLevel="0" collapsed="false">
      <c r="E2219" s="0" t="e">
        <f aca="false">IF(ISNA(F2219),NA(),E1497)</f>
        <v>#N/A</v>
      </c>
      <c r="F2219" s="0" t="e">
        <f aca="false">IF(OR(F1497="",AND(F1497=F1496,F1497=F1498)),NA(), F1497)</f>
        <v>#N/A</v>
      </c>
      <c r="G2219" s="0" t="e">
        <f aca="false">IF(ISNA(H2219),NA(),G1497)</f>
        <v>#N/A</v>
      </c>
      <c r="H2219" s="0" t="e">
        <f aca="false">IF(OR(H1497="",AND(H1497=H1496,H1497=H1498)),NA(), H1497)</f>
        <v>#N/A</v>
      </c>
      <c r="K2219" s="0" t="e">
        <f aca="false">IF(ISNA(L2219),NA(),K1497)</f>
        <v>#N/A</v>
      </c>
      <c r="L2219" s="0" t="e">
        <f aca="false">IF(OR(L1497="",AND(L1497=L1496,L1497=L1498)),NA(), L1497)</f>
        <v>#N/A</v>
      </c>
      <c r="M2219" s="0" t="e">
        <f aca="false">IF(ISNA(N2219),NA(),M1497)</f>
        <v>#N/A</v>
      </c>
      <c r="N2219" s="0" t="e">
        <f aca="false">IF(OR(N1497="",AND(N1497=N1496,N1497=N1498)),NA(), N1497)</f>
        <v>#N/A</v>
      </c>
    </row>
    <row r="2220" customFormat="false" ht="15" hidden="false" customHeight="false" outlineLevel="0" collapsed="false">
      <c r="E2220" s="0" t="e">
        <f aca="false">IF(ISNA(F2220),NA(),E1498)</f>
        <v>#N/A</v>
      </c>
      <c r="F2220" s="0" t="e">
        <f aca="false">IF(OR(F1498="",AND(F1498=F1497,F1498=F1499)),NA(), F1498)</f>
        <v>#N/A</v>
      </c>
      <c r="G2220" s="0" t="e">
        <f aca="false">IF(ISNA(H2220),NA(),G1498)</f>
        <v>#N/A</v>
      </c>
      <c r="H2220" s="0" t="e">
        <f aca="false">IF(OR(H1498="",AND(H1498=H1497,H1498=H1499)),NA(), H1498)</f>
        <v>#N/A</v>
      </c>
      <c r="K2220" s="0" t="e">
        <f aca="false">IF(ISNA(L2220),NA(),K1498)</f>
        <v>#N/A</v>
      </c>
      <c r="L2220" s="0" t="e">
        <f aca="false">IF(OR(L1498="",AND(L1498=L1497,L1498=L1499)),NA(), L1498)</f>
        <v>#N/A</v>
      </c>
      <c r="M2220" s="0" t="e">
        <f aca="false">IF(ISNA(N2220),NA(),M1498)</f>
        <v>#N/A</v>
      </c>
      <c r="N2220" s="0" t="e">
        <f aca="false">IF(OR(N1498="",AND(N1498=N1497,N1498=N1499)),NA(), N1498)</f>
        <v>#N/A</v>
      </c>
    </row>
    <row r="2221" customFormat="false" ht="15" hidden="false" customHeight="false" outlineLevel="0" collapsed="false">
      <c r="E2221" s="0" t="e">
        <f aca="false">IF(ISNA(F2221),NA(),E1499)</f>
        <v>#N/A</v>
      </c>
      <c r="F2221" s="0" t="e">
        <f aca="false">IF(OR(F1499="",AND(F1499=F1498,F1499=F1500)),NA(), F1499)</f>
        <v>#N/A</v>
      </c>
      <c r="G2221" s="0" t="e">
        <f aca="false">IF(ISNA(H2221),NA(),G1499)</f>
        <v>#N/A</v>
      </c>
      <c r="H2221" s="0" t="e">
        <f aca="false">IF(OR(H1499="",AND(H1499=H1498,H1499=H1500)),NA(), H1499)</f>
        <v>#N/A</v>
      </c>
      <c r="K2221" s="0" t="e">
        <f aca="false">IF(ISNA(L2221),NA(),K1499)</f>
        <v>#N/A</v>
      </c>
      <c r="L2221" s="0" t="e">
        <f aca="false">IF(OR(L1499="",AND(L1499=L1498,L1499=L1500)),NA(), L1499)</f>
        <v>#N/A</v>
      </c>
      <c r="M2221" s="0" t="e">
        <f aca="false">IF(ISNA(N2221),NA(),M1499)</f>
        <v>#N/A</v>
      </c>
      <c r="N2221" s="0" t="e">
        <f aca="false">IF(OR(N1499="",AND(N1499=N1498,N1499=N1500)),NA(), N1499)</f>
        <v>#N/A</v>
      </c>
    </row>
    <row r="2222" customFormat="false" ht="15" hidden="false" customHeight="false" outlineLevel="0" collapsed="false">
      <c r="E2222" s="0" t="e">
        <f aca="false">IF(ISNA(F2222),NA(),E1500)</f>
        <v>#N/A</v>
      </c>
      <c r="F2222" s="0" t="e">
        <f aca="false">IF(OR(F1500="",AND(F1500=F1499,F1500=F1501)),NA(), F1500)</f>
        <v>#N/A</v>
      </c>
      <c r="G2222" s="0" t="e">
        <f aca="false">IF(ISNA(H2222),NA(),G1500)</f>
        <v>#N/A</v>
      </c>
      <c r="H2222" s="0" t="e">
        <f aca="false">IF(OR(H1500="",AND(H1500=H1499,H1500=H1501)),NA(), H1500)</f>
        <v>#N/A</v>
      </c>
      <c r="K2222" s="0" t="e">
        <f aca="false">IF(ISNA(L2222),NA(),K1500)</f>
        <v>#N/A</v>
      </c>
      <c r="L2222" s="0" t="e">
        <f aca="false">IF(OR(L1500="",AND(L1500=L1499,L1500=L1501)),NA(), L1500)</f>
        <v>#N/A</v>
      </c>
      <c r="M2222" s="0" t="e">
        <f aca="false">IF(ISNA(N2222),NA(),M1500)</f>
        <v>#N/A</v>
      </c>
      <c r="N2222" s="0" t="e">
        <f aca="false">IF(OR(N1500="",AND(N1500=N1499,N1500=N1501)),NA(), N1500)</f>
        <v>#N/A</v>
      </c>
    </row>
    <row r="2223" customFormat="false" ht="15" hidden="false" customHeight="false" outlineLevel="0" collapsed="false">
      <c r="E2223" s="0" t="e">
        <f aca="false">IF(ISNA(F2223),NA(),E1501)</f>
        <v>#N/A</v>
      </c>
      <c r="F2223" s="0" t="e">
        <f aca="false">IF(OR(F1501="",AND(F1501=F1500,F1501=F1502)),NA(), F1501)</f>
        <v>#N/A</v>
      </c>
      <c r="G2223" s="0" t="e">
        <f aca="false">IF(ISNA(H2223),NA(),G1501)</f>
        <v>#N/A</v>
      </c>
      <c r="H2223" s="0" t="e">
        <f aca="false">IF(OR(H1501="",AND(H1501=H1500,H1501=H1502)),NA(), H1501)</f>
        <v>#N/A</v>
      </c>
      <c r="K2223" s="0" t="e">
        <f aca="false">IF(ISNA(L2223),NA(),K1501)</f>
        <v>#N/A</v>
      </c>
      <c r="L2223" s="0" t="e">
        <f aca="false">IF(OR(L1501="",AND(L1501=L1500,L1501=L1502)),NA(), L1501)</f>
        <v>#N/A</v>
      </c>
      <c r="M2223" s="0" t="e">
        <f aca="false">IF(ISNA(N2223),NA(),M1501)</f>
        <v>#N/A</v>
      </c>
      <c r="N2223" s="0" t="e">
        <f aca="false">IF(OR(N1501="",AND(N1501=N1500,N1501=N1502)),NA(), N1501)</f>
        <v>#N/A</v>
      </c>
    </row>
    <row r="2224" customFormat="false" ht="15" hidden="false" customHeight="false" outlineLevel="0" collapsed="false">
      <c r="E2224" s="0" t="e">
        <f aca="false">IF(ISNA(F2224),NA(),E1502)</f>
        <v>#N/A</v>
      </c>
      <c r="F2224" s="0" t="e">
        <f aca="false">IF(OR(F1502="",AND(F1502=F1501,F1502=F1503)),NA(), F1502)</f>
        <v>#N/A</v>
      </c>
      <c r="G2224" s="0" t="e">
        <f aca="false">IF(ISNA(H2224),NA(),G1502)</f>
        <v>#N/A</v>
      </c>
      <c r="H2224" s="0" t="e">
        <f aca="false">IF(OR(H1502="",AND(H1502=H1501,H1502=H1503)),NA(), H1502)</f>
        <v>#N/A</v>
      </c>
      <c r="K2224" s="0" t="e">
        <f aca="false">IF(ISNA(L2224),NA(),K1502)</f>
        <v>#N/A</v>
      </c>
      <c r="L2224" s="0" t="e">
        <f aca="false">IF(OR(L1502="",AND(L1502=L1501,L1502=L1503)),NA(), L1502)</f>
        <v>#N/A</v>
      </c>
      <c r="M2224" s="0" t="e">
        <f aca="false">IF(ISNA(N2224),NA(),M1502)</f>
        <v>#N/A</v>
      </c>
      <c r="N2224" s="0" t="e">
        <f aca="false">IF(OR(N1502="",AND(N1502=N1501,N1502=N1503)),NA(), N1502)</f>
        <v>#N/A</v>
      </c>
    </row>
    <row r="2225" customFormat="false" ht="15" hidden="false" customHeight="false" outlineLevel="0" collapsed="false">
      <c r="E2225" s="0" t="e">
        <f aca="false">IF(ISNA(F2225),NA(),E1503)</f>
        <v>#N/A</v>
      </c>
      <c r="F2225" s="0" t="e">
        <f aca="false">IF(OR(F1503="",AND(F1503=F1502,F1503=F1504)),NA(), F1503)</f>
        <v>#N/A</v>
      </c>
      <c r="G2225" s="0" t="e">
        <f aca="false">IF(ISNA(H2225),NA(),G1503)</f>
        <v>#N/A</v>
      </c>
      <c r="H2225" s="0" t="e">
        <f aca="false">IF(OR(H1503="",AND(H1503=H1502,H1503=H1504)),NA(), H1503)</f>
        <v>#N/A</v>
      </c>
      <c r="K2225" s="0" t="e">
        <f aca="false">IF(ISNA(L2225),NA(),K1503)</f>
        <v>#N/A</v>
      </c>
      <c r="L2225" s="0" t="e">
        <f aca="false">IF(OR(L1503="",AND(L1503=L1502,L1503=L1504)),NA(), L1503)</f>
        <v>#N/A</v>
      </c>
      <c r="M2225" s="0" t="e">
        <f aca="false">IF(ISNA(N2225),NA(),M1503)</f>
        <v>#N/A</v>
      </c>
      <c r="N2225" s="0" t="e">
        <f aca="false">IF(OR(N1503="",AND(N1503=N1502,N1503=N1504)),NA(), N1503)</f>
        <v>#N/A</v>
      </c>
    </row>
    <row r="2226" customFormat="false" ht="15" hidden="false" customHeight="false" outlineLevel="0" collapsed="false">
      <c r="E2226" s="0" t="e">
        <f aca="false">IF(ISNA(F2226),NA(),E1504)</f>
        <v>#N/A</v>
      </c>
      <c r="F2226" s="0" t="e">
        <f aca="false">IF(OR(F1504="",AND(F1504=F1503,F1504=F1505)),NA(), F1504)</f>
        <v>#N/A</v>
      </c>
      <c r="G2226" s="0" t="e">
        <f aca="false">IF(ISNA(H2226),NA(),G1504)</f>
        <v>#N/A</v>
      </c>
      <c r="H2226" s="0" t="e">
        <f aca="false">IF(OR(H1504="",AND(H1504=H1503,H1504=H1505)),NA(), H1504)</f>
        <v>#N/A</v>
      </c>
      <c r="K2226" s="0" t="e">
        <f aca="false">IF(ISNA(L2226),NA(),K1504)</f>
        <v>#N/A</v>
      </c>
      <c r="L2226" s="0" t="e">
        <f aca="false">IF(OR(L1504="",AND(L1504=L1503,L1504=L1505)),NA(), L1504)</f>
        <v>#N/A</v>
      </c>
      <c r="M2226" s="0" t="e">
        <f aca="false">IF(ISNA(N2226),NA(),M1504)</f>
        <v>#N/A</v>
      </c>
      <c r="N2226" s="0" t="e">
        <f aca="false">IF(OR(N1504="",AND(N1504=N1503,N1504=N1505)),NA(), N1504)</f>
        <v>#N/A</v>
      </c>
    </row>
    <row r="2227" customFormat="false" ht="15" hidden="false" customHeight="false" outlineLevel="0" collapsed="false">
      <c r="E2227" s="0" t="e">
        <f aca="false">IF(ISNA(F2227),NA(),E1505)</f>
        <v>#N/A</v>
      </c>
      <c r="F2227" s="0" t="e">
        <f aca="false">IF(OR(F1505="",AND(F1505=F1504,F1505=F1506)),NA(), F1505)</f>
        <v>#N/A</v>
      </c>
      <c r="G2227" s="0" t="e">
        <f aca="false">IF(ISNA(H2227),NA(),G1505)</f>
        <v>#N/A</v>
      </c>
      <c r="H2227" s="0" t="e">
        <f aca="false">IF(OR(H1505="",AND(H1505=H1504,H1505=H1506)),NA(), H1505)</f>
        <v>#N/A</v>
      </c>
      <c r="K2227" s="0" t="e">
        <f aca="false">IF(ISNA(L2227),NA(),K1505)</f>
        <v>#N/A</v>
      </c>
      <c r="L2227" s="0" t="e">
        <f aca="false">IF(OR(L1505="",AND(L1505=L1504,L1505=L1506)),NA(), L1505)</f>
        <v>#N/A</v>
      </c>
      <c r="M2227" s="0" t="e">
        <f aca="false">IF(ISNA(N2227),NA(),M1505)</f>
        <v>#N/A</v>
      </c>
      <c r="N2227" s="0" t="e">
        <f aca="false">IF(OR(N1505="",AND(N1505=N1504,N1505=N1506)),NA(), N1505)</f>
        <v>#N/A</v>
      </c>
    </row>
    <row r="2228" customFormat="false" ht="15" hidden="false" customHeight="false" outlineLevel="0" collapsed="false">
      <c r="E2228" s="0" t="e">
        <f aca="false">IF(ISNA(F2228),NA(),E1506)</f>
        <v>#N/A</v>
      </c>
      <c r="F2228" s="0" t="e">
        <f aca="false">IF(OR(F1506="",AND(F1506=F1505,F1506=F1507)),NA(), F1506)</f>
        <v>#N/A</v>
      </c>
      <c r="G2228" s="0" t="e">
        <f aca="false">IF(ISNA(H2228),NA(),G1506)</f>
        <v>#N/A</v>
      </c>
      <c r="H2228" s="0" t="e">
        <f aca="false">IF(OR(H1506="",AND(H1506=H1505,H1506=H1507)),NA(), H1506)</f>
        <v>#N/A</v>
      </c>
      <c r="K2228" s="0" t="e">
        <f aca="false">IF(ISNA(L2228),NA(),K1506)</f>
        <v>#N/A</v>
      </c>
      <c r="L2228" s="0" t="e">
        <f aca="false">IF(OR(L1506="",AND(L1506=L1505,L1506=L1507)),NA(), L1506)</f>
        <v>#N/A</v>
      </c>
      <c r="M2228" s="0" t="e">
        <f aca="false">IF(ISNA(N2228),NA(),M1506)</f>
        <v>#N/A</v>
      </c>
      <c r="N2228" s="0" t="e">
        <f aca="false">IF(OR(N1506="",AND(N1506=N1505,N1506=N1507)),NA(), N1506)</f>
        <v>#N/A</v>
      </c>
    </row>
    <row r="2229" customFormat="false" ht="15" hidden="false" customHeight="false" outlineLevel="0" collapsed="false">
      <c r="E2229" s="0" t="e">
        <f aca="false">IF(ISNA(F2229),NA(),E1507)</f>
        <v>#N/A</v>
      </c>
      <c r="F2229" s="0" t="e">
        <f aca="false">IF(OR(F1507="",AND(F1507=F1506,F1507=F1508)),NA(), F1507)</f>
        <v>#N/A</v>
      </c>
      <c r="G2229" s="0" t="e">
        <f aca="false">IF(ISNA(H2229),NA(),G1507)</f>
        <v>#N/A</v>
      </c>
      <c r="H2229" s="0" t="e">
        <f aca="false">IF(OR(H1507="",AND(H1507=H1506,H1507=H1508)),NA(), H1507)</f>
        <v>#N/A</v>
      </c>
      <c r="K2229" s="0" t="e">
        <f aca="false">IF(ISNA(L2229),NA(),K1507)</f>
        <v>#N/A</v>
      </c>
      <c r="L2229" s="0" t="e">
        <f aca="false">IF(OR(L1507="",AND(L1507=L1506,L1507=L1508)),NA(), L1507)</f>
        <v>#N/A</v>
      </c>
      <c r="M2229" s="0" t="e">
        <f aca="false">IF(ISNA(N2229),NA(),M1507)</f>
        <v>#N/A</v>
      </c>
      <c r="N2229" s="0" t="e">
        <f aca="false">IF(OR(N1507="",AND(N1507=N1506,N1507=N1508)),NA(), N1507)</f>
        <v>#N/A</v>
      </c>
    </row>
    <row r="2230" customFormat="false" ht="15" hidden="false" customHeight="false" outlineLevel="0" collapsed="false">
      <c r="E2230" s="0" t="e">
        <f aca="false">IF(ISNA(F2230),NA(),E1508)</f>
        <v>#N/A</v>
      </c>
      <c r="F2230" s="0" t="e">
        <f aca="false">IF(OR(F1508="",AND(F1508=F1507,F1508=F1509)),NA(), F1508)</f>
        <v>#N/A</v>
      </c>
      <c r="G2230" s="0" t="e">
        <f aca="false">IF(ISNA(H2230),NA(),G1508)</f>
        <v>#N/A</v>
      </c>
      <c r="H2230" s="0" t="e">
        <f aca="false">IF(OR(H1508="",AND(H1508=H1507,H1508=H1509)),NA(), H1508)</f>
        <v>#N/A</v>
      </c>
      <c r="K2230" s="0" t="e">
        <f aca="false">IF(ISNA(L2230),NA(),K1508)</f>
        <v>#N/A</v>
      </c>
      <c r="L2230" s="0" t="e">
        <f aca="false">IF(OR(L1508="",AND(L1508=L1507,L1508=L1509)),NA(), L1508)</f>
        <v>#N/A</v>
      </c>
      <c r="M2230" s="0" t="e">
        <f aca="false">IF(ISNA(N2230),NA(),M1508)</f>
        <v>#N/A</v>
      </c>
      <c r="N2230" s="0" t="e">
        <f aca="false">IF(OR(N1508="",AND(N1508=N1507,N1508=N1509)),NA(), N1508)</f>
        <v>#N/A</v>
      </c>
    </row>
    <row r="2231" customFormat="false" ht="15" hidden="false" customHeight="false" outlineLevel="0" collapsed="false">
      <c r="E2231" s="0" t="e">
        <f aca="false">IF(ISNA(F2231),NA(),E1509)</f>
        <v>#N/A</v>
      </c>
      <c r="F2231" s="0" t="e">
        <f aca="false">IF(OR(F1509="",AND(F1509=F1508,F1509=F1510)),NA(), F1509)</f>
        <v>#N/A</v>
      </c>
      <c r="G2231" s="0" t="e">
        <f aca="false">IF(ISNA(H2231),NA(),G1509)</f>
        <v>#N/A</v>
      </c>
      <c r="H2231" s="0" t="e">
        <f aca="false">IF(OR(H1509="",AND(H1509=H1508,H1509=H1510)),NA(), H1509)</f>
        <v>#N/A</v>
      </c>
      <c r="K2231" s="0" t="e">
        <f aca="false">IF(ISNA(L2231),NA(),K1509)</f>
        <v>#N/A</v>
      </c>
      <c r="L2231" s="0" t="e">
        <f aca="false">IF(OR(L1509="",AND(L1509=L1508,L1509=L1510)),NA(), L1509)</f>
        <v>#N/A</v>
      </c>
      <c r="M2231" s="0" t="e">
        <f aca="false">IF(ISNA(N2231),NA(),M1509)</f>
        <v>#N/A</v>
      </c>
      <c r="N2231" s="0" t="e">
        <f aca="false">IF(OR(N1509="",AND(N1509=N1508,N1509=N1510)),NA(), N1509)</f>
        <v>#N/A</v>
      </c>
    </row>
    <row r="2232" customFormat="false" ht="15" hidden="false" customHeight="false" outlineLevel="0" collapsed="false">
      <c r="E2232" s="0" t="e">
        <f aca="false">IF(ISNA(F2232),NA(),E1510)</f>
        <v>#N/A</v>
      </c>
      <c r="F2232" s="0" t="e">
        <f aca="false">IF(OR(F1510="",AND(F1510=F1509,F1510=F1511)),NA(), F1510)</f>
        <v>#N/A</v>
      </c>
      <c r="G2232" s="0" t="e">
        <f aca="false">IF(ISNA(H2232),NA(),G1510)</f>
        <v>#N/A</v>
      </c>
      <c r="H2232" s="0" t="e">
        <f aca="false">IF(OR(H1510="",AND(H1510=H1509,H1510=H1511)),NA(), H1510)</f>
        <v>#N/A</v>
      </c>
      <c r="K2232" s="0" t="e">
        <f aca="false">IF(ISNA(L2232),NA(),K1510)</f>
        <v>#N/A</v>
      </c>
      <c r="L2232" s="0" t="e">
        <f aca="false">IF(OR(L1510="",AND(L1510=L1509,L1510=L1511)),NA(), L1510)</f>
        <v>#N/A</v>
      </c>
      <c r="M2232" s="0" t="e">
        <f aca="false">IF(ISNA(N2232),NA(),M1510)</f>
        <v>#N/A</v>
      </c>
      <c r="N2232" s="0" t="e">
        <f aca="false">IF(OR(N1510="",AND(N1510=N1509,N1510=N1511)),NA(), N1510)</f>
        <v>#N/A</v>
      </c>
    </row>
    <row r="2233" customFormat="false" ht="15" hidden="false" customHeight="false" outlineLevel="0" collapsed="false">
      <c r="E2233" s="0" t="e">
        <f aca="false">IF(ISNA(F2233),NA(),E1511)</f>
        <v>#N/A</v>
      </c>
      <c r="F2233" s="0" t="e">
        <f aca="false">IF(OR(F1511="",AND(F1511=F1510,F1511=F1512)),NA(), F1511)</f>
        <v>#N/A</v>
      </c>
      <c r="G2233" s="0" t="e">
        <f aca="false">IF(ISNA(H2233),NA(),G1511)</f>
        <v>#N/A</v>
      </c>
      <c r="H2233" s="0" t="e">
        <f aca="false">IF(OR(H1511="",AND(H1511=H1510,H1511=H1512)),NA(), H1511)</f>
        <v>#N/A</v>
      </c>
      <c r="K2233" s="0" t="e">
        <f aca="false">IF(ISNA(L2233),NA(),K1511)</f>
        <v>#N/A</v>
      </c>
      <c r="L2233" s="0" t="e">
        <f aca="false">IF(OR(L1511="",AND(L1511=L1510,L1511=L1512)),NA(), L1511)</f>
        <v>#N/A</v>
      </c>
      <c r="M2233" s="0" t="e">
        <f aca="false">IF(ISNA(N2233),NA(),M1511)</f>
        <v>#N/A</v>
      </c>
      <c r="N2233" s="0" t="e">
        <f aca="false">IF(OR(N1511="",AND(N1511=N1510,N1511=N1512)),NA(), N1511)</f>
        <v>#N/A</v>
      </c>
    </row>
    <row r="2234" customFormat="false" ht="15" hidden="false" customHeight="false" outlineLevel="0" collapsed="false">
      <c r="E2234" s="0" t="e">
        <f aca="false">IF(ISNA(F2234),NA(),E1512)</f>
        <v>#N/A</v>
      </c>
      <c r="F2234" s="0" t="e">
        <f aca="false">IF(OR(F1512="",AND(F1512=F1511,F1512=F1513)),NA(), F1512)</f>
        <v>#N/A</v>
      </c>
      <c r="G2234" s="0" t="e">
        <f aca="false">IF(ISNA(H2234),NA(),G1512)</f>
        <v>#N/A</v>
      </c>
      <c r="H2234" s="0" t="e">
        <f aca="false">IF(OR(H1512="",AND(H1512=H1511,H1512=H1513)),NA(), H1512)</f>
        <v>#N/A</v>
      </c>
      <c r="K2234" s="0" t="e">
        <f aca="false">IF(ISNA(L2234),NA(),K1512)</f>
        <v>#N/A</v>
      </c>
      <c r="L2234" s="0" t="e">
        <f aca="false">IF(OR(L1512="",AND(L1512=L1511,L1512=L1513)),NA(), L1512)</f>
        <v>#N/A</v>
      </c>
      <c r="M2234" s="0" t="e">
        <f aca="false">IF(ISNA(N2234),NA(),M1512)</f>
        <v>#N/A</v>
      </c>
      <c r="N2234" s="0" t="e">
        <f aca="false">IF(OR(N1512="",AND(N1512=N1511,N1512=N1513)),NA(), N1512)</f>
        <v>#N/A</v>
      </c>
    </row>
    <row r="2235" customFormat="false" ht="15" hidden="false" customHeight="false" outlineLevel="0" collapsed="false">
      <c r="E2235" s="0" t="e">
        <f aca="false">IF(ISNA(F2235),NA(),E1513)</f>
        <v>#N/A</v>
      </c>
      <c r="F2235" s="0" t="e">
        <f aca="false">IF(OR(F1513="",AND(F1513=F1512,F1513=F1514)),NA(), F1513)</f>
        <v>#N/A</v>
      </c>
      <c r="G2235" s="0" t="e">
        <f aca="false">IF(ISNA(H2235),NA(),G1513)</f>
        <v>#N/A</v>
      </c>
      <c r="H2235" s="0" t="e">
        <f aca="false">IF(OR(H1513="",AND(H1513=H1512,H1513=H1514)),NA(), H1513)</f>
        <v>#N/A</v>
      </c>
      <c r="K2235" s="0" t="e">
        <f aca="false">IF(ISNA(L2235),NA(),K1513)</f>
        <v>#N/A</v>
      </c>
      <c r="L2235" s="0" t="e">
        <f aca="false">IF(OR(L1513="",AND(L1513=L1512,L1513=L1514)),NA(), L1513)</f>
        <v>#N/A</v>
      </c>
      <c r="M2235" s="0" t="e">
        <f aca="false">IF(ISNA(N2235),NA(),M1513)</f>
        <v>#N/A</v>
      </c>
      <c r="N2235" s="0" t="e">
        <f aca="false">IF(OR(N1513="",AND(N1513=N1512,N1513=N1514)),NA(), N1513)</f>
        <v>#N/A</v>
      </c>
    </row>
    <row r="2236" customFormat="false" ht="15" hidden="false" customHeight="false" outlineLevel="0" collapsed="false">
      <c r="E2236" s="0" t="e">
        <f aca="false">IF(ISNA(F2236),NA(),E1514)</f>
        <v>#N/A</v>
      </c>
      <c r="F2236" s="0" t="e">
        <f aca="false">IF(OR(F1514="",AND(F1514=F1513,F1514=F1515)),NA(), F1514)</f>
        <v>#N/A</v>
      </c>
      <c r="G2236" s="0" t="e">
        <f aca="false">IF(ISNA(H2236),NA(),G1514)</f>
        <v>#N/A</v>
      </c>
      <c r="H2236" s="0" t="e">
        <f aca="false">IF(OR(H1514="",AND(H1514=H1513,H1514=H1515)),NA(), H1514)</f>
        <v>#N/A</v>
      </c>
      <c r="K2236" s="0" t="e">
        <f aca="false">IF(ISNA(L2236),NA(),K1514)</f>
        <v>#N/A</v>
      </c>
      <c r="L2236" s="0" t="e">
        <f aca="false">IF(OR(L1514="",AND(L1514=L1513,L1514=L1515)),NA(), L1514)</f>
        <v>#N/A</v>
      </c>
      <c r="M2236" s="0" t="e">
        <f aca="false">IF(ISNA(N2236),NA(),M1514)</f>
        <v>#N/A</v>
      </c>
      <c r="N2236" s="0" t="e">
        <f aca="false">IF(OR(N1514="",AND(N1514=N1513,N1514=N1515)),NA(), N1514)</f>
        <v>#N/A</v>
      </c>
    </row>
    <row r="2237" customFormat="false" ht="15" hidden="false" customHeight="false" outlineLevel="0" collapsed="false">
      <c r="E2237" s="0" t="e">
        <f aca="false">IF(ISNA(F2237),NA(),E1515)</f>
        <v>#N/A</v>
      </c>
      <c r="F2237" s="0" t="e">
        <f aca="false">IF(OR(F1515="",AND(F1515=F1514,F1515=F1516)),NA(), F1515)</f>
        <v>#N/A</v>
      </c>
      <c r="G2237" s="0" t="e">
        <f aca="false">IF(ISNA(H2237),NA(),G1515)</f>
        <v>#N/A</v>
      </c>
      <c r="H2237" s="0" t="e">
        <f aca="false">IF(OR(H1515="",AND(H1515=H1514,H1515=H1516)),NA(), H1515)</f>
        <v>#N/A</v>
      </c>
      <c r="K2237" s="0" t="e">
        <f aca="false">IF(ISNA(L2237),NA(),K1515)</f>
        <v>#N/A</v>
      </c>
      <c r="L2237" s="0" t="e">
        <f aca="false">IF(OR(L1515="",AND(L1515=L1514,L1515=L1516)),NA(), L1515)</f>
        <v>#N/A</v>
      </c>
      <c r="M2237" s="0" t="e">
        <f aca="false">IF(ISNA(N2237),NA(),M1515)</f>
        <v>#N/A</v>
      </c>
      <c r="N2237" s="0" t="e">
        <f aca="false">IF(OR(N1515="",AND(N1515=N1514,N1515=N1516)),NA(), N1515)</f>
        <v>#N/A</v>
      </c>
    </row>
    <row r="2238" customFormat="false" ht="15" hidden="false" customHeight="false" outlineLevel="0" collapsed="false">
      <c r="E2238" s="0" t="e">
        <f aca="false">IF(ISNA(F2238),NA(),E1516)</f>
        <v>#N/A</v>
      </c>
      <c r="F2238" s="0" t="e">
        <f aca="false">IF(OR(F1516="",AND(F1516=F1515,F1516=F1517)),NA(), F1516)</f>
        <v>#N/A</v>
      </c>
      <c r="G2238" s="0" t="e">
        <f aca="false">IF(ISNA(H2238),NA(),G1516)</f>
        <v>#N/A</v>
      </c>
      <c r="H2238" s="0" t="e">
        <f aca="false">IF(OR(H1516="",AND(H1516=H1515,H1516=H1517)),NA(), H1516)</f>
        <v>#N/A</v>
      </c>
      <c r="K2238" s="0" t="e">
        <f aca="false">IF(ISNA(L2238),NA(),K1516)</f>
        <v>#N/A</v>
      </c>
      <c r="L2238" s="0" t="e">
        <f aca="false">IF(OR(L1516="",AND(L1516=L1515,L1516=L1517)),NA(), L1516)</f>
        <v>#N/A</v>
      </c>
      <c r="M2238" s="0" t="e">
        <f aca="false">IF(ISNA(N2238),NA(),M1516)</f>
        <v>#N/A</v>
      </c>
      <c r="N2238" s="0" t="e">
        <f aca="false">IF(OR(N1516="",AND(N1516=N1515,N1516=N1517)),NA(), N1516)</f>
        <v>#N/A</v>
      </c>
    </row>
    <row r="2239" customFormat="false" ht="15" hidden="false" customHeight="false" outlineLevel="0" collapsed="false">
      <c r="E2239" s="0" t="e">
        <f aca="false">IF(ISNA(F2239),NA(),E1517)</f>
        <v>#N/A</v>
      </c>
      <c r="F2239" s="0" t="e">
        <f aca="false">IF(OR(F1517="",AND(F1517=F1516,F1517=F1518)),NA(), F1517)</f>
        <v>#N/A</v>
      </c>
      <c r="G2239" s="0" t="e">
        <f aca="false">IF(ISNA(H2239),NA(),G1517)</f>
        <v>#N/A</v>
      </c>
      <c r="H2239" s="0" t="e">
        <f aca="false">IF(OR(H1517="",AND(H1517=H1516,H1517=H1518)),NA(), H1517)</f>
        <v>#N/A</v>
      </c>
      <c r="K2239" s="0" t="e">
        <f aca="false">IF(ISNA(L2239),NA(),K1517)</f>
        <v>#N/A</v>
      </c>
      <c r="L2239" s="0" t="e">
        <f aca="false">IF(OR(L1517="",AND(L1517=L1516,L1517=L1518)),NA(), L1517)</f>
        <v>#N/A</v>
      </c>
      <c r="M2239" s="0" t="e">
        <f aca="false">IF(ISNA(N2239),NA(),M1517)</f>
        <v>#N/A</v>
      </c>
      <c r="N2239" s="0" t="e">
        <f aca="false">IF(OR(N1517="",AND(N1517=N1516,N1517=N1518)),NA(), N1517)</f>
        <v>#N/A</v>
      </c>
    </row>
    <row r="2240" customFormat="false" ht="15" hidden="false" customHeight="false" outlineLevel="0" collapsed="false">
      <c r="E2240" s="0" t="e">
        <f aca="false">IF(ISNA(F2240),NA(),E1518)</f>
        <v>#N/A</v>
      </c>
      <c r="F2240" s="0" t="e">
        <f aca="false">IF(OR(F1518="",AND(F1518=F1517,F1518=F1519)),NA(), F1518)</f>
        <v>#N/A</v>
      </c>
      <c r="G2240" s="0" t="e">
        <f aca="false">IF(ISNA(H2240),NA(),G1518)</f>
        <v>#N/A</v>
      </c>
      <c r="H2240" s="0" t="e">
        <f aca="false">IF(OR(H1518="",AND(H1518=H1517,H1518=H1519)),NA(), H1518)</f>
        <v>#N/A</v>
      </c>
      <c r="K2240" s="0" t="e">
        <f aca="false">IF(ISNA(L2240),NA(),K1518)</f>
        <v>#N/A</v>
      </c>
      <c r="L2240" s="0" t="e">
        <f aca="false">IF(OR(L1518="",AND(L1518=L1517,L1518=L1519)),NA(), L1518)</f>
        <v>#N/A</v>
      </c>
      <c r="M2240" s="0" t="e">
        <f aca="false">IF(ISNA(N2240),NA(),M1518)</f>
        <v>#N/A</v>
      </c>
      <c r="N2240" s="0" t="e">
        <f aca="false">IF(OR(N1518="",AND(N1518=N1517,N1518=N1519)),NA(), N1518)</f>
        <v>#N/A</v>
      </c>
    </row>
    <row r="2241" customFormat="false" ht="15" hidden="false" customHeight="false" outlineLevel="0" collapsed="false">
      <c r="E2241" s="0" t="e">
        <f aca="false">IF(ISNA(F2241),NA(),E1519)</f>
        <v>#N/A</v>
      </c>
      <c r="F2241" s="0" t="e">
        <f aca="false">IF(OR(F1519="",AND(F1519=F1518,F1519=F1520)),NA(), F1519)</f>
        <v>#N/A</v>
      </c>
      <c r="G2241" s="0" t="e">
        <f aca="false">IF(ISNA(H2241),NA(),G1519)</f>
        <v>#N/A</v>
      </c>
      <c r="H2241" s="0" t="e">
        <f aca="false">IF(OR(H1519="",AND(H1519=H1518,H1519=H1520)),NA(), H1519)</f>
        <v>#N/A</v>
      </c>
      <c r="K2241" s="0" t="e">
        <f aca="false">IF(ISNA(L2241),NA(),K1519)</f>
        <v>#N/A</v>
      </c>
      <c r="L2241" s="0" t="e">
        <f aca="false">IF(OR(L1519="",AND(L1519=L1518,L1519=L1520)),NA(), L1519)</f>
        <v>#N/A</v>
      </c>
      <c r="M2241" s="0" t="e">
        <f aca="false">IF(ISNA(N2241),NA(),M1519)</f>
        <v>#N/A</v>
      </c>
      <c r="N2241" s="0" t="e">
        <f aca="false">IF(OR(N1519="",AND(N1519=N1518,N1519=N1520)),NA(), N1519)</f>
        <v>#N/A</v>
      </c>
    </row>
    <row r="2242" customFormat="false" ht="15" hidden="false" customHeight="false" outlineLevel="0" collapsed="false">
      <c r="E2242" s="0" t="e">
        <f aca="false">IF(ISNA(F2242),NA(),E1520)</f>
        <v>#N/A</v>
      </c>
      <c r="F2242" s="0" t="e">
        <f aca="false">IF(OR(F1520="",AND(F1520=F1519,F1520=F1521)),NA(), F1520)</f>
        <v>#N/A</v>
      </c>
      <c r="G2242" s="0" t="e">
        <f aca="false">IF(ISNA(H2242),NA(),G1520)</f>
        <v>#N/A</v>
      </c>
      <c r="H2242" s="0" t="e">
        <f aca="false">IF(OR(H1520="",AND(H1520=H1519,H1520=H1521)),NA(), H1520)</f>
        <v>#N/A</v>
      </c>
      <c r="K2242" s="0" t="e">
        <f aca="false">IF(ISNA(L2242),NA(),K1520)</f>
        <v>#N/A</v>
      </c>
      <c r="L2242" s="0" t="e">
        <f aca="false">IF(OR(L1520="",AND(L1520=L1519,L1520=L1521)),NA(), L1520)</f>
        <v>#N/A</v>
      </c>
      <c r="M2242" s="0" t="e">
        <f aca="false">IF(ISNA(N2242),NA(),M1520)</f>
        <v>#N/A</v>
      </c>
      <c r="N2242" s="0" t="e">
        <f aca="false">IF(OR(N1520="",AND(N1520=N1519,N1520=N1521)),NA(), N1520)</f>
        <v>#N/A</v>
      </c>
    </row>
    <row r="2243" customFormat="false" ht="15" hidden="false" customHeight="false" outlineLevel="0" collapsed="false">
      <c r="E2243" s="0" t="e">
        <f aca="false">IF(ISNA(F2243),NA(),E1521)</f>
        <v>#N/A</v>
      </c>
      <c r="F2243" s="0" t="e">
        <f aca="false">IF(OR(F1521="",AND(F1521=F1520,F1521=F1522)),NA(), F1521)</f>
        <v>#N/A</v>
      </c>
      <c r="G2243" s="0" t="e">
        <f aca="false">IF(ISNA(H2243),NA(),G1521)</f>
        <v>#N/A</v>
      </c>
      <c r="H2243" s="0" t="e">
        <f aca="false">IF(OR(H1521="",AND(H1521=H1520,H1521=H1522)),NA(), H1521)</f>
        <v>#N/A</v>
      </c>
      <c r="K2243" s="0" t="e">
        <f aca="false">IF(ISNA(L2243),NA(),K1521)</f>
        <v>#N/A</v>
      </c>
      <c r="L2243" s="0" t="e">
        <f aca="false">IF(OR(L1521="",AND(L1521=L1520,L1521=L1522)),NA(), L1521)</f>
        <v>#N/A</v>
      </c>
      <c r="M2243" s="0" t="e">
        <f aca="false">IF(ISNA(N2243),NA(),M1521)</f>
        <v>#N/A</v>
      </c>
      <c r="N2243" s="0" t="e">
        <f aca="false">IF(OR(N1521="",AND(N1521=N1520,N1521=N1522)),NA(), N1521)</f>
        <v>#N/A</v>
      </c>
    </row>
    <row r="2244" customFormat="false" ht="15" hidden="false" customHeight="false" outlineLevel="0" collapsed="false">
      <c r="E2244" s="0" t="e">
        <f aca="false">IF(ISNA(F2244),NA(),E1522)</f>
        <v>#N/A</v>
      </c>
      <c r="F2244" s="0" t="e">
        <f aca="false">IF(OR(F1522="",AND(F1522=F1521,F1522=F1523)),NA(), F1522)</f>
        <v>#N/A</v>
      </c>
      <c r="G2244" s="0" t="e">
        <f aca="false">IF(ISNA(H2244),NA(),G1522)</f>
        <v>#N/A</v>
      </c>
      <c r="H2244" s="0" t="e">
        <f aca="false">IF(OR(H1522="",AND(H1522=H1521,H1522=H1523)),NA(), H1522)</f>
        <v>#N/A</v>
      </c>
      <c r="K2244" s="0" t="e">
        <f aca="false">IF(ISNA(L2244),NA(),K1522)</f>
        <v>#N/A</v>
      </c>
      <c r="L2244" s="0" t="e">
        <f aca="false">IF(OR(L1522="",AND(L1522=L1521,L1522=L1523)),NA(), L1522)</f>
        <v>#N/A</v>
      </c>
      <c r="M2244" s="0" t="e">
        <f aca="false">IF(ISNA(N2244),NA(),M1522)</f>
        <v>#N/A</v>
      </c>
      <c r="N2244" s="0" t="e">
        <f aca="false">IF(OR(N1522="",AND(N1522=N1521,N1522=N1523)),NA(), N1522)</f>
        <v>#N/A</v>
      </c>
    </row>
    <row r="2245" customFormat="false" ht="15" hidden="false" customHeight="false" outlineLevel="0" collapsed="false">
      <c r="E2245" s="0" t="e">
        <f aca="false">IF(ISNA(F2245),NA(),E1523)</f>
        <v>#N/A</v>
      </c>
      <c r="F2245" s="0" t="e">
        <f aca="false">IF(OR(F1523="",AND(F1523=F1522,F1523=F1524)),NA(), F1523)</f>
        <v>#N/A</v>
      </c>
      <c r="G2245" s="0" t="e">
        <f aca="false">IF(ISNA(H2245),NA(),G1523)</f>
        <v>#N/A</v>
      </c>
      <c r="H2245" s="0" t="e">
        <f aca="false">IF(OR(H1523="",AND(H1523=H1522,H1523=H1524)),NA(), H1523)</f>
        <v>#N/A</v>
      </c>
      <c r="K2245" s="0" t="e">
        <f aca="false">IF(ISNA(L2245),NA(),K1523)</f>
        <v>#N/A</v>
      </c>
      <c r="L2245" s="0" t="e">
        <f aca="false">IF(OR(L1523="",AND(L1523=L1522,L1523=L1524)),NA(), L1523)</f>
        <v>#N/A</v>
      </c>
      <c r="M2245" s="0" t="e">
        <f aca="false">IF(ISNA(N2245),NA(),M1523)</f>
        <v>#N/A</v>
      </c>
      <c r="N2245" s="0" t="e">
        <f aca="false">IF(OR(N1523="",AND(N1523=N1522,N1523=N1524)),NA(), N1523)</f>
        <v>#N/A</v>
      </c>
    </row>
    <row r="2246" customFormat="false" ht="15" hidden="false" customHeight="false" outlineLevel="0" collapsed="false">
      <c r="E2246" s="0" t="e">
        <f aca="false">IF(ISNA(F2246),NA(),E1524)</f>
        <v>#N/A</v>
      </c>
      <c r="F2246" s="0" t="e">
        <f aca="false">IF(OR(F1524="",AND(F1524=F1523,F1524=F1525)),NA(), F1524)</f>
        <v>#N/A</v>
      </c>
      <c r="G2246" s="0" t="e">
        <f aca="false">IF(ISNA(H2246),NA(),G1524)</f>
        <v>#N/A</v>
      </c>
      <c r="H2246" s="0" t="e">
        <f aca="false">IF(OR(H1524="",AND(H1524=H1523,H1524=H1525)),NA(), H1524)</f>
        <v>#N/A</v>
      </c>
      <c r="K2246" s="0" t="e">
        <f aca="false">IF(ISNA(L2246),NA(),K1524)</f>
        <v>#N/A</v>
      </c>
      <c r="L2246" s="0" t="e">
        <f aca="false">IF(OR(L1524="",AND(L1524=L1523,L1524=L1525)),NA(), L1524)</f>
        <v>#N/A</v>
      </c>
      <c r="M2246" s="0" t="e">
        <f aca="false">IF(ISNA(N2246),NA(),M1524)</f>
        <v>#N/A</v>
      </c>
      <c r="N2246" s="0" t="e">
        <f aca="false">IF(OR(N1524="",AND(N1524=N1523,N1524=N1525)),NA(), N1524)</f>
        <v>#N/A</v>
      </c>
    </row>
    <row r="2247" customFormat="false" ht="15" hidden="false" customHeight="false" outlineLevel="0" collapsed="false">
      <c r="E2247" s="0" t="e">
        <f aca="false">IF(ISNA(F2247),NA(),E1525)</f>
        <v>#N/A</v>
      </c>
      <c r="F2247" s="0" t="e">
        <f aca="false">IF(OR(F1525="",AND(F1525=F1524,F1525=F1526)),NA(), F1525)</f>
        <v>#N/A</v>
      </c>
      <c r="G2247" s="0" t="e">
        <f aca="false">IF(ISNA(H2247),NA(),G1525)</f>
        <v>#N/A</v>
      </c>
      <c r="H2247" s="0" t="e">
        <f aca="false">IF(OR(H1525="",AND(H1525=H1524,H1525=H1526)),NA(), H1525)</f>
        <v>#N/A</v>
      </c>
      <c r="K2247" s="0" t="e">
        <f aca="false">IF(ISNA(L2247),NA(),K1525)</f>
        <v>#N/A</v>
      </c>
      <c r="L2247" s="0" t="e">
        <f aca="false">IF(OR(L1525="",AND(L1525=L1524,L1525=L1526)),NA(), L1525)</f>
        <v>#N/A</v>
      </c>
      <c r="M2247" s="0" t="e">
        <f aca="false">IF(ISNA(N2247),NA(),M1525)</f>
        <v>#N/A</v>
      </c>
      <c r="N2247" s="0" t="e">
        <f aca="false">IF(OR(N1525="",AND(N1525=N1524,N1525=N1526)),NA(), N1525)</f>
        <v>#N/A</v>
      </c>
    </row>
    <row r="2248" customFormat="false" ht="15" hidden="false" customHeight="false" outlineLevel="0" collapsed="false">
      <c r="E2248" s="0" t="e">
        <f aca="false">IF(ISNA(F2248),NA(),E1526)</f>
        <v>#N/A</v>
      </c>
      <c r="F2248" s="0" t="e">
        <f aca="false">IF(OR(F1526="",AND(F1526=F1525,F1526=F1527)),NA(), F1526)</f>
        <v>#N/A</v>
      </c>
      <c r="G2248" s="0" t="e">
        <f aca="false">IF(ISNA(H2248),NA(),G1526)</f>
        <v>#N/A</v>
      </c>
      <c r="H2248" s="0" t="e">
        <f aca="false">IF(OR(H1526="",AND(H1526=H1525,H1526=H1527)),NA(), H1526)</f>
        <v>#N/A</v>
      </c>
      <c r="K2248" s="0" t="e">
        <f aca="false">IF(ISNA(L2248),NA(),K1526)</f>
        <v>#N/A</v>
      </c>
      <c r="L2248" s="0" t="e">
        <f aca="false">IF(OR(L1526="",AND(L1526=L1525,L1526=L1527)),NA(), L1526)</f>
        <v>#N/A</v>
      </c>
      <c r="M2248" s="0" t="e">
        <f aca="false">IF(ISNA(N2248),NA(),M1526)</f>
        <v>#N/A</v>
      </c>
      <c r="N2248" s="0" t="e">
        <f aca="false">IF(OR(N1526="",AND(N1526=N1525,N1526=N1527)),NA(), N1526)</f>
        <v>#N/A</v>
      </c>
    </row>
    <row r="2249" customFormat="false" ht="15" hidden="false" customHeight="false" outlineLevel="0" collapsed="false">
      <c r="E2249" s="0" t="e">
        <f aca="false">IF(ISNA(F2249),NA(),E1527)</f>
        <v>#N/A</v>
      </c>
      <c r="F2249" s="0" t="e">
        <f aca="false">IF(OR(F1527="",AND(F1527=F1526,F1527=F1528)),NA(), F1527)</f>
        <v>#N/A</v>
      </c>
      <c r="G2249" s="0" t="e">
        <f aca="false">IF(ISNA(H2249),NA(),G1527)</f>
        <v>#N/A</v>
      </c>
      <c r="H2249" s="0" t="e">
        <f aca="false">IF(OR(H1527="",AND(H1527=H1526,H1527=H1528)),NA(), H1527)</f>
        <v>#N/A</v>
      </c>
      <c r="K2249" s="0" t="e">
        <f aca="false">IF(ISNA(L2249),NA(),K1527)</f>
        <v>#N/A</v>
      </c>
      <c r="L2249" s="0" t="e">
        <f aca="false">IF(OR(L1527="",AND(L1527=L1526,L1527=L1528)),NA(), L1527)</f>
        <v>#N/A</v>
      </c>
      <c r="M2249" s="0" t="e">
        <f aca="false">IF(ISNA(N2249),NA(),M1527)</f>
        <v>#N/A</v>
      </c>
      <c r="N2249" s="0" t="e">
        <f aca="false">IF(OR(N1527="",AND(N1527=N1526,N1527=N1528)),NA(), N1527)</f>
        <v>#N/A</v>
      </c>
    </row>
    <row r="2250" customFormat="false" ht="15" hidden="false" customHeight="false" outlineLevel="0" collapsed="false">
      <c r="E2250" s="0" t="e">
        <f aca="false">IF(ISNA(F2250),NA(),E1528)</f>
        <v>#N/A</v>
      </c>
      <c r="F2250" s="0" t="e">
        <f aca="false">IF(OR(F1528="",AND(F1528=F1527,F1528=F1529)),NA(), F1528)</f>
        <v>#N/A</v>
      </c>
      <c r="G2250" s="0" t="e">
        <f aca="false">IF(ISNA(H2250),NA(),G1528)</f>
        <v>#N/A</v>
      </c>
      <c r="H2250" s="0" t="e">
        <f aca="false">IF(OR(H1528="",AND(H1528=H1527,H1528=H1529)),NA(), H1528)</f>
        <v>#N/A</v>
      </c>
      <c r="K2250" s="0" t="e">
        <f aca="false">IF(ISNA(L2250),NA(),K1528)</f>
        <v>#N/A</v>
      </c>
      <c r="L2250" s="0" t="e">
        <f aca="false">IF(OR(L1528="",AND(L1528=L1527,L1528=L1529)),NA(), L1528)</f>
        <v>#N/A</v>
      </c>
      <c r="M2250" s="0" t="e">
        <f aca="false">IF(ISNA(N2250),NA(),M1528)</f>
        <v>#N/A</v>
      </c>
      <c r="N2250" s="0" t="e">
        <f aca="false">IF(OR(N1528="",AND(N1528=N1527,N1528=N1529)),NA(), N1528)</f>
        <v>#N/A</v>
      </c>
    </row>
    <row r="2251" customFormat="false" ht="15" hidden="false" customHeight="false" outlineLevel="0" collapsed="false">
      <c r="E2251" s="0" t="e">
        <f aca="false">IF(ISNA(F2251),NA(),E1529)</f>
        <v>#N/A</v>
      </c>
      <c r="F2251" s="0" t="e">
        <f aca="false">IF(OR(F1529="",AND(F1529=F1528,F1529=F1530)),NA(), F1529)</f>
        <v>#N/A</v>
      </c>
      <c r="G2251" s="0" t="e">
        <f aca="false">IF(ISNA(H2251),NA(),G1529)</f>
        <v>#N/A</v>
      </c>
      <c r="H2251" s="0" t="e">
        <f aca="false">IF(OR(H1529="",AND(H1529=H1528,H1529=H1530)),NA(), H1529)</f>
        <v>#N/A</v>
      </c>
      <c r="K2251" s="0" t="e">
        <f aca="false">IF(ISNA(L2251),NA(),K1529)</f>
        <v>#N/A</v>
      </c>
      <c r="L2251" s="0" t="e">
        <f aca="false">IF(OR(L1529="",AND(L1529=L1528,L1529=L1530)),NA(), L1529)</f>
        <v>#N/A</v>
      </c>
      <c r="M2251" s="0" t="e">
        <f aca="false">IF(ISNA(N2251),NA(),M1529)</f>
        <v>#N/A</v>
      </c>
      <c r="N2251" s="0" t="e">
        <f aca="false">IF(OR(N1529="",AND(N1529=N1528,N1529=N1530)),NA(), N1529)</f>
        <v>#N/A</v>
      </c>
    </row>
    <row r="2252" customFormat="false" ht="15" hidden="false" customHeight="false" outlineLevel="0" collapsed="false">
      <c r="E2252" s="0" t="e">
        <f aca="false">IF(ISNA(F2252),NA(),E1530)</f>
        <v>#N/A</v>
      </c>
      <c r="F2252" s="0" t="e">
        <f aca="false">IF(OR(F1530="",AND(F1530=F1529,F1530=F1531)),NA(), F1530)</f>
        <v>#N/A</v>
      </c>
      <c r="G2252" s="0" t="e">
        <f aca="false">IF(ISNA(H2252),NA(),G1530)</f>
        <v>#N/A</v>
      </c>
      <c r="H2252" s="0" t="e">
        <f aca="false">IF(OR(H1530="",AND(H1530=H1529,H1530=H1531)),NA(), H1530)</f>
        <v>#N/A</v>
      </c>
      <c r="K2252" s="0" t="e">
        <f aca="false">IF(ISNA(L2252),NA(),K1530)</f>
        <v>#N/A</v>
      </c>
      <c r="L2252" s="0" t="e">
        <f aca="false">IF(OR(L1530="",AND(L1530=L1529,L1530=L1531)),NA(), L1530)</f>
        <v>#N/A</v>
      </c>
      <c r="M2252" s="0" t="e">
        <f aca="false">IF(ISNA(N2252),NA(),M1530)</f>
        <v>#N/A</v>
      </c>
      <c r="N2252" s="0" t="e">
        <f aca="false">IF(OR(N1530="",AND(N1530=N1529,N1530=N1531)),NA(), N1530)</f>
        <v>#N/A</v>
      </c>
    </row>
    <row r="2253" customFormat="false" ht="15" hidden="false" customHeight="false" outlineLevel="0" collapsed="false">
      <c r="E2253" s="0" t="e">
        <f aca="false">IF(ISNA(F2253),NA(),E1531)</f>
        <v>#N/A</v>
      </c>
      <c r="F2253" s="0" t="e">
        <f aca="false">IF(OR(F1531="",AND(F1531=F1530,F1531=F1532)),NA(), F1531)</f>
        <v>#N/A</v>
      </c>
      <c r="G2253" s="0" t="e">
        <f aca="false">IF(ISNA(H2253),NA(),G1531)</f>
        <v>#N/A</v>
      </c>
      <c r="H2253" s="0" t="e">
        <f aca="false">IF(OR(H1531="",AND(H1531=H1530,H1531=H1532)),NA(), H1531)</f>
        <v>#N/A</v>
      </c>
      <c r="K2253" s="0" t="e">
        <f aca="false">IF(ISNA(L2253),NA(),K1531)</f>
        <v>#N/A</v>
      </c>
      <c r="L2253" s="0" t="e">
        <f aca="false">IF(OR(L1531="",AND(L1531=L1530,L1531=L1532)),NA(), L1531)</f>
        <v>#N/A</v>
      </c>
      <c r="M2253" s="0" t="e">
        <f aca="false">IF(ISNA(N2253),NA(),M1531)</f>
        <v>#N/A</v>
      </c>
      <c r="N2253" s="0" t="e">
        <f aca="false">IF(OR(N1531="",AND(N1531=N1530,N1531=N1532)),NA(), N1531)</f>
        <v>#N/A</v>
      </c>
    </row>
    <row r="2254" customFormat="false" ht="15" hidden="false" customHeight="false" outlineLevel="0" collapsed="false">
      <c r="E2254" s="0" t="e">
        <f aca="false">IF(ISNA(F2254),NA(),E1532)</f>
        <v>#N/A</v>
      </c>
      <c r="F2254" s="0" t="e">
        <f aca="false">IF(OR(F1532="",AND(F1532=F1531,F1532=F1533)),NA(), F1532)</f>
        <v>#N/A</v>
      </c>
      <c r="G2254" s="0" t="e">
        <f aca="false">IF(ISNA(H2254),NA(),G1532)</f>
        <v>#N/A</v>
      </c>
      <c r="H2254" s="0" t="e">
        <f aca="false">IF(OR(H1532="",AND(H1532=H1531,H1532=H1533)),NA(), H1532)</f>
        <v>#N/A</v>
      </c>
      <c r="K2254" s="0" t="e">
        <f aca="false">IF(ISNA(L2254),NA(),K1532)</f>
        <v>#N/A</v>
      </c>
      <c r="L2254" s="0" t="e">
        <f aca="false">IF(OR(L1532="",AND(L1532=L1531,L1532=L1533)),NA(), L1532)</f>
        <v>#N/A</v>
      </c>
      <c r="M2254" s="0" t="e">
        <f aca="false">IF(ISNA(N2254),NA(),M1532)</f>
        <v>#N/A</v>
      </c>
      <c r="N2254" s="0" t="e">
        <f aca="false">IF(OR(N1532="",AND(N1532=N1531,N1532=N1533)),NA(), N1532)</f>
        <v>#N/A</v>
      </c>
    </row>
    <row r="2255" customFormat="false" ht="15" hidden="false" customHeight="false" outlineLevel="0" collapsed="false">
      <c r="E2255" s="0" t="e">
        <f aca="false">IF(ISNA(F2255),NA(),E1533)</f>
        <v>#N/A</v>
      </c>
      <c r="F2255" s="0" t="e">
        <f aca="false">IF(OR(F1533="",AND(F1533=F1532,F1533=F1534)),NA(), F1533)</f>
        <v>#N/A</v>
      </c>
      <c r="G2255" s="0" t="e">
        <f aca="false">IF(ISNA(H2255),NA(),G1533)</f>
        <v>#N/A</v>
      </c>
      <c r="H2255" s="0" t="e">
        <f aca="false">IF(OR(H1533="",AND(H1533=H1532,H1533=H1534)),NA(), H1533)</f>
        <v>#N/A</v>
      </c>
      <c r="K2255" s="0" t="e">
        <f aca="false">IF(ISNA(L2255),NA(),K1533)</f>
        <v>#N/A</v>
      </c>
      <c r="L2255" s="0" t="e">
        <f aca="false">IF(OR(L1533="",AND(L1533=L1532,L1533=L1534)),NA(), L1533)</f>
        <v>#N/A</v>
      </c>
      <c r="M2255" s="0" t="e">
        <f aca="false">IF(ISNA(N2255),NA(),M1533)</f>
        <v>#N/A</v>
      </c>
      <c r="N2255" s="0" t="e">
        <f aca="false">IF(OR(N1533="",AND(N1533=N1532,N1533=N1534)),NA(), N1533)</f>
        <v>#N/A</v>
      </c>
    </row>
    <row r="2256" customFormat="false" ht="15" hidden="false" customHeight="false" outlineLevel="0" collapsed="false">
      <c r="E2256" s="0" t="e">
        <f aca="false">IF(ISNA(F2256),NA(),E1534)</f>
        <v>#N/A</v>
      </c>
      <c r="F2256" s="0" t="e">
        <f aca="false">IF(OR(F1534="",AND(F1534=F1533,F1534=F1535)),NA(), F1534)</f>
        <v>#N/A</v>
      </c>
      <c r="G2256" s="0" t="e">
        <f aca="false">IF(ISNA(H2256),NA(),G1534)</f>
        <v>#N/A</v>
      </c>
      <c r="H2256" s="0" t="e">
        <f aca="false">IF(OR(H1534="",AND(H1534=H1533,H1534=H1535)),NA(), H1534)</f>
        <v>#N/A</v>
      </c>
      <c r="K2256" s="0" t="e">
        <f aca="false">IF(ISNA(L2256),NA(),K1534)</f>
        <v>#N/A</v>
      </c>
      <c r="L2256" s="0" t="e">
        <f aca="false">IF(OR(L1534="",AND(L1534=L1533,L1534=L1535)),NA(), L1534)</f>
        <v>#N/A</v>
      </c>
      <c r="M2256" s="0" t="e">
        <f aca="false">IF(ISNA(N2256),NA(),M1534)</f>
        <v>#N/A</v>
      </c>
      <c r="N2256" s="0" t="e">
        <f aca="false">IF(OR(N1534="",AND(N1534=N1533,N1534=N1535)),NA(), N1534)</f>
        <v>#N/A</v>
      </c>
    </row>
    <row r="2257" customFormat="false" ht="15" hidden="false" customHeight="false" outlineLevel="0" collapsed="false">
      <c r="E2257" s="0" t="e">
        <f aca="false">IF(ISNA(F2257),NA(),E1535)</f>
        <v>#N/A</v>
      </c>
      <c r="F2257" s="0" t="e">
        <f aca="false">IF(OR(F1535="",AND(F1535=F1534,F1535=F1536)),NA(), F1535)</f>
        <v>#N/A</v>
      </c>
      <c r="G2257" s="0" t="e">
        <f aca="false">IF(ISNA(H2257),NA(),G1535)</f>
        <v>#N/A</v>
      </c>
      <c r="H2257" s="0" t="e">
        <f aca="false">IF(OR(H1535="",AND(H1535=H1534,H1535=H1536)),NA(), H1535)</f>
        <v>#N/A</v>
      </c>
      <c r="K2257" s="0" t="e">
        <f aca="false">IF(ISNA(L2257),NA(),K1535)</f>
        <v>#N/A</v>
      </c>
      <c r="L2257" s="0" t="e">
        <f aca="false">IF(OR(L1535="",AND(L1535=L1534,L1535=L1536)),NA(), L1535)</f>
        <v>#N/A</v>
      </c>
      <c r="M2257" s="0" t="e">
        <f aca="false">IF(ISNA(N2257),NA(),M1535)</f>
        <v>#N/A</v>
      </c>
      <c r="N2257" s="0" t="e">
        <f aca="false">IF(OR(N1535="",AND(N1535=N1534,N1535=N1536)),NA(), N1535)</f>
        <v>#N/A</v>
      </c>
    </row>
    <row r="2258" customFormat="false" ht="15" hidden="false" customHeight="false" outlineLevel="0" collapsed="false">
      <c r="E2258" s="0" t="e">
        <f aca="false">IF(ISNA(F2258),NA(),E1536)</f>
        <v>#N/A</v>
      </c>
      <c r="F2258" s="0" t="e">
        <f aca="false">IF(OR(F1536="",AND(F1536=F1535,F1536=F1537)),NA(), F1536)</f>
        <v>#N/A</v>
      </c>
      <c r="G2258" s="0" t="e">
        <f aca="false">IF(ISNA(H2258),NA(),G1536)</f>
        <v>#N/A</v>
      </c>
      <c r="H2258" s="0" t="e">
        <f aca="false">IF(OR(H1536="",AND(H1536=H1535,H1536=H1537)),NA(), H1536)</f>
        <v>#N/A</v>
      </c>
      <c r="K2258" s="0" t="e">
        <f aca="false">IF(ISNA(L2258),NA(),K1536)</f>
        <v>#N/A</v>
      </c>
      <c r="L2258" s="0" t="e">
        <f aca="false">IF(OR(L1536="",AND(L1536=L1535,L1536=L1537)),NA(), L1536)</f>
        <v>#N/A</v>
      </c>
      <c r="M2258" s="0" t="e">
        <f aca="false">IF(ISNA(N2258),NA(),M1536)</f>
        <v>#N/A</v>
      </c>
      <c r="N2258" s="0" t="e">
        <f aca="false">IF(OR(N1536="",AND(N1536=N1535,N1536=N1537)),NA(), N1536)</f>
        <v>#N/A</v>
      </c>
    </row>
    <row r="2259" customFormat="false" ht="15" hidden="false" customHeight="false" outlineLevel="0" collapsed="false">
      <c r="E2259" s="0" t="e">
        <f aca="false">IF(ISNA(F2259),NA(),E1537)</f>
        <v>#N/A</v>
      </c>
      <c r="F2259" s="0" t="e">
        <f aca="false">IF(OR(F1537="",AND(F1537=F1536,F1537=F1538)),NA(), F1537)</f>
        <v>#N/A</v>
      </c>
      <c r="G2259" s="0" t="e">
        <f aca="false">IF(ISNA(H2259),NA(),G1537)</f>
        <v>#N/A</v>
      </c>
      <c r="H2259" s="0" t="e">
        <f aca="false">IF(OR(H1537="",AND(H1537=H1536,H1537=H1538)),NA(), H1537)</f>
        <v>#N/A</v>
      </c>
      <c r="K2259" s="0" t="e">
        <f aca="false">IF(ISNA(L2259),NA(),K1537)</f>
        <v>#N/A</v>
      </c>
      <c r="L2259" s="0" t="e">
        <f aca="false">IF(OR(L1537="",AND(L1537=L1536,L1537=L1538)),NA(), L1537)</f>
        <v>#N/A</v>
      </c>
      <c r="M2259" s="0" t="e">
        <f aca="false">IF(ISNA(N2259),NA(),M1537)</f>
        <v>#N/A</v>
      </c>
      <c r="N2259" s="0" t="e">
        <f aca="false">IF(OR(N1537="",AND(N1537=N1536,N1537=N1538)),NA(), N1537)</f>
        <v>#N/A</v>
      </c>
    </row>
    <row r="2260" customFormat="false" ht="15" hidden="false" customHeight="false" outlineLevel="0" collapsed="false">
      <c r="E2260" s="0" t="e">
        <f aca="false">IF(ISNA(F2260),NA(),E1538)</f>
        <v>#N/A</v>
      </c>
      <c r="F2260" s="0" t="e">
        <f aca="false">IF(OR(F1538="",AND(F1538=F1537,F1538=F1539)),NA(), F1538)</f>
        <v>#N/A</v>
      </c>
      <c r="G2260" s="0" t="e">
        <f aca="false">IF(ISNA(H2260),NA(),G1538)</f>
        <v>#N/A</v>
      </c>
      <c r="H2260" s="0" t="e">
        <f aca="false">IF(OR(H1538="",AND(H1538=H1537,H1538=H1539)),NA(), H1538)</f>
        <v>#N/A</v>
      </c>
      <c r="K2260" s="0" t="e">
        <f aca="false">IF(ISNA(L2260),NA(),K1538)</f>
        <v>#N/A</v>
      </c>
      <c r="L2260" s="0" t="e">
        <f aca="false">IF(OR(L1538="",AND(L1538=L1537,L1538=L1539)),NA(), L1538)</f>
        <v>#N/A</v>
      </c>
      <c r="M2260" s="0" t="e">
        <f aca="false">IF(ISNA(N2260),NA(),M1538)</f>
        <v>#N/A</v>
      </c>
      <c r="N2260" s="0" t="e">
        <f aca="false">IF(OR(N1538="",AND(N1538=N1537,N1538=N1539)),NA(), N1538)</f>
        <v>#N/A</v>
      </c>
    </row>
    <row r="2261" customFormat="false" ht="15" hidden="false" customHeight="false" outlineLevel="0" collapsed="false">
      <c r="E2261" s="0" t="e">
        <f aca="false">IF(ISNA(F2261),NA(),E1539)</f>
        <v>#N/A</v>
      </c>
      <c r="F2261" s="0" t="e">
        <f aca="false">IF(OR(F1539="",AND(F1539=F1538,F1539=F1540)),NA(), F1539)</f>
        <v>#N/A</v>
      </c>
      <c r="G2261" s="0" t="e">
        <f aca="false">IF(ISNA(H2261),NA(),G1539)</f>
        <v>#N/A</v>
      </c>
      <c r="H2261" s="0" t="e">
        <f aca="false">IF(OR(H1539="",AND(H1539=H1538,H1539=H1540)),NA(), H1539)</f>
        <v>#N/A</v>
      </c>
      <c r="K2261" s="0" t="e">
        <f aca="false">IF(ISNA(L2261),NA(),K1539)</f>
        <v>#N/A</v>
      </c>
      <c r="L2261" s="0" t="e">
        <f aca="false">IF(OR(L1539="",AND(L1539=L1538,L1539=L1540)),NA(), L1539)</f>
        <v>#N/A</v>
      </c>
      <c r="M2261" s="0" t="e">
        <f aca="false">IF(ISNA(N2261),NA(),M1539)</f>
        <v>#N/A</v>
      </c>
      <c r="N2261" s="0" t="e">
        <f aca="false">IF(OR(N1539="",AND(N1539=N1538,N1539=N1540)),NA(), N1539)</f>
        <v>#N/A</v>
      </c>
    </row>
    <row r="2262" customFormat="false" ht="15" hidden="false" customHeight="false" outlineLevel="0" collapsed="false">
      <c r="E2262" s="0" t="e">
        <f aca="false">IF(ISNA(F2262),NA(),E1540)</f>
        <v>#N/A</v>
      </c>
      <c r="F2262" s="0" t="e">
        <f aca="false">IF(OR(F1540="",AND(F1540=F1539,F1540=F1541)),NA(), F1540)</f>
        <v>#N/A</v>
      </c>
      <c r="G2262" s="0" t="e">
        <f aca="false">IF(ISNA(H2262),NA(),G1540)</f>
        <v>#N/A</v>
      </c>
      <c r="H2262" s="0" t="e">
        <f aca="false">IF(OR(H1540="",AND(H1540=H1539,H1540=H1541)),NA(), H1540)</f>
        <v>#N/A</v>
      </c>
      <c r="K2262" s="0" t="e">
        <f aca="false">IF(ISNA(L2262),NA(),K1540)</f>
        <v>#N/A</v>
      </c>
      <c r="L2262" s="0" t="e">
        <f aca="false">IF(OR(L1540="",AND(L1540=L1539,L1540=L1541)),NA(), L1540)</f>
        <v>#N/A</v>
      </c>
      <c r="M2262" s="0" t="e">
        <f aca="false">IF(ISNA(N2262),NA(),M1540)</f>
        <v>#N/A</v>
      </c>
      <c r="N2262" s="0" t="e">
        <f aca="false">IF(OR(N1540="",AND(N1540=N1539,N1540=N1541)),NA(), N1540)</f>
        <v>#N/A</v>
      </c>
    </row>
    <row r="2263" customFormat="false" ht="15" hidden="false" customHeight="false" outlineLevel="0" collapsed="false">
      <c r="E2263" s="0" t="e">
        <f aca="false">IF(ISNA(F2263),NA(),E1541)</f>
        <v>#N/A</v>
      </c>
      <c r="F2263" s="0" t="e">
        <f aca="false">IF(OR(F1541="",AND(F1541=F1540,F1541=F1542)),NA(), F1541)</f>
        <v>#N/A</v>
      </c>
      <c r="G2263" s="0" t="e">
        <f aca="false">IF(ISNA(H2263),NA(),G1541)</f>
        <v>#N/A</v>
      </c>
      <c r="H2263" s="0" t="e">
        <f aca="false">IF(OR(H1541="",AND(H1541=H1540,H1541=H1542)),NA(), H1541)</f>
        <v>#N/A</v>
      </c>
      <c r="K2263" s="0" t="e">
        <f aca="false">IF(ISNA(L2263),NA(),K1541)</f>
        <v>#N/A</v>
      </c>
      <c r="L2263" s="0" t="e">
        <f aca="false">IF(OR(L1541="",AND(L1541=L1540,L1541=L1542)),NA(), L1541)</f>
        <v>#N/A</v>
      </c>
      <c r="M2263" s="0" t="e">
        <f aca="false">IF(ISNA(N2263),NA(),M1541)</f>
        <v>#N/A</v>
      </c>
      <c r="N2263" s="0" t="e">
        <f aca="false">IF(OR(N1541="",AND(N1541=N1540,N1541=N1542)),NA(), N1541)</f>
        <v>#N/A</v>
      </c>
    </row>
    <row r="2264" customFormat="false" ht="15" hidden="false" customHeight="false" outlineLevel="0" collapsed="false">
      <c r="E2264" s="0" t="e">
        <f aca="false">IF(ISNA(F2264),NA(),E1542)</f>
        <v>#N/A</v>
      </c>
      <c r="F2264" s="0" t="e">
        <f aca="false">IF(OR(F1542="",AND(F1542=F1541,F1542=F1543)),NA(), F1542)</f>
        <v>#N/A</v>
      </c>
      <c r="G2264" s="0" t="e">
        <f aca="false">IF(ISNA(H2264),NA(),G1542)</f>
        <v>#N/A</v>
      </c>
      <c r="H2264" s="0" t="e">
        <f aca="false">IF(OR(H1542="",AND(H1542=H1541,H1542=H1543)),NA(), H1542)</f>
        <v>#N/A</v>
      </c>
      <c r="K2264" s="0" t="e">
        <f aca="false">IF(ISNA(L2264),NA(),K1542)</f>
        <v>#N/A</v>
      </c>
      <c r="L2264" s="0" t="e">
        <f aca="false">IF(OR(L1542="",AND(L1542=L1541,L1542=L1543)),NA(), L1542)</f>
        <v>#N/A</v>
      </c>
      <c r="M2264" s="0" t="e">
        <f aca="false">IF(ISNA(N2264),NA(),M1542)</f>
        <v>#N/A</v>
      </c>
      <c r="N2264" s="0" t="e">
        <f aca="false">IF(OR(N1542="",AND(N1542=N1541,N1542=N1543)),NA(), N1542)</f>
        <v>#N/A</v>
      </c>
    </row>
    <row r="2265" customFormat="false" ht="15" hidden="false" customHeight="false" outlineLevel="0" collapsed="false">
      <c r="E2265" s="0" t="e">
        <f aca="false">IF(ISNA(F2265),NA(),E1543)</f>
        <v>#N/A</v>
      </c>
      <c r="F2265" s="0" t="e">
        <f aca="false">IF(OR(F1543="",AND(F1543=F1542,F1543=F1544)),NA(), F1543)</f>
        <v>#N/A</v>
      </c>
      <c r="G2265" s="0" t="e">
        <f aca="false">IF(ISNA(H2265),NA(),G1543)</f>
        <v>#N/A</v>
      </c>
      <c r="H2265" s="0" t="e">
        <f aca="false">IF(OR(H1543="",AND(H1543=H1542,H1543=H1544)),NA(), H1543)</f>
        <v>#N/A</v>
      </c>
      <c r="K2265" s="0" t="e">
        <f aca="false">IF(ISNA(L2265),NA(),K1543)</f>
        <v>#N/A</v>
      </c>
      <c r="L2265" s="0" t="e">
        <f aca="false">IF(OR(L1543="",AND(L1543=L1542,L1543=L1544)),NA(), L1543)</f>
        <v>#N/A</v>
      </c>
      <c r="M2265" s="0" t="e">
        <f aca="false">IF(ISNA(N2265),NA(),M1543)</f>
        <v>#N/A</v>
      </c>
      <c r="N2265" s="0" t="e">
        <f aca="false">IF(OR(N1543="",AND(N1543=N1542,N1543=N1544)),NA(), N1543)</f>
        <v>#N/A</v>
      </c>
    </row>
    <row r="2266" customFormat="false" ht="15" hidden="false" customHeight="false" outlineLevel="0" collapsed="false">
      <c r="E2266" s="0" t="e">
        <f aca="false">IF(ISNA(F2266),NA(),E1544)</f>
        <v>#N/A</v>
      </c>
      <c r="F2266" s="0" t="e">
        <f aca="false">IF(OR(F1544="",AND(F1544=F1543,F1544=F1545)),NA(), F1544)</f>
        <v>#N/A</v>
      </c>
      <c r="G2266" s="0" t="e">
        <f aca="false">IF(ISNA(H2266),NA(),G1544)</f>
        <v>#N/A</v>
      </c>
      <c r="H2266" s="0" t="e">
        <f aca="false">IF(OR(H1544="",AND(H1544=H1543,H1544=H1545)),NA(), H1544)</f>
        <v>#N/A</v>
      </c>
      <c r="K2266" s="0" t="e">
        <f aca="false">IF(ISNA(L2266),NA(),K1544)</f>
        <v>#N/A</v>
      </c>
      <c r="L2266" s="0" t="e">
        <f aca="false">IF(OR(L1544="",AND(L1544=L1543,L1544=L1545)),NA(), L1544)</f>
        <v>#N/A</v>
      </c>
      <c r="M2266" s="0" t="e">
        <f aca="false">IF(ISNA(N2266),NA(),M1544)</f>
        <v>#N/A</v>
      </c>
      <c r="N2266" s="0" t="e">
        <f aca="false">IF(OR(N1544="",AND(N1544=N1543,N1544=N1545)),NA(), N1544)</f>
        <v>#N/A</v>
      </c>
    </row>
    <row r="2267" customFormat="false" ht="15" hidden="false" customHeight="false" outlineLevel="0" collapsed="false">
      <c r="E2267" s="0" t="e">
        <f aca="false">IF(ISNA(F2267),NA(),E1545)</f>
        <v>#N/A</v>
      </c>
      <c r="F2267" s="0" t="e">
        <f aca="false">IF(OR(F1545="",AND(F1545=F1544,F1545=F1546)),NA(), F1545)</f>
        <v>#N/A</v>
      </c>
      <c r="G2267" s="0" t="e">
        <f aca="false">IF(ISNA(H2267),NA(),G1545)</f>
        <v>#N/A</v>
      </c>
      <c r="H2267" s="0" t="e">
        <f aca="false">IF(OR(H1545="",AND(H1545=H1544,H1545=H1546)),NA(), H1545)</f>
        <v>#N/A</v>
      </c>
      <c r="K2267" s="0" t="e">
        <f aca="false">IF(ISNA(L2267),NA(),K1545)</f>
        <v>#N/A</v>
      </c>
      <c r="L2267" s="0" t="e">
        <f aca="false">IF(OR(L1545="",AND(L1545=L1544,L1545=L1546)),NA(), L1545)</f>
        <v>#N/A</v>
      </c>
      <c r="M2267" s="0" t="e">
        <f aca="false">IF(ISNA(N2267),NA(),M1545)</f>
        <v>#N/A</v>
      </c>
      <c r="N2267" s="0" t="e">
        <f aca="false">IF(OR(N1545="",AND(N1545=N1544,N1545=N1546)),NA(), N1545)</f>
        <v>#N/A</v>
      </c>
    </row>
    <row r="2268" customFormat="false" ht="15" hidden="false" customHeight="false" outlineLevel="0" collapsed="false">
      <c r="E2268" s="0" t="e">
        <f aca="false">IF(ISNA(F2268),NA(),E1546)</f>
        <v>#N/A</v>
      </c>
      <c r="F2268" s="0" t="e">
        <f aca="false">IF(OR(F1546="",AND(F1546=F1545,F1546=F1547)),NA(), F1546)</f>
        <v>#N/A</v>
      </c>
      <c r="G2268" s="0" t="e">
        <f aca="false">IF(ISNA(H2268),NA(),G1546)</f>
        <v>#N/A</v>
      </c>
      <c r="H2268" s="0" t="e">
        <f aca="false">IF(OR(H1546="",AND(H1546=H1545,H1546=H1547)),NA(), H1546)</f>
        <v>#N/A</v>
      </c>
      <c r="K2268" s="0" t="e">
        <f aca="false">IF(ISNA(L2268),NA(),K1546)</f>
        <v>#N/A</v>
      </c>
      <c r="L2268" s="0" t="e">
        <f aca="false">IF(OR(L1546="",AND(L1546=L1545,L1546=L1547)),NA(), L1546)</f>
        <v>#N/A</v>
      </c>
      <c r="M2268" s="0" t="e">
        <f aca="false">IF(ISNA(N2268),NA(),M1546)</f>
        <v>#N/A</v>
      </c>
      <c r="N2268" s="0" t="e">
        <f aca="false">IF(OR(N1546="",AND(N1546=N1545,N1546=N1547)),NA(), N1546)</f>
        <v>#N/A</v>
      </c>
    </row>
    <row r="2269" customFormat="false" ht="15" hidden="false" customHeight="false" outlineLevel="0" collapsed="false">
      <c r="E2269" s="0" t="e">
        <f aca="false">IF(ISNA(F2269),NA(),E1547)</f>
        <v>#N/A</v>
      </c>
      <c r="F2269" s="0" t="e">
        <f aca="false">IF(OR(F1547="",AND(F1547=F1546,F1547=F1548)),NA(), F1547)</f>
        <v>#N/A</v>
      </c>
      <c r="G2269" s="0" t="e">
        <f aca="false">IF(ISNA(H2269),NA(),G1547)</f>
        <v>#N/A</v>
      </c>
      <c r="H2269" s="0" t="e">
        <f aca="false">IF(OR(H1547="",AND(H1547=H1546,H1547=H1548)),NA(), H1547)</f>
        <v>#N/A</v>
      </c>
      <c r="K2269" s="0" t="e">
        <f aca="false">IF(ISNA(L2269),NA(),K1547)</f>
        <v>#N/A</v>
      </c>
      <c r="L2269" s="0" t="e">
        <f aca="false">IF(OR(L1547="",AND(L1547=L1546,L1547=L1548)),NA(), L1547)</f>
        <v>#N/A</v>
      </c>
      <c r="M2269" s="0" t="e">
        <f aca="false">IF(ISNA(N2269),NA(),M1547)</f>
        <v>#N/A</v>
      </c>
      <c r="N2269" s="0" t="e">
        <f aca="false">IF(OR(N1547="",AND(N1547=N1546,N1547=N1548)),NA(), N1547)</f>
        <v>#N/A</v>
      </c>
    </row>
    <row r="2270" customFormat="false" ht="15" hidden="false" customHeight="false" outlineLevel="0" collapsed="false">
      <c r="E2270" s="0" t="e">
        <f aca="false">IF(ISNA(F2270),NA(),E1548)</f>
        <v>#N/A</v>
      </c>
      <c r="F2270" s="0" t="e">
        <f aca="false">IF(OR(F1548="",AND(F1548=F1547,F1548=F1549)),NA(), F1548)</f>
        <v>#N/A</v>
      </c>
      <c r="G2270" s="0" t="e">
        <f aca="false">IF(ISNA(H2270),NA(),G1548)</f>
        <v>#N/A</v>
      </c>
      <c r="H2270" s="0" t="e">
        <f aca="false">IF(OR(H1548="",AND(H1548=H1547,H1548=H1549)),NA(), H1548)</f>
        <v>#N/A</v>
      </c>
      <c r="K2270" s="0" t="e">
        <f aca="false">IF(ISNA(L2270),NA(),K1548)</f>
        <v>#N/A</v>
      </c>
      <c r="L2270" s="0" t="e">
        <f aca="false">IF(OR(L1548="",AND(L1548=L1547,L1548=L1549)),NA(), L1548)</f>
        <v>#N/A</v>
      </c>
      <c r="M2270" s="0" t="e">
        <f aca="false">IF(ISNA(N2270),NA(),M1548)</f>
        <v>#N/A</v>
      </c>
      <c r="N2270" s="0" t="e">
        <f aca="false">IF(OR(N1548="",AND(N1548=N1547,N1548=N1549)),NA(), N1548)</f>
        <v>#N/A</v>
      </c>
    </row>
    <row r="2271" customFormat="false" ht="15" hidden="false" customHeight="false" outlineLevel="0" collapsed="false">
      <c r="E2271" s="0" t="e">
        <f aca="false">IF(ISNA(F2271),NA(),E1549)</f>
        <v>#N/A</v>
      </c>
      <c r="F2271" s="0" t="e">
        <f aca="false">IF(OR(F1549="",AND(F1549=F1548,F1549=F1550)),NA(), F1549)</f>
        <v>#N/A</v>
      </c>
      <c r="G2271" s="0" t="e">
        <f aca="false">IF(ISNA(H2271),NA(),G1549)</f>
        <v>#N/A</v>
      </c>
      <c r="H2271" s="0" t="e">
        <f aca="false">IF(OR(H1549="",AND(H1549=H1548,H1549=H1550)),NA(), H1549)</f>
        <v>#N/A</v>
      </c>
      <c r="K2271" s="0" t="e">
        <f aca="false">IF(ISNA(L2271),NA(),K1549)</f>
        <v>#N/A</v>
      </c>
      <c r="L2271" s="0" t="e">
        <f aca="false">IF(OR(L1549="",AND(L1549=L1548,L1549=L1550)),NA(), L1549)</f>
        <v>#N/A</v>
      </c>
      <c r="M2271" s="0" t="e">
        <f aca="false">IF(ISNA(N2271),NA(),M1549)</f>
        <v>#N/A</v>
      </c>
      <c r="N2271" s="0" t="e">
        <f aca="false">IF(OR(N1549="",AND(N1549=N1548,N1549=N1550)),NA(), N1549)</f>
        <v>#N/A</v>
      </c>
    </row>
    <row r="2272" customFormat="false" ht="15" hidden="false" customHeight="false" outlineLevel="0" collapsed="false">
      <c r="E2272" s="0" t="e">
        <f aca="false">IF(ISNA(F2272),NA(),E1550)</f>
        <v>#N/A</v>
      </c>
      <c r="F2272" s="0" t="e">
        <f aca="false">IF(OR(F1550="",AND(F1550=F1549,F1550=F1551)),NA(), F1550)</f>
        <v>#N/A</v>
      </c>
      <c r="G2272" s="0" t="e">
        <f aca="false">IF(ISNA(H2272),NA(),G1550)</f>
        <v>#N/A</v>
      </c>
      <c r="H2272" s="0" t="e">
        <f aca="false">IF(OR(H1550="",AND(H1550=H1549,H1550=H1551)),NA(), H1550)</f>
        <v>#N/A</v>
      </c>
      <c r="K2272" s="0" t="e">
        <f aca="false">IF(ISNA(L2272),NA(),K1550)</f>
        <v>#N/A</v>
      </c>
      <c r="L2272" s="0" t="e">
        <f aca="false">IF(OR(L1550="",AND(L1550=L1549,L1550=L1551)),NA(), L1550)</f>
        <v>#N/A</v>
      </c>
      <c r="M2272" s="0" t="e">
        <f aca="false">IF(ISNA(N2272),NA(),M1550)</f>
        <v>#N/A</v>
      </c>
      <c r="N2272" s="0" t="e">
        <f aca="false">IF(OR(N1550="",AND(N1550=N1549,N1550=N1551)),NA(), N1550)</f>
        <v>#N/A</v>
      </c>
    </row>
    <row r="2273" customFormat="false" ht="15" hidden="false" customHeight="false" outlineLevel="0" collapsed="false">
      <c r="E2273" s="0" t="e">
        <f aca="false">IF(ISNA(F2273),NA(),E1551)</f>
        <v>#N/A</v>
      </c>
      <c r="F2273" s="0" t="e">
        <f aca="false">IF(OR(F1551="",AND(F1551=F1550,F1551=F1552)),NA(), F1551)</f>
        <v>#N/A</v>
      </c>
      <c r="G2273" s="0" t="e">
        <f aca="false">IF(ISNA(H2273),NA(),G1551)</f>
        <v>#N/A</v>
      </c>
      <c r="H2273" s="0" t="e">
        <f aca="false">IF(OR(H1551="",AND(H1551=H1550,H1551=H1552)),NA(), H1551)</f>
        <v>#N/A</v>
      </c>
      <c r="K2273" s="0" t="e">
        <f aca="false">IF(ISNA(L2273),NA(),K1551)</f>
        <v>#N/A</v>
      </c>
      <c r="L2273" s="0" t="e">
        <f aca="false">IF(OR(L1551="",AND(L1551=L1550,L1551=L1552)),NA(), L1551)</f>
        <v>#N/A</v>
      </c>
      <c r="M2273" s="0" t="e">
        <f aca="false">IF(ISNA(N2273),NA(),M1551)</f>
        <v>#N/A</v>
      </c>
      <c r="N2273" s="0" t="e">
        <f aca="false">IF(OR(N1551="",AND(N1551=N1550,N1551=N1552)),NA(), N1551)</f>
        <v>#N/A</v>
      </c>
    </row>
    <row r="2274" customFormat="false" ht="15" hidden="false" customHeight="false" outlineLevel="0" collapsed="false">
      <c r="E2274" s="0" t="e">
        <f aca="false">IF(ISNA(F2274),NA(),E1552)</f>
        <v>#N/A</v>
      </c>
      <c r="F2274" s="0" t="e">
        <f aca="false">IF(OR(F1552="",AND(F1552=F1551,F1552=F1553)),NA(), F1552)</f>
        <v>#N/A</v>
      </c>
      <c r="G2274" s="0" t="e">
        <f aca="false">IF(ISNA(H2274),NA(),G1552)</f>
        <v>#N/A</v>
      </c>
      <c r="H2274" s="0" t="e">
        <f aca="false">IF(OR(H1552="",AND(H1552=H1551,H1552=H1553)),NA(), H1552)</f>
        <v>#N/A</v>
      </c>
      <c r="K2274" s="0" t="e">
        <f aca="false">IF(ISNA(L2274),NA(),K1552)</f>
        <v>#N/A</v>
      </c>
      <c r="L2274" s="0" t="e">
        <f aca="false">IF(OR(L1552="",AND(L1552=L1551,L1552=L1553)),NA(), L1552)</f>
        <v>#N/A</v>
      </c>
      <c r="M2274" s="0" t="e">
        <f aca="false">IF(ISNA(N2274),NA(),M1552)</f>
        <v>#N/A</v>
      </c>
      <c r="N2274" s="0" t="e">
        <f aca="false">IF(OR(N1552="",AND(N1552=N1551,N1552=N1553)),NA(), N1552)</f>
        <v>#N/A</v>
      </c>
    </row>
    <row r="2275" customFormat="false" ht="15" hidden="false" customHeight="false" outlineLevel="0" collapsed="false">
      <c r="E2275" s="0" t="e">
        <f aca="false">IF(ISNA(F2275),NA(),E1553)</f>
        <v>#N/A</v>
      </c>
      <c r="F2275" s="0" t="e">
        <f aca="false">IF(OR(F1553="",AND(F1553=F1552,F1553=F1554)),NA(), F1553)</f>
        <v>#N/A</v>
      </c>
      <c r="G2275" s="0" t="e">
        <f aca="false">IF(ISNA(H2275),NA(),G1553)</f>
        <v>#N/A</v>
      </c>
      <c r="H2275" s="0" t="e">
        <f aca="false">IF(OR(H1553="",AND(H1553=H1552,H1553=H1554)),NA(), H1553)</f>
        <v>#N/A</v>
      </c>
      <c r="K2275" s="0" t="e">
        <f aca="false">IF(ISNA(L2275),NA(),K1553)</f>
        <v>#N/A</v>
      </c>
      <c r="L2275" s="0" t="e">
        <f aca="false">IF(OR(L1553="",AND(L1553=L1552,L1553=L1554)),NA(), L1553)</f>
        <v>#N/A</v>
      </c>
      <c r="M2275" s="0" t="e">
        <f aca="false">IF(ISNA(N2275),NA(),M1553)</f>
        <v>#N/A</v>
      </c>
      <c r="N2275" s="0" t="e">
        <f aca="false">IF(OR(N1553="",AND(N1553=N1552,N1553=N1554)),NA(), N1553)</f>
        <v>#N/A</v>
      </c>
    </row>
    <row r="2276" customFormat="false" ht="15" hidden="false" customHeight="false" outlineLevel="0" collapsed="false">
      <c r="E2276" s="0" t="e">
        <f aca="false">IF(ISNA(F2276),NA(),E1554)</f>
        <v>#N/A</v>
      </c>
      <c r="F2276" s="0" t="e">
        <f aca="false">IF(OR(F1554="",AND(F1554=F1553,F1554=F1555)),NA(), F1554)</f>
        <v>#N/A</v>
      </c>
      <c r="G2276" s="0" t="e">
        <f aca="false">IF(ISNA(H2276),NA(),G1554)</f>
        <v>#N/A</v>
      </c>
      <c r="H2276" s="0" t="e">
        <f aca="false">IF(OR(H1554="",AND(H1554=H1553,H1554=H1555)),NA(), H1554)</f>
        <v>#N/A</v>
      </c>
      <c r="K2276" s="0" t="e">
        <f aca="false">IF(ISNA(L2276),NA(),K1554)</f>
        <v>#N/A</v>
      </c>
      <c r="L2276" s="0" t="e">
        <f aca="false">IF(OR(L1554="",AND(L1554=L1553,L1554=L1555)),NA(), L1554)</f>
        <v>#N/A</v>
      </c>
      <c r="M2276" s="0" t="e">
        <f aca="false">IF(ISNA(N2276),NA(),M1554)</f>
        <v>#N/A</v>
      </c>
      <c r="N2276" s="0" t="e">
        <f aca="false">IF(OR(N1554="",AND(N1554=N1553,N1554=N1555)),NA(), N1554)</f>
        <v>#N/A</v>
      </c>
    </row>
    <row r="2277" customFormat="false" ht="15" hidden="false" customHeight="false" outlineLevel="0" collapsed="false">
      <c r="E2277" s="0" t="e">
        <f aca="false">IF(ISNA(F2277),NA(),E1555)</f>
        <v>#N/A</v>
      </c>
      <c r="F2277" s="0" t="e">
        <f aca="false">IF(OR(F1555="",AND(F1555=F1554,F1555=F1556)),NA(), F1555)</f>
        <v>#N/A</v>
      </c>
      <c r="G2277" s="0" t="e">
        <f aca="false">IF(ISNA(H2277),NA(),G1555)</f>
        <v>#N/A</v>
      </c>
      <c r="H2277" s="0" t="e">
        <f aca="false">IF(OR(H1555="",AND(H1555=H1554,H1555=H1556)),NA(), H1555)</f>
        <v>#N/A</v>
      </c>
      <c r="K2277" s="0" t="e">
        <f aca="false">IF(ISNA(L2277),NA(),K1555)</f>
        <v>#N/A</v>
      </c>
      <c r="L2277" s="0" t="e">
        <f aca="false">IF(OR(L1555="",AND(L1555=L1554,L1555=L1556)),NA(), L1555)</f>
        <v>#N/A</v>
      </c>
      <c r="M2277" s="0" t="e">
        <f aca="false">IF(ISNA(N2277),NA(),M1555)</f>
        <v>#N/A</v>
      </c>
      <c r="N2277" s="0" t="e">
        <f aca="false">IF(OR(N1555="",AND(N1555=N1554,N1555=N1556)),NA(), N1555)</f>
        <v>#N/A</v>
      </c>
    </row>
    <row r="2278" customFormat="false" ht="15" hidden="false" customHeight="false" outlineLevel="0" collapsed="false">
      <c r="E2278" s="0" t="e">
        <f aca="false">IF(ISNA(F2278),NA(),E1556)</f>
        <v>#N/A</v>
      </c>
      <c r="F2278" s="0" t="e">
        <f aca="false">IF(OR(F1556="",AND(F1556=F1555,F1556=F1557)),NA(), F1556)</f>
        <v>#N/A</v>
      </c>
      <c r="G2278" s="0" t="e">
        <f aca="false">IF(ISNA(H2278),NA(),G1556)</f>
        <v>#N/A</v>
      </c>
      <c r="H2278" s="0" t="e">
        <f aca="false">IF(OR(H1556="",AND(H1556=H1555,H1556=H1557)),NA(), H1556)</f>
        <v>#N/A</v>
      </c>
      <c r="K2278" s="0" t="e">
        <f aca="false">IF(ISNA(L2278),NA(),K1556)</f>
        <v>#N/A</v>
      </c>
      <c r="L2278" s="0" t="e">
        <f aca="false">IF(OR(L1556="",AND(L1556=L1555,L1556=L1557)),NA(), L1556)</f>
        <v>#N/A</v>
      </c>
      <c r="M2278" s="0" t="e">
        <f aca="false">IF(ISNA(N2278),NA(),M1556)</f>
        <v>#N/A</v>
      </c>
      <c r="N2278" s="0" t="e">
        <f aca="false">IF(OR(N1556="",AND(N1556=N1555,N1556=N1557)),NA(), N1556)</f>
        <v>#N/A</v>
      </c>
    </row>
    <row r="2279" customFormat="false" ht="15" hidden="false" customHeight="false" outlineLevel="0" collapsed="false">
      <c r="E2279" s="0" t="e">
        <f aca="false">IF(ISNA(F2279),NA(),E1557)</f>
        <v>#N/A</v>
      </c>
      <c r="F2279" s="0" t="e">
        <f aca="false">IF(OR(F1557="",AND(F1557=F1556,F1557=F1558)),NA(), F1557)</f>
        <v>#N/A</v>
      </c>
      <c r="G2279" s="0" t="e">
        <f aca="false">IF(ISNA(H2279),NA(),G1557)</f>
        <v>#N/A</v>
      </c>
      <c r="H2279" s="0" t="e">
        <f aca="false">IF(OR(H1557="",AND(H1557=H1556,H1557=H1558)),NA(), H1557)</f>
        <v>#N/A</v>
      </c>
      <c r="K2279" s="0" t="e">
        <f aca="false">IF(ISNA(L2279),NA(),K1557)</f>
        <v>#N/A</v>
      </c>
      <c r="L2279" s="0" t="e">
        <f aca="false">IF(OR(L1557="",AND(L1557=L1556,L1557=L1558)),NA(), L1557)</f>
        <v>#N/A</v>
      </c>
      <c r="M2279" s="0" t="e">
        <f aca="false">IF(ISNA(N2279),NA(),M1557)</f>
        <v>#N/A</v>
      </c>
      <c r="N2279" s="0" t="e">
        <f aca="false">IF(OR(N1557="",AND(N1557=N1556,N1557=N1558)),NA(), N1557)</f>
        <v>#N/A</v>
      </c>
    </row>
    <row r="2280" customFormat="false" ht="15" hidden="false" customHeight="false" outlineLevel="0" collapsed="false">
      <c r="E2280" s="0" t="e">
        <f aca="false">IF(ISNA(F2280),NA(),E1558)</f>
        <v>#N/A</v>
      </c>
      <c r="F2280" s="0" t="e">
        <f aca="false">IF(OR(F1558="",AND(F1558=F1557,F1558=F1559)),NA(), F1558)</f>
        <v>#N/A</v>
      </c>
      <c r="G2280" s="0" t="e">
        <f aca="false">IF(ISNA(H2280),NA(),G1558)</f>
        <v>#N/A</v>
      </c>
      <c r="H2280" s="0" t="e">
        <f aca="false">IF(OR(H1558="",AND(H1558=H1557,H1558=H1559)),NA(), H1558)</f>
        <v>#N/A</v>
      </c>
      <c r="K2280" s="0" t="e">
        <f aca="false">IF(ISNA(L2280),NA(),K1558)</f>
        <v>#N/A</v>
      </c>
      <c r="L2280" s="0" t="e">
        <f aca="false">IF(OR(L1558="",AND(L1558=L1557,L1558=L1559)),NA(), L1558)</f>
        <v>#N/A</v>
      </c>
      <c r="M2280" s="0" t="e">
        <f aca="false">IF(ISNA(N2280),NA(),M1558)</f>
        <v>#N/A</v>
      </c>
      <c r="N2280" s="0" t="e">
        <f aca="false">IF(OR(N1558="",AND(N1558=N1557,N1558=N1559)),NA(), N1558)</f>
        <v>#N/A</v>
      </c>
    </row>
    <row r="2281" customFormat="false" ht="15" hidden="false" customHeight="false" outlineLevel="0" collapsed="false">
      <c r="E2281" s="0" t="e">
        <f aca="false">IF(ISNA(F2281),NA(),E1559)</f>
        <v>#N/A</v>
      </c>
      <c r="F2281" s="0" t="e">
        <f aca="false">IF(OR(F1559="",AND(F1559=F1558,F1559=F1560)),NA(), F1559)</f>
        <v>#N/A</v>
      </c>
      <c r="G2281" s="0" t="e">
        <f aca="false">IF(ISNA(H2281),NA(),G1559)</f>
        <v>#N/A</v>
      </c>
      <c r="H2281" s="0" t="e">
        <f aca="false">IF(OR(H1559="",AND(H1559=H1558,H1559=H1560)),NA(), H1559)</f>
        <v>#N/A</v>
      </c>
      <c r="K2281" s="0" t="e">
        <f aca="false">IF(ISNA(L2281),NA(),K1559)</f>
        <v>#N/A</v>
      </c>
      <c r="L2281" s="0" t="e">
        <f aca="false">IF(OR(L1559="",AND(L1559=L1558,L1559=L1560)),NA(), L1559)</f>
        <v>#N/A</v>
      </c>
      <c r="M2281" s="0" t="e">
        <f aca="false">IF(ISNA(N2281),NA(),M1559)</f>
        <v>#N/A</v>
      </c>
      <c r="N2281" s="0" t="e">
        <f aca="false">IF(OR(N1559="",AND(N1559=N1558,N1559=N1560)),NA(), N1559)</f>
        <v>#N/A</v>
      </c>
    </row>
    <row r="2282" customFormat="false" ht="15" hidden="false" customHeight="false" outlineLevel="0" collapsed="false">
      <c r="E2282" s="0" t="e">
        <f aca="false">IF(ISNA(F2282),NA(),E1560)</f>
        <v>#N/A</v>
      </c>
      <c r="F2282" s="0" t="e">
        <f aca="false">IF(OR(F1560="",AND(F1560=F1559,F1560=F1561)),NA(), F1560)</f>
        <v>#N/A</v>
      </c>
      <c r="G2282" s="0" t="e">
        <f aca="false">IF(ISNA(H2282),NA(),G1560)</f>
        <v>#N/A</v>
      </c>
      <c r="H2282" s="0" t="e">
        <f aca="false">IF(OR(H1560="",AND(H1560=H1559,H1560=H1561)),NA(), H1560)</f>
        <v>#N/A</v>
      </c>
      <c r="K2282" s="0" t="e">
        <f aca="false">IF(ISNA(L2282),NA(),K1560)</f>
        <v>#N/A</v>
      </c>
      <c r="L2282" s="0" t="e">
        <f aca="false">IF(OR(L1560="",AND(L1560=L1559,L1560=L1561)),NA(), L1560)</f>
        <v>#N/A</v>
      </c>
      <c r="M2282" s="0" t="e">
        <f aca="false">IF(ISNA(N2282),NA(),M1560)</f>
        <v>#N/A</v>
      </c>
      <c r="N2282" s="0" t="e">
        <f aca="false">IF(OR(N1560="",AND(N1560=N1559,N1560=N1561)),NA(), N1560)</f>
        <v>#N/A</v>
      </c>
    </row>
    <row r="2283" customFormat="false" ht="15" hidden="false" customHeight="false" outlineLevel="0" collapsed="false">
      <c r="E2283" s="0" t="e">
        <f aca="false">IF(ISNA(F2283),NA(),E1561)</f>
        <v>#N/A</v>
      </c>
      <c r="F2283" s="0" t="e">
        <f aca="false">IF(OR(F1561="",AND(F1561=F1560,F1561=F1562)),NA(), F1561)</f>
        <v>#N/A</v>
      </c>
      <c r="G2283" s="0" t="e">
        <f aca="false">IF(ISNA(H2283),NA(),G1561)</f>
        <v>#N/A</v>
      </c>
      <c r="H2283" s="0" t="e">
        <f aca="false">IF(OR(H1561="",AND(H1561=H1560,H1561=H1562)),NA(), H1561)</f>
        <v>#N/A</v>
      </c>
      <c r="K2283" s="0" t="e">
        <f aca="false">IF(ISNA(L2283),NA(),K1561)</f>
        <v>#N/A</v>
      </c>
      <c r="L2283" s="0" t="e">
        <f aca="false">IF(OR(L1561="",AND(L1561=L1560,L1561=L1562)),NA(), L1561)</f>
        <v>#N/A</v>
      </c>
      <c r="M2283" s="0" t="e">
        <f aca="false">IF(ISNA(N2283),NA(),M1561)</f>
        <v>#N/A</v>
      </c>
      <c r="N2283" s="0" t="e">
        <f aca="false">IF(OR(N1561="",AND(N1561=N1560,N1561=N1562)),NA(), N1561)</f>
        <v>#N/A</v>
      </c>
    </row>
    <row r="2284" customFormat="false" ht="15" hidden="false" customHeight="false" outlineLevel="0" collapsed="false">
      <c r="E2284" s="0" t="e">
        <f aca="false">IF(ISNA(F2284),NA(),E1562)</f>
        <v>#N/A</v>
      </c>
      <c r="F2284" s="0" t="e">
        <f aca="false">IF(OR(F1562="",AND(F1562=F1561,F1562=F1563)),NA(), F1562)</f>
        <v>#N/A</v>
      </c>
      <c r="G2284" s="0" t="e">
        <f aca="false">IF(ISNA(H2284),NA(),G1562)</f>
        <v>#N/A</v>
      </c>
      <c r="H2284" s="0" t="e">
        <f aca="false">IF(OR(H1562="",AND(H1562=H1561,H1562=H1563)),NA(), H1562)</f>
        <v>#N/A</v>
      </c>
      <c r="K2284" s="0" t="e">
        <f aca="false">IF(ISNA(L2284),NA(),K1562)</f>
        <v>#N/A</v>
      </c>
      <c r="L2284" s="0" t="e">
        <f aca="false">IF(OR(L1562="",AND(L1562=L1561,L1562=L1563)),NA(), L1562)</f>
        <v>#N/A</v>
      </c>
      <c r="M2284" s="0" t="e">
        <f aca="false">IF(ISNA(N2284),NA(),M1562)</f>
        <v>#N/A</v>
      </c>
      <c r="N2284" s="0" t="e">
        <f aca="false">IF(OR(N1562="",AND(N1562=N1561,N1562=N1563)),NA(), N1562)</f>
        <v>#N/A</v>
      </c>
    </row>
    <row r="2285" customFormat="false" ht="15" hidden="false" customHeight="false" outlineLevel="0" collapsed="false">
      <c r="E2285" s="0" t="e">
        <f aca="false">IF(ISNA(F2285),NA(),E1563)</f>
        <v>#N/A</v>
      </c>
      <c r="F2285" s="0" t="e">
        <f aca="false">IF(OR(F1563="",AND(F1563=F1562,F1563=F1564)),NA(), F1563)</f>
        <v>#N/A</v>
      </c>
      <c r="G2285" s="0" t="e">
        <f aca="false">IF(ISNA(H2285),NA(),G1563)</f>
        <v>#N/A</v>
      </c>
      <c r="H2285" s="0" t="e">
        <f aca="false">IF(OR(H1563="",AND(H1563=H1562,H1563=H1564)),NA(), H1563)</f>
        <v>#N/A</v>
      </c>
      <c r="K2285" s="0" t="e">
        <f aca="false">IF(ISNA(L2285),NA(),K1563)</f>
        <v>#N/A</v>
      </c>
      <c r="L2285" s="0" t="e">
        <f aca="false">IF(OR(L1563="",AND(L1563=L1562,L1563=L1564)),NA(), L1563)</f>
        <v>#N/A</v>
      </c>
      <c r="M2285" s="0" t="e">
        <f aca="false">IF(ISNA(N2285),NA(),M1563)</f>
        <v>#N/A</v>
      </c>
      <c r="N2285" s="0" t="e">
        <f aca="false">IF(OR(N1563="",AND(N1563=N1562,N1563=N1564)),NA(), N1563)</f>
        <v>#N/A</v>
      </c>
    </row>
    <row r="2286" customFormat="false" ht="15" hidden="false" customHeight="false" outlineLevel="0" collapsed="false">
      <c r="E2286" s="0" t="e">
        <f aca="false">IF(ISNA(F2286),NA(),E1564)</f>
        <v>#N/A</v>
      </c>
      <c r="F2286" s="0" t="e">
        <f aca="false">IF(OR(F1564="",AND(F1564=F1563,F1564=F1565)),NA(), F1564)</f>
        <v>#N/A</v>
      </c>
      <c r="G2286" s="0" t="e">
        <f aca="false">IF(ISNA(H2286),NA(),G1564)</f>
        <v>#N/A</v>
      </c>
      <c r="H2286" s="0" t="e">
        <f aca="false">IF(OR(H1564="",AND(H1564=H1563,H1564=H1565)),NA(), H1564)</f>
        <v>#N/A</v>
      </c>
      <c r="K2286" s="0" t="e">
        <f aca="false">IF(ISNA(L2286),NA(),K1564)</f>
        <v>#N/A</v>
      </c>
      <c r="L2286" s="0" t="e">
        <f aca="false">IF(OR(L1564="",AND(L1564=L1563,L1564=L1565)),NA(), L1564)</f>
        <v>#N/A</v>
      </c>
      <c r="M2286" s="0" t="e">
        <f aca="false">IF(ISNA(N2286),NA(),M1564)</f>
        <v>#N/A</v>
      </c>
      <c r="N2286" s="0" t="e">
        <f aca="false">IF(OR(N1564="",AND(N1564=N1563,N1564=N1565)),NA(), N1564)</f>
        <v>#N/A</v>
      </c>
    </row>
    <row r="2287" customFormat="false" ht="15" hidden="false" customHeight="false" outlineLevel="0" collapsed="false">
      <c r="E2287" s="0" t="e">
        <f aca="false">IF(ISNA(F2287),NA(),E1565)</f>
        <v>#N/A</v>
      </c>
      <c r="F2287" s="0" t="e">
        <f aca="false">IF(OR(F1565="",AND(F1565=F1564,F1565=F1566)),NA(), F1565)</f>
        <v>#N/A</v>
      </c>
      <c r="G2287" s="0" t="e">
        <f aca="false">IF(ISNA(H2287),NA(),G1565)</f>
        <v>#N/A</v>
      </c>
      <c r="H2287" s="0" t="e">
        <f aca="false">IF(OR(H1565="",AND(H1565=H1564,H1565=H1566)),NA(), H1565)</f>
        <v>#N/A</v>
      </c>
      <c r="K2287" s="0" t="e">
        <f aca="false">IF(ISNA(L2287),NA(),K1565)</f>
        <v>#N/A</v>
      </c>
      <c r="L2287" s="0" t="e">
        <f aca="false">IF(OR(L1565="",AND(L1565=L1564,L1565=L1566)),NA(), L1565)</f>
        <v>#N/A</v>
      </c>
      <c r="M2287" s="0" t="e">
        <f aca="false">IF(ISNA(N2287),NA(),M1565)</f>
        <v>#N/A</v>
      </c>
      <c r="N2287" s="0" t="e">
        <f aca="false">IF(OR(N1565="",AND(N1565=N1564,N1565=N1566)),NA(), N1565)</f>
        <v>#N/A</v>
      </c>
    </row>
    <row r="2288" customFormat="false" ht="15" hidden="false" customHeight="false" outlineLevel="0" collapsed="false">
      <c r="E2288" s="0" t="e">
        <f aca="false">IF(ISNA(F2288),NA(),E1566)</f>
        <v>#N/A</v>
      </c>
      <c r="F2288" s="0" t="e">
        <f aca="false">IF(OR(F1566="",AND(F1566=F1565,F1566=F1567)),NA(), F1566)</f>
        <v>#N/A</v>
      </c>
      <c r="G2288" s="0" t="e">
        <f aca="false">IF(ISNA(H2288),NA(),G1566)</f>
        <v>#N/A</v>
      </c>
      <c r="H2288" s="0" t="e">
        <f aca="false">IF(OR(H1566="",AND(H1566=H1565,H1566=H1567)),NA(), H1566)</f>
        <v>#N/A</v>
      </c>
      <c r="K2288" s="0" t="e">
        <f aca="false">IF(ISNA(L2288),NA(),K1566)</f>
        <v>#N/A</v>
      </c>
      <c r="L2288" s="0" t="e">
        <f aca="false">IF(OR(L1566="",AND(L1566=L1565,L1566=L1567)),NA(), L1566)</f>
        <v>#N/A</v>
      </c>
      <c r="M2288" s="0" t="e">
        <f aca="false">IF(ISNA(N2288),NA(),M1566)</f>
        <v>#N/A</v>
      </c>
      <c r="N2288" s="0" t="e">
        <f aca="false">IF(OR(N1566="",AND(N1566=N1565,N1566=N1567)),NA(), N1566)</f>
        <v>#N/A</v>
      </c>
    </row>
    <row r="2289" customFormat="false" ht="15" hidden="false" customHeight="false" outlineLevel="0" collapsed="false">
      <c r="E2289" s="0" t="e">
        <f aca="false">IF(ISNA(F2289),NA(),E1567)</f>
        <v>#N/A</v>
      </c>
      <c r="F2289" s="0" t="e">
        <f aca="false">IF(OR(F1567="",AND(F1567=F1566,F1567=F1568)),NA(), F1567)</f>
        <v>#N/A</v>
      </c>
      <c r="G2289" s="0" t="e">
        <f aca="false">IF(ISNA(H2289),NA(),G1567)</f>
        <v>#N/A</v>
      </c>
      <c r="H2289" s="0" t="e">
        <f aca="false">IF(OR(H1567="",AND(H1567=H1566,H1567=H1568)),NA(), H1567)</f>
        <v>#N/A</v>
      </c>
      <c r="K2289" s="0" t="e">
        <f aca="false">IF(ISNA(L2289),NA(),K1567)</f>
        <v>#N/A</v>
      </c>
      <c r="L2289" s="0" t="e">
        <f aca="false">IF(OR(L1567="",AND(L1567=L1566,L1567=L1568)),NA(), L1567)</f>
        <v>#N/A</v>
      </c>
      <c r="M2289" s="0" t="e">
        <f aca="false">IF(ISNA(N2289),NA(),M1567)</f>
        <v>#N/A</v>
      </c>
      <c r="N2289" s="0" t="e">
        <f aca="false">IF(OR(N1567="",AND(N1567=N1566,N1567=N1568)),NA(), N1567)</f>
        <v>#N/A</v>
      </c>
    </row>
    <row r="2290" customFormat="false" ht="15" hidden="false" customHeight="false" outlineLevel="0" collapsed="false">
      <c r="E2290" s="0" t="e">
        <f aca="false">IF(ISNA(F2290),NA(),E1568)</f>
        <v>#N/A</v>
      </c>
      <c r="F2290" s="0" t="e">
        <f aca="false">IF(OR(F1568="",AND(F1568=F1567,F1568=F1569)),NA(), F1568)</f>
        <v>#N/A</v>
      </c>
      <c r="G2290" s="0" t="e">
        <f aca="false">IF(ISNA(H2290),NA(),G1568)</f>
        <v>#N/A</v>
      </c>
      <c r="H2290" s="0" t="e">
        <f aca="false">IF(OR(H1568="",AND(H1568=H1567,H1568=H1569)),NA(), H1568)</f>
        <v>#N/A</v>
      </c>
      <c r="K2290" s="0" t="e">
        <f aca="false">IF(ISNA(L2290),NA(),K1568)</f>
        <v>#N/A</v>
      </c>
      <c r="L2290" s="0" t="e">
        <f aca="false">IF(OR(L1568="",AND(L1568=L1567,L1568=L1569)),NA(), L1568)</f>
        <v>#N/A</v>
      </c>
      <c r="M2290" s="0" t="e">
        <f aca="false">IF(ISNA(N2290),NA(),M1568)</f>
        <v>#N/A</v>
      </c>
      <c r="N2290" s="0" t="e">
        <f aca="false">IF(OR(N1568="",AND(N1568=N1567,N1568=N1569)),NA(), N1568)</f>
        <v>#N/A</v>
      </c>
    </row>
    <row r="2291" customFormat="false" ht="15" hidden="false" customHeight="false" outlineLevel="0" collapsed="false">
      <c r="E2291" s="0" t="e">
        <f aca="false">IF(ISNA(F2291),NA(),E1569)</f>
        <v>#N/A</v>
      </c>
      <c r="F2291" s="0" t="e">
        <f aca="false">IF(OR(F1569="",AND(F1569=F1568,F1569=F1570)),NA(), F1569)</f>
        <v>#N/A</v>
      </c>
      <c r="G2291" s="0" t="e">
        <f aca="false">IF(ISNA(H2291),NA(),G1569)</f>
        <v>#N/A</v>
      </c>
      <c r="H2291" s="0" t="e">
        <f aca="false">IF(OR(H1569="",AND(H1569=H1568,H1569=H1570)),NA(), H1569)</f>
        <v>#N/A</v>
      </c>
      <c r="K2291" s="0" t="e">
        <f aca="false">IF(ISNA(L2291),NA(),K1569)</f>
        <v>#N/A</v>
      </c>
      <c r="L2291" s="0" t="e">
        <f aca="false">IF(OR(L1569="",AND(L1569=L1568,L1569=L1570)),NA(), L1569)</f>
        <v>#N/A</v>
      </c>
      <c r="M2291" s="0" t="e">
        <f aca="false">IF(ISNA(N2291),NA(),M1569)</f>
        <v>#N/A</v>
      </c>
      <c r="N2291" s="0" t="e">
        <f aca="false">IF(OR(N1569="",AND(N1569=N1568,N1569=N1570)),NA(), N1569)</f>
        <v>#N/A</v>
      </c>
    </row>
    <row r="2292" customFormat="false" ht="15" hidden="false" customHeight="false" outlineLevel="0" collapsed="false">
      <c r="E2292" s="0" t="e">
        <f aca="false">IF(ISNA(F2292),NA(),E1570)</f>
        <v>#N/A</v>
      </c>
      <c r="F2292" s="0" t="e">
        <f aca="false">IF(OR(F1570="",AND(F1570=F1569,F1570=F1571)),NA(), F1570)</f>
        <v>#N/A</v>
      </c>
      <c r="G2292" s="0" t="e">
        <f aca="false">IF(ISNA(H2292),NA(),G1570)</f>
        <v>#N/A</v>
      </c>
      <c r="H2292" s="0" t="e">
        <f aca="false">IF(OR(H1570="",AND(H1570=H1569,H1570=H1571)),NA(), H1570)</f>
        <v>#N/A</v>
      </c>
      <c r="K2292" s="0" t="e">
        <f aca="false">IF(ISNA(L2292),NA(),K1570)</f>
        <v>#N/A</v>
      </c>
      <c r="L2292" s="0" t="e">
        <f aca="false">IF(OR(L1570="",AND(L1570=L1569,L1570=L1571)),NA(), L1570)</f>
        <v>#N/A</v>
      </c>
      <c r="M2292" s="0" t="e">
        <f aca="false">IF(ISNA(N2292),NA(),M1570)</f>
        <v>#N/A</v>
      </c>
      <c r="N2292" s="0" t="e">
        <f aca="false">IF(OR(N1570="",AND(N1570=N1569,N1570=N1571)),NA(), N1570)</f>
        <v>#N/A</v>
      </c>
    </row>
    <row r="2293" customFormat="false" ht="15" hidden="false" customHeight="false" outlineLevel="0" collapsed="false">
      <c r="E2293" s="0" t="e">
        <f aca="false">IF(ISNA(F2293),NA(),E1571)</f>
        <v>#N/A</v>
      </c>
      <c r="F2293" s="0" t="e">
        <f aca="false">IF(OR(F1571="",AND(F1571=F1570,F1571=F1572)),NA(), F1571)</f>
        <v>#N/A</v>
      </c>
      <c r="G2293" s="0" t="e">
        <f aca="false">IF(ISNA(H2293),NA(),G1571)</f>
        <v>#N/A</v>
      </c>
      <c r="H2293" s="0" t="e">
        <f aca="false">IF(OR(H1571="",AND(H1571=H1570,H1571=H1572)),NA(), H1571)</f>
        <v>#N/A</v>
      </c>
      <c r="K2293" s="0" t="e">
        <f aca="false">IF(ISNA(L2293),NA(),K1571)</f>
        <v>#N/A</v>
      </c>
      <c r="L2293" s="0" t="e">
        <f aca="false">IF(OR(L1571="",AND(L1571=L1570,L1571=L1572)),NA(), L1571)</f>
        <v>#N/A</v>
      </c>
      <c r="M2293" s="0" t="e">
        <f aca="false">IF(ISNA(N2293),NA(),M1571)</f>
        <v>#N/A</v>
      </c>
      <c r="N2293" s="0" t="e">
        <f aca="false">IF(OR(N1571="",AND(N1571=N1570,N1571=N1572)),NA(), N1571)</f>
        <v>#N/A</v>
      </c>
    </row>
    <row r="2294" customFormat="false" ht="15" hidden="false" customHeight="false" outlineLevel="0" collapsed="false">
      <c r="E2294" s="0" t="e">
        <f aca="false">IF(ISNA(F2294),NA(),E1572)</f>
        <v>#N/A</v>
      </c>
      <c r="F2294" s="0" t="e">
        <f aca="false">IF(OR(F1572="",AND(F1572=F1571,F1572=F1573)),NA(), F1572)</f>
        <v>#N/A</v>
      </c>
      <c r="G2294" s="0" t="e">
        <f aca="false">IF(ISNA(H2294),NA(),G1572)</f>
        <v>#N/A</v>
      </c>
      <c r="H2294" s="0" t="e">
        <f aca="false">IF(OR(H1572="",AND(H1572=H1571,H1572=H1573)),NA(), H1572)</f>
        <v>#N/A</v>
      </c>
      <c r="K2294" s="0" t="e">
        <f aca="false">IF(ISNA(L2294),NA(),K1572)</f>
        <v>#N/A</v>
      </c>
      <c r="L2294" s="0" t="e">
        <f aca="false">IF(OR(L1572="",AND(L1572=L1571,L1572=L1573)),NA(), L1572)</f>
        <v>#N/A</v>
      </c>
      <c r="M2294" s="0" t="e">
        <f aca="false">IF(ISNA(N2294),NA(),M1572)</f>
        <v>#N/A</v>
      </c>
      <c r="N2294" s="0" t="e">
        <f aca="false">IF(OR(N1572="",AND(N1572=N1571,N1572=N1573)),NA(), N1572)</f>
        <v>#N/A</v>
      </c>
    </row>
    <row r="2295" customFormat="false" ht="15" hidden="false" customHeight="false" outlineLevel="0" collapsed="false">
      <c r="E2295" s="0" t="e">
        <f aca="false">IF(ISNA(F2295),NA(),E1573)</f>
        <v>#N/A</v>
      </c>
      <c r="F2295" s="0" t="e">
        <f aca="false">IF(OR(F1573="",AND(F1573=F1572,F1573=F1574)),NA(), F1573)</f>
        <v>#N/A</v>
      </c>
      <c r="G2295" s="0" t="e">
        <f aca="false">IF(ISNA(H2295),NA(),G1573)</f>
        <v>#N/A</v>
      </c>
      <c r="H2295" s="0" t="e">
        <f aca="false">IF(OR(H1573="",AND(H1573=H1572,H1573=H1574)),NA(), H1573)</f>
        <v>#N/A</v>
      </c>
      <c r="K2295" s="0" t="e">
        <f aca="false">IF(ISNA(L2295),NA(),K1573)</f>
        <v>#N/A</v>
      </c>
      <c r="L2295" s="0" t="e">
        <f aca="false">IF(OR(L1573="",AND(L1573=L1572,L1573=L1574)),NA(), L1573)</f>
        <v>#N/A</v>
      </c>
      <c r="M2295" s="0" t="e">
        <f aca="false">IF(ISNA(N2295),NA(),M1573)</f>
        <v>#N/A</v>
      </c>
      <c r="N2295" s="0" t="e">
        <f aca="false">IF(OR(N1573="",AND(N1573=N1572,N1573=N1574)),NA(), N1573)</f>
        <v>#N/A</v>
      </c>
    </row>
    <row r="2296" customFormat="false" ht="15" hidden="false" customHeight="false" outlineLevel="0" collapsed="false">
      <c r="E2296" s="0" t="e">
        <f aca="false">IF(ISNA(F2296),NA(),E1574)</f>
        <v>#N/A</v>
      </c>
      <c r="F2296" s="0" t="e">
        <f aca="false">IF(OR(F1574="",AND(F1574=F1573,F1574=F1575)),NA(), F1574)</f>
        <v>#N/A</v>
      </c>
      <c r="G2296" s="0" t="e">
        <f aca="false">IF(ISNA(H2296),NA(),G1574)</f>
        <v>#N/A</v>
      </c>
      <c r="H2296" s="0" t="e">
        <f aca="false">IF(OR(H1574="",AND(H1574=H1573,H1574=H1575)),NA(), H1574)</f>
        <v>#N/A</v>
      </c>
      <c r="K2296" s="0" t="e">
        <f aca="false">IF(ISNA(L2296),NA(),K1574)</f>
        <v>#N/A</v>
      </c>
      <c r="L2296" s="0" t="e">
        <f aca="false">IF(OR(L1574="",AND(L1574=L1573,L1574=L1575)),NA(), L1574)</f>
        <v>#N/A</v>
      </c>
      <c r="M2296" s="0" t="e">
        <f aca="false">IF(ISNA(N2296),NA(),M1574)</f>
        <v>#N/A</v>
      </c>
      <c r="N2296" s="0" t="e">
        <f aca="false">IF(OR(N1574="",AND(N1574=N1573,N1574=N1575)),NA(), N1574)</f>
        <v>#N/A</v>
      </c>
    </row>
    <row r="2297" customFormat="false" ht="15" hidden="false" customHeight="false" outlineLevel="0" collapsed="false">
      <c r="E2297" s="0" t="e">
        <f aca="false">IF(ISNA(F2297),NA(),E1575)</f>
        <v>#N/A</v>
      </c>
      <c r="F2297" s="0" t="e">
        <f aca="false">IF(OR(F1575="",AND(F1575=F1574,F1575=F1576)),NA(), F1575)</f>
        <v>#N/A</v>
      </c>
      <c r="G2297" s="0" t="e">
        <f aca="false">IF(ISNA(H2297),NA(),G1575)</f>
        <v>#N/A</v>
      </c>
      <c r="H2297" s="0" t="e">
        <f aca="false">IF(OR(H1575="",AND(H1575=H1574,H1575=H1576)),NA(), H1575)</f>
        <v>#N/A</v>
      </c>
      <c r="K2297" s="0" t="e">
        <f aca="false">IF(ISNA(L2297),NA(),K1575)</f>
        <v>#N/A</v>
      </c>
      <c r="L2297" s="0" t="e">
        <f aca="false">IF(OR(L1575="",AND(L1575=L1574,L1575=L1576)),NA(), L1575)</f>
        <v>#N/A</v>
      </c>
      <c r="M2297" s="0" t="e">
        <f aca="false">IF(ISNA(N2297),NA(),M1575)</f>
        <v>#N/A</v>
      </c>
      <c r="N2297" s="0" t="e">
        <f aca="false">IF(OR(N1575="",AND(N1575=N1574,N1575=N1576)),NA(), N1575)</f>
        <v>#N/A</v>
      </c>
    </row>
    <row r="2298" customFormat="false" ht="15" hidden="false" customHeight="false" outlineLevel="0" collapsed="false">
      <c r="E2298" s="0" t="e">
        <f aca="false">IF(ISNA(F2298),NA(),E1576)</f>
        <v>#N/A</v>
      </c>
      <c r="F2298" s="0" t="e">
        <f aca="false">IF(OR(F1576="",AND(F1576=F1575,F1576=F1577)),NA(), F1576)</f>
        <v>#N/A</v>
      </c>
      <c r="G2298" s="0" t="e">
        <f aca="false">IF(ISNA(H2298),NA(),G1576)</f>
        <v>#N/A</v>
      </c>
      <c r="H2298" s="0" t="e">
        <f aca="false">IF(OR(H1576="",AND(H1576=H1575,H1576=H1577)),NA(), H1576)</f>
        <v>#N/A</v>
      </c>
      <c r="K2298" s="0" t="e">
        <f aca="false">IF(ISNA(L2298),NA(),K1576)</f>
        <v>#N/A</v>
      </c>
      <c r="L2298" s="0" t="e">
        <f aca="false">IF(OR(L1576="",AND(L1576=L1575,L1576=L1577)),NA(), L1576)</f>
        <v>#N/A</v>
      </c>
      <c r="M2298" s="0" t="e">
        <f aca="false">IF(ISNA(N2298),NA(),M1576)</f>
        <v>#N/A</v>
      </c>
      <c r="N2298" s="0" t="e">
        <f aca="false">IF(OR(N1576="",AND(N1576=N1575,N1576=N1577)),NA(), N1576)</f>
        <v>#N/A</v>
      </c>
    </row>
    <row r="2299" customFormat="false" ht="15" hidden="false" customHeight="false" outlineLevel="0" collapsed="false">
      <c r="E2299" s="0" t="e">
        <f aca="false">IF(ISNA(F2299),NA(),E1577)</f>
        <v>#N/A</v>
      </c>
      <c r="F2299" s="0" t="e">
        <f aca="false">IF(OR(F1577="",AND(F1577=F1576,F1577=F1578)),NA(), F1577)</f>
        <v>#N/A</v>
      </c>
      <c r="G2299" s="0" t="e">
        <f aca="false">IF(ISNA(H2299),NA(),G1577)</f>
        <v>#N/A</v>
      </c>
      <c r="H2299" s="0" t="e">
        <f aca="false">IF(OR(H1577="",AND(H1577=H1576,H1577=H1578)),NA(), H1577)</f>
        <v>#N/A</v>
      </c>
      <c r="K2299" s="0" t="e">
        <f aca="false">IF(ISNA(L2299),NA(),K1577)</f>
        <v>#N/A</v>
      </c>
      <c r="L2299" s="0" t="e">
        <f aca="false">IF(OR(L1577="",AND(L1577=L1576,L1577=L1578)),NA(), L1577)</f>
        <v>#N/A</v>
      </c>
      <c r="M2299" s="0" t="e">
        <f aca="false">IF(ISNA(N2299),NA(),M1577)</f>
        <v>#N/A</v>
      </c>
      <c r="N2299" s="0" t="e">
        <f aca="false">IF(OR(N1577="",AND(N1577=N1576,N1577=N1578)),NA(), N1577)</f>
        <v>#N/A</v>
      </c>
    </row>
    <row r="2300" customFormat="false" ht="15" hidden="false" customHeight="false" outlineLevel="0" collapsed="false">
      <c r="E2300" s="0" t="e">
        <f aca="false">IF(ISNA(F2300),NA(),E1578)</f>
        <v>#N/A</v>
      </c>
      <c r="F2300" s="0" t="e">
        <f aca="false">IF(OR(F1578="",AND(F1578=F1577,F1578=F1579)),NA(), F1578)</f>
        <v>#N/A</v>
      </c>
      <c r="G2300" s="0" t="e">
        <f aca="false">IF(ISNA(H2300),NA(),G1578)</f>
        <v>#N/A</v>
      </c>
      <c r="H2300" s="0" t="e">
        <f aca="false">IF(OR(H1578="",AND(H1578=H1577,H1578=H1579)),NA(), H1578)</f>
        <v>#N/A</v>
      </c>
      <c r="K2300" s="0" t="e">
        <f aca="false">IF(ISNA(L2300),NA(),K1578)</f>
        <v>#N/A</v>
      </c>
      <c r="L2300" s="0" t="e">
        <f aca="false">IF(OR(L1578="",AND(L1578=L1577,L1578=L1579)),NA(), L1578)</f>
        <v>#N/A</v>
      </c>
      <c r="M2300" s="0" t="e">
        <f aca="false">IF(ISNA(N2300),NA(),M1578)</f>
        <v>#N/A</v>
      </c>
      <c r="N2300" s="0" t="e">
        <f aca="false">IF(OR(N1578="",AND(N1578=N1577,N1578=N1579)),NA(), N1578)</f>
        <v>#N/A</v>
      </c>
    </row>
    <row r="2301" customFormat="false" ht="15" hidden="false" customHeight="false" outlineLevel="0" collapsed="false">
      <c r="E2301" s="0" t="e">
        <f aca="false">IF(ISNA(F2301),NA(),E1579)</f>
        <v>#N/A</v>
      </c>
      <c r="F2301" s="0" t="e">
        <f aca="false">IF(OR(F1579="",AND(F1579=F1578,F1579=F1580)),NA(), F1579)</f>
        <v>#N/A</v>
      </c>
      <c r="G2301" s="0" t="e">
        <f aca="false">IF(ISNA(H2301),NA(),G1579)</f>
        <v>#N/A</v>
      </c>
      <c r="H2301" s="0" t="e">
        <f aca="false">IF(OR(H1579="",AND(H1579=H1578,H1579=H1580)),NA(), H1579)</f>
        <v>#N/A</v>
      </c>
      <c r="K2301" s="0" t="e">
        <f aca="false">IF(ISNA(L2301),NA(),K1579)</f>
        <v>#N/A</v>
      </c>
      <c r="L2301" s="0" t="e">
        <f aca="false">IF(OR(L1579="",AND(L1579=L1578,L1579=L1580)),NA(), L1579)</f>
        <v>#N/A</v>
      </c>
      <c r="M2301" s="0" t="e">
        <f aca="false">IF(ISNA(N2301),NA(),M1579)</f>
        <v>#N/A</v>
      </c>
      <c r="N2301" s="0" t="e">
        <f aca="false">IF(OR(N1579="",AND(N1579=N1578,N1579=N1580)),NA(), N1579)</f>
        <v>#N/A</v>
      </c>
    </row>
    <row r="2302" customFormat="false" ht="15" hidden="false" customHeight="false" outlineLevel="0" collapsed="false">
      <c r="E2302" s="0" t="e">
        <f aca="false">IF(ISNA(F2302),NA(),E1580)</f>
        <v>#N/A</v>
      </c>
      <c r="F2302" s="0" t="e">
        <f aca="false">IF(OR(F1580="",AND(F1580=F1579,F1580=F1581)),NA(), F1580)</f>
        <v>#N/A</v>
      </c>
      <c r="G2302" s="0" t="e">
        <f aca="false">IF(ISNA(H2302),NA(),G1580)</f>
        <v>#N/A</v>
      </c>
      <c r="H2302" s="0" t="e">
        <f aca="false">IF(OR(H1580="",AND(H1580=H1579,H1580=H1581)),NA(), H1580)</f>
        <v>#N/A</v>
      </c>
      <c r="K2302" s="0" t="e">
        <f aca="false">IF(ISNA(L2302),NA(),K1580)</f>
        <v>#N/A</v>
      </c>
      <c r="L2302" s="0" t="e">
        <f aca="false">IF(OR(L1580="",AND(L1580=L1579,L1580=L1581)),NA(), L1580)</f>
        <v>#N/A</v>
      </c>
      <c r="M2302" s="0" t="e">
        <f aca="false">IF(ISNA(N2302),NA(),M1580)</f>
        <v>#N/A</v>
      </c>
      <c r="N2302" s="0" t="e">
        <f aca="false">IF(OR(N1580="",AND(N1580=N1579,N1580=N1581)),NA(), N1580)</f>
        <v>#N/A</v>
      </c>
    </row>
    <row r="2303" customFormat="false" ht="15" hidden="false" customHeight="false" outlineLevel="0" collapsed="false">
      <c r="E2303" s="0" t="e">
        <f aca="false">IF(ISNA(F2303),NA(),E1581)</f>
        <v>#N/A</v>
      </c>
      <c r="F2303" s="0" t="e">
        <f aca="false">IF(OR(F1581="",AND(F1581=F1580,F1581=F1582)),NA(), F1581)</f>
        <v>#N/A</v>
      </c>
      <c r="G2303" s="0" t="e">
        <f aca="false">IF(ISNA(H2303),NA(),G1581)</f>
        <v>#N/A</v>
      </c>
      <c r="H2303" s="0" t="e">
        <f aca="false">IF(OR(H1581="",AND(H1581=H1580,H1581=H1582)),NA(), H1581)</f>
        <v>#N/A</v>
      </c>
      <c r="K2303" s="0" t="e">
        <f aca="false">IF(ISNA(L2303),NA(),K1581)</f>
        <v>#N/A</v>
      </c>
      <c r="L2303" s="0" t="e">
        <f aca="false">IF(OR(L1581="",AND(L1581=L1580,L1581=L1582)),NA(), L1581)</f>
        <v>#N/A</v>
      </c>
      <c r="M2303" s="0" t="e">
        <f aca="false">IF(ISNA(N2303),NA(),M1581)</f>
        <v>#N/A</v>
      </c>
      <c r="N2303" s="0" t="e">
        <f aca="false">IF(OR(N1581="",AND(N1581=N1580,N1581=N1582)),NA(), N1581)</f>
        <v>#N/A</v>
      </c>
    </row>
    <row r="2304" customFormat="false" ht="15" hidden="false" customHeight="false" outlineLevel="0" collapsed="false">
      <c r="E2304" s="0" t="e">
        <f aca="false">IF(ISNA(F2304),NA(),E1582)</f>
        <v>#N/A</v>
      </c>
      <c r="F2304" s="0" t="e">
        <f aca="false">IF(OR(F1582="",AND(F1582=F1581,F1582=F1583)),NA(), F1582)</f>
        <v>#N/A</v>
      </c>
      <c r="G2304" s="0" t="e">
        <f aca="false">IF(ISNA(H2304),NA(),G1582)</f>
        <v>#N/A</v>
      </c>
      <c r="H2304" s="0" t="e">
        <f aca="false">IF(OR(H1582="",AND(H1582=H1581,H1582=H1583)),NA(), H1582)</f>
        <v>#N/A</v>
      </c>
      <c r="K2304" s="0" t="e">
        <f aca="false">IF(ISNA(L2304),NA(),K1582)</f>
        <v>#N/A</v>
      </c>
      <c r="L2304" s="0" t="e">
        <f aca="false">IF(OR(L1582="",AND(L1582=L1581,L1582=L1583)),NA(), L1582)</f>
        <v>#N/A</v>
      </c>
      <c r="M2304" s="0" t="e">
        <f aca="false">IF(ISNA(N2304),NA(),M1582)</f>
        <v>#N/A</v>
      </c>
      <c r="N2304" s="0" t="e">
        <f aca="false">IF(OR(N1582="",AND(N1582=N1581,N1582=N1583)),NA(), N1582)</f>
        <v>#N/A</v>
      </c>
    </row>
    <row r="2305" customFormat="false" ht="15" hidden="false" customHeight="false" outlineLevel="0" collapsed="false">
      <c r="E2305" s="0" t="e">
        <f aca="false">IF(ISNA(F2305),NA(),E1583)</f>
        <v>#N/A</v>
      </c>
      <c r="F2305" s="0" t="e">
        <f aca="false">IF(OR(F1583="",AND(F1583=F1582,F1583=F1584)),NA(), F1583)</f>
        <v>#N/A</v>
      </c>
      <c r="G2305" s="0" t="e">
        <f aca="false">IF(ISNA(H2305),NA(),G1583)</f>
        <v>#N/A</v>
      </c>
      <c r="H2305" s="0" t="e">
        <f aca="false">IF(OR(H1583="",AND(H1583=H1582,H1583=H1584)),NA(), H1583)</f>
        <v>#N/A</v>
      </c>
      <c r="K2305" s="0" t="e">
        <f aca="false">IF(ISNA(L2305),NA(),K1583)</f>
        <v>#N/A</v>
      </c>
      <c r="L2305" s="0" t="e">
        <f aca="false">IF(OR(L1583="",AND(L1583=L1582,L1583=L1584)),NA(), L1583)</f>
        <v>#N/A</v>
      </c>
      <c r="M2305" s="0" t="e">
        <f aca="false">IF(ISNA(N2305),NA(),M1583)</f>
        <v>#N/A</v>
      </c>
      <c r="N2305" s="0" t="e">
        <f aca="false">IF(OR(N1583="",AND(N1583=N1582,N1583=N1584)),NA(), N1583)</f>
        <v>#N/A</v>
      </c>
    </row>
    <row r="2306" customFormat="false" ht="15" hidden="false" customHeight="false" outlineLevel="0" collapsed="false">
      <c r="E2306" s="0" t="e">
        <f aca="false">IF(ISNA(F2306),NA(),E1584)</f>
        <v>#N/A</v>
      </c>
      <c r="F2306" s="0" t="e">
        <f aca="false">IF(OR(F1584="",AND(F1584=F1583,F1584=F1585)),NA(), F1584)</f>
        <v>#N/A</v>
      </c>
      <c r="G2306" s="0" t="e">
        <f aca="false">IF(ISNA(H2306),NA(),G1584)</f>
        <v>#N/A</v>
      </c>
      <c r="H2306" s="0" t="e">
        <f aca="false">IF(OR(H1584="",AND(H1584=H1583,H1584=H1585)),NA(), H1584)</f>
        <v>#N/A</v>
      </c>
      <c r="K2306" s="0" t="e">
        <f aca="false">IF(ISNA(L2306),NA(),K1584)</f>
        <v>#N/A</v>
      </c>
      <c r="L2306" s="0" t="e">
        <f aca="false">IF(OR(L1584="",AND(L1584=L1583,L1584=L1585)),NA(), L1584)</f>
        <v>#N/A</v>
      </c>
      <c r="M2306" s="0" t="e">
        <f aca="false">IF(ISNA(N2306),NA(),M1584)</f>
        <v>#N/A</v>
      </c>
      <c r="N2306" s="0" t="e">
        <f aca="false">IF(OR(N1584="",AND(N1584=N1583,N1584=N1585)),NA(), N1584)</f>
        <v>#N/A</v>
      </c>
    </row>
    <row r="2307" customFormat="false" ht="15" hidden="false" customHeight="false" outlineLevel="0" collapsed="false">
      <c r="E2307" s="0" t="e">
        <f aca="false">IF(ISNA(F2307),NA(),E1585)</f>
        <v>#N/A</v>
      </c>
      <c r="F2307" s="0" t="e">
        <f aca="false">IF(OR(F1585="",AND(F1585=F1584,F1585=F1586)),NA(), F1585)</f>
        <v>#N/A</v>
      </c>
      <c r="G2307" s="0" t="e">
        <f aca="false">IF(ISNA(H2307),NA(),G1585)</f>
        <v>#N/A</v>
      </c>
      <c r="H2307" s="0" t="e">
        <f aca="false">IF(OR(H1585="",AND(H1585=H1584,H1585=H1586)),NA(), H1585)</f>
        <v>#N/A</v>
      </c>
      <c r="K2307" s="0" t="e">
        <f aca="false">IF(ISNA(L2307),NA(),K1585)</f>
        <v>#N/A</v>
      </c>
      <c r="L2307" s="0" t="e">
        <f aca="false">IF(OR(L1585="",AND(L1585=L1584,L1585=L1586)),NA(), L1585)</f>
        <v>#N/A</v>
      </c>
      <c r="M2307" s="0" t="e">
        <f aca="false">IF(ISNA(N2307),NA(),M1585)</f>
        <v>#N/A</v>
      </c>
      <c r="N2307" s="0" t="e">
        <f aca="false">IF(OR(N1585="",AND(N1585=N1584,N1585=N1586)),NA(), N1585)</f>
        <v>#N/A</v>
      </c>
    </row>
    <row r="2308" customFormat="false" ht="15" hidden="false" customHeight="false" outlineLevel="0" collapsed="false">
      <c r="E2308" s="0" t="e">
        <f aca="false">IF(ISNA(F2308),NA(),E1586)</f>
        <v>#N/A</v>
      </c>
      <c r="F2308" s="0" t="e">
        <f aca="false">IF(OR(F1586="",AND(F1586=F1585,F1586=F1587)),NA(), F1586)</f>
        <v>#N/A</v>
      </c>
      <c r="G2308" s="0" t="e">
        <f aca="false">IF(ISNA(H2308),NA(),G1586)</f>
        <v>#N/A</v>
      </c>
      <c r="H2308" s="0" t="e">
        <f aca="false">IF(OR(H1586="",AND(H1586=H1585,H1586=H1587)),NA(), H1586)</f>
        <v>#N/A</v>
      </c>
      <c r="K2308" s="0" t="e">
        <f aca="false">IF(ISNA(L2308),NA(),K1586)</f>
        <v>#N/A</v>
      </c>
      <c r="L2308" s="0" t="e">
        <f aca="false">IF(OR(L1586="",AND(L1586=L1585,L1586=L1587)),NA(), L1586)</f>
        <v>#N/A</v>
      </c>
      <c r="M2308" s="0" t="e">
        <f aca="false">IF(ISNA(N2308),NA(),M1586)</f>
        <v>#N/A</v>
      </c>
      <c r="N2308" s="0" t="e">
        <f aca="false">IF(OR(N1586="",AND(N1586=N1585,N1586=N1587)),NA(), N1586)</f>
        <v>#N/A</v>
      </c>
    </row>
    <row r="2309" customFormat="false" ht="15" hidden="false" customHeight="false" outlineLevel="0" collapsed="false">
      <c r="E2309" s="0" t="e">
        <f aca="false">IF(ISNA(F2309),NA(),E1587)</f>
        <v>#N/A</v>
      </c>
      <c r="F2309" s="0" t="e">
        <f aca="false">IF(OR(F1587="",AND(F1587=F1586,F1587=F1588)),NA(), F1587)</f>
        <v>#N/A</v>
      </c>
      <c r="G2309" s="0" t="e">
        <f aca="false">IF(ISNA(H2309),NA(),G1587)</f>
        <v>#N/A</v>
      </c>
      <c r="H2309" s="0" t="e">
        <f aca="false">IF(OR(H1587="",AND(H1587=H1586,H1587=H1588)),NA(), H1587)</f>
        <v>#N/A</v>
      </c>
      <c r="K2309" s="0" t="e">
        <f aca="false">IF(ISNA(L2309),NA(),K1587)</f>
        <v>#N/A</v>
      </c>
      <c r="L2309" s="0" t="e">
        <f aca="false">IF(OR(L1587="",AND(L1587=L1586,L1587=L1588)),NA(), L1587)</f>
        <v>#N/A</v>
      </c>
      <c r="M2309" s="0" t="e">
        <f aca="false">IF(ISNA(N2309),NA(),M1587)</f>
        <v>#N/A</v>
      </c>
      <c r="N2309" s="0" t="e">
        <f aca="false">IF(OR(N1587="",AND(N1587=N1586,N1587=N1588)),NA(), N1587)</f>
        <v>#N/A</v>
      </c>
    </row>
    <row r="2310" customFormat="false" ht="15" hidden="false" customHeight="false" outlineLevel="0" collapsed="false">
      <c r="E2310" s="0" t="e">
        <f aca="false">IF(ISNA(F2310),NA(),E1588)</f>
        <v>#N/A</v>
      </c>
      <c r="F2310" s="0" t="e">
        <f aca="false">IF(OR(F1588="",AND(F1588=F1587,F1588=F1589)),NA(), F1588)</f>
        <v>#N/A</v>
      </c>
      <c r="G2310" s="0" t="e">
        <f aca="false">IF(ISNA(H2310),NA(),G1588)</f>
        <v>#N/A</v>
      </c>
      <c r="H2310" s="0" t="e">
        <f aca="false">IF(OR(H1588="",AND(H1588=H1587,H1588=H1589)),NA(), H1588)</f>
        <v>#N/A</v>
      </c>
      <c r="K2310" s="0" t="e">
        <f aca="false">IF(ISNA(L2310),NA(),K1588)</f>
        <v>#N/A</v>
      </c>
      <c r="L2310" s="0" t="e">
        <f aca="false">IF(OR(L1588="",AND(L1588=L1587,L1588=L1589)),NA(), L1588)</f>
        <v>#N/A</v>
      </c>
      <c r="M2310" s="0" t="e">
        <f aca="false">IF(ISNA(N2310),NA(),M1588)</f>
        <v>#N/A</v>
      </c>
      <c r="N2310" s="0" t="e">
        <f aca="false">IF(OR(N1588="",AND(N1588=N1587,N1588=N1589)),NA(), N1588)</f>
        <v>#N/A</v>
      </c>
    </row>
    <row r="2311" customFormat="false" ht="15" hidden="false" customHeight="false" outlineLevel="0" collapsed="false">
      <c r="E2311" s="0" t="e">
        <f aca="false">IF(ISNA(F2311),NA(),E1589)</f>
        <v>#N/A</v>
      </c>
      <c r="F2311" s="0" t="e">
        <f aca="false">IF(OR(F1589="",AND(F1589=F1588,F1589=F1590)),NA(), F1589)</f>
        <v>#N/A</v>
      </c>
      <c r="G2311" s="0" t="e">
        <f aca="false">IF(ISNA(H2311),NA(),G1589)</f>
        <v>#N/A</v>
      </c>
      <c r="H2311" s="0" t="e">
        <f aca="false">IF(OR(H1589="",AND(H1589=H1588,H1589=H1590)),NA(), H1589)</f>
        <v>#N/A</v>
      </c>
      <c r="K2311" s="0" t="e">
        <f aca="false">IF(ISNA(L2311),NA(),K1589)</f>
        <v>#N/A</v>
      </c>
      <c r="L2311" s="0" t="e">
        <f aca="false">IF(OR(L1589="",AND(L1589=L1588,L1589=L1590)),NA(), L1589)</f>
        <v>#N/A</v>
      </c>
      <c r="M2311" s="0" t="e">
        <f aca="false">IF(ISNA(N2311),NA(),M1589)</f>
        <v>#N/A</v>
      </c>
      <c r="N2311" s="0" t="e">
        <f aca="false">IF(OR(N1589="",AND(N1589=N1588,N1589=N1590)),NA(), N1589)</f>
        <v>#N/A</v>
      </c>
    </row>
    <row r="2312" customFormat="false" ht="15" hidden="false" customHeight="false" outlineLevel="0" collapsed="false">
      <c r="E2312" s="0" t="e">
        <f aca="false">IF(ISNA(F2312),NA(),E1590)</f>
        <v>#N/A</v>
      </c>
      <c r="F2312" s="0" t="e">
        <f aca="false">IF(OR(F1590="",AND(F1590=F1589,F1590=F1591)),NA(), F1590)</f>
        <v>#N/A</v>
      </c>
      <c r="G2312" s="0" t="e">
        <f aca="false">IF(ISNA(H2312),NA(),G1590)</f>
        <v>#N/A</v>
      </c>
      <c r="H2312" s="0" t="e">
        <f aca="false">IF(OR(H1590="",AND(H1590=H1589,H1590=H1591)),NA(), H1590)</f>
        <v>#N/A</v>
      </c>
      <c r="K2312" s="0" t="e">
        <f aca="false">IF(ISNA(L2312),NA(),K1590)</f>
        <v>#N/A</v>
      </c>
      <c r="L2312" s="0" t="e">
        <f aca="false">IF(OR(L1590="",AND(L1590=L1589,L1590=L1591)),NA(), L1590)</f>
        <v>#N/A</v>
      </c>
      <c r="M2312" s="0" t="e">
        <f aca="false">IF(ISNA(N2312),NA(),M1590)</f>
        <v>#N/A</v>
      </c>
      <c r="N2312" s="0" t="e">
        <f aca="false">IF(OR(N1590="",AND(N1590=N1589,N1590=N1591)),NA(), N1590)</f>
        <v>#N/A</v>
      </c>
    </row>
    <row r="2313" customFormat="false" ht="15" hidden="false" customHeight="false" outlineLevel="0" collapsed="false">
      <c r="E2313" s="0" t="e">
        <f aca="false">IF(ISNA(F2313),NA(),E1591)</f>
        <v>#N/A</v>
      </c>
      <c r="F2313" s="0" t="e">
        <f aca="false">IF(OR(F1591="",AND(F1591=F1590,F1591=F1592)),NA(), F1591)</f>
        <v>#N/A</v>
      </c>
      <c r="G2313" s="0" t="e">
        <f aca="false">IF(ISNA(H2313),NA(),G1591)</f>
        <v>#N/A</v>
      </c>
      <c r="H2313" s="0" t="e">
        <f aca="false">IF(OR(H1591="",AND(H1591=H1590,H1591=H1592)),NA(), H1591)</f>
        <v>#N/A</v>
      </c>
      <c r="K2313" s="0" t="e">
        <f aca="false">IF(ISNA(L2313),NA(),K1591)</f>
        <v>#N/A</v>
      </c>
      <c r="L2313" s="0" t="e">
        <f aca="false">IF(OR(L1591="",AND(L1591=L1590,L1591=L1592)),NA(), L1591)</f>
        <v>#N/A</v>
      </c>
      <c r="M2313" s="0" t="e">
        <f aca="false">IF(ISNA(N2313),NA(),M1591)</f>
        <v>#N/A</v>
      </c>
      <c r="N2313" s="0" t="e">
        <f aca="false">IF(OR(N1591="",AND(N1591=N1590,N1591=N1592)),NA(), N1591)</f>
        <v>#N/A</v>
      </c>
    </row>
    <row r="2314" customFormat="false" ht="15" hidden="false" customHeight="false" outlineLevel="0" collapsed="false">
      <c r="E2314" s="0" t="e">
        <f aca="false">IF(ISNA(F2314),NA(),E1592)</f>
        <v>#N/A</v>
      </c>
      <c r="F2314" s="0" t="e">
        <f aca="false">IF(OR(F1592="",AND(F1592=F1591,F1592=F1593)),NA(), F1592)</f>
        <v>#N/A</v>
      </c>
      <c r="G2314" s="0" t="e">
        <f aca="false">IF(ISNA(H2314),NA(),G1592)</f>
        <v>#N/A</v>
      </c>
      <c r="H2314" s="0" t="e">
        <f aca="false">IF(OR(H1592="",AND(H1592=H1591,H1592=H1593)),NA(), H1592)</f>
        <v>#N/A</v>
      </c>
      <c r="K2314" s="0" t="e">
        <f aca="false">IF(ISNA(L2314),NA(),K1592)</f>
        <v>#N/A</v>
      </c>
      <c r="L2314" s="0" t="e">
        <f aca="false">IF(OR(L1592="",AND(L1592=L1591,L1592=L1593)),NA(), L1592)</f>
        <v>#N/A</v>
      </c>
      <c r="M2314" s="0" t="e">
        <f aca="false">IF(ISNA(N2314),NA(),M1592)</f>
        <v>#N/A</v>
      </c>
      <c r="N2314" s="0" t="e">
        <f aca="false">IF(OR(N1592="",AND(N1592=N1591,N1592=N1593)),NA(), N1592)</f>
        <v>#N/A</v>
      </c>
    </row>
    <row r="2315" customFormat="false" ht="15" hidden="false" customHeight="false" outlineLevel="0" collapsed="false">
      <c r="E2315" s="0" t="e">
        <f aca="false">IF(ISNA(F2315),NA(),E1593)</f>
        <v>#N/A</v>
      </c>
      <c r="F2315" s="0" t="e">
        <f aca="false">IF(OR(F1593="",AND(F1593=F1592,F1593=F1594)),NA(), F1593)</f>
        <v>#N/A</v>
      </c>
      <c r="G2315" s="0" t="e">
        <f aca="false">IF(ISNA(H2315),NA(),G1593)</f>
        <v>#N/A</v>
      </c>
      <c r="H2315" s="0" t="e">
        <f aca="false">IF(OR(H1593="",AND(H1593=H1592,H1593=H1594)),NA(), H1593)</f>
        <v>#N/A</v>
      </c>
      <c r="K2315" s="0" t="e">
        <f aca="false">IF(ISNA(L2315),NA(),K1593)</f>
        <v>#N/A</v>
      </c>
      <c r="L2315" s="0" t="e">
        <f aca="false">IF(OR(L1593="",AND(L1593=L1592,L1593=L1594)),NA(), L1593)</f>
        <v>#N/A</v>
      </c>
      <c r="M2315" s="0" t="e">
        <f aca="false">IF(ISNA(N2315),NA(),M1593)</f>
        <v>#N/A</v>
      </c>
      <c r="N2315" s="0" t="e">
        <f aca="false">IF(OR(N1593="",AND(N1593=N1592,N1593=N1594)),NA(), N1593)</f>
        <v>#N/A</v>
      </c>
    </row>
    <row r="2316" customFormat="false" ht="15" hidden="false" customHeight="false" outlineLevel="0" collapsed="false">
      <c r="E2316" s="0" t="e">
        <f aca="false">IF(ISNA(F2316),NA(),E1594)</f>
        <v>#N/A</v>
      </c>
      <c r="F2316" s="0" t="e">
        <f aca="false">IF(OR(F1594="",AND(F1594=F1593,F1594=F1595)),NA(), F1594)</f>
        <v>#N/A</v>
      </c>
      <c r="G2316" s="0" t="e">
        <f aca="false">IF(ISNA(H2316),NA(),G1594)</f>
        <v>#N/A</v>
      </c>
      <c r="H2316" s="0" t="e">
        <f aca="false">IF(OR(H1594="",AND(H1594=H1593,H1594=H1595)),NA(), H1594)</f>
        <v>#N/A</v>
      </c>
      <c r="K2316" s="0" t="e">
        <f aca="false">IF(ISNA(L2316),NA(),K1594)</f>
        <v>#N/A</v>
      </c>
      <c r="L2316" s="0" t="e">
        <f aca="false">IF(OR(L1594="",AND(L1594=L1593,L1594=L1595)),NA(), L1594)</f>
        <v>#N/A</v>
      </c>
      <c r="M2316" s="0" t="e">
        <f aca="false">IF(ISNA(N2316),NA(),M1594)</f>
        <v>#N/A</v>
      </c>
      <c r="N2316" s="0" t="e">
        <f aca="false">IF(OR(N1594="",AND(N1594=N1593,N1594=N1595)),NA(), N1594)</f>
        <v>#N/A</v>
      </c>
    </row>
    <row r="2317" customFormat="false" ht="15" hidden="false" customHeight="false" outlineLevel="0" collapsed="false">
      <c r="E2317" s="0" t="e">
        <f aca="false">IF(ISNA(F2317),NA(),E1595)</f>
        <v>#N/A</v>
      </c>
      <c r="F2317" s="0" t="e">
        <f aca="false">IF(OR(F1595="",AND(F1595=F1594,F1595=F1596)),NA(), F1595)</f>
        <v>#N/A</v>
      </c>
      <c r="G2317" s="0" t="e">
        <f aca="false">IF(ISNA(H2317),NA(),G1595)</f>
        <v>#N/A</v>
      </c>
      <c r="H2317" s="0" t="e">
        <f aca="false">IF(OR(H1595="",AND(H1595=H1594,H1595=H1596)),NA(), H1595)</f>
        <v>#N/A</v>
      </c>
      <c r="K2317" s="0" t="e">
        <f aca="false">IF(ISNA(L2317),NA(),K1595)</f>
        <v>#N/A</v>
      </c>
      <c r="L2317" s="0" t="e">
        <f aca="false">IF(OR(L1595="",AND(L1595=L1594,L1595=L1596)),NA(), L1595)</f>
        <v>#N/A</v>
      </c>
      <c r="M2317" s="0" t="e">
        <f aca="false">IF(ISNA(N2317),NA(),M1595)</f>
        <v>#N/A</v>
      </c>
      <c r="N2317" s="0" t="e">
        <f aca="false">IF(OR(N1595="",AND(N1595=N1594,N1595=N1596)),NA(), N1595)</f>
        <v>#N/A</v>
      </c>
    </row>
    <row r="2318" customFormat="false" ht="15" hidden="false" customHeight="false" outlineLevel="0" collapsed="false">
      <c r="E2318" s="0" t="e">
        <f aca="false">IF(ISNA(F2318),NA(),E1596)</f>
        <v>#N/A</v>
      </c>
      <c r="F2318" s="0" t="e">
        <f aca="false">IF(OR(F1596="",AND(F1596=F1595,F1596=F1597)),NA(), F1596)</f>
        <v>#N/A</v>
      </c>
      <c r="G2318" s="0" t="e">
        <f aca="false">IF(ISNA(H2318),NA(),G1596)</f>
        <v>#N/A</v>
      </c>
      <c r="H2318" s="0" t="e">
        <f aca="false">IF(OR(H1596="",AND(H1596=H1595,H1596=H1597)),NA(), H1596)</f>
        <v>#N/A</v>
      </c>
      <c r="K2318" s="0" t="e">
        <f aca="false">IF(ISNA(L2318),NA(),K1596)</f>
        <v>#N/A</v>
      </c>
      <c r="L2318" s="0" t="e">
        <f aca="false">IF(OR(L1596="",AND(L1596=L1595,L1596=L1597)),NA(), L1596)</f>
        <v>#N/A</v>
      </c>
      <c r="M2318" s="0" t="e">
        <f aca="false">IF(ISNA(N2318),NA(),M1596)</f>
        <v>#N/A</v>
      </c>
      <c r="N2318" s="0" t="e">
        <f aca="false">IF(OR(N1596="",AND(N1596=N1595,N1596=N1597)),NA(), N1596)</f>
        <v>#N/A</v>
      </c>
    </row>
    <row r="2319" customFormat="false" ht="15" hidden="false" customHeight="false" outlineLevel="0" collapsed="false">
      <c r="E2319" s="0" t="e">
        <f aca="false">IF(ISNA(F2319),NA(),E1597)</f>
        <v>#N/A</v>
      </c>
      <c r="F2319" s="0" t="e">
        <f aca="false">IF(OR(F1597="",AND(F1597=F1596,F1597=F1598)),NA(), F1597)</f>
        <v>#N/A</v>
      </c>
      <c r="G2319" s="0" t="e">
        <f aca="false">IF(ISNA(H2319),NA(),G1597)</f>
        <v>#N/A</v>
      </c>
      <c r="H2319" s="0" t="e">
        <f aca="false">IF(OR(H1597="",AND(H1597=H1596,H1597=H1598)),NA(), H1597)</f>
        <v>#N/A</v>
      </c>
      <c r="K2319" s="0" t="e">
        <f aca="false">IF(ISNA(L2319),NA(),K1597)</f>
        <v>#N/A</v>
      </c>
      <c r="L2319" s="0" t="e">
        <f aca="false">IF(OR(L1597="",AND(L1597=L1596,L1597=L1598)),NA(), L1597)</f>
        <v>#N/A</v>
      </c>
      <c r="M2319" s="0" t="e">
        <f aca="false">IF(ISNA(N2319),NA(),M1597)</f>
        <v>#N/A</v>
      </c>
      <c r="N2319" s="0" t="e">
        <f aca="false">IF(OR(N1597="",AND(N1597=N1596,N1597=N1598)),NA(), N1597)</f>
        <v>#N/A</v>
      </c>
    </row>
    <row r="2320" customFormat="false" ht="15" hidden="false" customHeight="false" outlineLevel="0" collapsed="false">
      <c r="E2320" s="0" t="e">
        <f aca="false">IF(ISNA(F2320),NA(),E1598)</f>
        <v>#N/A</v>
      </c>
      <c r="F2320" s="0" t="e">
        <f aca="false">IF(OR(F1598="",AND(F1598=F1597,F1598=F1599)),NA(), F1598)</f>
        <v>#N/A</v>
      </c>
      <c r="G2320" s="0" t="e">
        <f aca="false">IF(ISNA(H2320),NA(),G1598)</f>
        <v>#N/A</v>
      </c>
      <c r="H2320" s="0" t="e">
        <f aca="false">IF(OR(H1598="",AND(H1598=H1597,H1598=H1599)),NA(), H1598)</f>
        <v>#N/A</v>
      </c>
      <c r="K2320" s="0" t="e">
        <f aca="false">IF(ISNA(L2320),NA(),K1598)</f>
        <v>#N/A</v>
      </c>
      <c r="L2320" s="0" t="e">
        <f aca="false">IF(OR(L1598="",AND(L1598=L1597,L1598=L1599)),NA(), L1598)</f>
        <v>#N/A</v>
      </c>
      <c r="M2320" s="0" t="e">
        <f aca="false">IF(ISNA(N2320),NA(),M1598)</f>
        <v>#N/A</v>
      </c>
      <c r="N2320" s="0" t="e">
        <f aca="false">IF(OR(N1598="",AND(N1598=N1597,N1598=N1599)),NA(), N1598)</f>
        <v>#N/A</v>
      </c>
    </row>
    <row r="2321" customFormat="false" ht="15" hidden="false" customHeight="false" outlineLevel="0" collapsed="false">
      <c r="E2321" s="0" t="e">
        <f aca="false">IF(ISNA(F2321),NA(),E1599)</f>
        <v>#N/A</v>
      </c>
      <c r="F2321" s="0" t="e">
        <f aca="false">IF(OR(F1599="",AND(F1599=F1598,F1599=F1600)),NA(), F1599)</f>
        <v>#N/A</v>
      </c>
      <c r="G2321" s="0" t="e">
        <f aca="false">IF(ISNA(H2321),NA(),G1599)</f>
        <v>#N/A</v>
      </c>
      <c r="H2321" s="0" t="e">
        <f aca="false">IF(OR(H1599="",AND(H1599=H1598,H1599=H1600)),NA(), H1599)</f>
        <v>#N/A</v>
      </c>
      <c r="K2321" s="0" t="e">
        <f aca="false">IF(ISNA(L2321),NA(),K1599)</f>
        <v>#N/A</v>
      </c>
      <c r="L2321" s="0" t="e">
        <f aca="false">IF(OR(L1599="",AND(L1599=L1598,L1599=L1600)),NA(), L1599)</f>
        <v>#N/A</v>
      </c>
      <c r="M2321" s="0" t="e">
        <f aca="false">IF(ISNA(N2321),NA(),M1599)</f>
        <v>#N/A</v>
      </c>
      <c r="N2321" s="0" t="e">
        <f aca="false">IF(OR(N1599="",AND(N1599=N1598,N1599=N1600)),NA(), N1599)</f>
        <v>#N/A</v>
      </c>
    </row>
    <row r="2322" customFormat="false" ht="15" hidden="false" customHeight="false" outlineLevel="0" collapsed="false">
      <c r="E2322" s="0" t="e">
        <f aca="false">IF(ISNA(F2322),NA(),E1600)</f>
        <v>#N/A</v>
      </c>
      <c r="F2322" s="0" t="e">
        <f aca="false">IF(OR(F1600="",AND(F1600=F1599,F1600=F1601)),NA(), F1600)</f>
        <v>#N/A</v>
      </c>
      <c r="G2322" s="0" t="e">
        <f aca="false">IF(ISNA(H2322),NA(),G1600)</f>
        <v>#N/A</v>
      </c>
      <c r="H2322" s="0" t="e">
        <f aca="false">IF(OR(H1600="",AND(H1600=H1599,H1600=H1601)),NA(), H1600)</f>
        <v>#N/A</v>
      </c>
      <c r="K2322" s="0" t="e">
        <f aca="false">IF(ISNA(L2322),NA(),K1600)</f>
        <v>#N/A</v>
      </c>
      <c r="L2322" s="0" t="e">
        <f aca="false">IF(OR(L1600="",AND(L1600=L1599,L1600=L1601)),NA(), L1600)</f>
        <v>#N/A</v>
      </c>
      <c r="M2322" s="0" t="e">
        <f aca="false">IF(ISNA(N2322),NA(),M1600)</f>
        <v>#N/A</v>
      </c>
      <c r="N2322" s="0" t="e">
        <f aca="false">IF(OR(N1600="",AND(N1600=N1599,N1600=N1601)),NA(), N1600)</f>
        <v>#N/A</v>
      </c>
    </row>
    <row r="2323" customFormat="false" ht="15" hidden="false" customHeight="false" outlineLevel="0" collapsed="false">
      <c r="E2323" s="0" t="e">
        <f aca="false">IF(ISNA(F2323),NA(),E1601)</f>
        <v>#N/A</v>
      </c>
      <c r="F2323" s="0" t="e">
        <f aca="false">IF(OR(F1601="",AND(F1601=F1600,F1601=F1602)),NA(), F1601)</f>
        <v>#N/A</v>
      </c>
      <c r="G2323" s="0" t="e">
        <f aca="false">IF(ISNA(H2323),NA(),G1601)</f>
        <v>#N/A</v>
      </c>
      <c r="H2323" s="0" t="e">
        <f aca="false">IF(OR(H1601="",AND(H1601=H1600,H1601=H1602)),NA(), H1601)</f>
        <v>#N/A</v>
      </c>
      <c r="K2323" s="0" t="e">
        <f aca="false">IF(ISNA(L2323),NA(),K1601)</f>
        <v>#N/A</v>
      </c>
      <c r="L2323" s="0" t="e">
        <f aca="false">IF(OR(L1601="",AND(L1601=L1600,L1601=L1602)),NA(), L1601)</f>
        <v>#N/A</v>
      </c>
      <c r="M2323" s="0" t="e">
        <f aca="false">IF(ISNA(N2323),NA(),M1601)</f>
        <v>#N/A</v>
      </c>
      <c r="N2323" s="0" t="e">
        <f aca="false">IF(OR(N1601="",AND(N1601=N1600,N1601=N1602)),NA(), N1601)</f>
        <v>#N/A</v>
      </c>
    </row>
    <row r="2324" customFormat="false" ht="15" hidden="false" customHeight="false" outlineLevel="0" collapsed="false">
      <c r="E2324" s="0" t="e">
        <f aca="false">IF(ISNA(F2324),NA(),E1602)</f>
        <v>#N/A</v>
      </c>
      <c r="F2324" s="0" t="e">
        <f aca="false">IF(OR(F1602="",AND(F1602=F1601,F1602=F1603)),NA(), F1602)</f>
        <v>#N/A</v>
      </c>
      <c r="G2324" s="0" t="e">
        <f aca="false">IF(ISNA(H2324),NA(),G1602)</f>
        <v>#N/A</v>
      </c>
      <c r="H2324" s="0" t="e">
        <f aca="false">IF(OR(H1602="",AND(H1602=H1601,H1602=H1603)),NA(), H1602)</f>
        <v>#N/A</v>
      </c>
      <c r="K2324" s="0" t="e">
        <f aca="false">IF(ISNA(L2324),NA(),K1602)</f>
        <v>#N/A</v>
      </c>
      <c r="L2324" s="0" t="e">
        <f aca="false">IF(OR(L1602="",AND(L1602=L1601,L1602=L1603)),NA(), L1602)</f>
        <v>#N/A</v>
      </c>
      <c r="M2324" s="0" t="e">
        <f aca="false">IF(ISNA(N2324),NA(),M1602)</f>
        <v>#N/A</v>
      </c>
      <c r="N2324" s="0" t="e">
        <f aca="false">IF(OR(N1602="",AND(N1602=N1601,N1602=N1603)),NA(), N1602)</f>
        <v>#N/A</v>
      </c>
    </row>
    <row r="2325" customFormat="false" ht="15" hidden="false" customHeight="false" outlineLevel="0" collapsed="false">
      <c r="E2325" s="0" t="e">
        <f aca="false">IF(ISNA(F2325),NA(),E1603)</f>
        <v>#N/A</v>
      </c>
      <c r="F2325" s="0" t="e">
        <f aca="false">IF(OR(F1603="",AND(F1603=F1602,F1603=F1604)),NA(), F1603)</f>
        <v>#N/A</v>
      </c>
      <c r="G2325" s="0" t="e">
        <f aca="false">IF(ISNA(H2325),NA(),G1603)</f>
        <v>#N/A</v>
      </c>
      <c r="H2325" s="0" t="e">
        <f aca="false">IF(OR(H1603="",AND(H1603=H1602,H1603=H1604)),NA(), H1603)</f>
        <v>#N/A</v>
      </c>
      <c r="K2325" s="0" t="e">
        <f aca="false">IF(ISNA(L2325),NA(),K1603)</f>
        <v>#N/A</v>
      </c>
      <c r="L2325" s="0" t="e">
        <f aca="false">IF(OR(L1603="",AND(L1603=L1602,L1603=L1604)),NA(), L1603)</f>
        <v>#N/A</v>
      </c>
      <c r="M2325" s="0" t="e">
        <f aca="false">IF(ISNA(N2325),NA(),M1603)</f>
        <v>#N/A</v>
      </c>
      <c r="N2325" s="0" t="e">
        <f aca="false">IF(OR(N1603="",AND(N1603=N1602,N1603=N1604)),NA(), N1603)</f>
        <v>#N/A</v>
      </c>
    </row>
    <row r="2326" customFormat="false" ht="15" hidden="false" customHeight="false" outlineLevel="0" collapsed="false">
      <c r="E2326" s="0" t="e">
        <f aca="false">IF(ISNA(F2326),NA(),E1604)</f>
        <v>#N/A</v>
      </c>
      <c r="F2326" s="0" t="e">
        <f aca="false">IF(OR(F1604="",AND(F1604=F1603,F1604=F1605)),NA(), F1604)</f>
        <v>#N/A</v>
      </c>
      <c r="G2326" s="0" t="e">
        <f aca="false">IF(ISNA(H2326),NA(),G1604)</f>
        <v>#N/A</v>
      </c>
      <c r="H2326" s="0" t="e">
        <f aca="false">IF(OR(H1604="",AND(H1604=H1603,H1604=H1605)),NA(), H1604)</f>
        <v>#N/A</v>
      </c>
      <c r="K2326" s="0" t="e">
        <f aca="false">IF(ISNA(L2326),NA(),K1604)</f>
        <v>#N/A</v>
      </c>
      <c r="L2326" s="0" t="e">
        <f aca="false">IF(OR(L1604="",AND(L1604=L1603,L1604=L1605)),NA(), L1604)</f>
        <v>#N/A</v>
      </c>
      <c r="M2326" s="0" t="e">
        <f aca="false">IF(ISNA(N2326),NA(),M1604)</f>
        <v>#N/A</v>
      </c>
      <c r="N2326" s="0" t="e">
        <f aca="false">IF(OR(N1604="",AND(N1604=N1603,N1604=N1605)),NA(), N1604)</f>
        <v>#N/A</v>
      </c>
    </row>
    <row r="2327" customFormat="false" ht="15" hidden="false" customHeight="false" outlineLevel="0" collapsed="false">
      <c r="E2327" s="0" t="e">
        <f aca="false">IF(ISNA(F2327),NA(),E1605)</f>
        <v>#N/A</v>
      </c>
      <c r="F2327" s="0" t="e">
        <f aca="false">IF(OR(F1605="",AND(F1605=F1604,F1605=F1606)),NA(), F1605)</f>
        <v>#N/A</v>
      </c>
      <c r="G2327" s="0" t="e">
        <f aca="false">IF(ISNA(H2327),NA(),G1605)</f>
        <v>#N/A</v>
      </c>
      <c r="H2327" s="0" t="e">
        <f aca="false">IF(OR(H1605="",AND(H1605=H1604,H1605=H1606)),NA(), H1605)</f>
        <v>#N/A</v>
      </c>
      <c r="K2327" s="0" t="e">
        <f aca="false">IF(ISNA(L2327),NA(),K1605)</f>
        <v>#N/A</v>
      </c>
      <c r="L2327" s="0" t="e">
        <f aca="false">IF(OR(L1605="",AND(L1605=L1604,L1605=L1606)),NA(), L1605)</f>
        <v>#N/A</v>
      </c>
      <c r="M2327" s="0" t="e">
        <f aca="false">IF(ISNA(N2327),NA(),M1605)</f>
        <v>#N/A</v>
      </c>
      <c r="N2327" s="0" t="e">
        <f aca="false">IF(OR(N1605="",AND(N1605=N1604,N1605=N1606)),NA(), N1605)</f>
        <v>#N/A</v>
      </c>
    </row>
    <row r="2328" customFormat="false" ht="15" hidden="false" customHeight="false" outlineLevel="0" collapsed="false">
      <c r="E2328" s="0" t="e">
        <f aca="false">IF(ISNA(F2328),NA(),E1606)</f>
        <v>#N/A</v>
      </c>
      <c r="F2328" s="0" t="e">
        <f aca="false">IF(OR(F1606="",AND(F1606=F1605,F1606=F1607)),NA(), F1606)</f>
        <v>#N/A</v>
      </c>
      <c r="G2328" s="0" t="e">
        <f aca="false">IF(ISNA(H2328),NA(),G1606)</f>
        <v>#N/A</v>
      </c>
      <c r="H2328" s="0" t="e">
        <f aca="false">IF(OR(H1606="",AND(H1606=H1605,H1606=H1607)),NA(), H1606)</f>
        <v>#N/A</v>
      </c>
      <c r="K2328" s="0" t="e">
        <f aca="false">IF(ISNA(L2328),NA(),K1606)</f>
        <v>#N/A</v>
      </c>
      <c r="L2328" s="0" t="e">
        <f aca="false">IF(OR(L1606="",AND(L1606=L1605,L1606=L1607)),NA(), L1606)</f>
        <v>#N/A</v>
      </c>
      <c r="M2328" s="0" t="e">
        <f aca="false">IF(ISNA(N2328),NA(),M1606)</f>
        <v>#N/A</v>
      </c>
      <c r="N2328" s="0" t="e">
        <f aca="false">IF(OR(N1606="",AND(N1606=N1605,N1606=N1607)),NA(), N1606)</f>
        <v>#N/A</v>
      </c>
    </row>
    <row r="2329" customFormat="false" ht="15" hidden="false" customHeight="false" outlineLevel="0" collapsed="false">
      <c r="E2329" s="0" t="e">
        <f aca="false">IF(ISNA(F2329),NA(),E1607)</f>
        <v>#N/A</v>
      </c>
      <c r="F2329" s="0" t="e">
        <f aca="false">IF(OR(F1607="",AND(F1607=F1606,F1607=F1608)),NA(), F1607)</f>
        <v>#N/A</v>
      </c>
      <c r="G2329" s="0" t="e">
        <f aca="false">IF(ISNA(H2329),NA(),G1607)</f>
        <v>#N/A</v>
      </c>
      <c r="H2329" s="0" t="e">
        <f aca="false">IF(OR(H1607="",AND(H1607=H1606,H1607=H1608)),NA(), H1607)</f>
        <v>#N/A</v>
      </c>
      <c r="K2329" s="0" t="e">
        <f aca="false">IF(ISNA(L2329),NA(),K1607)</f>
        <v>#N/A</v>
      </c>
      <c r="L2329" s="0" t="e">
        <f aca="false">IF(OR(L1607="",AND(L1607=L1606,L1607=L1608)),NA(), L1607)</f>
        <v>#N/A</v>
      </c>
      <c r="M2329" s="0" t="e">
        <f aca="false">IF(ISNA(N2329),NA(),M1607)</f>
        <v>#N/A</v>
      </c>
      <c r="N2329" s="0" t="e">
        <f aca="false">IF(OR(N1607="",AND(N1607=N1606,N1607=N1608)),NA(), N1607)</f>
        <v>#N/A</v>
      </c>
    </row>
    <row r="2330" customFormat="false" ht="15" hidden="false" customHeight="false" outlineLevel="0" collapsed="false">
      <c r="E2330" s="0" t="e">
        <f aca="false">IF(ISNA(F2330),NA(),E1608)</f>
        <v>#N/A</v>
      </c>
      <c r="F2330" s="0" t="e">
        <f aca="false">IF(OR(F1608="",AND(F1608=F1607,F1608=F1609)),NA(), F1608)</f>
        <v>#N/A</v>
      </c>
      <c r="G2330" s="0" t="e">
        <f aca="false">IF(ISNA(H2330),NA(),G1608)</f>
        <v>#N/A</v>
      </c>
      <c r="H2330" s="0" t="e">
        <f aca="false">IF(OR(H1608="",AND(H1608=H1607,H1608=H1609)),NA(), H1608)</f>
        <v>#N/A</v>
      </c>
      <c r="K2330" s="0" t="e">
        <f aca="false">IF(ISNA(L2330),NA(),K1608)</f>
        <v>#N/A</v>
      </c>
      <c r="L2330" s="0" t="e">
        <f aca="false">IF(OR(L1608="",AND(L1608=L1607,L1608=L1609)),NA(), L1608)</f>
        <v>#N/A</v>
      </c>
      <c r="M2330" s="0" t="e">
        <f aca="false">IF(ISNA(N2330),NA(),M1608)</f>
        <v>#N/A</v>
      </c>
      <c r="N2330" s="0" t="e">
        <f aca="false">IF(OR(N1608="",AND(N1608=N1607,N1608=N1609)),NA(), N1608)</f>
        <v>#N/A</v>
      </c>
    </row>
    <row r="2331" customFormat="false" ht="15" hidden="false" customHeight="false" outlineLevel="0" collapsed="false">
      <c r="E2331" s="0" t="e">
        <f aca="false">IF(ISNA(F2331),NA(),E1609)</f>
        <v>#N/A</v>
      </c>
      <c r="F2331" s="0" t="e">
        <f aca="false">IF(OR(F1609="",AND(F1609=F1608,F1609=F1610)),NA(), F1609)</f>
        <v>#N/A</v>
      </c>
      <c r="G2331" s="0" t="e">
        <f aca="false">IF(ISNA(H2331),NA(),G1609)</f>
        <v>#N/A</v>
      </c>
      <c r="H2331" s="0" t="e">
        <f aca="false">IF(OR(H1609="",AND(H1609=H1608,H1609=H1610)),NA(), H1609)</f>
        <v>#N/A</v>
      </c>
      <c r="K2331" s="0" t="e">
        <f aca="false">IF(ISNA(L2331),NA(),K1609)</f>
        <v>#N/A</v>
      </c>
      <c r="L2331" s="0" t="e">
        <f aca="false">IF(OR(L1609="",AND(L1609=L1608,L1609=L1610)),NA(), L1609)</f>
        <v>#N/A</v>
      </c>
      <c r="M2331" s="0" t="e">
        <f aca="false">IF(ISNA(N2331),NA(),M1609)</f>
        <v>#N/A</v>
      </c>
      <c r="N2331" s="0" t="e">
        <f aca="false">IF(OR(N1609="",AND(N1609=N1608,N1609=N1610)),NA(), N1609)</f>
        <v>#N/A</v>
      </c>
    </row>
    <row r="2332" customFormat="false" ht="15" hidden="false" customHeight="false" outlineLevel="0" collapsed="false">
      <c r="E2332" s="0" t="e">
        <f aca="false">IF(ISNA(F2332),NA(),E1610)</f>
        <v>#N/A</v>
      </c>
      <c r="F2332" s="0" t="e">
        <f aca="false">IF(OR(F1610="",AND(F1610=F1609,F1610=F1611)),NA(), F1610)</f>
        <v>#N/A</v>
      </c>
      <c r="G2332" s="0" t="e">
        <f aca="false">IF(ISNA(H2332),NA(),G1610)</f>
        <v>#N/A</v>
      </c>
      <c r="H2332" s="0" t="e">
        <f aca="false">IF(OR(H1610="",AND(H1610=H1609,H1610=H1611)),NA(), H1610)</f>
        <v>#N/A</v>
      </c>
      <c r="K2332" s="0" t="e">
        <f aca="false">IF(ISNA(L2332),NA(),K1610)</f>
        <v>#N/A</v>
      </c>
      <c r="L2332" s="0" t="e">
        <f aca="false">IF(OR(L1610="",AND(L1610=L1609,L1610=L1611)),NA(), L1610)</f>
        <v>#N/A</v>
      </c>
      <c r="M2332" s="0" t="e">
        <f aca="false">IF(ISNA(N2332),NA(),M1610)</f>
        <v>#N/A</v>
      </c>
      <c r="N2332" s="0" t="e">
        <f aca="false">IF(OR(N1610="",AND(N1610=N1609,N1610=N1611)),NA(), N1610)</f>
        <v>#N/A</v>
      </c>
    </row>
    <row r="2333" customFormat="false" ht="15" hidden="false" customHeight="false" outlineLevel="0" collapsed="false">
      <c r="E2333" s="0" t="e">
        <f aca="false">IF(ISNA(F2333),NA(),E1611)</f>
        <v>#N/A</v>
      </c>
      <c r="F2333" s="0" t="e">
        <f aca="false">IF(OR(F1611="",AND(F1611=F1610,F1611=F1612)),NA(), F1611)</f>
        <v>#N/A</v>
      </c>
      <c r="G2333" s="0" t="e">
        <f aca="false">IF(ISNA(H2333),NA(),G1611)</f>
        <v>#N/A</v>
      </c>
      <c r="H2333" s="0" t="e">
        <f aca="false">IF(OR(H1611="",AND(H1611=H1610,H1611=H1612)),NA(), H1611)</f>
        <v>#N/A</v>
      </c>
      <c r="K2333" s="0" t="e">
        <f aca="false">IF(ISNA(L2333),NA(),K1611)</f>
        <v>#N/A</v>
      </c>
      <c r="L2333" s="0" t="e">
        <f aca="false">IF(OR(L1611="",AND(L1611=L1610,L1611=L1612)),NA(), L1611)</f>
        <v>#N/A</v>
      </c>
      <c r="M2333" s="0" t="e">
        <f aca="false">IF(ISNA(N2333),NA(),M1611)</f>
        <v>#N/A</v>
      </c>
      <c r="N2333" s="0" t="e">
        <f aca="false">IF(OR(N1611="",AND(N1611=N1610,N1611=N1612)),NA(), N1611)</f>
        <v>#N/A</v>
      </c>
    </row>
    <row r="2334" customFormat="false" ht="15" hidden="false" customHeight="false" outlineLevel="0" collapsed="false">
      <c r="E2334" s="0" t="e">
        <f aca="false">IF(ISNA(F2334),NA(),E1612)</f>
        <v>#N/A</v>
      </c>
      <c r="F2334" s="0" t="e">
        <f aca="false">IF(OR(F1612="",AND(F1612=F1611,F1612=F1613)),NA(), F1612)</f>
        <v>#N/A</v>
      </c>
      <c r="G2334" s="0" t="e">
        <f aca="false">IF(ISNA(H2334),NA(),G1612)</f>
        <v>#N/A</v>
      </c>
      <c r="H2334" s="0" t="e">
        <f aca="false">IF(OR(H1612="",AND(H1612=H1611,H1612=H1613)),NA(), H1612)</f>
        <v>#N/A</v>
      </c>
      <c r="K2334" s="0" t="e">
        <f aca="false">IF(ISNA(L2334),NA(),K1612)</f>
        <v>#N/A</v>
      </c>
      <c r="L2334" s="0" t="e">
        <f aca="false">IF(OR(L1612="",AND(L1612=L1611,L1612=L1613)),NA(), L1612)</f>
        <v>#N/A</v>
      </c>
      <c r="M2334" s="0" t="e">
        <f aca="false">IF(ISNA(N2334),NA(),M1612)</f>
        <v>#N/A</v>
      </c>
      <c r="N2334" s="0" t="e">
        <f aca="false">IF(OR(N1612="",AND(N1612=N1611,N1612=N1613)),NA(), N1612)</f>
        <v>#N/A</v>
      </c>
    </row>
    <row r="2335" customFormat="false" ht="15" hidden="false" customHeight="false" outlineLevel="0" collapsed="false">
      <c r="E2335" s="0" t="e">
        <f aca="false">IF(ISNA(F2335),NA(),E1613)</f>
        <v>#N/A</v>
      </c>
      <c r="F2335" s="0" t="e">
        <f aca="false">IF(OR(F1613="",AND(F1613=F1612,F1613=F1614)),NA(), F1613)</f>
        <v>#N/A</v>
      </c>
      <c r="G2335" s="0" t="e">
        <f aca="false">IF(ISNA(H2335),NA(),G1613)</f>
        <v>#N/A</v>
      </c>
      <c r="H2335" s="0" t="e">
        <f aca="false">IF(OR(H1613="",AND(H1613=H1612,H1613=H1614)),NA(), H1613)</f>
        <v>#N/A</v>
      </c>
      <c r="K2335" s="0" t="e">
        <f aca="false">IF(ISNA(L2335),NA(),K1613)</f>
        <v>#N/A</v>
      </c>
      <c r="L2335" s="0" t="e">
        <f aca="false">IF(OR(L1613="",AND(L1613=L1612,L1613=L1614)),NA(), L1613)</f>
        <v>#N/A</v>
      </c>
      <c r="M2335" s="0" t="e">
        <f aca="false">IF(ISNA(N2335),NA(),M1613)</f>
        <v>#N/A</v>
      </c>
      <c r="N2335" s="0" t="e">
        <f aca="false">IF(OR(N1613="",AND(N1613=N1612,N1613=N1614)),NA(), N1613)</f>
        <v>#N/A</v>
      </c>
    </row>
    <row r="2336" customFormat="false" ht="15" hidden="false" customHeight="false" outlineLevel="0" collapsed="false">
      <c r="E2336" s="0" t="e">
        <f aca="false">IF(ISNA(F2336),NA(),E1614)</f>
        <v>#N/A</v>
      </c>
      <c r="F2336" s="0" t="e">
        <f aca="false">IF(OR(F1614="",AND(F1614=F1613,F1614=F1615)),NA(), F1614)</f>
        <v>#N/A</v>
      </c>
      <c r="G2336" s="0" t="e">
        <f aca="false">IF(ISNA(H2336),NA(),G1614)</f>
        <v>#N/A</v>
      </c>
      <c r="H2336" s="0" t="e">
        <f aca="false">IF(OR(H1614="",AND(H1614=H1613,H1614=H1615)),NA(), H1614)</f>
        <v>#N/A</v>
      </c>
      <c r="K2336" s="0" t="e">
        <f aca="false">IF(ISNA(L2336),NA(),K1614)</f>
        <v>#N/A</v>
      </c>
      <c r="L2336" s="0" t="e">
        <f aca="false">IF(OR(L1614="",AND(L1614=L1613,L1614=L1615)),NA(), L1614)</f>
        <v>#N/A</v>
      </c>
      <c r="M2336" s="0" t="e">
        <f aca="false">IF(ISNA(N2336),NA(),M1614)</f>
        <v>#N/A</v>
      </c>
      <c r="N2336" s="0" t="e">
        <f aca="false">IF(OR(N1614="",AND(N1614=N1613,N1614=N1615)),NA(), N1614)</f>
        <v>#N/A</v>
      </c>
    </row>
    <row r="2337" customFormat="false" ht="15" hidden="false" customHeight="false" outlineLevel="0" collapsed="false">
      <c r="E2337" s="0" t="e">
        <f aca="false">IF(ISNA(F2337),NA(),E1615)</f>
        <v>#N/A</v>
      </c>
      <c r="F2337" s="0" t="e">
        <f aca="false">IF(OR(F1615="",AND(F1615=F1614,F1615=F1616)),NA(), F1615)</f>
        <v>#N/A</v>
      </c>
      <c r="G2337" s="0" t="e">
        <f aca="false">IF(ISNA(H2337),NA(),G1615)</f>
        <v>#N/A</v>
      </c>
      <c r="H2337" s="0" t="e">
        <f aca="false">IF(OR(H1615="",AND(H1615=H1614,H1615=H1616)),NA(), H1615)</f>
        <v>#N/A</v>
      </c>
      <c r="K2337" s="0" t="e">
        <f aca="false">IF(ISNA(L2337),NA(),K1615)</f>
        <v>#N/A</v>
      </c>
      <c r="L2337" s="0" t="e">
        <f aca="false">IF(OR(L1615="",AND(L1615=L1614,L1615=L1616)),NA(), L1615)</f>
        <v>#N/A</v>
      </c>
      <c r="M2337" s="0" t="e">
        <f aca="false">IF(ISNA(N2337),NA(),M1615)</f>
        <v>#N/A</v>
      </c>
      <c r="N2337" s="0" t="e">
        <f aca="false">IF(OR(N1615="",AND(N1615=N1614,N1615=N1616)),NA(), N1615)</f>
        <v>#N/A</v>
      </c>
    </row>
    <row r="2338" customFormat="false" ht="15" hidden="false" customHeight="false" outlineLevel="0" collapsed="false">
      <c r="E2338" s="0" t="e">
        <f aca="false">IF(ISNA(F2338),NA(),E1616)</f>
        <v>#N/A</v>
      </c>
      <c r="F2338" s="0" t="e">
        <f aca="false">IF(OR(F1616="",AND(F1616=F1615,F1616=F1617)),NA(), F1616)</f>
        <v>#N/A</v>
      </c>
      <c r="G2338" s="0" t="e">
        <f aca="false">IF(ISNA(H2338),NA(),G1616)</f>
        <v>#N/A</v>
      </c>
      <c r="H2338" s="0" t="e">
        <f aca="false">IF(OR(H1616="",AND(H1616=H1615,H1616=H1617)),NA(), H1616)</f>
        <v>#N/A</v>
      </c>
      <c r="K2338" s="0" t="e">
        <f aca="false">IF(ISNA(L2338),NA(),K1616)</f>
        <v>#N/A</v>
      </c>
      <c r="L2338" s="0" t="e">
        <f aca="false">IF(OR(L1616="",AND(L1616=L1615,L1616=L1617)),NA(), L1616)</f>
        <v>#N/A</v>
      </c>
      <c r="M2338" s="0" t="e">
        <f aca="false">IF(ISNA(N2338),NA(),M1616)</f>
        <v>#N/A</v>
      </c>
      <c r="N2338" s="0" t="e">
        <f aca="false">IF(OR(N1616="",AND(N1616=N1615,N1616=N1617)),NA(), N1616)</f>
        <v>#N/A</v>
      </c>
    </row>
    <row r="2339" customFormat="false" ht="15" hidden="false" customHeight="false" outlineLevel="0" collapsed="false">
      <c r="E2339" s="0" t="e">
        <f aca="false">IF(ISNA(F2339),NA(),E1617)</f>
        <v>#N/A</v>
      </c>
      <c r="F2339" s="0" t="e">
        <f aca="false">IF(OR(F1617="",AND(F1617=F1616,F1617=F1618)),NA(), F1617)</f>
        <v>#N/A</v>
      </c>
      <c r="G2339" s="0" t="e">
        <f aca="false">IF(ISNA(H2339),NA(),G1617)</f>
        <v>#N/A</v>
      </c>
      <c r="H2339" s="0" t="e">
        <f aca="false">IF(OR(H1617="",AND(H1617=H1616,H1617=H1618)),NA(), H1617)</f>
        <v>#N/A</v>
      </c>
      <c r="K2339" s="0" t="e">
        <f aca="false">IF(ISNA(L2339),NA(),K1617)</f>
        <v>#N/A</v>
      </c>
      <c r="L2339" s="0" t="e">
        <f aca="false">IF(OR(L1617="",AND(L1617=L1616,L1617=L1618)),NA(), L1617)</f>
        <v>#N/A</v>
      </c>
      <c r="M2339" s="0" t="e">
        <f aca="false">IF(ISNA(N2339),NA(),M1617)</f>
        <v>#N/A</v>
      </c>
      <c r="N2339" s="0" t="e">
        <f aca="false">IF(OR(N1617="",AND(N1617=N1616,N1617=N1618)),NA(), N1617)</f>
        <v>#N/A</v>
      </c>
    </row>
    <row r="2340" customFormat="false" ht="15" hidden="false" customHeight="false" outlineLevel="0" collapsed="false">
      <c r="E2340" s="0" t="e">
        <f aca="false">IF(ISNA(F2340),NA(),E1618)</f>
        <v>#N/A</v>
      </c>
      <c r="F2340" s="0" t="e">
        <f aca="false">IF(OR(F1618="",AND(F1618=F1617,F1618=F1619)),NA(), F1618)</f>
        <v>#N/A</v>
      </c>
      <c r="G2340" s="0" t="e">
        <f aca="false">IF(ISNA(H2340),NA(),G1618)</f>
        <v>#N/A</v>
      </c>
      <c r="H2340" s="0" t="e">
        <f aca="false">IF(OR(H1618="",AND(H1618=H1617,H1618=H1619)),NA(), H1618)</f>
        <v>#N/A</v>
      </c>
      <c r="K2340" s="0" t="e">
        <f aca="false">IF(ISNA(L2340),NA(),K1618)</f>
        <v>#N/A</v>
      </c>
      <c r="L2340" s="0" t="e">
        <f aca="false">IF(OR(L1618="",AND(L1618=L1617,L1618=L1619)),NA(), L1618)</f>
        <v>#N/A</v>
      </c>
      <c r="M2340" s="0" t="e">
        <f aca="false">IF(ISNA(N2340),NA(),M1618)</f>
        <v>#N/A</v>
      </c>
      <c r="N2340" s="0" t="e">
        <f aca="false">IF(OR(N1618="",AND(N1618=N1617,N1618=N1619)),NA(), N1618)</f>
        <v>#N/A</v>
      </c>
    </row>
    <row r="2341" customFormat="false" ht="15" hidden="false" customHeight="false" outlineLevel="0" collapsed="false">
      <c r="E2341" s="0" t="e">
        <f aca="false">IF(ISNA(F2341),NA(),E1619)</f>
        <v>#N/A</v>
      </c>
      <c r="F2341" s="0" t="e">
        <f aca="false">IF(OR(F1619="",AND(F1619=F1618,F1619=F1620)),NA(), F1619)</f>
        <v>#N/A</v>
      </c>
      <c r="G2341" s="0" t="e">
        <f aca="false">IF(ISNA(H2341),NA(),G1619)</f>
        <v>#N/A</v>
      </c>
      <c r="H2341" s="0" t="e">
        <f aca="false">IF(OR(H1619="",AND(H1619=H1618,H1619=H1620)),NA(), H1619)</f>
        <v>#N/A</v>
      </c>
      <c r="K2341" s="0" t="e">
        <f aca="false">IF(ISNA(L2341),NA(),K1619)</f>
        <v>#N/A</v>
      </c>
      <c r="L2341" s="0" t="e">
        <f aca="false">IF(OR(L1619="",AND(L1619=L1618,L1619=L1620)),NA(), L1619)</f>
        <v>#N/A</v>
      </c>
      <c r="M2341" s="0" t="e">
        <f aca="false">IF(ISNA(N2341),NA(),M1619)</f>
        <v>#N/A</v>
      </c>
      <c r="N2341" s="0" t="e">
        <f aca="false">IF(OR(N1619="",AND(N1619=N1618,N1619=N1620)),NA(), N1619)</f>
        <v>#N/A</v>
      </c>
    </row>
    <row r="2342" customFormat="false" ht="15" hidden="false" customHeight="false" outlineLevel="0" collapsed="false">
      <c r="E2342" s="0" t="e">
        <f aca="false">IF(ISNA(F2342),NA(),E1620)</f>
        <v>#N/A</v>
      </c>
      <c r="F2342" s="0" t="e">
        <f aca="false">IF(OR(F1620="",AND(F1620=F1619,F1620=F1621)),NA(), F1620)</f>
        <v>#N/A</v>
      </c>
      <c r="G2342" s="0" t="e">
        <f aca="false">IF(ISNA(H2342),NA(),G1620)</f>
        <v>#N/A</v>
      </c>
      <c r="H2342" s="0" t="e">
        <f aca="false">IF(OR(H1620="",AND(H1620=H1619,H1620=H1621)),NA(), H1620)</f>
        <v>#N/A</v>
      </c>
      <c r="K2342" s="0" t="e">
        <f aca="false">IF(ISNA(L2342),NA(),K1620)</f>
        <v>#N/A</v>
      </c>
      <c r="L2342" s="0" t="e">
        <f aca="false">IF(OR(L1620="",AND(L1620=L1619,L1620=L1621)),NA(), L1620)</f>
        <v>#N/A</v>
      </c>
      <c r="M2342" s="0" t="e">
        <f aca="false">IF(ISNA(N2342),NA(),M1620)</f>
        <v>#N/A</v>
      </c>
      <c r="N2342" s="0" t="e">
        <f aca="false">IF(OR(N1620="",AND(N1620=N1619,N1620=N1621)),NA(), N1620)</f>
        <v>#N/A</v>
      </c>
    </row>
    <row r="2343" customFormat="false" ht="15" hidden="false" customHeight="false" outlineLevel="0" collapsed="false">
      <c r="E2343" s="0" t="e">
        <f aca="false">IF(ISNA(F2343),NA(),E1621)</f>
        <v>#N/A</v>
      </c>
      <c r="F2343" s="0" t="e">
        <f aca="false">IF(OR(F1621="",AND(F1621=F1620,F1621=F1622)),NA(), F1621)</f>
        <v>#N/A</v>
      </c>
      <c r="G2343" s="0" t="e">
        <f aca="false">IF(ISNA(H2343),NA(),G1621)</f>
        <v>#N/A</v>
      </c>
      <c r="H2343" s="0" t="e">
        <f aca="false">IF(OR(H1621="",AND(H1621=H1620,H1621=H1622)),NA(), H1621)</f>
        <v>#N/A</v>
      </c>
      <c r="K2343" s="0" t="e">
        <f aca="false">IF(ISNA(L2343),NA(),K1621)</f>
        <v>#N/A</v>
      </c>
      <c r="L2343" s="0" t="e">
        <f aca="false">IF(OR(L1621="",AND(L1621=L1620,L1621=L1622)),NA(), L1621)</f>
        <v>#N/A</v>
      </c>
      <c r="M2343" s="0" t="e">
        <f aca="false">IF(ISNA(N2343),NA(),M1621)</f>
        <v>#N/A</v>
      </c>
      <c r="N2343" s="0" t="e">
        <f aca="false">IF(OR(N1621="",AND(N1621=N1620,N1621=N1622)),NA(), N1621)</f>
        <v>#N/A</v>
      </c>
    </row>
    <row r="2344" customFormat="false" ht="15" hidden="false" customHeight="false" outlineLevel="0" collapsed="false">
      <c r="E2344" s="0" t="e">
        <f aca="false">IF(ISNA(F2344),NA(),E1622)</f>
        <v>#N/A</v>
      </c>
      <c r="F2344" s="0" t="e">
        <f aca="false">IF(OR(F1622="",AND(F1622=F1621,F1622=F1623)),NA(), F1622)</f>
        <v>#N/A</v>
      </c>
      <c r="G2344" s="0" t="e">
        <f aca="false">IF(ISNA(H2344),NA(),G1622)</f>
        <v>#N/A</v>
      </c>
      <c r="H2344" s="0" t="e">
        <f aca="false">IF(OR(H1622="",AND(H1622=H1621,H1622=H1623)),NA(), H1622)</f>
        <v>#N/A</v>
      </c>
      <c r="K2344" s="0" t="e">
        <f aca="false">IF(ISNA(L2344),NA(),K1622)</f>
        <v>#N/A</v>
      </c>
      <c r="L2344" s="0" t="e">
        <f aca="false">IF(OR(L1622="",AND(L1622=L1621,L1622=L1623)),NA(), L1622)</f>
        <v>#N/A</v>
      </c>
      <c r="M2344" s="0" t="e">
        <f aca="false">IF(ISNA(N2344),NA(),M1622)</f>
        <v>#N/A</v>
      </c>
      <c r="N2344" s="0" t="e">
        <f aca="false">IF(OR(N1622="",AND(N1622=N1621,N1622=N1623)),NA(), N1622)</f>
        <v>#N/A</v>
      </c>
    </row>
    <row r="2345" customFormat="false" ht="15" hidden="false" customHeight="false" outlineLevel="0" collapsed="false">
      <c r="E2345" s="0" t="e">
        <f aca="false">IF(ISNA(F2345),NA(),E1623)</f>
        <v>#N/A</v>
      </c>
      <c r="F2345" s="0" t="e">
        <f aca="false">IF(OR(F1623="",AND(F1623=F1622,F1623=F1624)),NA(), F1623)</f>
        <v>#N/A</v>
      </c>
      <c r="G2345" s="0" t="e">
        <f aca="false">IF(ISNA(H2345),NA(),G1623)</f>
        <v>#N/A</v>
      </c>
      <c r="H2345" s="0" t="e">
        <f aca="false">IF(OR(H1623="",AND(H1623=H1622,H1623=H1624)),NA(), H1623)</f>
        <v>#N/A</v>
      </c>
      <c r="K2345" s="0" t="e">
        <f aca="false">IF(ISNA(L2345),NA(),K1623)</f>
        <v>#N/A</v>
      </c>
      <c r="L2345" s="0" t="e">
        <f aca="false">IF(OR(L1623="",AND(L1623=L1622,L1623=L1624)),NA(), L1623)</f>
        <v>#N/A</v>
      </c>
      <c r="M2345" s="0" t="e">
        <f aca="false">IF(ISNA(N2345),NA(),M1623)</f>
        <v>#N/A</v>
      </c>
      <c r="N2345" s="0" t="e">
        <f aca="false">IF(OR(N1623="",AND(N1623=N1622,N1623=N1624)),NA(), N1623)</f>
        <v>#N/A</v>
      </c>
    </row>
    <row r="2346" customFormat="false" ht="15" hidden="false" customHeight="false" outlineLevel="0" collapsed="false">
      <c r="E2346" s="0" t="e">
        <f aca="false">IF(ISNA(F2346),NA(),E1624)</f>
        <v>#N/A</v>
      </c>
      <c r="F2346" s="0" t="e">
        <f aca="false">IF(OR(F1624="",AND(F1624=F1623,F1624=F1625)),NA(), F1624)</f>
        <v>#N/A</v>
      </c>
      <c r="G2346" s="0" t="e">
        <f aca="false">IF(ISNA(H2346),NA(),G1624)</f>
        <v>#N/A</v>
      </c>
      <c r="H2346" s="0" t="e">
        <f aca="false">IF(OR(H1624="",AND(H1624=H1623,H1624=H1625)),NA(), H1624)</f>
        <v>#N/A</v>
      </c>
      <c r="K2346" s="0" t="e">
        <f aca="false">IF(ISNA(L2346),NA(),K1624)</f>
        <v>#N/A</v>
      </c>
      <c r="L2346" s="0" t="e">
        <f aca="false">IF(OR(L1624="",AND(L1624=L1623,L1624=L1625)),NA(), L1624)</f>
        <v>#N/A</v>
      </c>
      <c r="M2346" s="0" t="e">
        <f aca="false">IF(ISNA(N2346),NA(),M1624)</f>
        <v>#N/A</v>
      </c>
      <c r="N2346" s="0" t="e">
        <f aca="false">IF(OR(N1624="",AND(N1624=N1623,N1624=N1625)),NA(), N1624)</f>
        <v>#N/A</v>
      </c>
    </row>
    <row r="2347" customFormat="false" ht="15" hidden="false" customHeight="false" outlineLevel="0" collapsed="false">
      <c r="E2347" s="0" t="e">
        <f aca="false">IF(ISNA(F2347),NA(),E1625)</f>
        <v>#N/A</v>
      </c>
      <c r="F2347" s="0" t="e">
        <f aca="false">IF(OR(F1625="",AND(F1625=F1624,F1625=F1626)),NA(), F1625)</f>
        <v>#N/A</v>
      </c>
      <c r="G2347" s="0" t="e">
        <f aca="false">IF(ISNA(H2347),NA(),G1625)</f>
        <v>#N/A</v>
      </c>
      <c r="H2347" s="0" t="e">
        <f aca="false">IF(OR(H1625="",AND(H1625=H1624,H1625=H1626)),NA(), H1625)</f>
        <v>#N/A</v>
      </c>
      <c r="K2347" s="0" t="e">
        <f aca="false">IF(ISNA(L2347),NA(),K1625)</f>
        <v>#N/A</v>
      </c>
      <c r="L2347" s="0" t="e">
        <f aca="false">IF(OR(L1625="",AND(L1625=L1624,L1625=L1626)),NA(), L1625)</f>
        <v>#N/A</v>
      </c>
      <c r="M2347" s="0" t="e">
        <f aca="false">IF(ISNA(N2347),NA(),M1625)</f>
        <v>#N/A</v>
      </c>
      <c r="N2347" s="0" t="e">
        <f aca="false">IF(OR(N1625="",AND(N1625=N1624,N1625=N1626)),NA(), N1625)</f>
        <v>#N/A</v>
      </c>
    </row>
    <row r="2348" customFormat="false" ht="15" hidden="false" customHeight="false" outlineLevel="0" collapsed="false">
      <c r="E2348" s="0" t="e">
        <f aca="false">IF(ISNA(F2348),NA(),E1626)</f>
        <v>#N/A</v>
      </c>
      <c r="F2348" s="0" t="e">
        <f aca="false">IF(OR(F1626="",AND(F1626=F1625,F1626=F1627)),NA(), F1626)</f>
        <v>#N/A</v>
      </c>
      <c r="G2348" s="0" t="e">
        <f aca="false">IF(ISNA(H2348),NA(),G1626)</f>
        <v>#N/A</v>
      </c>
      <c r="H2348" s="0" t="e">
        <f aca="false">IF(OR(H1626="",AND(H1626=H1625,H1626=H1627)),NA(), H1626)</f>
        <v>#N/A</v>
      </c>
      <c r="K2348" s="0" t="e">
        <f aca="false">IF(ISNA(L2348),NA(),K1626)</f>
        <v>#N/A</v>
      </c>
      <c r="L2348" s="0" t="e">
        <f aca="false">IF(OR(L1626="",AND(L1626=L1625,L1626=L1627)),NA(), L1626)</f>
        <v>#N/A</v>
      </c>
      <c r="M2348" s="0" t="e">
        <f aca="false">IF(ISNA(N2348),NA(),M1626)</f>
        <v>#N/A</v>
      </c>
      <c r="N2348" s="0" t="e">
        <f aca="false">IF(OR(N1626="",AND(N1626=N1625,N1626=N1627)),NA(), N1626)</f>
        <v>#N/A</v>
      </c>
    </row>
    <row r="2349" customFormat="false" ht="15" hidden="false" customHeight="false" outlineLevel="0" collapsed="false">
      <c r="E2349" s="0" t="e">
        <f aca="false">IF(ISNA(F2349),NA(),E1627)</f>
        <v>#N/A</v>
      </c>
      <c r="F2349" s="0" t="e">
        <f aca="false">IF(OR(F1627="",AND(F1627=F1626,F1627=F1628)),NA(), F1627)</f>
        <v>#N/A</v>
      </c>
      <c r="G2349" s="0" t="e">
        <f aca="false">IF(ISNA(H2349),NA(),G1627)</f>
        <v>#N/A</v>
      </c>
      <c r="H2349" s="0" t="e">
        <f aca="false">IF(OR(H1627="",AND(H1627=H1626,H1627=H1628)),NA(), H1627)</f>
        <v>#N/A</v>
      </c>
      <c r="K2349" s="0" t="e">
        <f aca="false">IF(ISNA(L2349),NA(),K1627)</f>
        <v>#N/A</v>
      </c>
      <c r="L2349" s="0" t="e">
        <f aca="false">IF(OR(L1627="",AND(L1627=L1626,L1627=L1628)),NA(), L1627)</f>
        <v>#N/A</v>
      </c>
      <c r="M2349" s="0" t="e">
        <f aca="false">IF(ISNA(N2349),NA(),M1627)</f>
        <v>#N/A</v>
      </c>
      <c r="N2349" s="0" t="e">
        <f aca="false">IF(OR(N1627="",AND(N1627=N1626,N1627=N1628)),NA(), N1627)</f>
        <v>#N/A</v>
      </c>
    </row>
    <row r="2350" customFormat="false" ht="15" hidden="false" customHeight="false" outlineLevel="0" collapsed="false">
      <c r="E2350" s="0" t="e">
        <f aca="false">IF(ISNA(F2350),NA(),E1628)</f>
        <v>#N/A</v>
      </c>
      <c r="F2350" s="0" t="e">
        <f aca="false">IF(OR(F1628="",AND(F1628=F1627,F1628=F1629)),NA(), F1628)</f>
        <v>#N/A</v>
      </c>
      <c r="G2350" s="0" t="e">
        <f aca="false">IF(ISNA(H2350),NA(),G1628)</f>
        <v>#N/A</v>
      </c>
      <c r="H2350" s="0" t="e">
        <f aca="false">IF(OR(H1628="",AND(H1628=H1627,H1628=H1629)),NA(), H1628)</f>
        <v>#N/A</v>
      </c>
      <c r="K2350" s="0" t="e">
        <f aca="false">IF(ISNA(L2350),NA(),K1628)</f>
        <v>#N/A</v>
      </c>
      <c r="L2350" s="0" t="e">
        <f aca="false">IF(OR(L1628="",AND(L1628=L1627,L1628=L1629)),NA(), L1628)</f>
        <v>#N/A</v>
      </c>
      <c r="M2350" s="0" t="e">
        <f aca="false">IF(ISNA(N2350),NA(),M1628)</f>
        <v>#N/A</v>
      </c>
      <c r="N2350" s="0" t="e">
        <f aca="false">IF(OR(N1628="",AND(N1628=N1627,N1628=N1629)),NA(), N1628)</f>
        <v>#N/A</v>
      </c>
    </row>
    <row r="2351" customFormat="false" ht="15" hidden="false" customHeight="false" outlineLevel="0" collapsed="false">
      <c r="E2351" s="0" t="e">
        <f aca="false">IF(ISNA(F2351),NA(),E1629)</f>
        <v>#N/A</v>
      </c>
      <c r="F2351" s="0" t="e">
        <f aca="false">IF(OR(F1629="",AND(F1629=F1628,F1629=F1630)),NA(), F1629)</f>
        <v>#N/A</v>
      </c>
      <c r="G2351" s="0" t="e">
        <f aca="false">IF(ISNA(H2351),NA(),G1629)</f>
        <v>#N/A</v>
      </c>
      <c r="H2351" s="0" t="e">
        <f aca="false">IF(OR(H1629="",AND(H1629=H1628,H1629=H1630)),NA(), H1629)</f>
        <v>#N/A</v>
      </c>
      <c r="K2351" s="0" t="e">
        <f aca="false">IF(ISNA(L2351),NA(),K1629)</f>
        <v>#N/A</v>
      </c>
      <c r="L2351" s="0" t="e">
        <f aca="false">IF(OR(L1629="",AND(L1629=L1628,L1629=L1630)),NA(), L1629)</f>
        <v>#N/A</v>
      </c>
      <c r="M2351" s="0" t="e">
        <f aca="false">IF(ISNA(N2351),NA(),M1629)</f>
        <v>#N/A</v>
      </c>
      <c r="N2351" s="0" t="e">
        <f aca="false">IF(OR(N1629="",AND(N1629=N1628,N1629=N1630)),NA(), N1629)</f>
        <v>#N/A</v>
      </c>
    </row>
    <row r="2352" customFormat="false" ht="15" hidden="false" customHeight="false" outlineLevel="0" collapsed="false">
      <c r="E2352" s="0" t="e">
        <f aca="false">IF(ISNA(F2352),NA(),E1630)</f>
        <v>#N/A</v>
      </c>
      <c r="F2352" s="0" t="e">
        <f aca="false">IF(OR(F1630="",AND(F1630=F1629,F1630=F1631)),NA(), F1630)</f>
        <v>#N/A</v>
      </c>
      <c r="G2352" s="0" t="e">
        <f aca="false">IF(ISNA(H2352),NA(),G1630)</f>
        <v>#N/A</v>
      </c>
      <c r="H2352" s="0" t="e">
        <f aca="false">IF(OR(H1630="",AND(H1630=H1629,H1630=H1631)),NA(), H1630)</f>
        <v>#N/A</v>
      </c>
      <c r="K2352" s="0" t="e">
        <f aca="false">IF(ISNA(L2352),NA(),K1630)</f>
        <v>#N/A</v>
      </c>
      <c r="L2352" s="0" t="e">
        <f aca="false">IF(OR(L1630="",AND(L1630=L1629,L1630=L1631)),NA(), L1630)</f>
        <v>#N/A</v>
      </c>
      <c r="M2352" s="0" t="e">
        <f aca="false">IF(ISNA(N2352),NA(),M1630)</f>
        <v>#N/A</v>
      </c>
      <c r="N2352" s="0" t="e">
        <f aca="false">IF(OR(N1630="",AND(N1630=N1629,N1630=N1631)),NA(), N1630)</f>
        <v>#N/A</v>
      </c>
    </row>
    <row r="2353" customFormat="false" ht="15" hidden="false" customHeight="false" outlineLevel="0" collapsed="false">
      <c r="E2353" s="0" t="e">
        <f aca="false">IF(ISNA(F2353),NA(),E1631)</f>
        <v>#N/A</v>
      </c>
      <c r="F2353" s="0" t="e">
        <f aca="false">IF(OR(F1631="",AND(F1631=F1630,F1631=F1632)),NA(), F1631)</f>
        <v>#N/A</v>
      </c>
      <c r="G2353" s="0" t="e">
        <f aca="false">IF(ISNA(H2353),NA(),G1631)</f>
        <v>#N/A</v>
      </c>
      <c r="H2353" s="0" t="e">
        <f aca="false">IF(OR(H1631="",AND(H1631=H1630,H1631=H1632)),NA(), H1631)</f>
        <v>#N/A</v>
      </c>
      <c r="K2353" s="0" t="e">
        <f aca="false">IF(ISNA(L2353),NA(),K1631)</f>
        <v>#N/A</v>
      </c>
      <c r="L2353" s="0" t="e">
        <f aca="false">IF(OR(L1631="",AND(L1631=L1630,L1631=L1632)),NA(), L1631)</f>
        <v>#N/A</v>
      </c>
      <c r="M2353" s="0" t="e">
        <f aca="false">IF(ISNA(N2353),NA(),M1631)</f>
        <v>#N/A</v>
      </c>
      <c r="N2353" s="0" t="e">
        <f aca="false">IF(OR(N1631="",AND(N1631=N1630,N1631=N1632)),NA(), N1631)</f>
        <v>#N/A</v>
      </c>
    </row>
    <row r="2354" customFormat="false" ht="15" hidden="false" customHeight="false" outlineLevel="0" collapsed="false">
      <c r="E2354" s="0" t="e">
        <f aca="false">IF(ISNA(F2354),NA(),E1632)</f>
        <v>#N/A</v>
      </c>
      <c r="F2354" s="0" t="e">
        <f aca="false">IF(OR(F1632="",AND(F1632=F1631,F1632=F1633)),NA(), F1632)</f>
        <v>#N/A</v>
      </c>
      <c r="G2354" s="0" t="e">
        <f aca="false">IF(ISNA(H2354),NA(),G1632)</f>
        <v>#N/A</v>
      </c>
      <c r="H2354" s="0" t="e">
        <f aca="false">IF(OR(H1632="",AND(H1632=H1631,H1632=H1633)),NA(), H1632)</f>
        <v>#N/A</v>
      </c>
      <c r="K2354" s="0" t="e">
        <f aca="false">IF(ISNA(L2354),NA(),K1632)</f>
        <v>#N/A</v>
      </c>
      <c r="L2354" s="0" t="e">
        <f aca="false">IF(OR(L1632="",AND(L1632=L1631,L1632=L1633)),NA(), L1632)</f>
        <v>#N/A</v>
      </c>
      <c r="M2354" s="0" t="e">
        <f aca="false">IF(ISNA(N2354),NA(),M1632)</f>
        <v>#N/A</v>
      </c>
      <c r="N2354" s="0" t="e">
        <f aca="false">IF(OR(N1632="",AND(N1632=N1631,N1632=N1633)),NA(), N1632)</f>
        <v>#N/A</v>
      </c>
    </row>
    <row r="2355" customFormat="false" ht="15" hidden="false" customHeight="false" outlineLevel="0" collapsed="false">
      <c r="E2355" s="0" t="e">
        <f aca="false">IF(ISNA(F2355),NA(),E1633)</f>
        <v>#N/A</v>
      </c>
      <c r="F2355" s="0" t="e">
        <f aca="false">IF(OR(F1633="",AND(F1633=F1632,F1633=F1634)),NA(), F1633)</f>
        <v>#N/A</v>
      </c>
      <c r="G2355" s="0" t="e">
        <f aca="false">IF(ISNA(H2355),NA(),G1633)</f>
        <v>#N/A</v>
      </c>
      <c r="H2355" s="0" t="e">
        <f aca="false">IF(OR(H1633="",AND(H1633=H1632,H1633=H1634)),NA(), H1633)</f>
        <v>#N/A</v>
      </c>
      <c r="K2355" s="0" t="e">
        <f aca="false">IF(ISNA(L2355),NA(),K1633)</f>
        <v>#N/A</v>
      </c>
      <c r="L2355" s="0" t="e">
        <f aca="false">IF(OR(L1633="",AND(L1633=L1632,L1633=L1634)),NA(), L1633)</f>
        <v>#N/A</v>
      </c>
      <c r="M2355" s="0" t="e">
        <f aca="false">IF(ISNA(N2355),NA(),M1633)</f>
        <v>#N/A</v>
      </c>
      <c r="N2355" s="0" t="e">
        <f aca="false">IF(OR(N1633="",AND(N1633=N1632,N1633=N1634)),NA(), N1633)</f>
        <v>#N/A</v>
      </c>
    </row>
    <row r="2356" customFormat="false" ht="15" hidden="false" customHeight="false" outlineLevel="0" collapsed="false">
      <c r="E2356" s="0" t="e">
        <f aca="false">IF(ISNA(F2356),NA(),E1634)</f>
        <v>#N/A</v>
      </c>
      <c r="F2356" s="0" t="e">
        <f aca="false">IF(OR(F1634="",AND(F1634=F1633,F1634=F1635)),NA(), F1634)</f>
        <v>#N/A</v>
      </c>
      <c r="G2356" s="0" t="e">
        <f aca="false">IF(ISNA(H2356),NA(),G1634)</f>
        <v>#N/A</v>
      </c>
      <c r="H2356" s="0" t="e">
        <f aca="false">IF(OR(H1634="",AND(H1634=H1633,H1634=H1635)),NA(), H1634)</f>
        <v>#N/A</v>
      </c>
      <c r="K2356" s="0" t="e">
        <f aca="false">IF(ISNA(L2356),NA(),K1634)</f>
        <v>#N/A</v>
      </c>
      <c r="L2356" s="0" t="e">
        <f aca="false">IF(OR(L1634="",AND(L1634=L1633,L1634=L1635)),NA(), L1634)</f>
        <v>#N/A</v>
      </c>
      <c r="M2356" s="0" t="e">
        <f aca="false">IF(ISNA(N2356),NA(),M1634)</f>
        <v>#N/A</v>
      </c>
      <c r="N2356" s="0" t="e">
        <f aca="false">IF(OR(N1634="",AND(N1634=N1633,N1634=N1635)),NA(), N1634)</f>
        <v>#N/A</v>
      </c>
    </row>
    <row r="2357" customFormat="false" ht="15" hidden="false" customHeight="false" outlineLevel="0" collapsed="false">
      <c r="E2357" s="0" t="e">
        <f aca="false">IF(ISNA(F2357),NA(),E1635)</f>
        <v>#N/A</v>
      </c>
      <c r="F2357" s="0" t="e">
        <f aca="false">IF(OR(F1635="",AND(F1635=F1634,F1635=F1636)),NA(), F1635)</f>
        <v>#N/A</v>
      </c>
      <c r="G2357" s="0" t="e">
        <f aca="false">IF(ISNA(H2357),NA(),G1635)</f>
        <v>#N/A</v>
      </c>
      <c r="H2357" s="0" t="e">
        <f aca="false">IF(OR(H1635="",AND(H1635=H1634,H1635=H1636)),NA(), H1635)</f>
        <v>#N/A</v>
      </c>
      <c r="K2357" s="0" t="e">
        <f aca="false">IF(ISNA(L2357),NA(),K1635)</f>
        <v>#N/A</v>
      </c>
      <c r="L2357" s="0" t="e">
        <f aca="false">IF(OR(L1635="",AND(L1635=L1634,L1635=L1636)),NA(), L1635)</f>
        <v>#N/A</v>
      </c>
      <c r="M2357" s="0" t="e">
        <f aca="false">IF(ISNA(N2357),NA(),M1635)</f>
        <v>#N/A</v>
      </c>
      <c r="N2357" s="0" t="e">
        <f aca="false">IF(OR(N1635="",AND(N1635=N1634,N1635=N1636)),NA(), N1635)</f>
        <v>#N/A</v>
      </c>
    </row>
    <row r="2358" customFormat="false" ht="15" hidden="false" customHeight="false" outlineLevel="0" collapsed="false">
      <c r="E2358" s="0" t="e">
        <f aca="false">IF(ISNA(F2358),NA(),E1636)</f>
        <v>#N/A</v>
      </c>
      <c r="F2358" s="0" t="e">
        <f aca="false">IF(OR(F1636="",AND(F1636=F1635,F1636=F1637)),NA(), F1636)</f>
        <v>#N/A</v>
      </c>
      <c r="G2358" s="0" t="e">
        <f aca="false">IF(ISNA(H2358),NA(),G1636)</f>
        <v>#N/A</v>
      </c>
      <c r="H2358" s="0" t="e">
        <f aca="false">IF(OR(H1636="",AND(H1636=H1635,H1636=H1637)),NA(), H1636)</f>
        <v>#N/A</v>
      </c>
      <c r="K2358" s="0" t="e">
        <f aca="false">IF(ISNA(L2358),NA(),K1636)</f>
        <v>#N/A</v>
      </c>
      <c r="L2358" s="0" t="e">
        <f aca="false">IF(OR(L1636="",AND(L1636=L1635,L1636=L1637)),NA(), L1636)</f>
        <v>#N/A</v>
      </c>
      <c r="M2358" s="0" t="e">
        <f aca="false">IF(ISNA(N2358),NA(),M1636)</f>
        <v>#N/A</v>
      </c>
      <c r="N2358" s="0" t="e">
        <f aca="false">IF(OR(N1636="",AND(N1636=N1635,N1636=N1637)),NA(), N1636)</f>
        <v>#N/A</v>
      </c>
    </row>
    <row r="2359" customFormat="false" ht="15" hidden="false" customHeight="false" outlineLevel="0" collapsed="false">
      <c r="E2359" s="0" t="e">
        <f aca="false">IF(ISNA(F2359),NA(),E1637)</f>
        <v>#N/A</v>
      </c>
      <c r="F2359" s="0" t="e">
        <f aca="false">IF(OR(F1637="",AND(F1637=F1636,F1637=F1638)),NA(), F1637)</f>
        <v>#N/A</v>
      </c>
      <c r="G2359" s="0" t="e">
        <f aca="false">IF(ISNA(H2359),NA(),G1637)</f>
        <v>#N/A</v>
      </c>
      <c r="H2359" s="0" t="e">
        <f aca="false">IF(OR(H1637="",AND(H1637=H1636,H1637=H1638)),NA(), H1637)</f>
        <v>#N/A</v>
      </c>
      <c r="K2359" s="0" t="e">
        <f aca="false">IF(ISNA(L2359),NA(),K1637)</f>
        <v>#N/A</v>
      </c>
      <c r="L2359" s="0" t="e">
        <f aca="false">IF(OR(L1637="",AND(L1637=L1636,L1637=L1638)),NA(), L1637)</f>
        <v>#N/A</v>
      </c>
      <c r="M2359" s="0" t="e">
        <f aca="false">IF(ISNA(N2359),NA(),M1637)</f>
        <v>#N/A</v>
      </c>
      <c r="N2359" s="0" t="e">
        <f aca="false">IF(OR(N1637="",AND(N1637=N1636,N1637=N1638)),NA(), N1637)</f>
        <v>#N/A</v>
      </c>
    </row>
    <row r="2360" customFormat="false" ht="15" hidden="false" customHeight="false" outlineLevel="0" collapsed="false">
      <c r="E2360" s="0" t="e">
        <f aca="false">IF(ISNA(F2360),NA(),E1638)</f>
        <v>#N/A</v>
      </c>
      <c r="F2360" s="0" t="e">
        <f aca="false">IF(OR(F1638="",AND(F1638=F1637,F1638=F1639)),NA(), F1638)</f>
        <v>#N/A</v>
      </c>
      <c r="G2360" s="0" t="e">
        <f aca="false">IF(ISNA(H2360),NA(),G1638)</f>
        <v>#N/A</v>
      </c>
      <c r="H2360" s="0" t="e">
        <f aca="false">IF(OR(H1638="",AND(H1638=H1637,H1638=H1639)),NA(), H1638)</f>
        <v>#N/A</v>
      </c>
      <c r="K2360" s="0" t="e">
        <f aca="false">IF(ISNA(L2360),NA(),K1638)</f>
        <v>#N/A</v>
      </c>
      <c r="L2360" s="0" t="e">
        <f aca="false">IF(OR(L1638="",AND(L1638=L1637,L1638=L1639)),NA(), L1638)</f>
        <v>#N/A</v>
      </c>
      <c r="M2360" s="0" t="e">
        <f aca="false">IF(ISNA(N2360),NA(),M1638)</f>
        <v>#N/A</v>
      </c>
      <c r="N2360" s="0" t="e">
        <f aca="false">IF(OR(N1638="",AND(N1638=N1637,N1638=N1639)),NA(), N1638)</f>
        <v>#N/A</v>
      </c>
    </row>
    <row r="2361" customFormat="false" ht="15" hidden="false" customHeight="false" outlineLevel="0" collapsed="false">
      <c r="E2361" s="0" t="e">
        <f aca="false">IF(ISNA(F2361),NA(),E1639)</f>
        <v>#N/A</v>
      </c>
      <c r="F2361" s="0" t="e">
        <f aca="false">IF(OR(F1639="",AND(F1639=F1638,F1639=F1640)),NA(), F1639)</f>
        <v>#N/A</v>
      </c>
      <c r="G2361" s="0" t="e">
        <f aca="false">IF(ISNA(H2361),NA(),G1639)</f>
        <v>#N/A</v>
      </c>
      <c r="H2361" s="0" t="e">
        <f aca="false">IF(OR(H1639="",AND(H1639=H1638,H1639=H1640)),NA(), H1639)</f>
        <v>#N/A</v>
      </c>
      <c r="K2361" s="0" t="e">
        <f aca="false">IF(ISNA(L2361),NA(),K1639)</f>
        <v>#N/A</v>
      </c>
      <c r="L2361" s="0" t="e">
        <f aca="false">IF(OR(L1639="",AND(L1639=L1638,L1639=L1640)),NA(), L1639)</f>
        <v>#N/A</v>
      </c>
      <c r="M2361" s="0" t="e">
        <f aca="false">IF(ISNA(N2361),NA(),M1639)</f>
        <v>#N/A</v>
      </c>
      <c r="N2361" s="0" t="e">
        <f aca="false">IF(OR(N1639="",AND(N1639=N1638,N1639=N1640)),NA(), N1639)</f>
        <v>#N/A</v>
      </c>
    </row>
    <row r="2362" customFormat="false" ht="15" hidden="false" customHeight="false" outlineLevel="0" collapsed="false">
      <c r="E2362" s="0" t="e">
        <f aca="false">IF(ISNA(F2362),NA(),E1640)</f>
        <v>#N/A</v>
      </c>
      <c r="F2362" s="0" t="e">
        <f aca="false">IF(OR(F1640="",AND(F1640=F1639,F1640=F1641)),NA(), F1640)</f>
        <v>#N/A</v>
      </c>
      <c r="G2362" s="0" t="e">
        <f aca="false">IF(ISNA(H2362),NA(),G1640)</f>
        <v>#N/A</v>
      </c>
      <c r="H2362" s="0" t="e">
        <f aca="false">IF(OR(H1640="",AND(H1640=H1639,H1640=H1641)),NA(), H1640)</f>
        <v>#N/A</v>
      </c>
      <c r="K2362" s="0" t="e">
        <f aca="false">IF(ISNA(L2362),NA(),K1640)</f>
        <v>#N/A</v>
      </c>
      <c r="L2362" s="0" t="e">
        <f aca="false">IF(OR(L1640="",AND(L1640=L1639,L1640=L1641)),NA(), L1640)</f>
        <v>#N/A</v>
      </c>
      <c r="M2362" s="0" t="e">
        <f aca="false">IF(ISNA(N2362),NA(),M1640)</f>
        <v>#N/A</v>
      </c>
      <c r="N2362" s="0" t="e">
        <f aca="false">IF(OR(N1640="",AND(N1640=N1639,N1640=N1641)),NA(), N1640)</f>
        <v>#N/A</v>
      </c>
    </row>
    <row r="2363" customFormat="false" ht="15" hidden="false" customHeight="false" outlineLevel="0" collapsed="false">
      <c r="E2363" s="0" t="e">
        <f aca="false">IF(ISNA(F2363),NA(),E1641)</f>
        <v>#N/A</v>
      </c>
      <c r="F2363" s="0" t="e">
        <f aca="false">IF(OR(F1641="",AND(F1641=F1640,F1641=F1642)),NA(), F1641)</f>
        <v>#N/A</v>
      </c>
      <c r="G2363" s="0" t="e">
        <f aca="false">IF(ISNA(H2363),NA(),G1641)</f>
        <v>#N/A</v>
      </c>
      <c r="H2363" s="0" t="e">
        <f aca="false">IF(OR(H1641="",AND(H1641=H1640,H1641=H1642)),NA(), H1641)</f>
        <v>#N/A</v>
      </c>
      <c r="K2363" s="0" t="e">
        <f aca="false">IF(ISNA(L2363),NA(),K1641)</f>
        <v>#N/A</v>
      </c>
      <c r="L2363" s="0" t="e">
        <f aca="false">IF(OR(L1641="",AND(L1641=L1640,L1641=L1642)),NA(), L1641)</f>
        <v>#N/A</v>
      </c>
      <c r="M2363" s="0" t="e">
        <f aca="false">IF(ISNA(N2363),NA(),M1641)</f>
        <v>#N/A</v>
      </c>
      <c r="N2363" s="0" t="e">
        <f aca="false">IF(OR(N1641="",AND(N1641=N1640,N1641=N1642)),NA(), N1641)</f>
        <v>#N/A</v>
      </c>
    </row>
    <row r="2364" customFormat="false" ht="15" hidden="false" customHeight="false" outlineLevel="0" collapsed="false">
      <c r="E2364" s="0" t="e">
        <f aca="false">IF(ISNA(F2364),NA(),E1642)</f>
        <v>#N/A</v>
      </c>
      <c r="F2364" s="0" t="e">
        <f aca="false">IF(OR(F1642="",AND(F1642=F1641,F1642=F1643)),NA(), F1642)</f>
        <v>#N/A</v>
      </c>
      <c r="G2364" s="0" t="e">
        <f aca="false">IF(ISNA(H2364),NA(),G1642)</f>
        <v>#N/A</v>
      </c>
      <c r="H2364" s="0" t="e">
        <f aca="false">IF(OR(H1642="",AND(H1642=H1641,H1642=H1643)),NA(), H1642)</f>
        <v>#N/A</v>
      </c>
      <c r="K2364" s="0" t="e">
        <f aca="false">IF(ISNA(L2364),NA(),K1642)</f>
        <v>#N/A</v>
      </c>
      <c r="L2364" s="0" t="e">
        <f aca="false">IF(OR(L1642="",AND(L1642=L1641,L1642=L1643)),NA(), L1642)</f>
        <v>#N/A</v>
      </c>
      <c r="M2364" s="0" t="e">
        <f aca="false">IF(ISNA(N2364),NA(),M1642)</f>
        <v>#N/A</v>
      </c>
      <c r="N2364" s="0" t="e">
        <f aca="false">IF(OR(N1642="",AND(N1642=N1641,N1642=N1643)),NA(), N1642)</f>
        <v>#N/A</v>
      </c>
    </row>
    <row r="2365" customFormat="false" ht="15" hidden="false" customHeight="false" outlineLevel="0" collapsed="false">
      <c r="E2365" s="0" t="e">
        <f aca="false">IF(ISNA(F2365),NA(),E1643)</f>
        <v>#N/A</v>
      </c>
      <c r="F2365" s="0" t="e">
        <f aca="false">IF(OR(F1643="",AND(F1643=F1642,F1643=F1644)),NA(), F1643)</f>
        <v>#N/A</v>
      </c>
      <c r="G2365" s="0" t="e">
        <f aca="false">IF(ISNA(H2365),NA(),G1643)</f>
        <v>#N/A</v>
      </c>
      <c r="H2365" s="0" t="e">
        <f aca="false">IF(OR(H1643="",AND(H1643=H1642,H1643=H1644)),NA(), H1643)</f>
        <v>#N/A</v>
      </c>
      <c r="K2365" s="0" t="e">
        <f aca="false">IF(ISNA(L2365),NA(),K1643)</f>
        <v>#N/A</v>
      </c>
      <c r="L2365" s="0" t="e">
        <f aca="false">IF(OR(L1643="",AND(L1643=L1642,L1643=L1644)),NA(), L1643)</f>
        <v>#N/A</v>
      </c>
      <c r="M2365" s="0" t="e">
        <f aca="false">IF(ISNA(N2365),NA(),M1643)</f>
        <v>#N/A</v>
      </c>
      <c r="N2365" s="0" t="e">
        <f aca="false">IF(OR(N1643="",AND(N1643=N1642,N1643=N1644)),NA(), N1643)</f>
        <v>#N/A</v>
      </c>
    </row>
    <row r="2366" customFormat="false" ht="15" hidden="false" customHeight="false" outlineLevel="0" collapsed="false">
      <c r="E2366" s="0" t="e">
        <f aca="false">IF(ISNA(F2366),NA(),E1644)</f>
        <v>#N/A</v>
      </c>
      <c r="F2366" s="0" t="e">
        <f aca="false">IF(OR(F1644="",AND(F1644=F1643,F1644=F1645)),NA(), F1644)</f>
        <v>#N/A</v>
      </c>
      <c r="G2366" s="0" t="e">
        <f aca="false">IF(ISNA(H2366),NA(),G1644)</f>
        <v>#N/A</v>
      </c>
      <c r="H2366" s="0" t="e">
        <f aca="false">IF(OR(H1644="",AND(H1644=H1643,H1644=H1645)),NA(), H1644)</f>
        <v>#N/A</v>
      </c>
      <c r="K2366" s="0" t="e">
        <f aca="false">IF(ISNA(L2366),NA(),K1644)</f>
        <v>#N/A</v>
      </c>
      <c r="L2366" s="0" t="e">
        <f aca="false">IF(OR(L1644="",AND(L1644=L1643,L1644=L1645)),NA(), L1644)</f>
        <v>#N/A</v>
      </c>
      <c r="M2366" s="0" t="e">
        <f aca="false">IF(ISNA(N2366),NA(),M1644)</f>
        <v>#N/A</v>
      </c>
      <c r="N2366" s="0" t="e">
        <f aca="false">IF(OR(N1644="",AND(N1644=N1643,N1644=N1645)),NA(), N1644)</f>
        <v>#N/A</v>
      </c>
    </row>
    <row r="2367" customFormat="false" ht="15" hidden="false" customHeight="false" outlineLevel="0" collapsed="false">
      <c r="E2367" s="0" t="e">
        <f aca="false">IF(ISNA(F2367),NA(),E1645)</f>
        <v>#N/A</v>
      </c>
      <c r="F2367" s="0" t="e">
        <f aca="false">IF(OR(F1645="",AND(F1645=F1644,F1645=F1646)),NA(), F1645)</f>
        <v>#N/A</v>
      </c>
      <c r="G2367" s="0" t="e">
        <f aca="false">IF(ISNA(H2367),NA(),G1645)</f>
        <v>#N/A</v>
      </c>
      <c r="H2367" s="0" t="e">
        <f aca="false">IF(OR(H1645="",AND(H1645=H1644,H1645=H1646)),NA(), H1645)</f>
        <v>#N/A</v>
      </c>
      <c r="K2367" s="0" t="e">
        <f aca="false">IF(ISNA(L2367),NA(),K1645)</f>
        <v>#N/A</v>
      </c>
      <c r="L2367" s="0" t="e">
        <f aca="false">IF(OR(L1645="",AND(L1645=L1644,L1645=L1646)),NA(), L1645)</f>
        <v>#N/A</v>
      </c>
      <c r="M2367" s="0" t="e">
        <f aca="false">IF(ISNA(N2367),NA(),M1645)</f>
        <v>#N/A</v>
      </c>
      <c r="N2367" s="0" t="e">
        <f aca="false">IF(OR(N1645="",AND(N1645=N1644,N1645=N1646)),NA(), N1645)</f>
        <v>#N/A</v>
      </c>
    </row>
    <row r="2368" customFormat="false" ht="15" hidden="false" customHeight="false" outlineLevel="0" collapsed="false">
      <c r="E2368" s="0" t="e">
        <f aca="false">IF(ISNA(F2368),NA(),E1646)</f>
        <v>#N/A</v>
      </c>
      <c r="F2368" s="0" t="e">
        <f aca="false">IF(OR(F1646="",AND(F1646=F1645,F1646=F1647)),NA(), F1646)</f>
        <v>#N/A</v>
      </c>
      <c r="G2368" s="0" t="e">
        <f aca="false">IF(ISNA(H2368),NA(),G1646)</f>
        <v>#N/A</v>
      </c>
      <c r="H2368" s="0" t="e">
        <f aca="false">IF(OR(H1646="",AND(H1646=H1645,H1646=H1647)),NA(), H1646)</f>
        <v>#N/A</v>
      </c>
      <c r="K2368" s="0" t="e">
        <f aca="false">IF(ISNA(L2368),NA(),K1646)</f>
        <v>#N/A</v>
      </c>
      <c r="L2368" s="0" t="e">
        <f aca="false">IF(OR(L1646="",AND(L1646=L1645,L1646=L1647)),NA(), L1646)</f>
        <v>#N/A</v>
      </c>
      <c r="M2368" s="0" t="e">
        <f aca="false">IF(ISNA(N2368),NA(),M1646)</f>
        <v>#N/A</v>
      </c>
      <c r="N2368" s="0" t="e">
        <f aca="false">IF(OR(N1646="",AND(N1646=N1645,N1646=N1647)),NA(), N1646)</f>
        <v>#N/A</v>
      </c>
    </row>
    <row r="2369" customFormat="false" ht="15" hidden="false" customHeight="false" outlineLevel="0" collapsed="false">
      <c r="E2369" s="0" t="e">
        <f aca="false">IF(ISNA(F2369),NA(),E1647)</f>
        <v>#N/A</v>
      </c>
      <c r="F2369" s="0" t="e">
        <f aca="false">IF(OR(F1647="",AND(F1647=F1646,F1647=F1648)),NA(), F1647)</f>
        <v>#N/A</v>
      </c>
      <c r="G2369" s="0" t="e">
        <f aca="false">IF(ISNA(H2369),NA(),G1647)</f>
        <v>#N/A</v>
      </c>
      <c r="H2369" s="0" t="e">
        <f aca="false">IF(OR(H1647="",AND(H1647=H1646,H1647=H1648)),NA(), H1647)</f>
        <v>#N/A</v>
      </c>
      <c r="K2369" s="0" t="e">
        <f aca="false">IF(ISNA(L2369),NA(),K1647)</f>
        <v>#N/A</v>
      </c>
      <c r="L2369" s="0" t="e">
        <f aca="false">IF(OR(L1647="",AND(L1647=L1646,L1647=L1648)),NA(), L1647)</f>
        <v>#N/A</v>
      </c>
      <c r="M2369" s="0" t="e">
        <f aca="false">IF(ISNA(N2369),NA(),M1647)</f>
        <v>#N/A</v>
      </c>
      <c r="N2369" s="0" t="e">
        <f aca="false">IF(OR(N1647="",AND(N1647=N1646,N1647=N1648)),NA(), N1647)</f>
        <v>#N/A</v>
      </c>
    </row>
    <row r="2370" customFormat="false" ht="15" hidden="false" customHeight="false" outlineLevel="0" collapsed="false">
      <c r="E2370" s="0" t="e">
        <f aca="false">IF(ISNA(F2370),NA(),E1648)</f>
        <v>#N/A</v>
      </c>
      <c r="F2370" s="0" t="e">
        <f aca="false">IF(OR(F1648="",AND(F1648=F1647,F1648=F1649)),NA(), F1648)</f>
        <v>#N/A</v>
      </c>
      <c r="G2370" s="0" t="e">
        <f aca="false">IF(ISNA(H2370),NA(),G1648)</f>
        <v>#N/A</v>
      </c>
      <c r="H2370" s="0" t="e">
        <f aca="false">IF(OR(H1648="",AND(H1648=H1647,H1648=H1649)),NA(), H1648)</f>
        <v>#N/A</v>
      </c>
      <c r="K2370" s="0" t="e">
        <f aca="false">IF(ISNA(L2370),NA(),K1648)</f>
        <v>#N/A</v>
      </c>
      <c r="L2370" s="0" t="e">
        <f aca="false">IF(OR(L1648="",AND(L1648=L1647,L1648=L1649)),NA(), L1648)</f>
        <v>#N/A</v>
      </c>
      <c r="M2370" s="0" t="e">
        <f aca="false">IF(ISNA(N2370),NA(),M1648)</f>
        <v>#N/A</v>
      </c>
      <c r="N2370" s="0" t="e">
        <f aca="false">IF(OR(N1648="",AND(N1648=N1647,N1648=N1649)),NA(), N1648)</f>
        <v>#N/A</v>
      </c>
    </row>
    <row r="2371" customFormat="false" ht="15" hidden="false" customHeight="false" outlineLevel="0" collapsed="false">
      <c r="E2371" s="0" t="e">
        <f aca="false">IF(ISNA(F2371),NA(),E1649)</f>
        <v>#N/A</v>
      </c>
      <c r="F2371" s="0" t="e">
        <f aca="false">IF(OR(F1649="",AND(F1649=F1648,F1649=F1650)),NA(), F1649)</f>
        <v>#N/A</v>
      </c>
      <c r="G2371" s="0" t="e">
        <f aca="false">IF(ISNA(H2371),NA(),G1649)</f>
        <v>#N/A</v>
      </c>
      <c r="H2371" s="0" t="e">
        <f aca="false">IF(OR(H1649="",AND(H1649=H1648,H1649=H1650)),NA(), H1649)</f>
        <v>#N/A</v>
      </c>
      <c r="K2371" s="0" t="e">
        <f aca="false">IF(ISNA(L2371),NA(),K1649)</f>
        <v>#N/A</v>
      </c>
      <c r="L2371" s="0" t="e">
        <f aca="false">IF(OR(L1649="",AND(L1649=L1648,L1649=L1650)),NA(), L1649)</f>
        <v>#N/A</v>
      </c>
      <c r="M2371" s="0" t="e">
        <f aca="false">IF(ISNA(N2371),NA(),M1649)</f>
        <v>#N/A</v>
      </c>
      <c r="N2371" s="0" t="e">
        <f aca="false">IF(OR(N1649="",AND(N1649=N1648,N1649=N1650)),NA(), N1649)</f>
        <v>#N/A</v>
      </c>
    </row>
    <row r="2372" customFormat="false" ht="15" hidden="false" customHeight="false" outlineLevel="0" collapsed="false">
      <c r="E2372" s="0" t="e">
        <f aca="false">IF(ISNA(F2372),NA(),E1650)</f>
        <v>#N/A</v>
      </c>
      <c r="F2372" s="0" t="e">
        <f aca="false">IF(OR(F1650="",AND(F1650=F1649,F1650=F1651)),NA(), F1650)</f>
        <v>#N/A</v>
      </c>
      <c r="G2372" s="0" t="e">
        <f aca="false">IF(ISNA(H2372),NA(),G1650)</f>
        <v>#N/A</v>
      </c>
      <c r="H2372" s="0" t="e">
        <f aca="false">IF(OR(H1650="",AND(H1650=H1649,H1650=H1651)),NA(), H1650)</f>
        <v>#N/A</v>
      </c>
      <c r="K2372" s="0" t="e">
        <f aca="false">IF(ISNA(L2372),NA(),K1650)</f>
        <v>#N/A</v>
      </c>
      <c r="L2372" s="0" t="e">
        <f aca="false">IF(OR(L1650="",AND(L1650=L1649,L1650=L1651)),NA(), L1650)</f>
        <v>#N/A</v>
      </c>
      <c r="M2372" s="0" t="e">
        <f aca="false">IF(ISNA(N2372),NA(),M1650)</f>
        <v>#N/A</v>
      </c>
      <c r="N2372" s="0" t="e">
        <f aca="false">IF(OR(N1650="",AND(N1650=N1649,N1650=N1651)),NA(), N1650)</f>
        <v>#N/A</v>
      </c>
    </row>
    <row r="2373" customFormat="false" ht="15" hidden="false" customHeight="false" outlineLevel="0" collapsed="false">
      <c r="E2373" s="0" t="e">
        <f aca="false">IF(ISNA(F2373),NA(),E1651)</f>
        <v>#N/A</v>
      </c>
      <c r="F2373" s="0" t="e">
        <f aca="false">IF(OR(F1651="",AND(F1651=F1650,F1651=F1652)),NA(), F1651)</f>
        <v>#N/A</v>
      </c>
      <c r="G2373" s="0" t="e">
        <f aca="false">IF(ISNA(H2373),NA(),G1651)</f>
        <v>#N/A</v>
      </c>
      <c r="H2373" s="0" t="e">
        <f aca="false">IF(OR(H1651="",AND(H1651=H1650,H1651=H1652)),NA(), H1651)</f>
        <v>#N/A</v>
      </c>
      <c r="K2373" s="0" t="e">
        <f aca="false">IF(ISNA(L2373),NA(),K1651)</f>
        <v>#N/A</v>
      </c>
      <c r="L2373" s="0" t="e">
        <f aca="false">IF(OR(L1651="",AND(L1651=L1650,L1651=L1652)),NA(), L1651)</f>
        <v>#N/A</v>
      </c>
      <c r="M2373" s="0" t="e">
        <f aca="false">IF(ISNA(N2373),NA(),M1651)</f>
        <v>#N/A</v>
      </c>
      <c r="N2373" s="0" t="e">
        <f aca="false">IF(OR(N1651="",AND(N1651=N1650,N1651=N1652)),NA(), N1651)</f>
        <v>#N/A</v>
      </c>
    </row>
    <row r="2374" customFormat="false" ht="15" hidden="false" customHeight="false" outlineLevel="0" collapsed="false">
      <c r="E2374" s="0" t="e">
        <f aca="false">IF(ISNA(F2374),NA(),E1652)</f>
        <v>#N/A</v>
      </c>
      <c r="F2374" s="0" t="e">
        <f aca="false">IF(OR(F1652="",AND(F1652=F1651,F1652=F1653)),NA(), F1652)</f>
        <v>#N/A</v>
      </c>
      <c r="G2374" s="0" t="e">
        <f aca="false">IF(ISNA(H2374),NA(),G1652)</f>
        <v>#N/A</v>
      </c>
      <c r="H2374" s="0" t="e">
        <f aca="false">IF(OR(H1652="",AND(H1652=H1651,H1652=H1653)),NA(), H1652)</f>
        <v>#N/A</v>
      </c>
      <c r="K2374" s="0" t="e">
        <f aca="false">IF(ISNA(L2374),NA(),K1652)</f>
        <v>#N/A</v>
      </c>
      <c r="L2374" s="0" t="e">
        <f aca="false">IF(OR(L1652="",AND(L1652=L1651,L1652=L1653)),NA(), L1652)</f>
        <v>#N/A</v>
      </c>
      <c r="M2374" s="0" t="e">
        <f aca="false">IF(ISNA(N2374),NA(),M1652)</f>
        <v>#N/A</v>
      </c>
      <c r="N2374" s="0" t="e">
        <f aca="false">IF(OR(N1652="",AND(N1652=N1651,N1652=N1653)),NA(), N1652)</f>
        <v>#N/A</v>
      </c>
    </row>
    <row r="2375" customFormat="false" ht="15" hidden="false" customHeight="false" outlineLevel="0" collapsed="false">
      <c r="E2375" s="0" t="e">
        <f aca="false">IF(ISNA(F2375),NA(),E1653)</f>
        <v>#N/A</v>
      </c>
      <c r="F2375" s="0" t="e">
        <f aca="false">IF(OR(F1653="",AND(F1653=F1652,F1653=F1654)),NA(), F1653)</f>
        <v>#N/A</v>
      </c>
      <c r="G2375" s="0" t="e">
        <f aca="false">IF(ISNA(H2375),NA(),G1653)</f>
        <v>#N/A</v>
      </c>
      <c r="H2375" s="0" t="e">
        <f aca="false">IF(OR(H1653="",AND(H1653=H1652,H1653=H1654)),NA(), H1653)</f>
        <v>#N/A</v>
      </c>
      <c r="K2375" s="0" t="e">
        <f aca="false">IF(ISNA(L2375),NA(),K1653)</f>
        <v>#N/A</v>
      </c>
      <c r="L2375" s="0" t="e">
        <f aca="false">IF(OR(L1653="",AND(L1653=L1652,L1653=L1654)),NA(), L1653)</f>
        <v>#N/A</v>
      </c>
      <c r="M2375" s="0" t="e">
        <f aca="false">IF(ISNA(N2375),NA(),M1653)</f>
        <v>#N/A</v>
      </c>
      <c r="N2375" s="0" t="e">
        <f aca="false">IF(OR(N1653="",AND(N1653=N1652,N1653=N1654)),NA(), N1653)</f>
        <v>#N/A</v>
      </c>
    </row>
    <row r="2376" customFormat="false" ht="15" hidden="false" customHeight="false" outlineLevel="0" collapsed="false">
      <c r="E2376" s="0" t="e">
        <f aca="false">IF(ISNA(F2376),NA(),E1654)</f>
        <v>#N/A</v>
      </c>
      <c r="F2376" s="0" t="e">
        <f aca="false">IF(OR(F1654="",AND(F1654=F1653,F1654=F1655)),NA(), F1654)</f>
        <v>#N/A</v>
      </c>
      <c r="G2376" s="0" t="e">
        <f aca="false">IF(ISNA(H2376),NA(),G1654)</f>
        <v>#N/A</v>
      </c>
      <c r="H2376" s="0" t="e">
        <f aca="false">IF(OR(H1654="",AND(H1654=H1653,H1654=H1655)),NA(), H1654)</f>
        <v>#N/A</v>
      </c>
      <c r="K2376" s="0" t="e">
        <f aca="false">IF(ISNA(L2376),NA(),K1654)</f>
        <v>#N/A</v>
      </c>
      <c r="L2376" s="0" t="e">
        <f aca="false">IF(OR(L1654="",AND(L1654=L1653,L1654=L1655)),NA(), L1654)</f>
        <v>#N/A</v>
      </c>
      <c r="M2376" s="0" t="e">
        <f aca="false">IF(ISNA(N2376),NA(),M1654)</f>
        <v>#N/A</v>
      </c>
      <c r="N2376" s="0" t="e">
        <f aca="false">IF(OR(N1654="",AND(N1654=N1653,N1654=N1655)),NA(), N1654)</f>
        <v>#N/A</v>
      </c>
    </row>
    <row r="2377" customFormat="false" ht="15" hidden="false" customHeight="false" outlineLevel="0" collapsed="false">
      <c r="E2377" s="0" t="e">
        <f aca="false">IF(ISNA(F2377),NA(),E1655)</f>
        <v>#N/A</v>
      </c>
      <c r="F2377" s="0" t="e">
        <f aca="false">IF(OR(F1655="",AND(F1655=F1654,F1655=F1656)),NA(), F1655)</f>
        <v>#N/A</v>
      </c>
      <c r="G2377" s="0" t="e">
        <f aca="false">IF(ISNA(H2377),NA(),G1655)</f>
        <v>#N/A</v>
      </c>
      <c r="H2377" s="0" t="e">
        <f aca="false">IF(OR(H1655="",AND(H1655=H1654,H1655=H1656)),NA(), H1655)</f>
        <v>#N/A</v>
      </c>
      <c r="K2377" s="0" t="e">
        <f aca="false">IF(ISNA(L2377),NA(),K1655)</f>
        <v>#N/A</v>
      </c>
      <c r="L2377" s="0" t="e">
        <f aca="false">IF(OR(L1655="",AND(L1655=L1654,L1655=L1656)),NA(), L1655)</f>
        <v>#N/A</v>
      </c>
      <c r="M2377" s="0" t="e">
        <f aca="false">IF(ISNA(N2377),NA(),M1655)</f>
        <v>#N/A</v>
      </c>
      <c r="N2377" s="0" t="e">
        <f aca="false">IF(OR(N1655="",AND(N1655=N1654,N1655=N1656)),NA(), N1655)</f>
        <v>#N/A</v>
      </c>
    </row>
    <row r="2378" customFormat="false" ht="15" hidden="false" customHeight="false" outlineLevel="0" collapsed="false">
      <c r="E2378" s="0" t="e">
        <f aca="false">IF(ISNA(F2378),NA(),E1656)</f>
        <v>#N/A</v>
      </c>
      <c r="F2378" s="0" t="e">
        <f aca="false">IF(OR(F1656="",AND(F1656=F1655,F1656=F1657)),NA(), F1656)</f>
        <v>#N/A</v>
      </c>
      <c r="G2378" s="0" t="e">
        <f aca="false">IF(ISNA(H2378),NA(),G1656)</f>
        <v>#N/A</v>
      </c>
      <c r="H2378" s="0" t="e">
        <f aca="false">IF(OR(H1656="",AND(H1656=H1655,H1656=H1657)),NA(), H1656)</f>
        <v>#N/A</v>
      </c>
      <c r="K2378" s="0" t="e">
        <f aca="false">IF(ISNA(L2378),NA(),K1656)</f>
        <v>#N/A</v>
      </c>
      <c r="L2378" s="0" t="e">
        <f aca="false">IF(OR(L1656="",AND(L1656=L1655,L1656=L1657)),NA(), L1656)</f>
        <v>#N/A</v>
      </c>
      <c r="M2378" s="0" t="e">
        <f aca="false">IF(ISNA(N2378),NA(),M1656)</f>
        <v>#N/A</v>
      </c>
      <c r="N2378" s="0" t="e">
        <f aca="false">IF(OR(N1656="",AND(N1656=N1655,N1656=N1657)),NA(), N1656)</f>
        <v>#N/A</v>
      </c>
    </row>
    <row r="2379" customFormat="false" ht="15" hidden="false" customHeight="false" outlineLevel="0" collapsed="false">
      <c r="E2379" s="0" t="e">
        <f aca="false">IF(ISNA(F2379),NA(),E1657)</f>
        <v>#N/A</v>
      </c>
      <c r="F2379" s="0" t="e">
        <f aca="false">IF(OR(F1657="",AND(F1657=F1656,F1657=F1658)),NA(), F1657)</f>
        <v>#N/A</v>
      </c>
      <c r="G2379" s="0" t="e">
        <f aca="false">IF(ISNA(H2379),NA(),G1657)</f>
        <v>#N/A</v>
      </c>
      <c r="H2379" s="0" t="e">
        <f aca="false">IF(OR(H1657="",AND(H1657=H1656,H1657=H1658)),NA(), H1657)</f>
        <v>#N/A</v>
      </c>
      <c r="K2379" s="0" t="e">
        <f aca="false">IF(ISNA(L2379),NA(),K1657)</f>
        <v>#N/A</v>
      </c>
      <c r="L2379" s="0" t="e">
        <f aca="false">IF(OR(L1657="",AND(L1657=L1656,L1657=L1658)),NA(), L1657)</f>
        <v>#N/A</v>
      </c>
      <c r="M2379" s="0" t="e">
        <f aca="false">IF(ISNA(N2379),NA(),M1657)</f>
        <v>#N/A</v>
      </c>
      <c r="N2379" s="0" t="e">
        <f aca="false">IF(OR(N1657="",AND(N1657=N1656,N1657=N1658)),NA(), N1657)</f>
        <v>#N/A</v>
      </c>
    </row>
    <row r="2380" customFormat="false" ht="15" hidden="false" customHeight="false" outlineLevel="0" collapsed="false">
      <c r="E2380" s="0" t="e">
        <f aca="false">IF(ISNA(F2380),NA(),E1658)</f>
        <v>#N/A</v>
      </c>
      <c r="F2380" s="0" t="e">
        <f aca="false">IF(OR(F1658="",AND(F1658=F1657,F1658=F1659)),NA(), F1658)</f>
        <v>#N/A</v>
      </c>
      <c r="G2380" s="0" t="e">
        <f aca="false">IF(ISNA(H2380),NA(),G1658)</f>
        <v>#N/A</v>
      </c>
      <c r="H2380" s="0" t="e">
        <f aca="false">IF(OR(H1658="",AND(H1658=H1657,H1658=H1659)),NA(), H1658)</f>
        <v>#N/A</v>
      </c>
      <c r="K2380" s="0" t="e">
        <f aca="false">IF(ISNA(L2380),NA(),K1658)</f>
        <v>#N/A</v>
      </c>
      <c r="L2380" s="0" t="e">
        <f aca="false">IF(OR(L1658="",AND(L1658=L1657,L1658=L1659)),NA(), L1658)</f>
        <v>#N/A</v>
      </c>
      <c r="M2380" s="0" t="e">
        <f aca="false">IF(ISNA(N2380),NA(),M1658)</f>
        <v>#N/A</v>
      </c>
      <c r="N2380" s="0" t="e">
        <f aca="false">IF(OR(N1658="",AND(N1658=N1657,N1658=N1659)),NA(), N1658)</f>
        <v>#N/A</v>
      </c>
    </row>
    <row r="2381" customFormat="false" ht="15" hidden="false" customHeight="false" outlineLevel="0" collapsed="false">
      <c r="E2381" s="0" t="e">
        <f aca="false">IF(ISNA(F2381),NA(),E1659)</f>
        <v>#N/A</v>
      </c>
      <c r="F2381" s="0" t="e">
        <f aca="false">IF(OR(F1659="",AND(F1659=F1658,F1659=F1660)),NA(), F1659)</f>
        <v>#N/A</v>
      </c>
      <c r="G2381" s="0" t="e">
        <f aca="false">IF(ISNA(H2381),NA(),G1659)</f>
        <v>#N/A</v>
      </c>
      <c r="H2381" s="0" t="e">
        <f aca="false">IF(OR(H1659="",AND(H1659=H1658,H1659=H1660)),NA(), H1659)</f>
        <v>#N/A</v>
      </c>
      <c r="K2381" s="0" t="e">
        <f aca="false">IF(ISNA(L2381),NA(),K1659)</f>
        <v>#N/A</v>
      </c>
      <c r="L2381" s="0" t="e">
        <f aca="false">IF(OR(L1659="",AND(L1659=L1658,L1659=L1660)),NA(), L1659)</f>
        <v>#N/A</v>
      </c>
      <c r="M2381" s="0" t="e">
        <f aca="false">IF(ISNA(N2381),NA(),M1659)</f>
        <v>#N/A</v>
      </c>
      <c r="N2381" s="0" t="e">
        <f aca="false">IF(OR(N1659="",AND(N1659=N1658,N1659=N1660)),NA(), N1659)</f>
        <v>#N/A</v>
      </c>
    </row>
    <row r="2382" customFormat="false" ht="15" hidden="false" customHeight="false" outlineLevel="0" collapsed="false">
      <c r="E2382" s="0" t="e">
        <f aca="false">IF(ISNA(F2382),NA(),E1660)</f>
        <v>#N/A</v>
      </c>
      <c r="F2382" s="0" t="e">
        <f aca="false">IF(OR(F1660="",AND(F1660=F1659,F1660=F1661)),NA(), F1660)</f>
        <v>#N/A</v>
      </c>
      <c r="G2382" s="0" t="e">
        <f aca="false">IF(ISNA(H2382),NA(),G1660)</f>
        <v>#N/A</v>
      </c>
      <c r="H2382" s="0" t="e">
        <f aca="false">IF(OR(H1660="",AND(H1660=H1659,H1660=H1661)),NA(), H1660)</f>
        <v>#N/A</v>
      </c>
      <c r="K2382" s="0" t="e">
        <f aca="false">IF(ISNA(L2382),NA(),K1660)</f>
        <v>#N/A</v>
      </c>
      <c r="L2382" s="0" t="e">
        <f aca="false">IF(OR(L1660="",AND(L1660=L1659,L1660=L1661)),NA(), L1660)</f>
        <v>#N/A</v>
      </c>
      <c r="M2382" s="0" t="e">
        <f aca="false">IF(ISNA(N2382),NA(),M1660)</f>
        <v>#N/A</v>
      </c>
      <c r="N2382" s="0" t="e">
        <f aca="false">IF(OR(N1660="",AND(N1660=N1659,N1660=N1661)),NA(), N1660)</f>
        <v>#N/A</v>
      </c>
    </row>
    <row r="2383" customFormat="false" ht="15" hidden="false" customHeight="false" outlineLevel="0" collapsed="false">
      <c r="E2383" s="0" t="e">
        <f aca="false">IF(ISNA(F2383),NA(),E1661)</f>
        <v>#N/A</v>
      </c>
      <c r="F2383" s="0" t="e">
        <f aca="false">IF(OR(F1661="",AND(F1661=F1660,F1661=F1662)),NA(), F1661)</f>
        <v>#N/A</v>
      </c>
      <c r="G2383" s="0" t="e">
        <f aca="false">IF(ISNA(H2383),NA(),G1661)</f>
        <v>#N/A</v>
      </c>
      <c r="H2383" s="0" t="e">
        <f aca="false">IF(OR(H1661="",AND(H1661=H1660,H1661=H1662)),NA(), H1661)</f>
        <v>#N/A</v>
      </c>
      <c r="K2383" s="0" t="e">
        <f aca="false">IF(ISNA(L2383),NA(),K1661)</f>
        <v>#N/A</v>
      </c>
      <c r="L2383" s="0" t="e">
        <f aca="false">IF(OR(L1661="",AND(L1661=L1660,L1661=L1662)),NA(), L1661)</f>
        <v>#N/A</v>
      </c>
      <c r="M2383" s="0" t="e">
        <f aca="false">IF(ISNA(N2383),NA(),M1661)</f>
        <v>#N/A</v>
      </c>
      <c r="N2383" s="0" t="e">
        <f aca="false">IF(OR(N1661="",AND(N1661=N1660,N1661=N1662)),NA(), N1661)</f>
        <v>#N/A</v>
      </c>
    </row>
    <row r="2384" customFormat="false" ht="15" hidden="false" customHeight="false" outlineLevel="0" collapsed="false">
      <c r="E2384" s="0" t="e">
        <f aca="false">IF(ISNA(F2384),NA(),E1662)</f>
        <v>#N/A</v>
      </c>
      <c r="F2384" s="0" t="e">
        <f aca="false">IF(OR(F1662="",AND(F1662=F1661,F1662=F1663)),NA(), F1662)</f>
        <v>#N/A</v>
      </c>
      <c r="G2384" s="0" t="e">
        <f aca="false">IF(ISNA(H2384),NA(),G1662)</f>
        <v>#N/A</v>
      </c>
      <c r="H2384" s="0" t="e">
        <f aca="false">IF(OR(H1662="",AND(H1662=H1661,H1662=H1663)),NA(), H1662)</f>
        <v>#N/A</v>
      </c>
      <c r="K2384" s="0" t="e">
        <f aca="false">IF(ISNA(L2384),NA(),K1662)</f>
        <v>#N/A</v>
      </c>
      <c r="L2384" s="0" t="e">
        <f aca="false">IF(OR(L1662="",AND(L1662=L1661,L1662=L1663)),NA(), L1662)</f>
        <v>#N/A</v>
      </c>
      <c r="M2384" s="0" t="e">
        <f aca="false">IF(ISNA(N2384),NA(),M1662)</f>
        <v>#N/A</v>
      </c>
      <c r="N2384" s="0" t="e">
        <f aca="false">IF(OR(N1662="",AND(N1662=N1661,N1662=N1663)),NA(), N1662)</f>
        <v>#N/A</v>
      </c>
    </row>
    <row r="2385" customFormat="false" ht="15" hidden="false" customHeight="false" outlineLevel="0" collapsed="false">
      <c r="E2385" s="0" t="e">
        <f aca="false">IF(ISNA(F2385),NA(),E1663)</f>
        <v>#N/A</v>
      </c>
      <c r="F2385" s="0" t="e">
        <f aca="false">IF(OR(F1663="",AND(F1663=F1662,F1663=F1664)),NA(), F1663)</f>
        <v>#N/A</v>
      </c>
      <c r="G2385" s="0" t="e">
        <f aca="false">IF(ISNA(H2385),NA(),G1663)</f>
        <v>#N/A</v>
      </c>
      <c r="H2385" s="0" t="e">
        <f aca="false">IF(OR(H1663="",AND(H1663=H1662,H1663=H1664)),NA(), H1663)</f>
        <v>#N/A</v>
      </c>
      <c r="K2385" s="0" t="e">
        <f aca="false">IF(ISNA(L2385),NA(),K1663)</f>
        <v>#N/A</v>
      </c>
      <c r="L2385" s="0" t="e">
        <f aca="false">IF(OR(L1663="",AND(L1663=L1662,L1663=L1664)),NA(), L1663)</f>
        <v>#N/A</v>
      </c>
      <c r="M2385" s="0" t="e">
        <f aca="false">IF(ISNA(N2385),NA(),M1663)</f>
        <v>#N/A</v>
      </c>
      <c r="N2385" s="0" t="e">
        <f aca="false">IF(OR(N1663="",AND(N1663=N1662,N1663=N1664)),NA(), N1663)</f>
        <v>#N/A</v>
      </c>
    </row>
    <row r="2386" customFormat="false" ht="15" hidden="false" customHeight="false" outlineLevel="0" collapsed="false">
      <c r="E2386" s="0" t="e">
        <f aca="false">IF(ISNA(F2386),NA(),E1664)</f>
        <v>#N/A</v>
      </c>
      <c r="F2386" s="0" t="e">
        <f aca="false">IF(OR(F1664="",AND(F1664=F1663,F1664=F1665)),NA(), F1664)</f>
        <v>#N/A</v>
      </c>
      <c r="G2386" s="0" t="e">
        <f aca="false">IF(ISNA(H2386),NA(),G1664)</f>
        <v>#N/A</v>
      </c>
      <c r="H2386" s="0" t="e">
        <f aca="false">IF(OR(H1664="",AND(H1664=H1663,H1664=H1665)),NA(), H1664)</f>
        <v>#N/A</v>
      </c>
      <c r="K2386" s="0" t="e">
        <f aca="false">IF(ISNA(L2386),NA(),K1664)</f>
        <v>#N/A</v>
      </c>
      <c r="L2386" s="0" t="e">
        <f aca="false">IF(OR(L1664="",AND(L1664=L1663,L1664=L1665)),NA(), L1664)</f>
        <v>#N/A</v>
      </c>
      <c r="M2386" s="0" t="e">
        <f aca="false">IF(ISNA(N2386),NA(),M1664)</f>
        <v>#N/A</v>
      </c>
      <c r="N2386" s="0" t="e">
        <f aca="false">IF(OR(N1664="",AND(N1664=N1663,N1664=N1665)),NA(), N1664)</f>
        <v>#N/A</v>
      </c>
    </row>
    <row r="2387" customFormat="false" ht="15" hidden="false" customHeight="false" outlineLevel="0" collapsed="false">
      <c r="E2387" s="0" t="e">
        <f aca="false">IF(ISNA(F2387),NA(),E1665)</f>
        <v>#N/A</v>
      </c>
      <c r="F2387" s="0" t="e">
        <f aca="false">IF(OR(F1665="",AND(F1665=F1664,F1665=F1666)),NA(), F1665)</f>
        <v>#N/A</v>
      </c>
      <c r="G2387" s="0" t="e">
        <f aca="false">IF(ISNA(H2387),NA(),G1665)</f>
        <v>#N/A</v>
      </c>
      <c r="H2387" s="0" t="e">
        <f aca="false">IF(OR(H1665="",AND(H1665=H1664,H1665=H1666)),NA(), H1665)</f>
        <v>#N/A</v>
      </c>
      <c r="K2387" s="0" t="e">
        <f aca="false">IF(ISNA(L2387),NA(),K1665)</f>
        <v>#N/A</v>
      </c>
      <c r="L2387" s="0" t="e">
        <f aca="false">IF(OR(L1665="",AND(L1665=L1664,L1665=L1666)),NA(), L1665)</f>
        <v>#N/A</v>
      </c>
      <c r="M2387" s="0" t="e">
        <f aca="false">IF(ISNA(N2387),NA(),M1665)</f>
        <v>#N/A</v>
      </c>
      <c r="N2387" s="0" t="e">
        <f aca="false">IF(OR(N1665="",AND(N1665=N1664,N1665=N1666)),NA(), N1665)</f>
        <v>#N/A</v>
      </c>
    </row>
    <row r="2388" customFormat="false" ht="15" hidden="false" customHeight="false" outlineLevel="0" collapsed="false">
      <c r="E2388" s="0" t="e">
        <f aca="false">IF(ISNA(F2388),NA(),E1666)</f>
        <v>#N/A</v>
      </c>
      <c r="F2388" s="0" t="e">
        <f aca="false">IF(OR(F1666="",AND(F1666=F1665,F1666=F1667)),NA(), F1666)</f>
        <v>#N/A</v>
      </c>
      <c r="G2388" s="0" t="e">
        <f aca="false">IF(ISNA(H2388),NA(),G1666)</f>
        <v>#N/A</v>
      </c>
      <c r="H2388" s="0" t="e">
        <f aca="false">IF(OR(H1666="",AND(H1666=H1665,H1666=H1667)),NA(), H1666)</f>
        <v>#N/A</v>
      </c>
      <c r="K2388" s="0" t="e">
        <f aca="false">IF(ISNA(L2388),NA(),K1666)</f>
        <v>#N/A</v>
      </c>
      <c r="L2388" s="0" t="e">
        <f aca="false">IF(OR(L1666="",AND(L1666=L1665,L1666=L1667)),NA(), L1666)</f>
        <v>#N/A</v>
      </c>
      <c r="M2388" s="0" t="e">
        <f aca="false">IF(ISNA(N2388),NA(),M1666)</f>
        <v>#N/A</v>
      </c>
      <c r="N2388" s="0" t="e">
        <f aca="false">IF(OR(N1666="",AND(N1666=N1665,N1666=N1667)),NA(), N1666)</f>
        <v>#N/A</v>
      </c>
    </row>
    <row r="2389" customFormat="false" ht="15" hidden="false" customHeight="false" outlineLevel="0" collapsed="false">
      <c r="E2389" s="0" t="e">
        <f aca="false">IF(ISNA(F2389),NA(),E1667)</f>
        <v>#N/A</v>
      </c>
      <c r="F2389" s="0" t="e">
        <f aca="false">IF(OR(F1667="",AND(F1667=F1666,F1667=F1668)),NA(), F1667)</f>
        <v>#N/A</v>
      </c>
      <c r="G2389" s="0" t="e">
        <f aca="false">IF(ISNA(H2389),NA(),G1667)</f>
        <v>#N/A</v>
      </c>
      <c r="H2389" s="0" t="e">
        <f aca="false">IF(OR(H1667="",AND(H1667=H1666,H1667=H1668)),NA(), H1667)</f>
        <v>#N/A</v>
      </c>
      <c r="K2389" s="0" t="e">
        <f aca="false">IF(ISNA(L2389),NA(),K1667)</f>
        <v>#N/A</v>
      </c>
      <c r="L2389" s="0" t="e">
        <f aca="false">IF(OR(L1667="",AND(L1667=L1666,L1667=L1668)),NA(), L1667)</f>
        <v>#N/A</v>
      </c>
      <c r="M2389" s="0" t="e">
        <f aca="false">IF(ISNA(N2389),NA(),M1667)</f>
        <v>#N/A</v>
      </c>
      <c r="N2389" s="0" t="e">
        <f aca="false">IF(OR(N1667="",AND(N1667=N1666,N1667=N1668)),NA(), N1667)</f>
        <v>#N/A</v>
      </c>
    </row>
    <row r="2390" customFormat="false" ht="15" hidden="false" customHeight="false" outlineLevel="0" collapsed="false">
      <c r="E2390" s="0" t="e">
        <f aca="false">IF(ISNA(F2390),NA(),E1668)</f>
        <v>#N/A</v>
      </c>
      <c r="F2390" s="0" t="e">
        <f aca="false">IF(OR(F1668="",AND(F1668=F1667,F1668=F1669)),NA(), F1668)</f>
        <v>#N/A</v>
      </c>
      <c r="G2390" s="0" t="e">
        <f aca="false">IF(ISNA(H2390),NA(),G1668)</f>
        <v>#N/A</v>
      </c>
      <c r="H2390" s="0" t="e">
        <f aca="false">IF(OR(H1668="",AND(H1668=H1667,H1668=H1669)),NA(), H1668)</f>
        <v>#N/A</v>
      </c>
      <c r="K2390" s="0" t="e">
        <f aca="false">IF(ISNA(L2390),NA(),K1668)</f>
        <v>#N/A</v>
      </c>
      <c r="L2390" s="0" t="e">
        <f aca="false">IF(OR(L1668="",AND(L1668=L1667,L1668=L1669)),NA(), L1668)</f>
        <v>#N/A</v>
      </c>
      <c r="M2390" s="0" t="e">
        <f aca="false">IF(ISNA(N2390),NA(),M1668)</f>
        <v>#N/A</v>
      </c>
      <c r="N2390" s="0" t="e">
        <f aca="false">IF(OR(N1668="",AND(N1668=N1667,N1668=N1669)),NA(), N1668)</f>
        <v>#N/A</v>
      </c>
    </row>
    <row r="2391" customFormat="false" ht="15" hidden="false" customHeight="false" outlineLevel="0" collapsed="false">
      <c r="E2391" s="0" t="e">
        <f aca="false">IF(ISNA(F2391),NA(),E1669)</f>
        <v>#N/A</v>
      </c>
      <c r="F2391" s="0" t="e">
        <f aca="false">IF(OR(F1669="",AND(F1669=F1668,F1669=F1670)),NA(), F1669)</f>
        <v>#N/A</v>
      </c>
      <c r="G2391" s="0" t="e">
        <f aca="false">IF(ISNA(H2391),NA(),G1669)</f>
        <v>#N/A</v>
      </c>
      <c r="H2391" s="0" t="e">
        <f aca="false">IF(OR(H1669="",AND(H1669=H1668,H1669=H1670)),NA(), H1669)</f>
        <v>#N/A</v>
      </c>
      <c r="K2391" s="0" t="e">
        <f aca="false">IF(ISNA(L2391),NA(),K1669)</f>
        <v>#N/A</v>
      </c>
      <c r="L2391" s="0" t="e">
        <f aca="false">IF(OR(L1669="",AND(L1669=L1668,L1669=L1670)),NA(), L1669)</f>
        <v>#N/A</v>
      </c>
      <c r="M2391" s="0" t="e">
        <f aca="false">IF(ISNA(N2391),NA(),M1669)</f>
        <v>#N/A</v>
      </c>
      <c r="N2391" s="0" t="e">
        <f aca="false">IF(OR(N1669="",AND(N1669=N1668,N1669=N1670)),NA(), N1669)</f>
        <v>#N/A</v>
      </c>
    </row>
    <row r="2392" customFormat="false" ht="15" hidden="false" customHeight="false" outlineLevel="0" collapsed="false">
      <c r="E2392" s="0" t="e">
        <f aca="false">IF(ISNA(F2392),NA(),E1670)</f>
        <v>#N/A</v>
      </c>
      <c r="F2392" s="0" t="e">
        <f aca="false">IF(OR(F1670="",AND(F1670=F1669,F1670=F1671)),NA(), F1670)</f>
        <v>#N/A</v>
      </c>
      <c r="G2392" s="0" t="e">
        <f aca="false">IF(ISNA(H2392),NA(),G1670)</f>
        <v>#N/A</v>
      </c>
      <c r="H2392" s="0" t="e">
        <f aca="false">IF(OR(H1670="",AND(H1670=H1669,H1670=H1671)),NA(), H1670)</f>
        <v>#N/A</v>
      </c>
      <c r="K2392" s="0" t="e">
        <f aca="false">IF(ISNA(L2392),NA(),K1670)</f>
        <v>#N/A</v>
      </c>
      <c r="L2392" s="0" t="e">
        <f aca="false">IF(OR(L1670="",AND(L1670=L1669,L1670=L1671)),NA(), L1670)</f>
        <v>#N/A</v>
      </c>
      <c r="M2392" s="0" t="e">
        <f aca="false">IF(ISNA(N2392),NA(),M1670)</f>
        <v>#N/A</v>
      </c>
      <c r="N2392" s="0" t="e">
        <f aca="false">IF(OR(N1670="",AND(N1670=N1669,N1670=N1671)),NA(), N1670)</f>
        <v>#N/A</v>
      </c>
    </row>
    <row r="2393" customFormat="false" ht="15" hidden="false" customHeight="false" outlineLevel="0" collapsed="false">
      <c r="E2393" s="0" t="e">
        <f aca="false">IF(ISNA(F2393),NA(),E1671)</f>
        <v>#N/A</v>
      </c>
      <c r="F2393" s="0" t="e">
        <f aca="false">IF(OR(F1671="",AND(F1671=F1670,F1671=F1672)),NA(), F1671)</f>
        <v>#N/A</v>
      </c>
      <c r="G2393" s="0" t="e">
        <f aca="false">IF(ISNA(H2393),NA(),G1671)</f>
        <v>#N/A</v>
      </c>
      <c r="H2393" s="0" t="e">
        <f aca="false">IF(OR(H1671="",AND(H1671=H1670,H1671=H1672)),NA(), H1671)</f>
        <v>#N/A</v>
      </c>
      <c r="K2393" s="0" t="e">
        <f aca="false">IF(ISNA(L2393),NA(),K1671)</f>
        <v>#N/A</v>
      </c>
      <c r="L2393" s="0" t="e">
        <f aca="false">IF(OR(L1671="",AND(L1671=L1670,L1671=L1672)),NA(), L1671)</f>
        <v>#N/A</v>
      </c>
      <c r="M2393" s="0" t="e">
        <f aca="false">IF(ISNA(N2393),NA(),M1671)</f>
        <v>#N/A</v>
      </c>
      <c r="N2393" s="0" t="e">
        <f aca="false">IF(OR(N1671="",AND(N1671=N1670,N1671=N1672)),NA(), N1671)</f>
        <v>#N/A</v>
      </c>
    </row>
    <row r="2394" customFormat="false" ht="15" hidden="false" customHeight="false" outlineLevel="0" collapsed="false">
      <c r="E2394" s="0" t="e">
        <f aca="false">IF(ISNA(F2394),NA(),E1672)</f>
        <v>#N/A</v>
      </c>
      <c r="F2394" s="0" t="e">
        <f aca="false">IF(OR(F1672="",AND(F1672=F1671,F1672=F1673)),NA(), F1672)</f>
        <v>#N/A</v>
      </c>
      <c r="G2394" s="0" t="e">
        <f aca="false">IF(ISNA(H2394),NA(),G1672)</f>
        <v>#N/A</v>
      </c>
      <c r="H2394" s="0" t="e">
        <f aca="false">IF(OR(H1672="",AND(H1672=H1671,H1672=H1673)),NA(), H1672)</f>
        <v>#N/A</v>
      </c>
      <c r="K2394" s="0" t="e">
        <f aca="false">IF(ISNA(L2394),NA(),K1672)</f>
        <v>#N/A</v>
      </c>
      <c r="L2394" s="0" t="e">
        <f aca="false">IF(OR(L1672="",AND(L1672=L1671,L1672=L1673)),NA(), L1672)</f>
        <v>#N/A</v>
      </c>
      <c r="M2394" s="0" t="e">
        <f aca="false">IF(ISNA(N2394),NA(),M1672)</f>
        <v>#N/A</v>
      </c>
      <c r="N2394" s="0" t="e">
        <f aca="false">IF(OR(N1672="",AND(N1672=N1671,N1672=N1673)),NA(), N1672)</f>
        <v>#N/A</v>
      </c>
    </row>
    <row r="2395" customFormat="false" ht="15" hidden="false" customHeight="false" outlineLevel="0" collapsed="false">
      <c r="E2395" s="0" t="e">
        <f aca="false">IF(ISNA(F2395),NA(),E1673)</f>
        <v>#N/A</v>
      </c>
      <c r="F2395" s="0" t="e">
        <f aca="false">IF(OR(F1673="",AND(F1673=F1672,F1673=F1674)),NA(), F1673)</f>
        <v>#N/A</v>
      </c>
      <c r="G2395" s="0" t="e">
        <f aca="false">IF(ISNA(H2395),NA(),G1673)</f>
        <v>#N/A</v>
      </c>
      <c r="H2395" s="0" t="e">
        <f aca="false">IF(OR(H1673="",AND(H1673=H1672,H1673=H1674)),NA(), H1673)</f>
        <v>#N/A</v>
      </c>
      <c r="K2395" s="0" t="e">
        <f aca="false">IF(ISNA(L2395),NA(),K1673)</f>
        <v>#N/A</v>
      </c>
      <c r="L2395" s="0" t="e">
        <f aca="false">IF(OR(L1673="",AND(L1673=L1672,L1673=L1674)),NA(), L1673)</f>
        <v>#N/A</v>
      </c>
      <c r="M2395" s="0" t="e">
        <f aca="false">IF(ISNA(N2395),NA(),M1673)</f>
        <v>#N/A</v>
      </c>
      <c r="N2395" s="0" t="e">
        <f aca="false">IF(OR(N1673="",AND(N1673=N1672,N1673=N1674)),NA(), N1673)</f>
        <v>#N/A</v>
      </c>
    </row>
    <row r="2396" customFormat="false" ht="15" hidden="false" customHeight="false" outlineLevel="0" collapsed="false">
      <c r="E2396" s="0" t="e">
        <f aca="false">IF(ISNA(F2396),NA(),E1674)</f>
        <v>#N/A</v>
      </c>
      <c r="F2396" s="0" t="e">
        <f aca="false">IF(OR(F1674="",AND(F1674=F1673,F1674=F1675)),NA(), F1674)</f>
        <v>#N/A</v>
      </c>
      <c r="G2396" s="0" t="e">
        <f aca="false">IF(ISNA(H2396),NA(),G1674)</f>
        <v>#N/A</v>
      </c>
      <c r="H2396" s="0" t="e">
        <f aca="false">IF(OR(H1674="",AND(H1674=H1673,H1674=H1675)),NA(), H1674)</f>
        <v>#N/A</v>
      </c>
      <c r="K2396" s="0" t="e">
        <f aca="false">IF(ISNA(L2396),NA(),K1674)</f>
        <v>#N/A</v>
      </c>
      <c r="L2396" s="0" t="e">
        <f aca="false">IF(OR(L1674="",AND(L1674=L1673,L1674=L1675)),NA(), L1674)</f>
        <v>#N/A</v>
      </c>
      <c r="M2396" s="0" t="e">
        <f aca="false">IF(ISNA(N2396),NA(),M1674)</f>
        <v>#N/A</v>
      </c>
      <c r="N2396" s="0" t="e">
        <f aca="false">IF(OR(N1674="",AND(N1674=N1673,N1674=N1675)),NA(), N1674)</f>
        <v>#N/A</v>
      </c>
    </row>
    <row r="2397" customFormat="false" ht="15" hidden="false" customHeight="false" outlineLevel="0" collapsed="false">
      <c r="E2397" s="0" t="e">
        <f aca="false">IF(ISNA(F2397),NA(),E1675)</f>
        <v>#N/A</v>
      </c>
      <c r="F2397" s="0" t="e">
        <f aca="false">IF(OR(F1675="",AND(F1675=F1674,F1675=F1676)),NA(), F1675)</f>
        <v>#N/A</v>
      </c>
      <c r="G2397" s="0" t="e">
        <f aca="false">IF(ISNA(H2397),NA(),G1675)</f>
        <v>#N/A</v>
      </c>
      <c r="H2397" s="0" t="e">
        <f aca="false">IF(OR(H1675="",AND(H1675=H1674,H1675=H1676)),NA(), H1675)</f>
        <v>#N/A</v>
      </c>
      <c r="K2397" s="0" t="e">
        <f aca="false">IF(ISNA(L2397),NA(),K1675)</f>
        <v>#N/A</v>
      </c>
      <c r="L2397" s="0" t="e">
        <f aca="false">IF(OR(L1675="",AND(L1675=L1674,L1675=L1676)),NA(), L1675)</f>
        <v>#N/A</v>
      </c>
      <c r="M2397" s="0" t="e">
        <f aca="false">IF(ISNA(N2397),NA(),M1675)</f>
        <v>#N/A</v>
      </c>
      <c r="N2397" s="0" t="e">
        <f aca="false">IF(OR(N1675="",AND(N1675=N1674,N1675=N1676)),NA(), N1675)</f>
        <v>#N/A</v>
      </c>
    </row>
    <row r="2398" customFormat="false" ht="15" hidden="false" customHeight="false" outlineLevel="0" collapsed="false">
      <c r="E2398" s="0" t="e">
        <f aca="false">IF(ISNA(F2398),NA(),E1676)</f>
        <v>#N/A</v>
      </c>
      <c r="F2398" s="0" t="e">
        <f aca="false">IF(OR(F1676="",AND(F1676=F1675,F1676=F1677)),NA(), F1676)</f>
        <v>#N/A</v>
      </c>
      <c r="G2398" s="0" t="e">
        <f aca="false">IF(ISNA(H2398),NA(),G1676)</f>
        <v>#N/A</v>
      </c>
      <c r="H2398" s="0" t="e">
        <f aca="false">IF(OR(H1676="",AND(H1676=H1675,H1676=H1677)),NA(), H1676)</f>
        <v>#N/A</v>
      </c>
      <c r="K2398" s="0" t="e">
        <f aca="false">IF(ISNA(L2398),NA(),K1676)</f>
        <v>#N/A</v>
      </c>
      <c r="L2398" s="0" t="e">
        <f aca="false">IF(OR(L1676="",AND(L1676=L1675,L1676=L1677)),NA(), L1676)</f>
        <v>#N/A</v>
      </c>
      <c r="M2398" s="0" t="e">
        <f aca="false">IF(ISNA(N2398),NA(),M1676)</f>
        <v>#N/A</v>
      </c>
      <c r="N2398" s="0" t="e">
        <f aca="false">IF(OR(N1676="",AND(N1676=N1675,N1676=N1677)),NA(), N1676)</f>
        <v>#N/A</v>
      </c>
    </row>
    <row r="2399" customFormat="false" ht="15" hidden="false" customHeight="false" outlineLevel="0" collapsed="false">
      <c r="E2399" s="0" t="e">
        <f aca="false">IF(ISNA(F2399),NA(),E1677)</f>
        <v>#N/A</v>
      </c>
      <c r="F2399" s="0" t="e">
        <f aca="false">IF(OR(F1677="",AND(F1677=F1676,F1677=F1678)),NA(), F1677)</f>
        <v>#N/A</v>
      </c>
      <c r="G2399" s="0" t="e">
        <f aca="false">IF(ISNA(H2399),NA(),G1677)</f>
        <v>#N/A</v>
      </c>
      <c r="H2399" s="0" t="e">
        <f aca="false">IF(OR(H1677="",AND(H1677=H1676,H1677=H1678)),NA(), H1677)</f>
        <v>#N/A</v>
      </c>
      <c r="K2399" s="0" t="e">
        <f aca="false">IF(ISNA(L2399),NA(),K1677)</f>
        <v>#N/A</v>
      </c>
      <c r="L2399" s="0" t="e">
        <f aca="false">IF(OR(L1677="",AND(L1677=L1676,L1677=L1678)),NA(), L1677)</f>
        <v>#N/A</v>
      </c>
      <c r="M2399" s="0" t="e">
        <f aca="false">IF(ISNA(N2399),NA(),M1677)</f>
        <v>#N/A</v>
      </c>
      <c r="N2399" s="0" t="e">
        <f aca="false">IF(OR(N1677="",AND(N1677=N1676,N1677=N1678)),NA(), N1677)</f>
        <v>#N/A</v>
      </c>
    </row>
    <row r="2400" customFormat="false" ht="15" hidden="false" customHeight="false" outlineLevel="0" collapsed="false">
      <c r="E2400" s="0" t="e">
        <f aca="false">IF(ISNA(F2400),NA(),E1678)</f>
        <v>#N/A</v>
      </c>
      <c r="F2400" s="0" t="e">
        <f aca="false">IF(OR(F1678="",AND(F1678=F1677,F1678=F1679)),NA(), F1678)</f>
        <v>#N/A</v>
      </c>
      <c r="G2400" s="0" t="e">
        <f aca="false">IF(ISNA(H2400),NA(),G1678)</f>
        <v>#N/A</v>
      </c>
      <c r="H2400" s="0" t="e">
        <f aca="false">IF(OR(H1678="",AND(H1678=H1677,H1678=H1679)),NA(), H1678)</f>
        <v>#N/A</v>
      </c>
      <c r="K2400" s="0" t="e">
        <f aca="false">IF(ISNA(L2400),NA(),K1678)</f>
        <v>#N/A</v>
      </c>
      <c r="L2400" s="0" t="e">
        <f aca="false">IF(OR(L1678="",AND(L1678=L1677,L1678=L1679)),NA(), L1678)</f>
        <v>#N/A</v>
      </c>
      <c r="M2400" s="0" t="e">
        <f aca="false">IF(ISNA(N2400),NA(),M1678)</f>
        <v>#N/A</v>
      </c>
      <c r="N2400" s="0" t="e">
        <f aca="false">IF(OR(N1678="",AND(N1678=N1677,N1678=N1679)),NA(), N1678)</f>
        <v>#N/A</v>
      </c>
    </row>
    <row r="2401" customFormat="false" ht="15" hidden="false" customHeight="false" outlineLevel="0" collapsed="false">
      <c r="E2401" s="0" t="e">
        <f aca="false">IF(ISNA(F2401),NA(),E1679)</f>
        <v>#N/A</v>
      </c>
      <c r="F2401" s="0" t="e">
        <f aca="false">IF(OR(F1679="",AND(F1679=F1678,F1679=F1680)),NA(), F1679)</f>
        <v>#N/A</v>
      </c>
      <c r="G2401" s="0" t="e">
        <f aca="false">IF(ISNA(H2401),NA(),G1679)</f>
        <v>#N/A</v>
      </c>
      <c r="H2401" s="0" t="e">
        <f aca="false">IF(OR(H1679="",AND(H1679=H1678,H1679=H1680)),NA(), H1679)</f>
        <v>#N/A</v>
      </c>
      <c r="K2401" s="0" t="e">
        <f aca="false">IF(ISNA(L2401),NA(),K1679)</f>
        <v>#N/A</v>
      </c>
      <c r="L2401" s="0" t="e">
        <f aca="false">IF(OR(L1679="",AND(L1679=L1678,L1679=L1680)),NA(), L1679)</f>
        <v>#N/A</v>
      </c>
      <c r="M2401" s="0" t="e">
        <f aca="false">IF(ISNA(N2401),NA(),M1679)</f>
        <v>#N/A</v>
      </c>
      <c r="N2401" s="0" t="e">
        <f aca="false">IF(OR(N1679="",AND(N1679=N1678,N1679=N1680)),NA(), N1679)</f>
        <v>#N/A</v>
      </c>
    </row>
    <row r="2402" customFormat="false" ht="15" hidden="false" customHeight="false" outlineLevel="0" collapsed="false">
      <c r="E2402" s="0" t="e">
        <f aca="false">IF(ISNA(F2402),NA(),E1680)</f>
        <v>#N/A</v>
      </c>
      <c r="F2402" s="0" t="e">
        <f aca="false">IF(OR(F1680="",AND(F1680=F1679,F1680=F1681)),NA(), F1680)</f>
        <v>#N/A</v>
      </c>
      <c r="G2402" s="0" t="e">
        <f aca="false">IF(ISNA(H2402),NA(),G1680)</f>
        <v>#N/A</v>
      </c>
      <c r="H2402" s="0" t="e">
        <f aca="false">IF(OR(H1680="",AND(H1680=H1679,H1680=H1681)),NA(), H1680)</f>
        <v>#N/A</v>
      </c>
      <c r="K2402" s="0" t="e">
        <f aca="false">IF(ISNA(L2402),NA(),K1680)</f>
        <v>#N/A</v>
      </c>
      <c r="L2402" s="0" t="e">
        <f aca="false">IF(OR(L1680="",AND(L1680=L1679,L1680=L1681)),NA(), L1680)</f>
        <v>#N/A</v>
      </c>
      <c r="M2402" s="0" t="e">
        <f aca="false">IF(ISNA(N2402),NA(),M1680)</f>
        <v>#N/A</v>
      </c>
      <c r="N2402" s="0" t="e">
        <f aca="false">IF(OR(N1680="",AND(N1680=N1679,N1680=N1681)),NA(), N1680)</f>
        <v>#N/A</v>
      </c>
    </row>
    <row r="2403" customFormat="false" ht="15" hidden="false" customHeight="false" outlineLevel="0" collapsed="false">
      <c r="E2403" s="0" t="e">
        <f aca="false">IF(ISNA(F2403),NA(),E1681)</f>
        <v>#N/A</v>
      </c>
      <c r="F2403" s="0" t="e">
        <f aca="false">IF(OR(F1681="",AND(F1681=F1680,F1681=F1682)),NA(), F1681)</f>
        <v>#N/A</v>
      </c>
      <c r="G2403" s="0" t="e">
        <f aca="false">IF(ISNA(H2403),NA(),G1681)</f>
        <v>#N/A</v>
      </c>
      <c r="H2403" s="0" t="e">
        <f aca="false">IF(OR(H1681="",AND(H1681=H1680,H1681=H1682)),NA(), H1681)</f>
        <v>#N/A</v>
      </c>
      <c r="K2403" s="0" t="e">
        <f aca="false">IF(ISNA(L2403),NA(),K1681)</f>
        <v>#N/A</v>
      </c>
      <c r="L2403" s="0" t="e">
        <f aca="false">IF(OR(L1681="",AND(L1681=L1680,L1681=L1682)),NA(), L1681)</f>
        <v>#N/A</v>
      </c>
      <c r="M2403" s="0" t="e">
        <f aca="false">IF(ISNA(N2403),NA(),M1681)</f>
        <v>#N/A</v>
      </c>
      <c r="N2403" s="0" t="e">
        <f aca="false">IF(OR(N1681="",AND(N1681=N1680,N1681=N1682)),NA(), N1681)</f>
        <v>#N/A</v>
      </c>
    </row>
    <row r="2404" customFormat="false" ht="15" hidden="false" customHeight="false" outlineLevel="0" collapsed="false">
      <c r="E2404" s="0" t="e">
        <f aca="false">IF(ISNA(F2404),NA(),E1682)</f>
        <v>#N/A</v>
      </c>
      <c r="F2404" s="0" t="e">
        <f aca="false">IF(OR(F1682="",AND(F1682=F1681,F1682=F1683)),NA(), F1682)</f>
        <v>#N/A</v>
      </c>
      <c r="G2404" s="0" t="e">
        <f aca="false">IF(ISNA(H2404),NA(),G1682)</f>
        <v>#N/A</v>
      </c>
      <c r="H2404" s="0" t="e">
        <f aca="false">IF(OR(H1682="",AND(H1682=H1681,H1682=H1683)),NA(), H1682)</f>
        <v>#N/A</v>
      </c>
      <c r="K2404" s="0" t="e">
        <f aca="false">IF(ISNA(L2404),NA(),K1682)</f>
        <v>#N/A</v>
      </c>
      <c r="L2404" s="0" t="e">
        <f aca="false">IF(OR(L1682="",AND(L1682=L1681,L1682=L1683)),NA(), L1682)</f>
        <v>#N/A</v>
      </c>
      <c r="M2404" s="0" t="e">
        <f aca="false">IF(ISNA(N2404),NA(),M1682)</f>
        <v>#N/A</v>
      </c>
      <c r="N2404" s="0" t="e">
        <f aca="false">IF(OR(N1682="",AND(N1682=N1681,N1682=N1683)),NA(), N1682)</f>
        <v>#N/A</v>
      </c>
    </row>
    <row r="2405" customFormat="false" ht="15" hidden="false" customHeight="false" outlineLevel="0" collapsed="false">
      <c r="E2405" s="0" t="e">
        <f aca="false">IF(ISNA(F2405),NA(),E1683)</f>
        <v>#N/A</v>
      </c>
      <c r="F2405" s="0" t="e">
        <f aca="false">IF(OR(F1683="",AND(F1683=F1682,F1683=F1684)),NA(), F1683)</f>
        <v>#N/A</v>
      </c>
      <c r="G2405" s="0" t="e">
        <f aca="false">IF(ISNA(H2405),NA(),G1683)</f>
        <v>#N/A</v>
      </c>
      <c r="H2405" s="0" t="e">
        <f aca="false">IF(OR(H1683="",AND(H1683=H1682,H1683=H1684)),NA(), H1683)</f>
        <v>#N/A</v>
      </c>
      <c r="K2405" s="0" t="e">
        <f aca="false">IF(ISNA(L2405),NA(),K1683)</f>
        <v>#N/A</v>
      </c>
      <c r="L2405" s="0" t="e">
        <f aca="false">IF(OR(L1683="",AND(L1683=L1682,L1683=L1684)),NA(), L1683)</f>
        <v>#N/A</v>
      </c>
      <c r="M2405" s="0" t="e">
        <f aca="false">IF(ISNA(N2405),NA(),M1683)</f>
        <v>#N/A</v>
      </c>
      <c r="N2405" s="0" t="e">
        <f aca="false">IF(OR(N1683="",AND(N1683=N1682,N1683=N1684)),NA(), N1683)</f>
        <v>#N/A</v>
      </c>
    </row>
    <row r="2406" customFormat="false" ht="15" hidden="false" customHeight="false" outlineLevel="0" collapsed="false">
      <c r="E2406" s="0" t="e">
        <f aca="false">IF(ISNA(F2406),NA(),E1684)</f>
        <v>#N/A</v>
      </c>
      <c r="F2406" s="0" t="e">
        <f aca="false">IF(OR(F1684="",AND(F1684=F1683,F1684=F1685)),NA(), F1684)</f>
        <v>#N/A</v>
      </c>
      <c r="G2406" s="0" t="e">
        <f aca="false">IF(ISNA(H2406),NA(),G1684)</f>
        <v>#N/A</v>
      </c>
      <c r="H2406" s="0" t="e">
        <f aca="false">IF(OR(H1684="",AND(H1684=H1683,H1684=H1685)),NA(), H1684)</f>
        <v>#N/A</v>
      </c>
      <c r="K2406" s="0" t="e">
        <f aca="false">IF(ISNA(L2406),NA(),K1684)</f>
        <v>#N/A</v>
      </c>
      <c r="L2406" s="0" t="e">
        <f aca="false">IF(OR(L1684="",AND(L1684=L1683,L1684=L1685)),NA(), L1684)</f>
        <v>#N/A</v>
      </c>
      <c r="M2406" s="0" t="e">
        <f aca="false">IF(ISNA(N2406),NA(),M1684)</f>
        <v>#N/A</v>
      </c>
      <c r="N2406" s="0" t="e">
        <f aca="false">IF(OR(N1684="",AND(N1684=N1683,N1684=N1685)),NA(), N1684)</f>
        <v>#N/A</v>
      </c>
    </row>
    <row r="2407" customFormat="false" ht="15" hidden="false" customHeight="false" outlineLevel="0" collapsed="false">
      <c r="E2407" s="0" t="e">
        <f aca="false">IF(ISNA(F2407),NA(),E1685)</f>
        <v>#N/A</v>
      </c>
      <c r="F2407" s="0" t="e">
        <f aca="false">IF(OR(F1685="",AND(F1685=F1684,F1685=F1686)),NA(), F1685)</f>
        <v>#N/A</v>
      </c>
      <c r="G2407" s="0" t="e">
        <f aca="false">IF(ISNA(H2407),NA(),G1685)</f>
        <v>#N/A</v>
      </c>
      <c r="H2407" s="0" t="e">
        <f aca="false">IF(OR(H1685="",AND(H1685=H1684,H1685=H1686)),NA(), H1685)</f>
        <v>#N/A</v>
      </c>
      <c r="K2407" s="0" t="e">
        <f aca="false">IF(ISNA(L2407),NA(),K1685)</f>
        <v>#N/A</v>
      </c>
      <c r="L2407" s="0" t="e">
        <f aca="false">IF(OR(L1685="",AND(L1685=L1684,L1685=L1686)),NA(), L1685)</f>
        <v>#N/A</v>
      </c>
      <c r="M2407" s="0" t="e">
        <f aca="false">IF(ISNA(N2407),NA(),M1685)</f>
        <v>#N/A</v>
      </c>
      <c r="N2407" s="0" t="e">
        <f aca="false">IF(OR(N1685="",AND(N1685=N1684,N1685=N1686)),NA(), N1685)</f>
        <v>#N/A</v>
      </c>
    </row>
    <row r="2408" customFormat="false" ht="15" hidden="false" customHeight="false" outlineLevel="0" collapsed="false">
      <c r="E2408" s="0" t="e">
        <f aca="false">IF(ISNA(F2408),NA(),E1686)</f>
        <v>#N/A</v>
      </c>
      <c r="F2408" s="0" t="e">
        <f aca="false">IF(OR(F1686="",AND(F1686=F1685,F1686=F1687)),NA(), F1686)</f>
        <v>#N/A</v>
      </c>
      <c r="G2408" s="0" t="e">
        <f aca="false">IF(ISNA(H2408),NA(),G1686)</f>
        <v>#N/A</v>
      </c>
      <c r="H2408" s="0" t="e">
        <f aca="false">IF(OR(H1686="",AND(H1686=H1685,H1686=H1687)),NA(), H1686)</f>
        <v>#N/A</v>
      </c>
      <c r="K2408" s="0" t="e">
        <f aca="false">IF(ISNA(L2408),NA(),K1686)</f>
        <v>#N/A</v>
      </c>
      <c r="L2408" s="0" t="e">
        <f aca="false">IF(OR(L1686="",AND(L1686=L1685,L1686=L1687)),NA(), L1686)</f>
        <v>#N/A</v>
      </c>
      <c r="M2408" s="0" t="e">
        <f aca="false">IF(ISNA(N2408),NA(),M1686)</f>
        <v>#N/A</v>
      </c>
      <c r="N2408" s="0" t="e">
        <f aca="false">IF(OR(N1686="",AND(N1686=N1685,N1686=N1687)),NA(), N1686)</f>
        <v>#N/A</v>
      </c>
    </row>
    <row r="2409" customFormat="false" ht="15" hidden="false" customHeight="false" outlineLevel="0" collapsed="false">
      <c r="E2409" s="0" t="e">
        <f aca="false">IF(ISNA(F2409),NA(),E1687)</f>
        <v>#N/A</v>
      </c>
      <c r="F2409" s="0" t="e">
        <f aca="false">IF(OR(F1687="",AND(F1687=F1686,F1687=F1688)),NA(), F1687)</f>
        <v>#N/A</v>
      </c>
      <c r="G2409" s="0" t="e">
        <f aca="false">IF(ISNA(H2409),NA(),G1687)</f>
        <v>#N/A</v>
      </c>
      <c r="H2409" s="0" t="e">
        <f aca="false">IF(OR(H1687="",AND(H1687=H1686,H1687=H1688)),NA(), H1687)</f>
        <v>#N/A</v>
      </c>
      <c r="K2409" s="0" t="e">
        <f aca="false">IF(ISNA(L2409),NA(),K1687)</f>
        <v>#N/A</v>
      </c>
      <c r="L2409" s="0" t="e">
        <f aca="false">IF(OR(L1687="",AND(L1687=L1686,L1687=L1688)),NA(), L1687)</f>
        <v>#N/A</v>
      </c>
      <c r="M2409" s="0" t="e">
        <f aca="false">IF(ISNA(N2409),NA(),M1687)</f>
        <v>#N/A</v>
      </c>
      <c r="N2409" s="0" t="e">
        <f aca="false">IF(OR(N1687="",AND(N1687=N1686,N1687=N1688)),NA(), N1687)</f>
        <v>#N/A</v>
      </c>
    </row>
    <row r="2410" customFormat="false" ht="15" hidden="false" customHeight="false" outlineLevel="0" collapsed="false">
      <c r="E2410" s="0" t="e">
        <f aca="false">IF(ISNA(F2410),NA(),E1688)</f>
        <v>#N/A</v>
      </c>
      <c r="F2410" s="0" t="e">
        <f aca="false">IF(OR(F1688="",AND(F1688=F1687,F1688=F1689)),NA(), F1688)</f>
        <v>#N/A</v>
      </c>
      <c r="G2410" s="0" t="e">
        <f aca="false">IF(ISNA(H2410),NA(),G1688)</f>
        <v>#N/A</v>
      </c>
      <c r="H2410" s="0" t="e">
        <f aca="false">IF(OR(H1688="",AND(H1688=H1687,H1688=H1689)),NA(), H1688)</f>
        <v>#N/A</v>
      </c>
      <c r="K2410" s="0" t="e">
        <f aca="false">IF(ISNA(L2410),NA(),K1688)</f>
        <v>#N/A</v>
      </c>
      <c r="L2410" s="0" t="e">
        <f aca="false">IF(OR(L1688="",AND(L1688=L1687,L1688=L1689)),NA(), L1688)</f>
        <v>#N/A</v>
      </c>
      <c r="M2410" s="0" t="e">
        <f aca="false">IF(ISNA(N2410),NA(),M1688)</f>
        <v>#N/A</v>
      </c>
      <c r="N2410" s="0" t="e">
        <f aca="false">IF(OR(N1688="",AND(N1688=N1687,N1688=N1689)),NA(), N1688)</f>
        <v>#N/A</v>
      </c>
    </row>
    <row r="2411" customFormat="false" ht="15" hidden="false" customHeight="false" outlineLevel="0" collapsed="false">
      <c r="E2411" s="0" t="e">
        <f aca="false">IF(ISNA(F2411),NA(),E1689)</f>
        <v>#N/A</v>
      </c>
      <c r="F2411" s="0" t="e">
        <f aca="false">IF(OR(F1689="",AND(F1689=F1688,F1689=F1690)),NA(), F1689)</f>
        <v>#N/A</v>
      </c>
      <c r="G2411" s="0" t="e">
        <f aca="false">IF(ISNA(H2411),NA(),G1689)</f>
        <v>#N/A</v>
      </c>
      <c r="H2411" s="0" t="e">
        <f aca="false">IF(OR(H1689="",AND(H1689=H1688,H1689=H1690)),NA(), H1689)</f>
        <v>#N/A</v>
      </c>
      <c r="K2411" s="0" t="e">
        <f aca="false">IF(ISNA(L2411),NA(),K1689)</f>
        <v>#N/A</v>
      </c>
      <c r="L2411" s="0" t="e">
        <f aca="false">IF(OR(L1689="",AND(L1689=L1688,L1689=L1690)),NA(), L1689)</f>
        <v>#N/A</v>
      </c>
      <c r="M2411" s="0" t="e">
        <f aca="false">IF(ISNA(N2411),NA(),M1689)</f>
        <v>#N/A</v>
      </c>
      <c r="N2411" s="0" t="e">
        <f aca="false">IF(OR(N1689="",AND(N1689=N1688,N1689=N1690)),NA(), N1689)</f>
        <v>#N/A</v>
      </c>
    </row>
    <row r="2412" customFormat="false" ht="15" hidden="false" customHeight="false" outlineLevel="0" collapsed="false">
      <c r="E2412" s="0" t="e">
        <f aca="false">IF(ISNA(F2412),NA(),E1690)</f>
        <v>#N/A</v>
      </c>
      <c r="F2412" s="0" t="e">
        <f aca="false">IF(OR(F1690="",AND(F1690=F1689,F1690=F1691)),NA(), F1690)</f>
        <v>#N/A</v>
      </c>
      <c r="G2412" s="0" t="e">
        <f aca="false">IF(ISNA(H2412),NA(),G1690)</f>
        <v>#N/A</v>
      </c>
      <c r="H2412" s="0" t="e">
        <f aca="false">IF(OR(H1690="",AND(H1690=H1689,H1690=H1691)),NA(), H1690)</f>
        <v>#N/A</v>
      </c>
      <c r="K2412" s="0" t="e">
        <f aca="false">IF(ISNA(L2412),NA(),K1690)</f>
        <v>#N/A</v>
      </c>
      <c r="L2412" s="0" t="e">
        <f aca="false">IF(OR(L1690="",AND(L1690=L1689,L1690=L1691)),NA(), L1690)</f>
        <v>#N/A</v>
      </c>
      <c r="M2412" s="0" t="e">
        <f aca="false">IF(ISNA(N2412),NA(),M1690)</f>
        <v>#N/A</v>
      </c>
      <c r="N2412" s="0" t="e">
        <f aca="false">IF(OR(N1690="",AND(N1690=N1689,N1690=N1691)),NA(), N1690)</f>
        <v>#N/A</v>
      </c>
    </row>
    <row r="2413" customFormat="false" ht="15" hidden="false" customHeight="false" outlineLevel="0" collapsed="false">
      <c r="E2413" s="0" t="e">
        <f aca="false">IF(ISNA(F2413),NA(),E1691)</f>
        <v>#N/A</v>
      </c>
      <c r="F2413" s="0" t="e">
        <f aca="false">IF(OR(F1691="",AND(F1691=F1690,F1691=F1692)),NA(), F1691)</f>
        <v>#N/A</v>
      </c>
      <c r="G2413" s="0" t="e">
        <f aca="false">IF(ISNA(H2413),NA(),G1691)</f>
        <v>#N/A</v>
      </c>
      <c r="H2413" s="0" t="e">
        <f aca="false">IF(OR(H1691="",AND(H1691=H1690,H1691=H1692)),NA(), H1691)</f>
        <v>#N/A</v>
      </c>
      <c r="K2413" s="0" t="e">
        <f aca="false">IF(ISNA(L2413),NA(),K1691)</f>
        <v>#N/A</v>
      </c>
      <c r="L2413" s="0" t="e">
        <f aca="false">IF(OR(L1691="",AND(L1691=L1690,L1691=L1692)),NA(), L1691)</f>
        <v>#N/A</v>
      </c>
      <c r="M2413" s="0" t="e">
        <f aca="false">IF(ISNA(N2413),NA(),M1691)</f>
        <v>#N/A</v>
      </c>
      <c r="N2413" s="0" t="e">
        <f aca="false">IF(OR(N1691="",AND(N1691=N1690,N1691=N1692)),NA(), N1691)</f>
        <v>#N/A</v>
      </c>
    </row>
    <row r="2414" customFormat="false" ht="15" hidden="false" customHeight="false" outlineLevel="0" collapsed="false">
      <c r="E2414" s="0" t="e">
        <f aca="false">IF(ISNA(F2414),NA(),E1692)</f>
        <v>#N/A</v>
      </c>
      <c r="F2414" s="0" t="e">
        <f aca="false">IF(OR(F1692="",AND(F1692=F1691,F1692=F1693)),NA(), F1692)</f>
        <v>#N/A</v>
      </c>
      <c r="G2414" s="0" t="e">
        <f aca="false">IF(ISNA(H2414),NA(),G1692)</f>
        <v>#N/A</v>
      </c>
      <c r="H2414" s="0" t="e">
        <f aca="false">IF(OR(H1692="",AND(H1692=H1691,H1692=H1693)),NA(), H1692)</f>
        <v>#N/A</v>
      </c>
      <c r="K2414" s="0" t="e">
        <f aca="false">IF(ISNA(L2414),NA(),K1692)</f>
        <v>#N/A</v>
      </c>
      <c r="L2414" s="0" t="e">
        <f aca="false">IF(OR(L1692="",AND(L1692=L1691,L1692=L1693)),NA(), L1692)</f>
        <v>#N/A</v>
      </c>
      <c r="M2414" s="0" t="e">
        <f aca="false">IF(ISNA(N2414),NA(),M1692)</f>
        <v>#N/A</v>
      </c>
      <c r="N2414" s="0" t="e">
        <f aca="false">IF(OR(N1692="",AND(N1692=N1691,N1692=N1693)),NA(), N1692)</f>
        <v>#N/A</v>
      </c>
    </row>
    <row r="2415" customFormat="false" ht="15" hidden="false" customHeight="false" outlineLevel="0" collapsed="false">
      <c r="E2415" s="0" t="e">
        <f aca="false">IF(ISNA(F2415),NA(),E1693)</f>
        <v>#N/A</v>
      </c>
      <c r="F2415" s="0" t="e">
        <f aca="false">IF(OR(F1693="",AND(F1693=F1692,F1693=F1694)),NA(), F1693)</f>
        <v>#N/A</v>
      </c>
      <c r="G2415" s="0" t="e">
        <f aca="false">IF(ISNA(H2415),NA(),G1693)</f>
        <v>#N/A</v>
      </c>
      <c r="H2415" s="0" t="e">
        <f aca="false">IF(OR(H1693="",AND(H1693=H1692,H1693=H1694)),NA(), H1693)</f>
        <v>#N/A</v>
      </c>
      <c r="K2415" s="0" t="e">
        <f aca="false">IF(ISNA(L2415),NA(),K1693)</f>
        <v>#N/A</v>
      </c>
      <c r="L2415" s="0" t="e">
        <f aca="false">IF(OR(L1693="",AND(L1693=L1692,L1693=L1694)),NA(), L1693)</f>
        <v>#N/A</v>
      </c>
      <c r="M2415" s="0" t="e">
        <f aca="false">IF(ISNA(N2415),NA(),M1693)</f>
        <v>#N/A</v>
      </c>
      <c r="N2415" s="0" t="e">
        <f aca="false">IF(OR(N1693="",AND(N1693=N1692,N1693=N1694)),NA(), N1693)</f>
        <v>#N/A</v>
      </c>
    </row>
    <row r="2416" customFormat="false" ht="15" hidden="false" customHeight="false" outlineLevel="0" collapsed="false">
      <c r="E2416" s="0" t="e">
        <f aca="false">IF(ISNA(F2416),NA(),E1694)</f>
        <v>#N/A</v>
      </c>
      <c r="F2416" s="0" t="e">
        <f aca="false">IF(OR(F1694="",AND(F1694=F1693,F1694=F1695)),NA(), F1694)</f>
        <v>#N/A</v>
      </c>
      <c r="G2416" s="0" t="e">
        <f aca="false">IF(ISNA(H2416),NA(),G1694)</f>
        <v>#N/A</v>
      </c>
      <c r="H2416" s="0" t="e">
        <f aca="false">IF(OR(H1694="",AND(H1694=H1693,H1694=H1695)),NA(), H1694)</f>
        <v>#N/A</v>
      </c>
      <c r="K2416" s="0" t="e">
        <f aca="false">IF(ISNA(L2416),NA(),K1694)</f>
        <v>#N/A</v>
      </c>
      <c r="L2416" s="0" t="e">
        <f aca="false">IF(OR(L1694="",AND(L1694=L1693,L1694=L1695)),NA(), L1694)</f>
        <v>#N/A</v>
      </c>
      <c r="M2416" s="0" t="e">
        <f aca="false">IF(ISNA(N2416),NA(),M1694)</f>
        <v>#N/A</v>
      </c>
      <c r="N2416" s="0" t="e">
        <f aca="false">IF(OR(N1694="",AND(N1694=N1693,N1694=N1695)),NA(), N1694)</f>
        <v>#N/A</v>
      </c>
    </row>
    <row r="2417" customFormat="false" ht="15" hidden="false" customHeight="false" outlineLevel="0" collapsed="false">
      <c r="E2417" s="0" t="e">
        <f aca="false">IF(ISNA(F2417),NA(),E1695)</f>
        <v>#N/A</v>
      </c>
      <c r="F2417" s="0" t="e">
        <f aca="false">IF(OR(F1695="",AND(F1695=F1694,F1695=F1696)),NA(), F1695)</f>
        <v>#N/A</v>
      </c>
      <c r="G2417" s="0" t="e">
        <f aca="false">IF(ISNA(H2417),NA(),G1695)</f>
        <v>#N/A</v>
      </c>
      <c r="H2417" s="0" t="e">
        <f aca="false">IF(OR(H1695="",AND(H1695=H1694,H1695=H1696)),NA(), H1695)</f>
        <v>#N/A</v>
      </c>
      <c r="K2417" s="0" t="e">
        <f aca="false">IF(ISNA(L2417),NA(),K1695)</f>
        <v>#N/A</v>
      </c>
      <c r="L2417" s="0" t="e">
        <f aca="false">IF(OR(L1695="",AND(L1695=L1694,L1695=L1696)),NA(), L1695)</f>
        <v>#N/A</v>
      </c>
      <c r="M2417" s="0" t="e">
        <f aca="false">IF(ISNA(N2417),NA(),M1695)</f>
        <v>#N/A</v>
      </c>
      <c r="N2417" s="0" t="e">
        <f aca="false">IF(OR(N1695="",AND(N1695=N1694,N1695=N1696)),NA(), N1695)</f>
        <v>#N/A</v>
      </c>
    </row>
    <row r="2418" customFormat="false" ht="15" hidden="false" customHeight="false" outlineLevel="0" collapsed="false">
      <c r="E2418" s="0" t="e">
        <f aca="false">IF(ISNA(F2418),NA(),E1696)</f>
        <v>#N/A</v>
      </c>
      <c r="F2418" s="0" t="e">
        <f aca="false">IF(OR(F1696="",AND(F1696=F1695,F1696=F1697)),NA(), F1696)</f>
        <v>#N/A</v>
      </c>
      <c r="G2418" s="0" t="e">
        <f aca="false">IF(ISNA(H2418),NA(),G1696)</f>
        <v>#N/A</v>
      </c>
      <c r="H2418" s="0" t="e">
        <f aca="false">IF(OR(H1696="",AND(H1696=H1695,H1696=H1697)),NA(), H1696)</f>
        <v>#N/A</v>
      </c>
      <c r="K2418" s="0" t="e">
        <f aca="false">IF(ISNA(L2418),NA(),K1696)</f>
        <v>#N/A</v>
      </c>
      <c r="L2418" s="0" t="e">
        <f aca="false">IF(OR(L1696="",AND(L1696=L1695,L1696=L1697)),NA(), L1696)</f>
        <v>#N/A</v>
      </c>
      <c r="M2418" s="0" t="e">
        <f aca="false">IF(ISNA(N2418),NA(),M1696)</f>
        <v>#N/A</v>
      </c>
      <c r="N2418" s="0" t="e">
        <f aca="false">IF(OR(N1696="",AND(N1696=N1695,N1696=N1697)),NA(), N1696)</f>
        <v>#N/A</v>
      </c>
    </row>
    <row r="2419" customFormat="false" ht="15" hidden="false" customHeight="false" outlineLevel="0" collapsed="false">
      <c r="E2419" s="0" t="e">
        <f aca="false">IF(ISNA(F2419),NA(),E1697)</f>
        <v>#N/A</v>
      </c>
      <c r="F2419" s="0" t="e">
        <f aca="false">IF(OR(F1697="",AND(F1697=F1696,F1697=F1698)),NA(), F1697)</f>
        <v>#N/A</v>
      </c>
      <c r="G2419" s="0" t="e">
        <f aca="false">IF(ISNA(H2419),NA(),G1697)</f>
        <v>#N/A</v>
      </c>
      <c r="H2419" s="0" t="e">
        <f aca="false">IF(OR(H1697="",AND(H1697=H1696,H1697=H1698)),NA(), H1697)</f>
        <v>#N/A</v>
      </c>
      <c r="K2419" s="0" t="e">
        <f aca="false">IF(ISNA(L2419),NA(),K1697)</f>
        <v>#N/A</v>
      </c>
      <c r="L2419" s="0" t="e">
        <f aca="false">IF(OR(L1697="",AND(L1697=L1696,L1697=L1698)),NA(), L1697)</f>
        <v>#N/A</v>
      </c>
      <c r="M2419" s="0" t="e">
        <f aca="false">IF(ISNA(N2419),NA(),M1697)</f>
        <v>#N/A</v>
      </c>
      <c r="N2419" s="0" t="e">
        <f aca="false">IF(OR(N1697="",AND(N1697=N1696,N1697=N1698)),NA(), N1697)</f>
        <v>#N/A</v>
      </c>
    </row>
    <row r="2420" customFormat="false" ht="15" hidden="false" customHeight="false" outlineLevel="0" collapsed="false">
      <c r="E2420" s="0" t="e">
        <f aca="false">IF(ISNA(F2420),NA(),E1698)</f>
        <v>#N/A</v>
      </c>
      <c r="F2420" s="0" t="e">
        <f aca="false">IF(OR(F1698="",AND(F1698=F1697,F1698=F1699)),NA(), F1698)</f>
        <v>#N/A</v>
      </c>
      <c r="G2420" s="0" t="e">
        <f aca="false">IF(ISNA(H2420),NA(),G1698)</f>
        <v>#N/A</v>
      </c>
      <c r="H2420" s="0" t="e">
        <f aca="false">IF(OR(H1698="",AND(H1698=H1697,H1698=H1699)),NA(), H1698)</f>
        <v>#N/A</v>
      </c>
      <c r="K2420" s="0" t="e">
        <f aca="false">IF(ISNA(L2420),NA(),K1698)</f>
        <v>#N/A</v>
      </c>
      <c r="L2420" s="0" t="e">
        <f aca="false">IF(OR(L1698="",AND(L1698=L1697,L1698=L1699)),NA(), L1698)</f>
        <v>#N/A</v>
      </c>
      <c r="M2420" s="0" t="e">
        <f aca="false">IF(ISNA(N2420),NA(),M1698)</f>
        <v>#N/A</v>
      </c>
      <c r="N2420" s="0" t="e">
        <f aca="false">IF(OR(N1698="",AND(N1698=N1697,N1698=N1699)),NA(), N1698)</f>
        <v>#N/A</v>
      </c>
    </row>
    <row r="2421" customFormat="false" ht="15" hidden="false" customHeight="false" outlineLevel="0" collapsed="false">
      <c r="E2421" s="0" t="e">
        <f aca="false">IF(ISNA(F2421),NA(),E1699)</f>
        <v>#N/A</v>
      </c>
      <c r="F2421" s="0" t="e">
        <f aca="false">IF(OR(F1699="",AND(F1699=F1698,F1699=F1700)),NA(), F1699)</f>
        <v>#N/A</v>
      </c>
      <c r="G2421" s="0" t="e">
        <f aca="false">IF(ISNA(H2421),NA(),G1699)</f>
        <v>#N/A</v>
      </c>
      <c r="H2421" s="0" t="e">
        <f aca="false">IF(OR(H1699="",AND(H1699=H1698,H1699=H1700)),NA(), H1699)</f>
        <v>#N/A</v>
      </c>
      <c r="K2421" s="0" t="e">
        <f aca="false">IF(ISNA(L2421),NA(),K1699)</f>
        <v>#N/A</v>
      </c>
      <c r="L2421" s="0" t="e">
        <f aca="false">IF(OR(L1699="",AND(L1699=L1698,L1699=L1700)),NA(), L1699)</f>
        <v>#N/A</v>
      </c>
      <c r="M2421" s="0" t="e">
        <f aca="false">IF(ISNA(N2421),NA(),M1699)</f>
        <v>#N/A</v>
      </c>
      <c r="N2421" s="0" t="e">
        <f aca="false">IF(OR(N1699="",AND(N1699=N1698,N1699=N1700)),NA(), N1699)</f>
        <v>#N/A</v>
      </c>
    </row>
    <row r="2422" customFormat="false" ht="15" hidden="false" customHeight="false" outlineLevel="0" collapsed="false">
      <c r="E2422" s="0" t="e">
        <f aca="false">IF(ISNA(F2422),NA(),E1700)</f>
        <v>#N/A</v>
      </c>
      <c r="F2422" s="0" t="e">
        <f aca="false">IF(OR(F1700="",AND(F1700=F1699,F1700=F1701)),NA(), F1700)</f>
        <v>#N/A</v>
      </c>
      <c r="G2422" s="0" t="e">
        <f aca="false">IF(ISNA(H2422),NA(),G1700)</f>
        <v>#N/A</v>
      </c>
      <c r="H2422" s="0" t="e">
        <f aca="false">IF(OR(H1700="",AND(H1700=H1699,H1700=H1701)),NA(), H1700)</f>
        <v>#N/A</v>
      </c>
      <c r="K2422" s="0" t="e">
        <f aca="false">IF(ISNA(L2422),NA(),K1700)</f>
        <v>#N/A</v>
      </c>
      <c r="L2422" s="0" t="e">
        <f aca="false">IF(OR(L1700="",AND(L1700=L1699,L1700=L1701)),NA(), L1700)</f>
        <v>#N/A</v>
      </c>
      <c r="M2422" s="0" t="e">
        <f aca="false">IF(ISNA(N2422),NA(),M1700)</f>
        <v>#N/A</v>
      </c>
      <c r="N2422" s="0" t="e">
        <f aca="false">IF(OR(N1700="",AND(N1700=N1699,N1700=N1701)),NA(), N1700)</f>
        <v>#N/A</v>
      </c>
    </row>
    <row r="2423" customFormat="false" ht="15" hidden="false" customHeight="false" outlineLevel="0" collapsed="false">
      <c r="E2423" s="0" t="e">
        <f aca="false">IF(ISNA(F2423),NA(),E1701)</f>
        <v>#N/A</v>
      </c>
      <c r="F2423" s="0" t="e">
        <f aca="false">IF(OR(F1701="",AND(F1701=F1700,F1701=F1702)),NA(), F1701)</f>
        <v>#N/A</v>
      </c>
      <c r="G2423" s="0" t="e">
        <f aca="false">IF(ISNA(H2423),NA(),G1701)</f>
        <v>#N/A</v>
      </c>
      <c r="H2423" s="0" t="e">
        <f aca="false">IF(OR(H1701="",AND(H1701=H1700,H1701=H1702)),NA(), H1701)</f>
        <v>#N/A</v>
      </c>
      <c r="K2423" s="0" t="e">
        <f aca="false">IF(ISNA(L2423),NA(),K1701)</f>
        <v>#N/A</v>
      </c>
      <c r="L2423" s="0" t="e">
        <f aca="false">IF(OR(L1701="",AND(L1701=L1700,L1701=L1702)),NA(), L1701)</f>
        <v>#N/A</v>
      </c>
      <c r="M2423" s="0" t="e">
        <f aca="false">IF(ISNA(N2423),NA(),M1701)</f>
        <v>#N/A</v>
      </c>
      <c r="N2423" s="0" t="e">
        <f aca="false">IF(OR(N1701="",AND(N1701=N1700,N1701=N1702)),NA(), N1701)</f>
        <v>#N/A</v>
      </c>
    </row>
    <row r="2424" customFormat="false" ht="15" hidden="false" customHeight="false" outlineLevel="0" collapsed="false">
      <c r="E2424" s="0" t="e">
        <f aca="false">IF(ISNA(F2424),NA(),E1702)</f>
        <v>#N/A</v>
      </c>
      <c r="F2424" s="0" t="e">
        <f aca="false">IF(OR(F1702="",AND(F1702=F1701,F1702=F1703)),NA(), F1702)</f>
        <v>#N/A</v>
      </c>
      <c r="G2424" s="0" t="e">
        <f aca="false">IF(ISNA(H2424),NA(),G1702)</f>
        <v>#N/A</v>
      </c>
      <c r="H2424" s="0" t="e">
        <f aca="false">IF(OR(H1702="",AND(H1702=H1701,H1702=H1703)),NA(), H1702)</f>
        <v>#N/A</v>
      </c>
      <c r="K2424" s="0" t="e">
        <f aca="false">IF(ISNA(L2424),NA(),K1702)</f>
        <v>#N/A</v>
      </c>
      <c r="L2424" s="0" t="e">
        <f aca="false">IF(OR(L1702="",AND(L1702=L1701,L1702=L1703)),NA(), L1702)</f>
        <v>#N/A</v>
      </c>
      <c r="M2424" s="0" t="e">
        <f aca="false">IF(ISNA(N2424),NA(),M1702)</f>
        <v>#N/A</v>
      </c>
      <c r="N2424" s="0" t="e">
        <f aca="false">IF(OR(N1702="",AND(N1702=N1701,N1702=N1703)),NA(), N1702)</f>
        <v>#N/A</v>
      </c>
    </row>
    <row r="2425" customFormat="false" ht="15" hidden="false" customHeight="false" outlineLevel="0" collapsed="false">
      <c r="E2425" s="0" t="e">
        <f aca="false">IF(ISNA(F2425),NA(),E1703)</f>
        <v>#N/A</v>
      </c>
      <c r="F2425" s="0" t="e">
        <f aca="false">IF(OR(F1703="",AND(F1703=F1702,F1703=F1704)),NA(), F1703)</f>
        <v>#N/A</v>
      </c>
      <c r="G2425" s="0" t="e">
        <f aca="false">IF(ISNA(H2425),NA(),G1703)</f>
        <v>#N/A</v>
      </c>
      <c r="H2425" s="0" t="e">
        <f aca="false">IF(OR(H1703="",AND(H1703=H1702,H1703=H1704)),NA(), H1703)</f>
        <v>#N/A</v>
      </c>
      <c r="K2425" s="0" t="e">
        <f aca="false">IF(ISNA(L2425),NA(),K1703)</f>
        <v>#N/A</v>
      </c>
      <c r="L2425" s="0" t="e">
        <f aca="false">IF(OR(L1703="",AND(L1703=L1702,L1703=L1704)),NA(), L1703)</f>
        <v>#N/A</v>
      </c>
      <c r="M2425" s="0" t="e">
        <f aca="false">IF(ISNA(N2425),NA(),M1703)</f>
        <v>#N/A</v>
      </c>
      <c r="N2425" s="0" t="e">
        <f aca="false">IF(OR(N1703="",AND(N1703=N1702,N1703=N1704)),NA(), N1703)</f>
        <v>#N/A</v>
      </c>
    </row>
    <row r="2426" customFormat="false" ht="15" hidden="false" customHeight="false" outlineLevel="0" collapsed="false">
      <c r="E2426" s="0" t="e">
        <f aca="false">IF(ISNA(F2426),NA(),E1704)</f>
        <v>#N/A</v>
      </c>
      <c r="F2426" s="0" t="e">
        <f aca="false">IF(OR(F1704="",AND(F1704=F1703,F1704=F1705)),NA(), F1704)</f>
        <v>#N/A</v>
      </c>
      <c r="G2426" s="0" t="e">
        <f aca="false">IF(ISNA(H2426),NA(),G1704)</f>
        <v>#N/A</v>
      </c>
      <c r="H2426" s="0" t="e">
        <f aca="false">IF(OR(H1704="",AND(H1704=H1703,H1704=H1705)),NA(), H1704)</f>
        <v>#N/A</v>
      </c>
      <c r="K2426" s="0" t="e">
        <f aca="false">IF(ISNA(L2426),NA(),K1704)</f>
        <v>#N/A</v>
      </c>
      <c r="L2426" s="0" t="e">
        <f aca="false">IF(OR(L1704="",AND(L1704=L1703,L1704=L1705)),NA(), L1704)</f>
        <v>#N/A</v>
      </c>
      <c r="M2426" s="0" t="e">
        <f aca="false">IF(ISNA(N2426),NA(),M1704)</f>
        <v>#N/A</v>
      </c>
      <c r="N2426" s="0" t="e">
        <f aca="false">IF(OR(N1704="",AND(N1704=N1703,N1704=N1705)),NA(), N1704)</f>
        <v>#N/A</v>
      </c>
    </row>
    <row r="2427" customFormat="false" ht="15" hidden="false" customHeight="false" outlineLevel="0" collapsed="false">
      <c r="E2427" s="0" t="e">
        <f aca="false">IF(ISNA(F2427),NA(),E1705)</f>
        <v>#N/A</v>
      </c>
      <c r="F2427" s="0" t="e">
        <f aca="false">IF(OR(F1705="",AND(F1705=F1704,F1705=F1706)),NA(), F1705)</f>
        <v>#N/A</v>
      </c>
      <c r="G2427" s="0" t="e">
        <f aca="false">IF(ISNA(H2427),NA(),G1705)</f>
        <v>#N/A</v>
      </c>
      <c r="H2427" s="0" t="e">
        <f aca="false">IF(OR(H1705="",AND(H1705=H1704,H1705=H1706)),NA(), H1705)</f>
        <v>#N/A</v>
      </c>
      <c r="K2427" s="0" t="e">
        <f aca="false">IF(ISNA(L2427),NA(),K1705)</f>
        <v>#N/A</v>
      </c>
      <c r="L2427" s="0" t="e">
        <f aca="false">IF(OR(L1705="",AND(L1705=L1704,L1705=L1706)),NA(), L1705)</f>
        <v>#N/A</v>
      </c>
      <c r="M2427" s="0" t="e">
        <f aca="false">IF(ISNA(N2427),NA(),M1705)</f>
        <v>#N/A</v>
      </c>
      <c r="N2427" s="0" t="e">
        <f aca="false">IF(OR(N1705="",AND(N1705=N1704,N1705=N1706)),NA(), N1705)</f>
        <v>#N/A</v>
      </c>
    </row>
    <row r="2428" customFormat="false" ht="15" hidden="false" customHeight="false" outlineLevel="0" collapsed="false">
      <c r="E2428" s="0" t="e">
        <f aca="false">IF(ISNA(F2428),NA(),E1706)</f>
        <v>#N/A</v>
      </c>
      <c r="F2428" s="0" t="e">
        <f aca="false">IF(OR(F1706="",AND(F1706=F1705,F1706=F1707)),NA(), F1706)</f>
        <v>#N/A</v>
      </c>
      <c r="G2428" s="0" t="e">
        <f aca="false">IF(ISNA(H2428),NA(),G1706)</f>
        <v>#N/A</v>
      </c>
      <c r="H2428" s="0" t="e">
        <f aca="false">IF(OR(H1706="",AND(H1706=H1705,H1706=H1707)),NA(), H1706)</f>
        <v>#N/A</v>
      </c>
      <c r="K2428" s="0" t="e">
        <f aca="false">IF(ISNA(L2428),NA(),K1706)</f>
        <v>#N/A</v>
      </c>
      <c r="L2428" s="0" t="e">
        <f aca="false">IF(OR(L1706="",AND(L1706=L1705,L1706=L1707)),NA(), L1706)</f>
        <v>#N/A</v>
      </c>
      <c r="M2428" s="0" t="e">
        <f aca="false">IF(ISNA(N2428),NA(),M1706)</f>
        <v>#N/A</v>
      </c>
      <c r="N2428" s="0" t="e">
        <f aca="false">IF(OR(N1706="",AND(N1706=N1705,N1706=N1707)),NA(), N1706)</f>
        <v>#N/A</v>
      </c>
    </row>
    <row r="2429" customFormat="false" ht="15" hidden="false" customHeight="false" outlineLevel="0" collapsed="false">
      <c r="E2429" s="0" t="e">
        <f aca="false">IF(ISNA(F2429),NA(),E1707)</f>
        <v>#N/A</v>
      </c>
      <c r="F2429" s="0" t="e">
        <f aca="false">IF(OR(F1707="",AND(F1707=F1706,F1707=F1708)),NA(), F1707)</f>
        <v>#N/A</v>
      </c>
      <c r="G2429" s="0" t="e">
        <f aca="false">IF(ISNA(H2429),NA(),G1707)</f>
        <v>#N/A</v>
      </c>
      <c r="H2429" s="0" t="e">
        <f aca="false">IF(OR(H1707="",AND(H1707=H1706,H1707=H1708)),NA(), H1707)</f>
        <v>#N/A</v>
      </c>
      <c r="K2429" s="0" t="e">
        <f aca="false">IF(ISNA(L2429),NA(),K1707)</f>
        <v>#N/A</v>
      </c>
      <c r="L2429" s="0" t="e">
        <f aca="false">IF(OR(L1707="",AND(L1707=L1706,L1707=L1708)),NA(), L1707)</f>
        <v>#N/A</v>
      </c>
      <c r="M2429" s="0" t="e">
        <f aca="false">IF(ISNA(N2429),NA(),M1707)</f>
        <v>#N/A</v>
      </c>
      <c r="N2429" s="0" t="e">
        <f aca="false">IF(OR(N1707="",AND(N1707=N1706,N1707=N1708)),NA(), N1707)</f>
        <v>#N/A</v>
      </c>
    </row>
    <row r="2430" customFormat="false" ht="15" hidden="false" customHeight="false" outlineLevel="0" collapsed="false">
      <c r="E2430" s="0" t="e">
        <f aca="false">IF(ISNA(F2430),NA(),E1708)</f>
        <v>#N/A</v>
      </c>
      <c r="F2430" s="0" t="e">
        <f aca="false">IF(OR(F1708="",AND(F1708=F1707,F1708=F1709)),NA(), F1708)</f>
        <v>#N/A</v>
      </c>
      <c r="G2430" s="0" t="e">
        <f aca="false">IF(ISNA(H2430),NA(),G1708)</f>
        <v>#N/A</v>
      </c>
      <c r="H2430" s="0" t="e">
        <f aca="false">IF(OR(H1708="",AND(H1708=H1707,H1708=H1709)),NA(), H1708)</f>
        <v>#N/A</v>
      </c>
      <c r="K2430" s="0" t="e">
        <f aca="false">IF(ISNA(L2430),NA(),K1708)</f>
        <v>#N/A</v>
      </c>
      <c r="L2430" s="0" t="e">
        <f aca="false">IF(OR(L1708="",AND(L1708=L1707,L1708=L1709)),NA(), L1708)</f>
        <v>#N/A</v>
      </c>
      <c r="M2430" s="0" t="e">
        <f aca="false">IF(ISNA(N2430),NA(),M1708)</f>
        <v>#N/A</v>
      </c>
      <c r="N2430" s="0" t="e">
        <f aca="false">IF(OR(N1708="",AND(N1708=N1707,N1708=N1709)),NA(), N1708)</f>
        <v>#N/A</v>
      </c>
    </row>
    <row r="2431" customFormat="false" ht="15" hidden="false" customHeight="false" outlineLevel="0" collapsed="false">
      <c r="E2431" s="0" t="e">
        <f aca="false">IF(ISNA(F2431),NA(),E1709)</f>
        <v>#N/A</v>
      </c>
      <c r="F2431" s="0" t="e">
        <f aca="false">IF(OR(F1709="",AND(F1709=F1708,F1709=F1710)),NA(), F1709)</f>
        <v>#N/A</v>
      </c>
      <c r="G2431" s="0" t="e">
        <f aca="false">IF(ISNA(H2431),NA(),G1709)</f>
        <v>#N/A</v>
      </c>
      <c r="H2431" s="0" t="e">
        <f aca="false">IF(OR(H1709="",AND(H1709=H1708,H1709=H1710)),NA(), H1709)</f>
        <v>#N/A</v>
      </c>
      <c r="K2431" s="0" t="e">
        <f aca="false">IF(ISNA(L2431),NA(),K1709)</f>
        <v>#N/A</v>
      </c>
      <c r="L2431" s="0" t="e">
        <f aca="false">IF(OR(L1709="",AND(L1709=L1708,L1709=L1710)),NA(), L1709)</f>
        <v>#N/A</v>
      </c>
      <c r="M2431" s="0" t="e">
        <f aca="false">IF(ISNA(N2431),NA(),M1709)</f>
        <v>#N/A</v>
      </c>
      <c r="N2431" s="0" t="e">
        <f aca="false">IF(OR(N1709="",AND(N1709=N1708,N1709=N1710)),NA(), N1709)</f>
        <v>#N/A</v>
      </c>
    </row>
    <row r="2432" customFormat="false" ht="15" hidden="false" customHeight="false" outlineLevel="0" collapsed="false">
      <c r="E2432" s="0" t="e">
        <f aca="false">IF(ISNA(F2432),NA(),E1710)</f>
        <v>#N/A</v>
      </c>
      <c r="F2432" s="0" t="e">
        <f aca="false">IF(OR(F1710="",AND(F1710=F1709,F1710=F1711)),NA(), F1710)</f>
        <v>#N/A</v>
      </c>
      <c r="G2432" s="0" t="e">
        <f aca="false">IF(ISNA(H2432),NA(),G1710)</f>
        <v>#N/A</v>
      </c>
      <c r="H2432" s="0" t="e">
        <f aca="false">IF(OR(H1710="",AND(H1710=H1709,H1710=H1711)),NA(), H1710)</f>
        <v>#N/A</v>
      </c>
      <c r="K2432" s="0" t="e">
        <f aca="false">IF(ISNA(L2432),NA(),K1710)</f>
        <v>#N/A</v>
      </c>
      <c r="L2432" s="0" t="e">
        <f aca="false">IF(OR(L1710="",AND(L1710=L1709,L1710=L1711)),NA(), L1710)</f>
        <v>#N/A</v>
      </c>
      <c r="M2432" s="0" t="e">
        <f aca="false">IF(ISNA(N2432),NA(),M1710)</f>
        <v>#N/A</v>
      </c>
      <c r="N2432" s="0" t="e">
        <f aca="false">IF(OR(N1710="",AND(N1710=N1709,N1710=N1711)),NA(), N1710)</f>
        <v>#N/A</v>
      </c>
    </row>
    <row r="2433" customFormat="false" ht="15" hidden="false" customHeight="false" outlineLevel="0" collapsed="false">
      <c r="E2433" s="0" t="e">
        <f aca="false">IF(ISNA(F2433),NA(),E1711)</f>
        <v>#N/A</v>
      </c>
      <c r="F2433" s="0" t="e">
        <f aca="false">IF(OR(F1711="",AND(F1711=F1710,F1711=F1712)),NA(), F1711)</f>
        <v>#N/A</v>
      </c>
      <c r="G2433" s="0" t="e">
        <f aca="false">IF(ISNA(H2433),NA(),G1711)</f>
        <v>#N/A</v>
      </c>
      <c r="H2433" s="0" t="e">
        <f aca="false">IF(OR(H1711="",AND(H1711=H1710,H1711=H1712)),NA(), H1711)</f>
        <v>#N/A</v>
      </c>
      <c r="K2433" s="0" t="e">
        <f aca="false">IF(ISNA(L2433),NA(),K1711)</f>
        <v>#N/A</v>
      </c>
      <c r="L2433" s="0" t="e">
        <f aca="false">IF(OR(L1711="",AND(L1711=L1710,L1711=L1712)),NA(), L1711)</f>
        <v>#N/A</v>
      </c>
      <c r="M2433" s="0" t="e">
        <f aca="false">IF(ISNA(N2433),NA(),M1711)</f>
        <v>#N/A</v>
      </c>
      <c r="N2433" s="0" t="e">
        <f aca="false">IF(OR(N1711="",AND(N1711=N1710,N1711=N1712)),NA(), N1711)</f>
        <v>#N/A</v>
      </c>
    </row>
    <row r="2434" customFormat="false" ht="15" hidden="false" customHeight="false" outlineLevel="0" collapsed="false">
      <c r="E2434" s="0" t="e">
        <f aca="false">IF(ISNA(F2434),NA(),E1712)</f>
        <v>#N/A</v>
      </c>
      <c r="F2434" s="0" t="e">
        <f aca="false">IF(OR(F1712="",AND(F1712=F1711,F1712=F1713)),NA(), F1712)</f>
        <v>#N/A</v>
      </c>
      <c r="G2434" s="0" t="e">
        <f aca="false">IF(ISNA(H2434),NA(),G1712)</f>
        <v>#N/A</v>
      </c>
      <c r="H2434" s="0" t="e">
        <f aca="false">IF(OR(H1712="",AND(H1712=H1711,H1712=H1713)),NA(), H1712)</f>
        <v>#N/A</v>
      </c>
      <c r="K2434" s="0" t="e">
        <f aca="false">IF(ISNA(L2434),NA(),K1712)</f>
        <v>#N/A</v>
      </c>
      <c r="L2434" s="0" t="e">
        <f aca="false">IF(OR(L1712="",AND(L1712=L1711,L1712=L1713)),NA(), L1712)</f>
        <v>#N/A</v>
      </c>
      <c r="M2434" s="0" t="e">
        <f aca="false">IF(ISNA(N2434),NA(),M1712)</f>
        <v>#N/A</v>
      </c>
      <c r="N2434" s="0" t="e">
        <f aca="false">IF(OR(N1712="",AND(N1712=N1711,N1712=N1713)),NA(), N1712)</f>
        <v>#N/A</v>
      </c>
    </row>
    <row r="2435" customFormat="false" ht="15" hidden="false" customHeight="false" outlineLevel="0" collapsed="false">
      <c r="E2435" s="0" t="e">
        <f aca="false">IF(ISNA(F2435),NA(),E1713)</f>
        <v>#N/A</v>
      </c>
      <c r="F2435" s="0" t="e">
        <f aca="false">IF(OR(F1713="",AND(F1713=F1712,F1713=F1714)),NA(), F1713)</f>
        <v>#N/A</v>
      </c>
      <c r="G2435" s="0" t="e">
        <f aca="false">IF(ISNA(H2435),NA(),G1713)</f>
        <v>#N/A</v>
      </c>
      <c r="H2435" s="0" t="e">
        <f aca="false">IF(OR(H1713="",AND(H1713=H1712,H1713=H1714)),NA(), H1713)</f>
        <v>#N/A</v>
      </c>
      <c r="K2435" s="0" t="e">
        <f aca="false">IF(ISNA(L2435),NA(),K1713)</f>
        <v>#N/A</v>
      </c>
      <c r="L2435" s="0" t="e">
        <f aca="false">IF(OR(L1713="",AND(L1713=L1712,L1713=L1714)),NA(), L1713)</f>
        <v>#N/A</v>
      </c>
      <c r="M2435" s="0" t="e">
        <f aca="false">IF(ISNA(N2435),NA(),M1713)</f>
        <v>#N/A</v>
      </c>
      <c r="N2435" s="0" t="e">
        <f aca="false">IF(OR(N1713="",AND(N1713=N1712,N1713=N1714)),NA(), N1713)</f>
        <v>#N/A</v>
      </c>
    </row>
    <row r="2436" customFormat="false" ht="15" hidden="false" customHeight="false" outlineLevel="0" collapsed="false">
      <c r="E2436" s="0" t="e">
        <f aca="false">IF(ISNA(F2436),NA(),E1714)</f>
        <v>#N/A</v>
      </c>
      <c r="F2436" s="0" t="e">
        <f aca="false">IF(OR(F1714="",AND(F1714=F1713,F1714=F1715)),NA(), F1714)</f>
        <v>#N/A</v>
      </c>
      <c r="G2436" s="0" t="e">
        <f aca="false">IF(ISNA(H2436),NA(),G1714)</f>
        <v>#N/A</v>
      </c>
      <c r="H2436" s="0" t="e">
        <f aca="false">IF(OR(H1714="",AND(H1714=H1713,H1714=H1715)),NA(), H1714)</f>
        <v>#N/A</v>
      </c>
      <c r="K2436" s="0" t="e">
        <f aca="false">IF(ISNA(L2436),NA(),K1714)</f>
        <v>#N/A</v>
      </c>
      <c r="L2436" s="0" t="e">
        <f aca="false">IF(OR(L1714="",AND(L1714=L1713,L1714=L1715)),NA(), L1714)</f>
        <v>#N/A</v>
      </c>
      <c r="M2436" s="0" t="e">
        <f aca="false">IF(ISNA(N2436),NA(),M1714)</f>
        <v>#N/A</v>
      </c>
      <c r="N2436" s="0" t="e">
        <f aca="false">IF(OR(N1714="",AND(N1714=N1713,N1714=N1715)),NA(), N1714)</f>
        <v>#N/A</v>
      </c>
    </row>
    <row r="2437" customFormat="false" ht="15" hidden="false" customHeight="false" outlineLevel="0" collapsed="false">
      <c r="E2437" s="0" t="e">
        <f aca="false">IF(ISNA(F2437),NA(),E1715)</f>
        <v>#N/A</v>
      </c>
      <c r="F2437" s="0" t="e">
        <f aca="false">IF(OR(F1715="",AND(F1715=F1714,F1715=F1716)),NA(), F1715)</f>
        <v>#N/A</v>
      </c>
      <c r="G2437" s="0" t="e">
        <f aca="false">IF(ISNA(H2437),NA(),G1715)</f>
        <v>#N/A</v>
      </c>
      <c r="H2437" s="0" t="e">
        <f aca="false">IF(OR(H1715="",AND(H1715=H1714,H1715=H1716)),NA(), H1715)</f>
        <v>#N/A</v>
      </c>
      <c r="K2437" s="0" t="e">
        <f aca="false">IF(ISNA(L2437),NA(),K1715)</f>
        <v>#N/A</v>
      </c>
      <c r="L2437" s="0" t="e">
        <f aca="false">IF(OR(L1715="",AND(L1715=L1714,L1715=L1716)),NA(), L1715)</f>
        <v>#N/A</v>
      </c>
      <c r="M2437" s="0" t="e">
        <f aca="false">IF(ISNA(N2437),NA(),M1715)</f>
        <v>#N/A</v>
      </c>
      <c r="N2437" s="0" t="e">
        <f aca="false">IF(OR(N1715="",AND(N1715=N1714,N1715=N1716)),NA(), N1715)</f>
        <v>#N/A</v>
      </c>
    </row>
    <row r="2438" customFormat="false" ht="15" hidden="false" customHeight="false" outlineLevel="0" collapsed="false">
      <c r="E2438" s="0" t="e">
        <f aca="false">IF(ISNA(F2438),NA(),E1716)</f>
        <v>#N/A</v>
      </c>
      <c r="F2438" s="0" t="e">
        <f aca="false">IF(OR(F1716="",AND(F1716=F1715,F1716=F1717)),NA(), F1716)</f>
        <v>#N/A</v>
      </c>
      <c r="G2438" s="0" t="e">
        <f aca="false">IF(ISNA(H2438),NA(),G1716)</f>
        <v>#N/A</v>
      </c>
      <c r="H2438" s="0" t="e">
        <f aca="false">IF(OR(H1716="",AND(H1716=H1715,H1716=H1717)),NA(), H1716)</f>
        <v>#N/A</v>
      </c>
      <c r="K2438" s="0" t="e">
        <f aca="false">IF(ISNA(L2438),NA(),K1716)</f>
        <v>#N/A</v>
      </c>
      <c r="L2438" s="0" t="e">
        <f aca="false">IF(OR(L1716="",AND(L1716=L1715,L1716=L1717)),NA(), L1716)</f>
        <v>#N/A</v>
      </c>
      <c r="M2438" s="0" t="e">
        <f aca="false">IF(ISNA(N2438),NA(),M1716)</f>
        <v>#N/A</v>
      </c>
      <c r="N2438" s="0" t="e">
        <f aca="false">IF(OR(N1716="",AND(N1716=N1715,N1716=N1717)),NA(), N1716)</f>
        <v>#N/A</v>
      </c>
    </row>
    <row r="2439" customFormat="false" ht="15" hidden="false" customHeight="false" outlineLevel="0" collapsed="false">
      <c r="E2439" s="0" t="e">
        <f aca="false">IF(ISNA(F2439),NA(),E1717)</f>
        <v>#N/A</v>
      </c>
      <c r="F2439" s="0" t="e">
        <f aca="false">IF(OR(F1717="",AND(F1717=F1716,F1717=F1718)),NA(), F1717)</f>
        <v>#N/A</v>
      </c>
      <c r="G2439" s="0" t="e">
        <f aca="false">IF(ISNA(H2439),NA(),G1717)</f>
        <v>#N/A</v>
      </c>
      <c r="H2439" s="0" t="e">
        <f aca="false">IF(OR(H1717="",AND(H1717=H1716,H1717=H1718)),NA(), H1717)</f>
        <v>#N/A</v>
      </c>
      <c r="K2439" s="0" t="e">
        <f aca="false">IF(ISNA(L2439),NA(),K1717)</f>
        <v>#N/A</v>
      </c>
      <c r="L2439" s="0" t="e">
        <f aca="false">IF(OR(L1717="",AND(L1717=L1716,L1717=L1718)),NA(), L1717)</f>
        <v>#N/A</v>
      </c>
      <c r="M2439" s="0" t="e">
        <f aca="false">IF(ISNA(N2439),NA(),M1717)</f>
        <v>#N/A</v>
      </c>
      <c r="N2439" s="0" t="e">
        <f aca="false">IF(OR(N1717="",AND(N1717=N1716,N1717=N1718)),NA(), N1717)</f>
        <v>#N/A</v>
      </c>
    </row>
    <row r="2440" customFormat="false" ht="15" hidden="false" customHeight="false" outlineLevel="0" collapsed="false">
      <c r="E2440" s="0" t="e">
        <f aca="false">IF(ISNA(F2440),NA(),E1718)</f>
        <v>#N/A</v>
      </c>
      <c r="F2440" s="0" t="e">
        <f aca="false">IF(OR(F1718="",AND(F1718=F1717,F1718=F1719)),NA(), F1718)</f>
        <v>#N/A</v>
      </c>
      <c r="G2440" s="0" t="e">
        <f aca="false">IF(ISNA(H2440),NA(),G1718)</f>
        <v>#N/A</v>
      </c>
      <c r="H2440" s="0" t="e">
        <f aca="false">IF(OR(H1718="",AND(H1718=H1717,H1718=H1719)),NA(), H1718)</f>
        <v>#N/A</v>
      </c>
      <c r="K2440" s="0" t="e">
        <f aca="false">IF(ISNA(L2440),NA(),K1718)</f>
        <v>#N/A</v>
      </c>
      <c r="L2440" s="0" t="e">
        <f aca="false">IF(OR(L1718="",AND(L1718=L1717,L1718=L1719)),NA(), L1718)</f>
        <v>#N/A</v>
      </c>
      <c r="M2440" s="0" t="e">
        <f aca="false">IF(ISNA(N2440),NA(),M1718)</f>
        <v>#N/A</v>
      </c>
      <c r="N2440" s="0" t="e">
        <f aca="false">IF(OR(N1718="",AND(N1718=N1717,N1718=N1719)),NA(), N1718)</f>
        <v>#N/A</v>
      </c>
    </row>
    <row r="2441" customFormat="false" ht="15" hidden="false" customHeight="false" outlineLevel="0" collapsed="false">
      <c r="E2441" s="0" t="e">
        <f aca="false">IF(ISNA(F2441),NA(),E1719)</f>
        <v>#N/A</v>
      </c>
      <c r="F2441" s="0" t="e">
        <f aca="false">IF(OR(F1719="",AND(F1719=F1718,F1719=F1720)),NA(), F1719)</f>
        <v>#N/A</v>
      </c>
      <c r="G2441" s="0" t="e">
        <f aca="false">IF(ISNA(H2441),NA(),G1719)</f>
        <v>#N/A</v>
      </c>
      <c r="H2441" s="0" t="e">
        <f aca="false">IF(OR(H1719="",AND(H1719=H1718,H1719=H1720)),NA(), H1719)</f>
        <v>#N/A</v>
      </c>
      <c r="K2441" s="0" t="e">
        <f aca="false">IF(ISNA(L2441),NA(),K1719)</f>
        <v>#N/A</v>
      </c>
      <c r="L2441" s="0" t="e">
        <f aca="false">IF(OR(L1719="",AND(L1719=L1718,L1719=L1720)),NA(), L1719)</f>
        <v>#N/A</v>
      </c>
      <c r="M2441" s="0" t="e">
        <f aca="false">IF(ISNA(N2441),NA(),M1719)</f>
        <v>#N/A</v>
      </c>
      <c r="N2441" s="0" t="e">
        <f aca="false">IF(OR(N1719="",AND(N1719=N1718,N1719=N1720)),NA(), N1719)</f>
        <v>#N/A</v>
      </c>
    </row>
    <row r="2442" customFormat="false" ht="15" hidden="false" customHeight="false" outlineLevel="0" collapsed="false">
      <c r="E2442" s="0" t="e">
        <f aca="false">IF(ISNA(F2442),NA(),E1720)</f>
        <v>#N/A</v>
      </c>
      <c r="F2442" s="0" t="e">
        <f aca="false">IF(OR(F1720="",AND(F1720=F1719,F1720=F1721)),NA(), F1720)</f>
        <v>#N/A</v>
      </c>
      <c r="G2442" s="0" t="e">
        <f aca="false">IF(ISNA(H2442),NA(),G1720)</f>
        <v>#N/A</v>
      </c>
      <c r="H2442" s="0" t="e">
        <f aca="false">IF(OR(H1720="",AND(H1720=H1719,H1720=H1721)),NA(), H1720)</f>
        <v>#N/A</v>
      </c>
      <c r="K2442" s="0" t="e">
        <f aca="false">IF(ISNA(L2442),NA(),K1720)</f>
        <v>#N/A</v>
      </c>
      <c r="L2442" s="0" t="e">
        <f aca="false">IF(OR(L1720="",AND(L1720=L1719,L1720=L1721)),NA(), L1720)</f>
        <v>#N/A</v>
      </c>
      <c r="M2442" s="0" t="e">
        <f aca="false">IF(ISNA(N2442),NA(),M1720)</f>
        <v>#N/A</v>
      </c>
      <c r="N2442" s="0" t="e">
        <f aca="false">IF(OR(N1720="",AND(N1720=N1719,N1720=N1721)),NA(), N1720)</f>
        <v>#N/A</v>
      </c>
    </row>
    <row r="2443" customFormat="false" ht="15" hidden="false" customHeight="false" outlineLevel="0" collapsed="false">
      <c r="E2443" s="0" t="e">
        <f aca="false">IF(ISNA(F2443),NA(),E1721)</f>
        <v>#N/A</v>
      </c>
      <c r="F2443" s="0" t="e">
        <f aca="false">IF(OR(F1721="",AND(F1721=F1720,F1721=F1722)),NA(), F1721)</f>
        <v>#N/A</v>
      </c>
      <c r="G2443" s="0" t="e">
        <f aca="false">IF(ISNA(H2443),NA(),G1721)</f>
        <v>#N/A</v>
      </c>
      <c r="H2443" s="0" t="e">
        <f aca="false">IF(OR(H1721="",AND(H1721=H1720,H1721=H1722)),NA(), H1721)</f>
        <v>#N/A</v>
      </c>
      <c r="K2443" s="0" t="e">
        <f aca="false">IF(ISNA(L2443),NA(),K1721)</f>
        <v>#N/A</v>
      </c>
      <c r="L2443" s="0" t="e">
        <f aca="false">IF(OR(L1721="",AND(L1721=L1720,L1721=L1722)),NA(), L1721)</f>
        <v>#N/A</v>
      </c>
      <c r="M2443" s="0" t="e">
        <f aca="false">IF(ISNA(N2443),NA(),M1721)</f>
        <v>#N/A</v>
      </c>
      <c r="N2443" s="0" t="e">
        <f aca="false">IF(OR(N1721="",AND(N1721=N1720,N1721=N1722)),NA(), N1721)</f>
        <v>#N/A</v>
      </c>
    </row>
    <row r="2444" customFormat="false" ht="15" hidden="false" customHeight="false" outlineLevel="0" collapsed="false">
      <c r="E2444" s="0" t="e">
        <f aca="false">IF(ISNA(F2444),NA(),E1722)</f>
        <v>#N/A</v>
      </c>
      <c r="F2444" s="0" t="e">
        <f aca="false">IF(OR(F1722="",AND(F1722=F1721,F1722=F1723)),NA(), F1722)</f>
        <v>#N/A</v>
      </c>
      <c r="G2444" s="0" t="e">
        <f aca="false">IF(ISNA(H2444),NA(),G1722)</f>
        <v>#N/A</v>
      </c>
      <c r="H2444" s="0" t="e">
        <f aca="false">IF(OR(H1722="",AND(H1722=H1721,H1722=H1723)),NA(), H1722)</f>
        <v>#N/A</v>
      </c>
      <c r="K2444" s="0" t="e">
        <f aca="false">IF(ISNA(L2444),NA(),K1722)</f>
        <v>#N/A</v>
      </c>
      <c r="L2444" s="0" t="e">
        <f aca="false">IF(OR(L1722="",AND(L1722=L1721,L1722=L1723)),NA(), L1722)</f>
        <v>#N/A</v>
      </c>
      <c r="M2444" s="0" t="e">
        <f aca="false">IF(ISNA(N2444),NA(),M1722)</f>
        <v>#N/A</v>
      </c>
      <c r="N2444" s="0" t="e">
        <f aca="false">IF(OR(N1722="",AND(N1722=N1721,N1722=N1723)),NA(), N1722)</f>
        <v>#N/A</v>
      </c>
    </row>
    <row r="2445" customFormat="false" ht="15" hidden="false" customHeight="false" outlineLevel="0" collapsed="false">
      <c r="E2445" s="0" t="e">
        <f aca="false">IF(ISNA(F2445),NA(),E1723)</f>
        <v>#N/A</v>
      </c>
      <c r="F2445" s="0" t="e">
        <f aca="false">IF(OR(F1723="",AND(F1723=F1722,F1723=F1724)),NA(), F1723)</f>
        <v>#N/A</v>
      </c>
      <c r="G2445" s="0" t="e">
        <f aca="false">IF(ISNA(H2445),NA(),G1723)</f>
        <v>#N/A</v>
      </c>
      <c r="H2445" s="0" t="e">
        <f aca="false">IF(OR(H1723="",AND(H1723=H1722,H1723=H1724)),NA(), H1723)</f>
        <v>#N/A</v>
      </c>
      <c r="K2445" s="0" t="e">
        <f aca="false">IF(ISNA(L2445),NA(),K1723)</f>
        <v>#N/A</v>
      </c>
      <c r="L2445" s="0" t="e">
        <f aca="false">IF(OR(L1723="",AND(L1723=L1722,L1723=L1724)),NA(), L1723)</f>
        <v>#N/A</v>
      </c>
      <c r="M2445" s="0" t="e">
        <f aca="false">IF(ISNA(N2445),NA(),M1723)</f>
        <v>#N/A</v>
      </c>
      <c r="N2445" s="0" t="e">
        <f aca="false">IF(OR(N1723="",AND(N1723=N1722,N1723=N1724)),NA(), N1723)</f>
        <v>#N/A</v>
      </c>
    </row>
    <row r="2446" customFormat="false" ht="15" hidden="false" customHeight="false" outlineLevel="0" collapsed="false">
      <c r="E2446" s="0" t="e">
        <f aca="false">IF(ISNA(F2446),NA(),E1724)</f>
        <v>#N/A</v>
      </c>
      <c r="F2446" s="0" t="e">
        <f aca="false">IF(OR(F1724="",AND(F1724=F1723,F1724=F1725)),NA(), F1724)</f>
        <v>#N/A</v>
      </c>
      <c r="G2446" s="0" t="e">
        <f aca="false">IF(ISNA(H2446),NA(),G1724)</f>
        <v>#N/A</v>
      </c>
      <c r="H2446" s="0" t="e">
        <f aca="false">IF(OR(H1724="",AND(H1724=H1723,H1724=H1725)),NA(), H1724)</f>
        <v>#N/A</v>
      </c>
      <c r="K2446" s="0" t="e">
        <f aca="false">IF(ISNA(L2446),NA(),K1724)</f>
        <v>#N/A</v>
      </c>
      <c r="L2446" s="0" t="e">
        <f aca="false">IF(OR(L1724="",AND(L1724=L1723,L1724=L1725)),NA(), L1724)</f>
        <v>#N/A</v>
      </c>
      <c r="M2446" s="0" t="e">
        <f aca="false">IF(ISNA(N2446),NA(),M1724)</f>
        <v>#N/A</v>
      </c>
      <c r="N2446" s="0" t="e">
        <f aca="false">IF(OR(N1724="",AND(N1724=N1723,N1724=N1725)),NA(), N1724)</f>
        <v>#N/A</v>
      </c>
    </row>
    <row r="2447" customFormat="false" ht="15" hidden="false" customHeight="false" outlineLevel="0" collapsed="false">
      <c r="E2447" s="0" t="e">
        <f aca="false">IF(ISNA(F2447),NA(),E1725)</f>
        <v>#N/A</v>
      </c>
      <c r="F2447" s="0" t="e">
        <f aca="false">IF(OR(F1725="",AND(F1725=F1724,F1725=F1726)),NA(), F1725)</f>
        <v>#N/A</v>
      </c>
      <c r="G2447" s="0" t="e">
        <f aca="false">IF(ISNA(H2447),NA(),G1725)</f>
        <v>#N/A</v>
      </c>
      <c r="H2447" s="0" t="e">
        <f aca="false">IF(OR(H1725="",AND(H1725=H1724,H1725=H1726)),NA(), H1725)</f>
        <v>#N/A</v>
      </c>
      <c r="K2447" s="0" t="e">
        <f aca="false">IF(ISNA(L2447),NA(),K1725)</f>
        <v>#N/A</v>
      </c>
      <c r="L2447" s="0" t="e">
        <f aca="false">IF(OR(L1725="",AND(L1725=L1724,L1725=L1726)),NA(), L1725)</f>
        <v>#N/A</v>
      </c>
      <c r="M2447" s="0" t="e">
        <f aca="false">IF(ISNA(N2447),NA(),M1725)</f>
        <v>#N/A</v>
      </c>
      <c r="N2447" s="0" t="e">
        <f aca="false">IF(OR(N1725="",AND(N1725=N1724,N1725=N1726)),NA(), N1725)</f>
        <v>#N/A</v>
      </c>
    </row>
    <row r="2448" customFormat="false" ht="15" hidden="false" customHeight="false" outlineLevel="0" collapsed="false">
      <c r="E2448" s="0" t="e">
        <f aca="false">IF(ISNA(F2448),NA(),E1726)</f>
        <v>#N/A</v>
      </c>
      <c r="F2448" s="0" t="e">
        <f aca="false">IF(OR(F1726="",AND(F1726=F1725,F1726=F1727)),NA(), F1726)</f>
        <v>#N/A</v>
      </c>
      <c r="G2448" s="0" t="e">
        <f aca="false">IF(ISNA(H2448),NA(),G1726)</f>
        <v>#N/A</v>
      </c>
      <c r="H2448" s="0" t="e">
        <f aca="false">IF(OR(H1726="",AND(H1726=H1725,H1726=H1727)),NA(), H1726)</f>
        <v>#N/A</v>
      </c>
      <c r="K2448" s="0" t="e">
        <f aca="false">IF(ISNA(L2448),NA(),K1726)</f>
        <v>#N/A</v>
      </c>
      <c r="L2448" s="0" t="e">
        <f aca="false">IF(OR(L1726="",AND(L1726=L1725,L1726=L1727)),NA(), L1726)</f>
        <v>#N/A</v>
      </c>
      <c r="M2448" s="0" t="e">
        <f aca="false">IF(ISNA(N2448),NA(),M1726)</f>
        <v>#N/A</v>
      </c>
      <c r="N2448" s="0" t="e">
        <f aca="false">IF(OR(N1726="",AND(N1726=N1725,N1726=N1727)),NA(), N1726)</f>
        <v>#N/A</v>
      </c>
    </row>
    <row r="2449" customFormat="false" ht="15" hidden="false" customHeight="false" outlineLevel="0" collapsed="false">
      <c r="E2449" s="0" t="e">
        <f aca="false">IF(ISNA(F2449),NA(),E1727)</f>
        <v>#N/A</v>
      </c>
      <c r="F2449" s="0" t="e">
        <f aca="false">IF(OR(F1727="",AND(F1727=F1726,F1727=F1728)),NA(), F1727)</f>
        <v>#N/A</v>
      </c>
      <c r="G2449" s="0" t="e">
        <f aca="false">IF(ISNA(H2449),NA(),G1727)</f>
        <v>#N/A</v>
      </c>
      <c r="H2449" s="0" t="e">
        <f aca="false">IF(OR(H1727="",AND(H1727=H1726,H1727=H1728)),NA(), H1727)</f>
        <v>#N/A</v>
      </c>
      <c r="K2449" s="0" t="e">
        <f aca="false">IF(ISNA(L2449),NA(),K1727)</f>
        <v>#N/A</v>
      </c>
      <c r="L2449" s="0" t="e">
        <f aca="false">IF(OR(L1727="",AND(L1727=L1726,L1727=L1728)),NA(), L1727)</f>
        <v>#N/A</v>
      </c>
      <c r="M2449" s="0" t="e">
        <f aca="false">IF(ISNA(N2449),NA(),M1727)</f>
        <v>#N/A</v>
      </c>
      <c r="N2449" s="0" t="e">
        <f aca="false">IF(OR(N1727="",AND(N1727=N1726,N1727=N1728)),NA(), N1727)</f>
        <v>#N/A</v>
      </c>
    </row>
    <row r="2450" customFormat="false" ht="15" hidden="false" customHeight="false" outlineLevel="0" collapsed="false">
      <c r="E2450" s="0" t="e">
        <f aca="false">IF(ISNA(F2450),NA(),E1728)</f>
        <v>#N/A</v>
      </c>
      <c r="F2450" s="0" t="e">
        <f aca="false">IF(OR(F1728="",AND(F1728=F1727,F1728=F1729)),NA(), F1728)</f>
        <v>#N/A</v>
      </c>
      <c r="G2450" s="0" t="e">
        <f aca="false">IF(ISNA(H2450),NA(),G1728)</f>
        <v>#N/A</v>
      </c>
      <c r="H2450" s="0" t="e">
        <f aca="false">IF(OR(H1728="",AND(H1728=H1727,H1728=H1729)),NA(), H1728)</f>
        <v>#N/A</v>
      </c>
      <c r="K2450" s="0" t="e">
        <f aca="false">IF(ISNA(L2450),NA(),K1728)</f>
        <v>#N/A</v>
      </c>
      <c r="L2450" s="0" t="e">
        <f aca="false">IF(OR(L1728="",AND(L1728=L1727,L1728=L1729)),NA(), L1728)</f>
        <v>#N/A</v>
      </c>
      <c r="M2450" s="0" t="e">
        <f aca="false">IF(ISNA(N2450),NA(),M1728)</f>
        <v>#N/A</v>
      </c>
      <c r="N2450" s="0" t="e">
        <f aca="false">IF(OR(N1728="",AND(N1728=N1727,N1728=N1729)),NA(), N1728)</f>
        <v>#N/A</v>
      </c>
    </row>
    <row r="2451" customFormat="false" ht="15" hidden="false" customHeight="false" outlineLevel="0" collapsed="false">
      <c r="E2451" s="0" t="e">
        <f aca="false">IF(ISNA(F2451),NA(),E1729)</f>
        <v>#N/A</v>
      </c>
      <c r="F2451" s="0" t="e">
        <f aca="false">IF(OR(F1729="",AND(F1729=F1728,F1729=F1730)),NA(), F1729)</f>
        <v>#N/A</v>
      </c>
      <c r="G2451" s="0" t="e">
        <f aca="false">IF(ISNA(H2451),NA(),G1729)</f>
        <v>#N/A</v>
      </c>
      <c r="H2451" s="0" t="e">
        <f aca="false">IF(OR(H1729="",AND(H1729=H1728,H1729=H1730)),NA(), H1729)</f>
        <v>#N/A</v>
      </c>
      <c r="K2451" s="0" t="e">
        <f aca="false">IF(ISNA(L2451),NA(),K1729)</f>
        <v>#N/A</v>
      </c>
      <c r="L2451" s="0" t="e">
        <f aca="false">IF(OR(L1729="",AND(L1729=L1728,L1729=L1730)),NA(), L1729)</f>
        <v>#N/A</v>
      </c>
      <c r="M2451" s="0" t="e">
        <f aca="false">IF(ISNA(N2451),NA(),M1729)</f>
        <v>#N/A</v>
      </c>
      <c r="N2451" s="0" t="e">
        <f aca="false">IF(OR(N1729="",AND(N1729=N1728,N1729=N1730)),NA(), N1729)</f>
        <v>#N/A</v>
      </c>
    </row>
    <row r="2452" customFormat="false" ht="15" hidden="false" customHeight="false" outlineLevel="0" collapsed="false">
      <c r="E2452" s="0" t="e">
        <f aca="false">IF(ISNA(F2452),NA(),E1730)</f>
        <v>#N/A</v>
      </c>
      <c r="F2452" s="0" t="e">
        <f aca="false">IF(OR(F1730="",AND(F1730=F1729,F1730=F1731)),NA(), F1730)</f>
        <v>#N/A</v>
      </c>
      <c r="G2452" s="0" t="e">
        <f aca="false">IF(ISNA(H2452),NA(),G1730)</f>
        <v>#N/A</v>
      </c>
      <c r="H2452" s="0" t="e">
        <f aca="false">IF(OR(H1730="",AND(H1730=H1729,H1730=H1731)),NA(), H1730)</f>
        <v>#N/A</v>
      </c>
      <c r="K2452" s="0" t="e">
        <f aca="false">IF(ISNA(L2452),NA(),K1730)</f>
        <v>#N/A</v>
      </c>
      <c r="L2452" s="0" t="e">
        <f aca="false">IF(OR(L1730="",AND(L1730=L1729,L1730=L1731)),NA(), L1730)</f>
        <v>#N/A</v>
      </c>
      <c r="M2452" s="0" t="e">
        <f aca="false">IF(ISNA(N2452),NA(),M1730)</f>
        <v>#N/A</v>
      </c>
      <c r="N2452" s="0" t="e">
        <f aca="false">IF(OR(N1730="",AND(N1730=N1729,N1730=N1731)),NA(), N1730)</f>
        <v>#N/A</v>
      </c>
    </row>
    <row r="2453" customFormat="false" ht="15" hidden="false" customHeight="false" outlineLevel="0" collapsed="false">
      <c r="E2453" s="0" t="e">
        <f aca="false">IF(ISNA(F2453),NA(),E1731)</f>
        <v>#N/A</v>
      </c>
      <c r="F2453" s="0" t="e">
        <f aca="false">IF(OR(F1731="",AND(F1731=F1730,F1731=F1732)),NA(), F1731)</f>
        <v>#N/A</v>
      </c>
      <c r="G2453" s="0" t="e">
        <f aca="false">IF(ISNA(H2453),NA(),G1731)</f>
        <v>#N/A</v>
      </c>
      <c r="H2453" s="0" t="e">
        <f aca="false">IF(OR(H1731="",AND(H1731=H1730,H1731=H1732)),NA(), H1731)</f>
        <v>#N/A</v>
      </c>
      <c r="K2453" s="0" t="e">
        <f aca="false">IF(ISNA(L2453),NA(),K1731)</f>
        <v>#N/A</v>
      </c>
      <c r="L2453" s="0" t="e">
        <f aca="false">IF(OR(L1731="",AND(L1731=L1730,L1731=L1732)),NA(), L1731)</f>
        <v>#N/A</v>
      </c>
      <c r="M2453" s="0" t="e">
        <f aca="false">IF(ISNA(N2453),NA(),M1731)</f>
        <v>#N/A</v>
      </c>
      <c r="N2453" s="0" t="e">
        <f aca="false">IF(OR(N1731="",AND(N1731=N1730,N1731=N1732)),NA(), N1731)</f>
        <v>#N/A</v>
      </c>
    </row>
    <row r="2454" customFormat="false" ht="15" hidden="false" customHeight="false" outlineLevel="0" collapsed="false">
      <c r="E2454" s="0" t="e">
        <f aca="false">IF(ISNA(F2454),NA(),E1732)</f>
        <v>#N/A</v>
      </c>
      <c r="F2454" s="0" t="e">
        <f aca="false">IF(OR(F1732="",AND(F1732=F1731,F1732=F1733)),NA(), F1732)</f>
        <v>#N/A</v>
      </c>
      <c r="G2454" s="0" t="e">
        <f aca="false">IF(ISNA(H2454),NA(),G1732)</f>
        <v>#N/A</v>
      </c>
      <c r="H2454" s="0" t="e">
        <f aca="false">IF(OR(H1732="",AND(H1732=H1731,H1732=H1733)),NA(), H1732)</f>
        <v>#N/A</v>
      </c>
      <c r="K2454" s="0" t="e">
        <f aca="false">IF(ISNA(L2454),NA(),K1732)</f>
        <v>#N/A</v>
      </c>
      <c r="L2454" s="0" t="e">
        <f aca="false">IF(OR(L1732="",AND(L1732=L1731,L1732=L1733)),NA(), L1732)</f>
        <v>#N/A</v>
      </c>
      <c r="M2454" s="0" t="e">
        <f aca="false">IF(ISNA(N2454),NA(),M1732)</f>
        <v>#N/A</v>
      </c>
      <c r="N2454" s="0" t="e">
        <f aca="false">IF(OR(N1732="",AND(N1732=N1731,N1732=N1733)),NA(), N1732)</f>
        <v>#N/A</v>
      </c>
    </row>
    <row r="2455" customFormat="false" ht="15" hidden="false" customHeight="false" outlineLevel="0" collapsed="false">
      <c r="E2455" s="0" t="e">
        <f aca="false">IF(ISNA(F2455),NA(),E1733)</f>
        <v>#N/A</v>
      </c>
      <c r="F2455" s="0" t="e">
        <f aca="false">IF(OR(F1733="",AND(F1733=F1732,F1733=F1734)),NA(), F1733)</f>
        <v>#N/A</v>
      </c>
      <c r="G2455" s="0" t="e">
        <f aca="false">IF(ISNA(H2455),NA(),G1733)</f>
        <v>#N/A</v>
      </c>
      <c r="H2455" s="0" t="e">
        <f aca="false">IF(OR(H1733="",AND(H1733=H1732,H1733=H1734)),NA(), H1733)</f>
        <v>#N/A</v>
      </c>
      <c r="K2455" s="0" t="e">
        <f aca="false">IF(ISNA(L2455),NA(),K1733)</f>
        <v>#N/A</v>
      </c>
      <c r="L2455" s="0" t="e">
        <f aca="false">IF(OR(L1733="",AND(L1733=L1732,L1733=L1734)),NA(), L1733)</f>
        <v>#N/A</v>
      </c>
      <c r="M2455" s="0" t="e">
        <f aca="false">IF(ISNA(N2455),NA(),M1733)</f>
        <v>#N/A</v>
      </c>
      <c r="N2455" s="0" t="e">
        <f aca="false">IF(OR(N1733="",AND(N1733=N1732,N1733=N1734)),NA(), N1733)</f>
        <v>#N/A</v>
      </c>
    </row>
    <row r="2456" customFormat="false" ht="15" hidden="false" customHeight="false" outlineLevel="0" collapsed="false">
      <c r="E2456" s="0" t="e">
        <f aca="false">IF(ISNA(F2456),NA(),E1734)</f>
        <v>#N/A</v>
      </c>
      <c r="F2456" s="0" t="e">
        <f aca="false">IF(OR(F1734="",AND(F1734=F1733,F1734=F1735)),NA(), F1734)</f>
        <v>#N/A</v>
      </c>
      <c r="G2456" s="0" t="e">
        <f aca="false">IF(ISNA(H2456),NA(),G1734)</f>
        <v>#N/A</v>
      </c>
      <c r="H2456" s="0" t="e">
        <f aca="false">IF(OR(H1734="",AND(H1734=H1733,H1734=H1735)),NA(), H1734)</f>
        <v>#N/A</v>
      </c>
      <c r="K2456" s="0" t="e">
        <f aca="false">IF(ISNA(L2456),NA(),K1734)</f>
        <v>#N/A</v>
      </c>
      <c r="L2456" s="0" t="e">
        <f aca="false">IF(OR(L1734="",AND(L1734=L1733,L1734=L1735)),NA(), L1734)</f>
        <v>#N/A</v>
      </c>
      <c r="M2456" s="0" t="e">
        <f aca="false">IF(ISNA(N2456),NA(),M1734)</f>
        <v>#N/A</v>
      </c>
      <c r="N2456" s="0" t="e">
        <f aca="false">IF(OR(N1734="",AND(N1734=N1733,N1734=N1735)),NA(), N1734)</f>
        <v>#N/A</v>
      </c>
    </row>
    <row r="2457" customFormat="false" ht="15" hidden="false" customHeight="false" outlineLevel="0" collapsed="false">
      <c r="E2457" s="0" t="e">
        <f aca="false">IF(ISNA(F2457),NA(),E1735)</f>
        <v>#N/A</v>
      </c>
      <c r="F2457" s="0" t="e">
        <f aca="false">IF(OR(F1735="",AND(F1735=F1734,F1735=F1736)),NA(), F1735)</f>
        <v>#N/A</v>
      </c>
      <c r="G2457" s="0" t="e">
        <f aca="false">IF(ISNA(H2457),NA(),G1735)</f>
        <v>#N/A</v>
      </c>
      <c r="H2457" s="0" t="e">
        <f aca="false">IF(OR(H1735="",AND(H1735=H1734,H1735=H1736)),NA(), H1735)</f>
        <v>#N/A</v>
      </c>
      <c r="K2457" s="0" t="e">
        <f aca="false">IF(ISNA(L2457),NA(),K1735)</f>
        <v>#N/A</v>
      </c>
      <c r="L2457" s="0" t="e">
        <f aca="false">IF(OR(L1735="",AND(L1735=L1734,L1735=L1736)),NA(), L1735)</f>
        <v>#N/A</v>
      </c>
      <c r="M2457" s="0" t="e">
        <f aca="false">IF(ISNA(N2457),NA(),M1735)</f>
        <v>#N/A</v>
      </c>
      <c r="N2457" s="0" t="e">
        <f aca="false">IF(OR(N1735="",AND(N1735=N1734,N1735=N1736)),NA(), N1735)</f>
        <v>#N/A</v>
      </c>
    </row>
    <row r="2458" customFormat="false" ht="15" hidden="false" customHeight="false" outlineLevel="0" collapsed="false">
      <c r="E2458" s="0" t="e">
        <f aca="false">IF(ISNA(F2458),NA(),E1736)</f>
        <v>#N/A</v>
      </c>
      <c r="F2458" s="0" t="e">
        <f aca="false">IF(OR(F1736="",AND(F1736=F1735,F1736=F1737)),NA(), F1736)</f>
        <v>#N/A</v>
      </c>
      <c r="G2458" s="0" t="e">
        <f aca="false">IF(ISNA(H2458),NA(),G1736)</f>
        <v>#N/A</v>
      </c>
      <c r="H2458" s="0" t="e">
        <f aca="false">IF(OR(H1736="",AND(H1736=H1735,H1736=H1737)),NA(), H1736)</f>
        <v>#N/A</v>
      </c>
      <c r="K2458" s="0" t="e">
        <f aca="false">IF(ISNA(L2458),NA(),K1736)</f>
        <v>#N/A</v>
      </c>
      <c r="L2458" s="0" t="e">
        <f aca="false">IF(OR(L1736="",AND(L1736=L1735,L1736=L1737)),NA(), L1736)</f>
        <v>#N/A</v>
      </c>
      <c r="M2458" s="0" t="e">
        <f aca="false">IF(ISNA(N2458),NA(),M1736)</f>
        <v>#N/A</v>
      </c>
      <c r="N2458" s="0" t="e">
        <f aca="false">IF(OR(N1736="",AND(N1736=N1735,N1736=N1737)),NA(), N1736)</f>
        <v>#N/A</v>
      </c>
    </row>
    <row r="2459" customFormat="false" ht="15" hidden="false" customHeight="false" outlineLevel="0" collapsed="false">
      <c r="E2459" s="0" t="e">
        <f aca="false">IF(ISNA(F2459),NA(),E1737)</f>
        <v>#N/A</v>
      </c>
      <c r="F2459" s="0" t="e">
        <f aca="false">IF(OR(F1737="",AND(F1737=F1736,F1737=F1738)),NA(), F1737)</f>
        <v>#N/A</v>
      </c>
      <c r="G2459" s="0" t="e">
        <f aca="false">IF(ISNA(H2459),NA(),G1737)</f>
        <v>#N/A</v>
      </c>
      <c r="H2459" s="0" t="e">
        <f aca="false">IF(OR(H1737="",AND(H1737=H1736,H1737=H1738)),NA(), H1737)</f>
        <v>#N/A</v>
      </c>
      <c r="K2459" s="0" t="e">
        <f aca="false">IF(ISNA(L2459),NA(),K1737)</f>
        <v>#N/A</v>
      </c>
      <c r="L2459" s="0" t="e">
        <f aca="false">IF(OR(L1737="",AND(L1737=L1736,L1737=L1738)),NA(), L1737)</f>
        <v>#N/A</v>
      </c>
      <c r="M2459" s="0" t="e">
        <f aca="false">IF(ISNA(N2459),NA(),M1737)</f>
        <v>#N/A</v>
      </c>
      <c r="N2459" s="0" t="e">
        <f aca="false">IF(OR(N1737="",AND(N1737=N1736,N1737=N1738)),NA(), N1737)</f>
        <v>#N/A</v>
      </c>
    </row>
    <row r="2460" customFormat="false" ht="15" hidden="false" customHeight="false" outlineLevel="0" collapsed="false">
      <c r="E2460" s="0" t="e">
        <f aca="false">IF(ISNA(F2460),NA(),E1738)</f>
        <v>#N/A</v>
      </c>
      <c r="F2460" s="0" t="e">
        <f aca="false">IF(OR(F1738="",AND(F1738=F1737,F1738=F1739)),NA(), F1738)</f>
        <v>#N/A</v>
      </c>
      <c r="G2460" s="0" t="e">
        <f aca="false">IF(ISNA(H2460),NA(),G1738)</f>
        <v>#N/A</v>
      </c>
      <c r="H2460" s="0" t="e">
        <f aca="false">IF(OR(H1738="",AND(H1738=H1737,H1738=H1739)),NA(), H1738)</f>
        <v>#N/A</v>
      </c>
      <c r="K2460" s="0" t="e">
        <f aca="false">IF(ISNA(L2460),NA(),K1738)</f>
        <v>#N/A</v>
      </c>
      <c r="L2460" s="0" t="e">
        <f aca="false">IF(OR(L1738="",AND(L1738=L1737,L1738=L1739)),NA(), L1738)</f>
        <v>#N/A</v>
      </c>
      <c r="M2460" s="0" t="e">
        <f aca="false">IF(ISNA(N2460),NA(),M1738)</f>
        <v>#N/A</v>
      </c>
      <c r="N2460" s="0" t="e">
        <f aca="false">IF(OR(N1738="",AND(N1738=N1737,N1738=N1739)),NA(), N1738)</f>
        <v>#N/A</v>
      </c>
    </row>
    <row r="2461" customFormat="false" ht="15" hidden="false" customHeight="false" outlineLevel="0" collapsed="false">
      <c r="E2461" s="0" t="e">
        <f aca="false">IF(ISNA(F2461),NA(),E1739)</f>
        <v>#N/A</v>
      </c>
      <c r="F2461" s="0" t="e">
        <f aca="false">IF(OR(F1739="",AND(F1739=F1738,F1739=F1740)),NA(), F1739)</f>
        <v>#N/A</v>
      </c>
      <c r="G2461" s="0" t="e">
        <f aca="false">IF(ISNA(H2461),NA(),G1739)</f>
        <v>#N/A</v>
      </c>
      <c r="H2461" s="0" t="e">
        <f aca="false">IF(OR(H1739="",AND(H1739=H1738,H1739=H1740)),NA(), H1739)</f>
        <v>#N/A</v>
      </c>
      <c r="K2461" s="0" t="e">
        <f aca="false">IF(ISNA(L2461),NA(),K1739)</f>
        <v>#N/A</v>
      </c>
      <c r="L2461" s="0" t="e">
        <f aca="false">IF(OR(L1739="",AND(L1739=L1738,L1739=L1740)),NA(), L1739)</f>
        <v>#N/A</v>
      </c>
      <c r="M2461" s="0" t="e">
        <f aca="false">IF(ISNA(N2461),NA(),M1739)</f>
        <v>#N/A</v>
      </c>
      <c r="N2461" s="0" t="e">
        <f aca="false">IF(OR(N1739="",AND(N1739=N1738,N1739=N1740)),NA(), N1739)</f>
        <v>#N/A</v>
      </c>
    </row>
    <row r="2462" customFormat="false" ht="15" hidden="false" customHeight="false" outlineLevel="0" collapsed="false">
      <c r="E2462" s="0" t="e">
        <f aca="false">IF(ISNA(F2462),NA(),E1740)</f>
        <v>#N/A</v>
      </c>
      <c r="F2462" s="0" t="e">
        <f aca="false">IF(OR(F1740="",AND(F1740=F1739,F1740=F1741)),NA(), F1740)</f>
        <v>#N/A</v>
      </c>
      <c r="G2462" s="0" t="e">
        <f aca="false">IF(ISNA(H2462),NA(),G1740)</f>
        <v>#N/A</v>
      </c>
      <c r="H2462" s="0" t="e">
        <f aca="false">IF(OR(H1740="",AND(H1740=H1739,H1740=H1741)),NA(), H1740)</f>
        <v>#N/A</v>
      </c>
      <c r="K2462" s="0" t="e">
        <f aca="false">IF(ISNA(L2462),NA(),K1740)</f>
        <v>#N/A</v>
      </c>
      <c r="L2462" s="0" t="e">
        <f aca="false">IF(OR(L1740="",AND(L1740=L1739,L1740=L1741)),NA(), L1740)</f>
        <v>#N/A</v>
      </c>
      <c r="M2462" s="0" t="e">
        <f aca="false">IF(ISNA(N2462),NA(),M1740)</f>
        <v>#N/A</v>
      </c>
      <c r="N2462" s="0" t="e">
        <f aca="false">IF(OR(N1740="",AND(N1740=N1739,N1740=N1741)),NA(), N1740)</f>
        <v>#N/A</v>
      </c>
    </row>
    <row r="2463" customFormat="false" ht="15" hidden="false" customHeight="false" outlineLevel="0" collapsed="false">
      <c r="E2463" s="0" t="e">
        <f aca="false">IF(ISNA(F2463),NA(),E1741)</f>
        <v>#N/A</v>
      </c>
      <c r="F2463" s="0" t="e">
        <f aca="false">IF(OR(F1741="",AND(F1741=F1740,F1741=F1742)),NA(), F1741)</f>
        <v>#N/A</v>
      </c>
      <c r="G2463" s="0" t="e">
        <f aca="false">IF(ISNA(H2463),NA(),G1741)</f>
        <v>#N/A</v>
      </c>
      <c r="H2463" s="0" t="e">
        <f aca="false">IF(OR(H1741="",AND(H1741=H1740,H1741=H1742)),NA(), H1741)</f>
        <v>#N/A</v>
      </c>
      <c r="K2463" s="0" t="e">
        <f aca="false">IF(ISNA(L2463),NA(),K1741)</f>
        <v>#N/A</v>
      </c>
      <c r="L2463" s="0" t="e">
        <f aca="false">IF(OR(L1741="",AND(L1741=L1740,L1741=L1742)),NA(), L1741)</f>
        <v>#N/A</v>
      </c>
      <c r="M2463" s="0" t="e">
        <f aca="false">IF(ISNA(N2463),NA(),M1741)</f>
        <v>#N/A</v>
      </c>
      <c r="N2463" s="0" t="e">
        <f aca="false">IF(OR(N1741="",AND(N1741=N1740,N1741=N1742)),NA(), N1741)</f>
        <v>#N/A</v>
      </c>
    </row>
    <row r="2464" customFormat="false" ht="15" hidden="false" customHeight="false" outlineLevel="0" collapsed="false">
      <c r="E2464" s="0" t="e">
        <f aca="false">IF(ISNA(F2464),NA(),E1742)</f>
        <v>#N/A</v>
      </c>
      <c r="F2464" s="0" t="e">
        <f aca="false">IF(OR(F1742="",AND(F1742=F1741,F1742=F1743)),NA(), F1742)</f>
        <v>#N/A</v>
      </c>
      <c r="G2464" s="0" t="e">
        <f aca="false">IF(ISNA(H2464),NA(),G1742)</f>
        <v>#N/A</v>
      </c>
      <c r="H2464" s="0" t="e">
        <f aca="false">IF(OR(H1742="",AND(H1742=H1741,H1742=H1743)),NA(), H1742)</f>
        <v>#N/A</v>
      </c>
      <c r="K2464" s="0" t="e">
        <f aca="false">IF(ISNA(L2464),NA(),K1742)</f>
        <v>#N/A</v>
      </c>
      <c r="L2464" s="0" t="e">
        <f aca="false">IF(OR(L1742="",AND(L1742=L1741,L1742=L1743)),NA(), L1742)</f>
        <v>#N/A</v>
      </c>
      <c r="M2464" s="0" t="e">
        <f aca="false">IF(ISNA(N2464),NA(),M1742)</f>
        <v>#N/A</v>
      </c>
      <c r="N2464" s="0" t="e">
        <f aca="false">IF(OR(N1742="",AND(N1742=N1741,N1742=N1743)),NA(), N1742)</f>
        <v>#N/A</v>
      </c>
    </row>
    <row r="2465" customFormat="false" ht="15" hidden="false" customHeight="false" outlineLevel="0" collapsed="false">
      <c r="E2465" s="0" t="e">
        <f aca="false">IF(ISNA(F2465),NA(),E1743)</f>
        <v>#N/A</v>
      </c>
      <c r="F2465" s="0" t="e">
        <f aca="false">IF(OR(F1743="",AND(F1743=F1742,F1743=F1744)),NA(), F1743)</f>
        <v>#N/A</v>
      </c>
      <c r="G2465" s="0" t="e">
        <f aca="false">IF(ISNA(H2465),NA(),G1743)</f>
        <v>#N/A</v>
      </c>
      <c r="H2465" s="0" t="e">
        <f aca="false">IF(OR(H1743="",AND(H1743=H1742,H1743=H1744)),NA(), H1743)</f>
        <v>#N/A</v>
      </c>
      <c r="K2465" s="0" t="e">
        <f aca="false">IF(ISNA(L2465),NA(),K1743)</f>
        <v>#N/A</v>
      </c>
      <c r="L2465" s="0" t="e">
        <f aca="false">IF(OR(L1743="",AND(L1743=L1742,L1743=L1744)),NA(), L1743)</f>
        <v>#N/A</v>
      </c>
      <c r="M2465" s="0" t="e">
        <f aca="false">IF(ISNA(N2465),NA(),M1743)</f>
        <v>#N/A</v>
      </c>
      <c r="N2465" s="0" t="e">
        <f aca="false">IF(OR(N1743="",AND(N1743=N1742,N1743=N1744)),NA(), N1743)</f>
        <v>#N/A</v>
      </c>
    </row>
    <row r="2466" customFormat="false" ht="15" hidden="false" customHeight="false" outlineLevel="0" collapsed="false">
      <c r="E2466" s="0" t="e">
        <f aca="false">IF(ISNA(F2466),NA(),E1744)</f>
        <v>#N/A</v>
      </c>
      <c r="F2466" s="0" t="e">
        <f aca="false">IF(OR(F1744="",AND(F1744=F1743,F1744=F1745)),NA(), F1744)</f>
        <v>#N/A</v>
      </c>
      <c r="G2466" s="0" t="e">
        <f aca="false">IF(ISNA(H2466),NA(),G1744)</f>
        <v>#N/A</v>
      </c>
      <c r="H2466" s="0" t="e">
        <f aca="false">IF(OR(H1744="",AND(H1744=H1743,H1744=H1745)),NA(), H1744)</f>
        <v>#N/A</v>
      </c>
      <c r="K2466" s="0" t="e">
        <f aca="false">IF(ISNA(L2466),NA(),K1744)</f>
        <v>#N/A</v>
      </c>
      <c r="L2466" s="0" t="e">
        <f aca="false">IF(OR(L1744="",AND(L1744=L1743,L1744=L1745)),NA(), L1744)</f>
        <v>#N/A</v>
      </c>
      <c r="M2466" s="0" t="e">
        <f aca="false">IF(ISNA(N2466),NA(),M1744)</f>
        <v>#N/A</v>
      </c>
      <c r="N2466" s="0" t="e">
        <f aca="false">IF(OR(N1744="",AND(N1744=N1743,N1744=N1745)),NA(), N1744)</f>
        <v>#N/A</v>
      </c>
    </row>
    <row r="2467" customFormat="false" ht="15" hidden="false" customHeight="false" outlineLevel="0" collapsed="false">
      <c r="E2467" s="0" t="e">
        <f aca="false">IF(ISNA(F2467),NA(),E1745)</f>
        <v>#N/A</v>
      </c>
      <c r="F2467" s="0" t="e">
        <f aca="false">IF(OR(F1745="",AND(F1745=F1744,F1745=F1746)),NA(), F1745)</f>
        <v>#N/A</v>
      </c>
      <c r="G2467" s="0" t="e">
        <f aca="false">IF(ISNA(H2467),NA(),G1745)</f>
        <v>#N/A</v>
      </c>
      <c r="H2467" s="0" t="e">
        <f aca="false">IF(OR(H1745="",AND(H1745=H1744,H1745=H1746)),NA(), H1745)</f>
        <v>#N/A</v>
      </c>
      <c r="K2467" s="0" t="e">
        <f aca="false">IF(ISNA(L2467),NA(),K1745)</f>
        <v>#N/A</v>
      </c>
      <c r="L2467" s="0" t="e">
        <f aca="false">IF(OR(L1745="",AND(L1745=L1744,L1745=L1746)),NA(), L1745)</f>
        <v>#N/A</v>
      </c>
      <c r="M2467" s="0" t="e">
        <f aca="false">IF(ISNA(N2467),NA(),M1745)</f>
        <v>#N/A</v>
      </c>
      <c r="N2467" s="0" t="e">
        <f aca="false">IF(OR(N1745="",AND(N1745=N1744,N1745=N1746)),NA(), N1745)</f>
        <v>#N/A</v>
      </c>
    </row>
    <row r="2468" customFormat="false" ht="15" hidden="false" customHeight="false" outlineLevel="0" collapsed="false">
      <c r="E2468" s="0" t="e">
        <f aca="false">IF(ISNA(F2468),NA(),E1746)</f>
        <v>#N/A</v>
      </c>
      <c r="F2468" s="0" t="e">
        <f aca="false">IF(OR(F1746="",AND(F1746=F1745,F1746=F1747)),NA(), F1746)</f>
        <v>#N/A</v>
      </c>
      <c r="G2468" s="0" t="e">
        <f aca="false">IF(ISNA(H2468),NA(),G1746)</f>
        <v>#N/A</v>
      </c>
      <c r="H2468" s="0" t="e">
        <f aca="false">IF(OR(H1746="",AND(H1746=H1745,H1746=H1747)),NA(), H1746)</f>
        <v>#N/A</v>
      </c>
      <c r="K2468" s="0" t="e">
        <f aca="false">IF(ISNA(L2468),NA(),K1746)</f>
        <v>#N/A</v>
      </c>
      <c r="L2468" s="0" t="e">
        <f aca="false">IF(OR(L1746="",AND(L1746=L1745,L1746=L1747)),NA(), L1746)</f>
        <v>#N/A</v>
      </c>
      <c r="M2468" s="0" t="e">
        <f aca="false">IF(ISNA(N2468),NA(),M1746)</f>
        <v>#N/A</v>
      </c>
      <c r="N2468" s="0" t="e">
        <f aca="false">IF(OR(N1746="",AND(N1746=N1745,N1746=N1747)),NA(), N1746)</f>
        <v>#N/A</v>
      </c>
    </row>
    <row r="2469" customFormat="false" ht="15" hidden="false" customHeight="false" outlineLevel="0" collapsed="false">
      <c r="E2469" s="0" t="e">
        <f aca="false">IF(ISNA(F2469),NA(),E1747)</f>
        <v>#N/A</v>
      </c>
      <c r="F2469" s="0" t="e">
        <f aca="false">IF(OR(F1747="",AND(F1747=F1746,F1747=F1748)),NA(), F1747)</f>
        <v>#N/A</v>
      </c>
      <c r="G2469" s="0" t="e">
        <f aca="false">IF(ISNA(H2469),NA(),G1747)</f>
        <v>#N/A</v>
      </c>
      <c r="H2469" s="0" t="e">
        <f aca="false">IF(OR(H1747="",AND(H1747=H1746,H1747=H1748)),NA(), H1747)</f>
        <v>#N/A</v>
      </c>
      <c r="K2469" s="0" t="e">
        <f aca="false">IF(ISNA(L2469),NA(),K1747)</f>
        <v>#N/A</v>
      </c>
      <c r="L2469" s="0" t="e">
        <f aca="false">IF(OR(L1747="",AND(L1747=L1746,L1747=L1748)),NA(), L1747)</f>
        <v>#N/A</v>
      </c>
      <c r="M2469" s="0" t="e">
        <f aca="false">IF(ISNA(N2469),NA(),M1747)</f>
        <v>#N/A</v>
      </c>
      <c r="N2469" s="0" t="e">
        <f aca="false">IF(OR(N1747="",AND(N1747=N1746,N1747=N1748)),NA(), N1747)</f>
        <v>#N/A</v>
      </c>
    </row>
    <row r="2470" customFormat="false" ht="15" hidden="false" customHeight="false" outlineLevel="0" collapsed="false">
      <c r="E2470" s="0" t="e">
        <f aca="false">IF(ISNA(F2470),NA(),E1748)</f>
        <v>#N/A</v>
      </c>
      <c r="F2470" s="0" t="e">
        <f aca="false">IF(OR(F1748="",AND(F1748=F1747,F1748=F1749)),NA(), F1748)</f>
        <v>#N/A</v>
      </c>
      <c r="G2470" s="0" t="e">
        <f aca="false">IF(ISNA(H2470),NA(),G1748)</f>
        <v>#N/A</v>
      </c>
      <c r="H2470" s="0" t="e">
        <f aca="false">IF(OR(H1748="",AND(H1748=H1747,H1748=H1749)),NA(), H1748)</f>
        <v>#N/A</v>
      </c>
      <c r="K2470" s="0" t="e">
        <f aca="false">IF(ISNA(L2470),NA(),K1748)</f>
        <v>#N/A</v>
      </c>
      <c r="L2470" s="0" t="e">
        <f aca="false">IF(OR(L1748="",AND(L1748=L1747,L1748=L1749)),NA(), L1748)</f>
        <v>#N/A</v>
      </c>
      <c r="M2470" s="0" t="e">
        <f aca="false">IF(ISNA(N2470),NA(),M1748)</f>
        <v>#N/A</v>
      </c>
      <c r="N2470" s="0" t="e">
        <f aca="false">IF(OR(N1748="",AND(N1748=N1747,N1748=N1749)),NA(), N1748)</f>
        <v>#N/A</v>
      </c>
    </row>
    <row r="2471" customFormat="false" ht="15" hidden="false" customHeight="false" outlineLevel="0" collapsed="false">
      <c r="E2471" s="0" t="e">
        <f aca="false">IF(ISNA(F2471),NA(),E1749)</f>
        <v>#N/A</v>
      </c>
      <c r="F2471" s="0" t="e">
        <f aca="false">IF(OR(F1749="",AND(F1749=F1748,F1749=F1750)),NA(), F1749)</f>
        <v>#N/A</v>
      </c>
      <c r="G2471" s="0" t="e">
        <f aca="false">IF(ISNA(H2471),NA(),G1749)</f>
        <v>#N/A</v>
      </c>
      <c r="H2471" s="0" t="e">
        <f aca="false">IF(OR(H1749="",AND(H1749=H1748,H1749=H1750)),NA(), H1749)</f>
        <v>#N/A</v>
      </c>
      <c r="K2471" s="0" t="e">
        <f aca="false">IF(ISNA(L2471),NA(),K1749)</f>
        <v>#N/A</v>
      </c>
      <c r="L2471" s="0" t="e">
        <f aca="false">IF(OR(L1749="",AND(L1749=L1748,L1749=L1750)),NA(), L1749)</f>
        <v>#N/A</v>
      </c>
      <c r="M2471" s="0" t="e">
        <f aca="false">IF(ISNA(N2471),NA(),M1749)</f>
        <v>#N/A</v>
      </c>
      <c r="N2471" s="0" t="e">
        <f aca="false">IF(OR(N1749="",AND(N1749=N1748,N1749=N1750)),NA(), N1749)</f>
        <v>#N/A</v>
      </c>
    </row>
    <row r="2472" customFormat="false" ht="15" hidden="false" customHeight="false" outlineLevel="0" collapsed="false">
      <c r="E2472" s="0" t="e">
        <f aca="false">IF(ISNA(F2472),NA(),E1750)</f>
        <v>#N/A</v>
      </c>
      <c r="F2472" s="0" t="e">
        <f aca="false">IF(OR(F1750="",AND(F1750=F1749,F1750=F1751)),NA(), F1750)</f>
        <v>#N/A</v>
      </c>
      <c r="G2472" s="0" t="e">
        <f aca="false">IF(ISNA(H2472),NA(),G1750)</f>
        <v>#N/A</v>
      </c>
      <c r="H2472" s="0" t="e">
        <f aca="false">IF(OR(H1750="",AND(H1750=H1749,H1750=H1751)),NA(), H1750)</f>
        <v>#N/A</v>
      </c>
      <c r="K2472" s="0" t="e">
        <f aca="false">IF(ISNA(L2472),NA(),K1750)</f>
        <v>#N/A</v>
      </c>
      <c r="L2472" s="0" t="e">
        <f aca="false">IF(OR(L1750="",AND(L1750=L1749,L1750=L1751)),NA(), L1750)</f>
        <v>#N/A</v>
      </c>
      <c r="M2472" s="0" t="e">
        <f aca="false">IF(ISNA(N2472),NA(),M1750)</f>
        <v>#N/A</v>
      </c>
      <c r="N2472" s="0" t="e">
        <f aca="false">IF(OR(N1750="",AND(N1750=N1749,N1750=N1751)),NA(), N1750)</f>
        <v>#N/A</v>
      </c>
    </row>
    <row r="2473" customFormat="false" ht="15" hidden="false" customHeight="false" outlineLevel="0" collapsed="false">
      <c r="E2473" s="0" t="e">
        <f aca="false">IF(ISNA(F2473),NA(),E1751)</f>
        <v>#N/A</v>
      </c>
      <c r="F2473" s="0" t="e">
        <f aca="false">IF(OR(F1751="",AND(F1751=F1750,F1751=F1752)),NA(), F1751)</f>
        <v>#N/A</v>
      </c>
      <c r="G2473" s="0" t="e">
        <f aca="false">IF(ISNA(H2473),NA(),G1751)</f>
        <v>#N/A</v>
      </c>
      <c r="H2473" s="0" t="e">
        <f aca="false">IF(OR(H1751="",AND(H1751=H1750,H1751=H1752)),NA(), H1751)</f>
        <v>#N/A</v>
      </c>
      <c r="K2473" s="0" t="e">
        <f aca="false">IF(ISNA(L2473),NA(),K1751)</f>
        <v>#N/A</v>
      </c>
      <c r="L2473" s="0" t="e">
        <f aca="false">IF(OR(L1751="",AND(L1751=L1750,L1751=L1752)),NA(), L1751)</f>
        <v>#N/A</v>
      </c>
      <c r="M2473" s="0" t="e">
        <f aca="false">IF(ISNA(N2473),NA(),M1751)</f>
        <v>#N/A</v>
      </c>
      <c r="N2473" s="0" t="e">
        <f aca="false">IF(OR(N1751="",AND(N1751=N1750,N1751=N1752)),NA(), N1751)</f>
        <v>#N/A</v>
      </c>
    </row>
    <row r="2474" customFormat="false" ht="15" hidden="false" customHeight="false" outlineLevel="0" collapsed="false">
      <c r="E2474" s="0" t="e">
        <f aca="false">IF(ISNA(F2474),NA(),E1752)</f>
        <v>#N/A</v>
      </c>
      <c r="F2474" s="0" t="e">
        <f aca="false">IF(OR(F1752="",AND(F1752=F1751,F1752=F1753)),NA(), F1752)</f>
        <v>#N/A</v>
      </c>
      <c r="G2474" s="0" t="e">
        <f aca="false">IF(ISNA(H2474),NA(),G1752)</f>
        <v>#N/A</v>
      </c>
      <c r="H2474" s="0" t="e">
        <f aca="false">IF(OR(H1752="",AND(H1752=H1751,H1752=H1753)),NA(), H1752)</f>
        <v>#N/A</v>
      </c>
      <c r="K2474" s="0" t="e">
        <f aca="false">IF(ISNA(L2474),NA(),K1752)</f>
        <v>#N/A</v>
      </c>
      <c r="L2474" s="0" t="e">
        <f aca="false">IF(OR(L1752="",AND(L1752=L1751,L1752=L1753)),NA(), L1752)</f>
        <v>#N/A</v>
      </c>
      <c r="M2474" s="0" t="e">
        <f aca="false">IF(ISNA(N2474),NA(),M1752)</f>
        <v>#N/A</v>
      </c>
      <c r="N2474" s="0" t="e">
        <f aca="false">IF(OR(N1752="",AND(N1752=N1751,N1752=N1753)),NA(), N1752)</f>
        <v>#N/A</v>
      </c>
    </row>
    <row r="2475" customFormat="false" ht="15" hidden="false" customHeight="false" outlineLevel="0" collapsed="false">
      <c r="E2475" s="0" t="e">
        <f aca="false">IF(ISNA(F2475),NA(),E1753)</f>
        <v>#N/A</v>
      </c>
      <c r="F2475" s="0" t="e">
        <f aca="false">IF(OR(F1753="",AND(F1753=F1752,F1753=F1754)),NA(), F1753)</f>
        <v>#N/A</v>
      </c>
      <c r="G2475" s="0" t="e">
        <f aca="false">IF(ISNA(H2475),NA(),G1753)</f>
        <v>#N/A</v>
      </c>
      <c r="H2475" s="0" t="e">
        <f aca="false">IF(OR(H1753="",AND(H1753=H1752,H1753=H1754)),NA(), H1753)</f>
        <v>#N/A</v>
      </c>
      <c r="K2475" s="0" t="e">
        <f aca="false">IF(ISNA(L2475),NA(),K1753)</f>
        <v>#N/A</v>
      </c>
      <c r="L2475" s="0" t="e">
        <f aca="false">IF(OR(L1753="",AND(L1753=L1752,L1753=L1754)),NA(), L1753)</f>
        <v>#N/A</v>
      </c>
      <c r="M2475" s="0" t="e">
        <f aca="false">IF(ISNA(N2475),NA(),M1753)</f>
        <v>#N/A</v>
      </c>
      <c r="N2475" s="0" t="e">
        <f aca="false">IF(OR(N1753="",AND(N1753=N1752,N1753=N1754)),NA(), N1753)</f>
        <v>#N/A</v>
      </c>
    </row>
    <row r="2476" customFormat="false" ht="15" hidden="false" customHeight="false" outlineLevel="0" collapsed="false">
      <c r="E2476" s="0" t="e">
        <f aca="false">IF(ISNA(F2476),NA(),E1754)</f>
        <v>#N/A</v>
      </c>
      <c r="F2476" s="0" t="e">
        <f aca="false">IF(OR(F1754="",AND(F1754=F1753,F1754=F1755)),NA(), F1754)</f>
        <v>#N/A</v>
      </c>
      <c r="G2476" s="0" t="e">
        <f aca="false">IF(ISNA(H2476),NA(),G1754)</f>
        <v>#N/A</v>
      </c>
      <c r="H2476" s="0" t="e">
        <f aca="false">IF(OR(H1754="",AND(H1754=H1753,H1754=H1755)),NA(), H1754)</f>
        <v>#N/A</v>
      </c>
      <c r="K2476" s="0" t="e">
        <f aca="false">IF(ISNA(L2476),NA(),K1754)</f>
        <v>#N/A</v>
      </c>
      <c r="L2476" s="0" t="e">
        <f aca="false">IF(OR(L1754="",AND(L1754=L1753,L1754=L1755)),NA(), L1754)</f>
        <v>#N/A</v>
      </c>
      <c r="M2476" s="0" t="e">
        <f aca="false">IF(ISNA(N2476),NA(),M1754)</f>
        <v>#N/A</v>
      </c>
      <c r="N2476" s="0" t="e">
        <f aca="false">IF(OR(N1754="",AND(N1754=N1753,N1754=N1755)),NA(), N1754)</f>
        <v>#N/A</v>
      </c>
    </row>
    <row r="2477" customFormat="false" ht="15" hidden="false" customHeight="false" outlineLevel="0" collapsed="false">
      <c r="E2477" s="0" t="e">
        <f aca="false">IF(ISNA(F2477),NA(),E1755)</f>
        <v>#N/A</v>
      </c>
      <c r="F2477" s="0" t="e">
        <f aca="false">IF(OR(F1755="",AND(F1755=F1754,F1755=F1756)),NA(), F1755)</f>
        <v>#N/A</v>
      </c>
      <c r="G2477" s="0" t="e">
        <f aca="false">IF(ISNA(H2477),NA(),G1755)</f>
        <v>#N/A</v>
      </c>
      <c r="H2477" s="0" t="e">
        <f aca="false">IF(OR(H1755="",AND(H1755=H1754,H1755=H1756)),NA(), H1755)</f>
        <v>#N/A</v>
      </c>
      <c r="K2477" s="0" t="e">
        <f aca="false">IF(ISNA(L2477),NA(),K1755)</f>
        <v>#N/A</v>
      </c>
      <c r="L2477" s="0" t="e">
        <f aca="false">IF(OR(L1755="",AND(L1755=L1754,L1755=L1756)),NA(), L1755)</f>
        <v>#N/A</v>
      </c>
      <c r="M2477" s="0" t="e">
        <f aca="false">IF(ISNA(N2477),NA(),M1755)</f>
        <v>#N/A</v>
      </c>
      <c r="N2477" s="0" t="e">
        <f aca="false">IF(OR(N1755="",AND(N1755=N1754,N1755=N1756)),NA(), N1755)</f>
        <v>#N/A</v>
      </c>
    </row>
    <row r="2478" customFormat="false" ht="15" hidden="false" customHeight="false" outlineLevel="0" collapsed="false">
      <c r="E2478" s="0" t="e">
        <f aca="false">IF(ISNA(F2478),NA(),E1756)</f>
        <v>#N/A</v>
      </c>
      <c r="F2478" s="0" t="e">
        <f aca="false">IF(OR(F1756="",AND(F1756=F1755,F1756=F1757)),NA(), F1756)</f>
        <v>#N/A</v>
      </c>
      <c r="G2478" s="0" t="e">
        <f aca="false">IF(ISNA(H2478),NA(),G1756)</f>
        <v>#N/A</v>
      </c>
      <c r="H2478" s="0" t="e">
        <f aca="false">IF(OR(H1756="",AND(H1756=H1755,H1756=H1757)),NA(), H1756)</f>
        <v>#N/A</v>
      </c>
      <c r="K2478" s="0" t="e">
        <f aca="false">IF(ISNA(L2478),NA(),K1756)</f>
        <v>#N/A</v>
      </c>
      <c r="L2478" s="0" t="e">
        <f aca="false">IF(OR(L1756="",AND(L1756=L1755,L1756=L1757)),NA(), L1756)</f>
        <v>#N/A</v>
      </c>
      <c r="M2478" s="0" t="e">
        <f aca="false">IF(ISNA(N2478),NA(),M1756)</f>
        <v>#N/A</v>
      </c>
      <c r="N2478" s="0" t="e">
        <f aca="false">IF(OR(N1756="",AND(N1756=N1755,N1756=N1757)),NA(), N1756)</f>
        <v>#N/A</v>
      </c>
    </row>
    <row r="2479" customFormat="false" ht="15" hidden="false" customHeight="false" outlineLevel="0" collapsed="false">
      <c r="E2479" s="0" t="e">
        <f aca="false">IF(ISNA(F2479),NA(),E1757)</f>
        <v>#N/A</v>
      </c>
      <c r="F2479" s="0" t="e">
        <f aca="false">IF(OR(F1757="",AND(F1757=F1756,F1757=F1758)),NA(), F1757)</f>
        <v>#N/A</v>
      </c>
      <c r="G2479" s="0" t="e">
        <f aca="false">IF(ISNA(H2479),NA(),G1757)</f>
        <v>#N/A</v>
      </c>
      <c r="H2479" s="0" t="e">
        <f aca="false">IF(OR(H1757="",AND(H1757=H1756,H1757=H1758)),NA(), H1757)</f>
        <v>#N/A</v>
      </c>
      <c r="K2479" s="0" t="e">
        <f aca="false">IF(ISNA(L2479),NA(),K1757)</f>
        <v>#N/A</v>
      </c>
      <c r="L2479" s="0" t="e">
        <f aca="false">IF(OR(L1757="",AND(L1757=L1756,L1757=L1758)),NA(), L1757)</f>
        <v>#N/A</v>
      </c>
      <c r="M2479" s="0" t="e">
        <f aca="false">IF(ISNA(N2479),NA(),M1757)</f>
        <v>#N/A</v>
      </c>
      <c r="N2479" s="0" t="e">
        <f aca="false">IF(OR(N1757="",AND(N1757=N1756,N1757=N1758)),NA(), N1757)</f>
        <v>#N/A</v>
      </c>
    </row>
    <row r="2480" customFormat="false" ht="15" hidden="false" customHeight="false" outlineLevel="0" collapsed="false">
      <c r="E2480" s="0" t="e">
        <f aca="false">IF(ISNA(F2480),NA(),E1758)</f>
        <v>#N/A</v>
      </c>
      <c r="F2480" s="0" t="e">
        <f aca="false">IF(OR(F1758="",AND(F1758=F1757,F1758=F1759)),NA(), F1758)</f>
        <v>#N/A</v>
      </c>
      <c r="G2480" s="0" t="e">
        <f aca="false">IF(ISNA(H2480),NA(),G1758)</f>
        <v>#N/A</v>
      </c>
      <c r="H2480" s="0" t="e">
        <f aca="false">IF(OR(H1758="",AND(H1758=H1757,H1758=H1759)),NA(), H1758)</f>
        <v>#N/A</v>
      </c>
      <c r="K2480" s="0" t="e">
        <f aca="false">IF(ISNA(L2480),NA(),K1758)</f>
        <v>#N/A</v>
      </c>
      <c r="L2480" s="0" t="e">
        <f aca="false">IF(OR(L1758="",AND(L1758=L1757,L1758=L1759)),NA(), L1758)</f>
        <v>#N/A</v>
      </c>
      <c r="M2480" s="0" t="e">
        <f aca="false">IF(ISNA(N2480),NA(),M1758)</f>
        <v>#N/A</v>
      </c>
      <c r="N2480" s="0" t="e">
        <f aca="false">IF(OR(N1758="",AND(N1758=N1757,N1758=N1759)),NA(), N1758)</f>
        <v>#N/A</v>
      </c>
    </row>
    <row r="2481" customFormat="false" ht="15" hidden="false" customHeight="false" outlineLevel="0" collapsed="false">
      <c r="E2481" s="0" t="e">
        <f aca="false">IF(ISNA(F2481),NA(),E1759)</f>
        <v>#N/A</v>
      </c>
      <c r="F2481" s="0" t="e">
        <f aca="false">IF(OR(F1759="",AND(F1759=F1758,F1759=F1760)),NA(), F1759)</f>
        <v>#N/A</v>
      </c>
      <c r="G2481" s="0" t="e">
        <f aca="false">IF(ISNA(H2481),NA(),G1759)</f>
        <v>#N/A</v>
      </c>
      <c r="H2481" s="0" t="e">
        <f aca="false">IF(OR(H1759="",AND(H1759=H1758,H1759=H1760)),NA(), H1759)</f>
        <v>#N/A</v>
      </c>
      <c r="K2481" s="0" t="e">
        <f aca="false">IF(ISNA(L2481),NA(),K1759)</f>
        <v>#N/A</v>
      </c>
      <c r="L2481" s="0" t="e">
        <f aca="false">IF(OR(L1759="",AND(L1759=L1758,L1759=L1760)),NA(), L1759)</f>
        <v>#N/A</v>
      </c>
      <c r="M2481" s="0" t="e">
        <f aca="false">IF(ISNA(N2481),NA(),M1759)</f>
        <v>#N/A</v>
      </c>
      <c r="N2481" s="0" t="e">
        <f aca="false">IF(OR(N1759="",AND(N1759=N1758,N1759=N1760)),NA(), N1759)</f>
        <v>#N/A</v>
      </c>
    </row>
    <row r="2482" customFormat="false" ht="15" hidden="false" customHeight="false" outlineLevel="0" collapsed="false">
      <c r="E2482" s="0" t="e">
        <f aca="false">IF(ISNA(F2482),NA(),E1760)</f>
        <v>#N/A</v>
      </c>
      <c r="F2482" s="0" t="e">
        <f aca="false">IF(OR(F1760="",AND(F1760=F1759,F1760=F1761)),NA(), F1760)</f>
        <v>#N/A</v>
      </c>
      <c r="G2482" s="0" t="e">
        <f aca="false">IF(ISNA(H2482),NA(),G1760)</f>
        <v>#N/A</v>
      </c>
      <c r="H2482" s="0" t="e">
        <f aca="false">IF(OR(H1760="",AND(H1760=H1759,H1760=H1761)),NA(), H1760)</f>
        <v>#N/A</v>
      </c>
      <c r="K2482" s="0" t="e">
        <f aca="false">IF(ISNA(L2482),NA(),K1760)</f>
        <v>#N/A</v>
      </c>
      <c r="L2482" s="0" t="e">
        <f aca="false">IF(OR(L1760="",AND(L1760=L1759,L1760=L1761)),NA(), L1760)</f>
        <v>#N/A</v>
      </c>
      <c r="M2482" s="0" t="e">
        <f aca="false">IF(ISNA(N2482),NA(),M1760)</f>
        <v>#N/A</v>
      </c>
      <c r="N2482" s="0" t="e">
        <f aca="false">IF(OR(N1760="",AND(N1760=N1759,N1760=N1761)),NA(), N1760)</f>
        <v>#N/A</v>
      </c>
    </row>
    <row r="2483" customFormat="false" ht="15" hidden="false" customHeight="false" outlineLevel="0" collapsed="false">
      <c r="E2483" s="0" t="e">
        <f aca="false">IF(ISNA(F2483),NA(),E1761)</f>
        <v>#N/A</v>
      </c>
      <c r="F2483" s="0" t="e">
        <f aca="false">IF(OR(F1761="",AND(F1761=F1760,F1761=F1762)),NA(), F1761)</f>
        <v>#N/A</v>
      </c>
      <c r="G2483" s="0" t="e">
        <f aca="false">IF(ISNA(H2483),NA(),G1761)</f>
        <v>#N/A</v>
      </c>
      <c r="H2483" s="0" t="e">
        <f aca="false">IF(OR(H1761="",AND(H1761=H1760,H1761=H1762)),NA(), H1761)</f>
        <v>#N/A</v>
      </c>
      <c r="K2483" s="0" t="e">
        <f aca="false">IF(ISNA(L2483),NA(),K1761)</f>
        <v>#N/A</v>
      </c>
      <c r="L2483" s="0" t="e">
        <f aca="false">IF(OR(L1761="",AND(L1761=L1760,L1761=L1762)),NA(), L1761)</f>
        <v>#N/A</v>
      </c>
      <c r="M2483" s="0" t="e">
        <f aca="false">IF(ISNA(N2483),NA(),M1761)</f>
        <v>#N/A</v>
      </c>
      <c r="N2483" s="0" t="e">
        <f aca="false">IF(OR(N1761="",AND(N1761=N1760,N1761=N1762)),NA(), N1761)</f>
        <v>#N/A</v>
      </c>
    </row>
    <row r="2484" customFormat="false" ht="15" hidden="false" customHeight="false" outlineLevel="0" collapsed="false">
      <c r="E2484" s="0" t="e">
        <f aca="false">IF(ISNA(F2484),NA(),E1762)</f>
        <v>#N/A</v>
      </c>
      <c r="F2484" s="0" t="e">
        <f aca="false">IF(OR(F1762="",AND(F1762=F1761,F1762=F1763)),NA(), F1762)</f>
        <v>#N/A</v>
      </c>
      <c r="G2484" s="0" t="e">
        <f aca="false">IF(ISNA(H2484),NA(),G1762)</f>
        <v>#N/A</v>
      </c>
      <c r="H2484" s="0" t="e">
        <f aca="false">IF(OR(H1762="",AND(H1762=H1761,H1762=H1763)),NA(), H1762)</f>
        <v>#N/A</v>
      </c>
      <c r="K2484" s="0" t="e">
        <f aca="false">IF(ISNA(L2484),NA(),K1762)</f>
        <v>#N/A</v>
      </c>
      <c r="L2484" s="0" t="e">
        <f aca="false">IF(OR(L1762="",AND(L1762=L1761,L1762=L1763)),NA(), L1762)</f>
        <v>#N/A</v>
      </c>
      <c r="M2484" s="0" t="e">
        <f aca="false">IF(ISNA(N2484),NA(),M1762)</f>
        <v>#N/A</v>
      </c>
      <c r="N2484" s="0" t="e">
        <f aca="false">IF(OR(N1762="",AND(N1762=N1761,N1762=N1763)),NA(), N1762)</f>
        <v>#N/A</v>
      </c>
    </row>
    <row r="2485" customFormat="false" ht="15" hidden="false" customHeight="false" outlineLevel="0" collapsed="false">
      <c r="E2485" s="0" t="e">
        <f aca="false">IF(ISNA(F2485),NA(),E1763)</f>
        <v>#N/A</v>
      </c>
      <c r="F2485" s="0" t="e">
        <f aca="false">IF(OR(F1763="",AND(F1763=F1762,F1763=F1764)),NA(), F1763)</f>
        <v>#N/A</v>
      </c>
      <c r="G2485" s="0" t="e">
        <f aca="false">IF(ISNA(H2485),NA(),G1763)</f>
        <v>#N/A</v>
      </c>
      <c r="H2485" s="0" t="e">
        <f aca="false">IF(OR(H1763="",AND(H1763=H1762,H1763=H1764)),NA(), H1763)</f>
        <v>#N/A</v>
      </c>
      <c r="K2485" s="0" t="e">
        <f aca="false">IF(ISNA(L2485),NA(),K1763)</f>
        <v>#N/A</v>
      </c>
      <c r="L2485" s="0" t="e">
        <f aca="false">IF(OR(L1763="",AND(L1763=L1762,L1763=L1764)),NA(), L1763)</f>
        <v>#N/A</v>
      </c>
      <c r="M2485" s="0" t="e">
        <f aca="false">IF(ISNA(N2485),NA(),M1763)</f>
        <v>#N/A</v>
      </c>
      <c r="N2485" s="0" t="e">
        <f aca="false">IF(OR(N1763="",AND(N1763=N1762,N1763=N1764)),NA(), N1763)</f>
        <v>#N/A</v>
      </c>
    </row>
    <row r="2486" customFormat="false" ht="15" hidden="false" customHeight="false" outlineLevel="0" collapsed="false">
      <c r="E2486" s="0" t="e">
        <f aca="false">IF(ISNA(F2486),NA(),E1764)</f>
        <v>#N/A</v>
      </c>
      <c r="F2486" s="0" t="e">
        <f aca="false">IF(OR(F1764="",AND(F1764=F1763,F1764=F1765)),NA(), F1764)</f>
        <v>#N/A</v>
      </c>
      <c r="G2486" s="0" t="e">
        <f aca="false">IF(ISNA(H2486),NA(),G1764)</f>
        <v>#N/A</v>
      </c>
      <c r="H2486" s="0" t="e">
        <f aca="false">IF(OR(H1764="",AND(H1764=H1763,H1764=H1765)),NA(), H1764)</f>
        <v>#N/A</v>
      </c>
      <c r="K2486" s="0" t="e">
        <f aca="false">IF(ISNA(L2486),NA(),K1764)</f>
        <v>#N/A</v>
      </c>
      <c r="L2486" s="0" t="e">
        <f aca="false">IF(OR(L1764="",AND(L1764=L1763,L1764=L1765)),NA(), L1764)</f>
        <v>#N/A</v>
      </c>
      <c r="M2486" s="0" t="e">
        <f aca="false">IF(ISNA(N2486),NA(),M1764)</f>
        <v>#N/A</v>
      </c>
      <c r="N2486" s="0" t="e">
        <f aca="false">IF(OR(N1764="",AND(N1764=N1763,N1764=N1765)),NA(), N1764)</f>
        <v>#N/A</v>
      </c>
    </row>
    <row r="2487" customFormat="false" ht="15" hidden="false" customHeight="false" outlineLevel="0" collapsed="false">
      <c r="E2487" s="0" t="e">
        <f aca="false">IF(ISNA(F2487),NA(),E1765)</f>
        <v>#N/A</v>
      </c>
      <c r="F2487" s="0" t="e">
        <f aca="false">IF(OR(F1765="",AND(F1765=F1764,F1765=F1766)),NA(), F1765)</f>
        <v>#N/A</v>
      </c>
      <c r="G2487" s="0" t="e">
        <f aca="false">IF(ISNA(H2487),NA(),G1765)</f>
        <v>#N/A</v>
      </c>
      <c r="H2487" s="0" t="e">
        <f aca="false">IF(OR(H1765="",AND(H1765=H1764,H1765=H1766)),NA(), H1765)</f>
        <v>#N/A</v>
      </c>
      <c r="K2487" s="0" t="e">
        <f aca="false">IF(ISNA(L2487),NA(),K1765)</f>
        <v>#N/A</v>
      </c>
      <c r="L2487" s="0" t="e">
        <f aca="false">IF(OR(L1765="",AND(L1765=L1764,L1765=L1766)),NA(), L1765)</f>
        <v>#N/A</v>
      </c>
      <c r="M2487" s="0" t="e">
        <f aca="false">IF(ISNA(N2487),NA(),M1765)</f>
        <v>#N/A</v>
      </c>
      <c r="N2487" s="0" t="e">
        <f aca="false">IF(OR(N1765="",AND(N1765=N1764,N1765=N1766)),NA(), N1765)</f>
        <v>#N/A</v>
      </c>
    </row>
    <row r="2488" customFormat="false" ht="15" hidden="false" customHeight="false" outlineLevel="0" collapsed="false">
      <c r="E2488" s="0" t="e">
        <f aca="false">IF(ISNA(F2488),NA(),E1766)</f>
        <v>#N/A</v>
      </c>
      <c r="F2488" s="0" t="e">
        <f aca="false">IF(OR(F1766="",AND(F1766=F1765,F1766=F1767)),NA(), F1766)</f>
        <v>#N/A</v>
      </c>
      <c r="G2488" s="0" t="e">
        <f aca="false">IF(ISNA(H2488),NA(),G1766)</f>
        <v>#N/A</v>
      </c>
      <c r="H2488" s="0" t="e">
        <f aca="false">IF(OR(H1766="",AND(H1766=H1765,H1766=H1767)),NA(), H1766)</f>
        <v>#N/A</v>
      </c>
      <c r="K2488" s="0" t="e">
        <f aca="false">IF(ISNA(L2488),NA(),K1766)</f>
        <v>#N/A</v>
      </c>
      <c r="L2488" s="0" t="e">
        <f aca="false">IF(OR(L1766="",AND(L1766=L1765,L1766=L1767)),NA(), L1766)</f>
        <v>#N/A</v>
      </c>
      <c r="M2488" s="0" t="e">
        <f aca="false">IF(ISNA(N2488),NA(),M1766)</f>
        <v>#N/A</v>
      </c>
      <c r="N2488" s="0" t="e">
        <f aca="false">IF(OR(N1766="",AND(N1766=N1765,N1766=N1767)),NA(), N1766)</f>
        <v>#N/A</v>
      </c>
    </row>
    <row r="2489" customFormat="false" ht="15" hidden="false" customHeight="false" outlineLevel="0" collapsed="false">
      <c r="E2489" s="0" t="e">
        <f aca="false">IF(ISNA(F2489),NA(),E1767)</f>
        <v>#N/A</v>
      </c>
      <c r="F2489" s="0" t="e">
        <f aca="false">IF(OR(F1767="",AND(F1767=F1766,F1767=F1768)),NA(), F1767)</f>
        <v>#N/A</v>
      </c>
      <c r="G2489" s="0" t="e">
        <f aca="false">IF(ISNA(H2489),NA(),G1767)</f>
        <v>#N/A</v>
      </c>
      <c r="H2489" s="0" t="e">
        <f aca="false">IF(OR(H1767="",AND(H1767=H1766,H1767=H1768)),NA(), H1767)</f>
        <v>#N/A</v>
      </c>
      <c r="K2489" s="0" t="e">
        <f aca="false">IF(ISNA(L2489),NA(),K1767)</f>
        <v>#N/A</v>
      </c>
      <c r="L2489" s="0" t="e">
        <f aca="false">IF(OR(L1767="",AND(L1767=L1766,L1767=L1768)),NA(), L1767)</f>
        <v>#N/A</v>
      </c>
      <c r="M2489" s="0" t="e">
        <f aca="false">IF(ISNA(N2489),NA(),M1767)</f>
        <v>#N/A</v>
      </c>
      <c r="N2489" s="0" t="e">
        <f aca="false">IF(OR(N1767="",AND(N1767=N1766,N1767=N1768)),NA(), N1767)</f>
        <v>#N/A</v>
      </c>
    </row>
    <row r="2490" customFormat="false" ht="15" hidden="false" customHeight="false" outlineLevel="0" collapsed="false">
      <c r="E2490" s="0" t="e">
        <f aca="false">IF(ISNA(F2490),NA(),E1768)</f>
        <v>#N/A</v>
      </c>
      <c r="F2490" s="0" t="e">
        <f aca="false">IF(OR(F1768="",AND(F1768=F1767,F1768=F1769)),NA(), F1768)</f>
        <v>#N/A</v>
      </c>
      <c r="G2490" s="0" t="e">
        <f aca="false">IF(ISNA(H2490),NA(),G1768)</f>
        <v>#N/A</v>
      </c>
      <c r="H2490" s="0" t="e">
        <f aca="false">IF(OR(H1768="",AND(H1768=H1767,H1768=H1769)),NA(), H1768)</f>
        <v>#N/A</v>
      </c>
      <c r="K2490" s="0" t="e">
        <f aca="false">IF(ISNA(L2490),NA(),K1768)</f>
        <v>#N/A</v>
      </c>
      <c r="L2490" s="0" t="e">
        <f aca="false">IF(OR(L1768="",AND(L1768=L1767,L1768=L1769)),NA(), L1768)</f>
        <v>#N/A</v>
      </c>
      <c r="M2490" s="0" t="e">
        <f aca="false">IF(ISNA(N2490),NA(),M1768)</f>
        <v>#N/A</v>
      </c>
      <c r="N2490" s="0" t="e">
        <f aca="false">IF(OR(N1768="",AND(N1768=N1767,N1768=N1769)),NA(), N1768)</f>
        <v>#N/A</v>
      </c>
    </row>
    <row r="2491" customFormat="false" ht="15" hidden="false" customHeight="false" outlineLevel="0" collapsed="false">
      <c r="E2491" s="0" t="e">
        <f aca="false">IF(ISNA(F2491),NA(),E1769)</f>
        <v>#N/A</v>
      </c>
      <c r="F2491" s="0" t="e">
        <f aca="false">IF(OR(F1769="",AND(F1769=F1768,F1769=F1770)),NA(), F1769)</f>
        <v>#N/A</v>
      </c>
      <c r="G2491" s="0" t="e">
        <f aca="false">IF(ISNA(H2491),NA(),G1769)</f>
        <v>#N/A</v>
      </c>
      <c r="H2491" s="0" t="e">
        <f aca="false">IF(OR(H1769="",AND(H1769=H1768,H1769=H1770)),NA(), H1769)</f>
        <v>#N/A</v>
      </c>
      <c r="K2491" s="0" t="e">
        <f aca="false">IF(ISNA(L2491),NA(),K1769)</f>
        <v>#N/A</v>
      </c>
      <c r="L2491" s="0" t="e">
        <f aca="false">IF(OR(L1769="",AND(L1769=L1768,L1769=L1770)),NA(), L1769)</f>
        <v>#N/A</v>
      </c>
      <c r="M2491" s="0" t="e">
        <f aca="false">IF(ISNA(N2491),NA(),M1769)</f>
        <v>#N/A</v>
      </c>
      <c r="N2491" s="0" t="e">
        <f aca="false">IF(OR(N1769="",AND(N1769=N1768,N1769=N1770)),NA(), N1769)</f>
        <v>#N/A</v>
      </c>
    </row>
    <row r="2492" customFormat="false" ht="15" hidden="false" customHeight="false" outlineLevel="0" collapsed="false">
      <c r="E2492" s="0" t="e">
        <f aca="false">IF(ISNA(F2492),NA(),E1770)</f>
        <v>#N/A</v>
      </c>
      <c r="F2492" s="0" t="e">
        <f aca="false">IF(OR(F1770="",AND(F1770=F1769,F1770=F1771)),NA(), F1770)</f>
        <v>#N/A</v>
      </c>
      <c r="G2492" s="0" t="e">
        <f aca="false">IF(ISNA(H2492),NA(),G1770)</f>
        <v>#N/A</v>
      </c>
      <c r="H2492" s="0" t="e">
        <f aca="false">IF(OR(H1770="",AND(H1770=H1769,H1770=H1771)),NA(), H1770)</f>
        <v>#N/A</v>
      </c>
      <c r="K2492" s="0" t="e">
        <f aca="false">IF(ISNA(L2492),NA(),K1770)</f>
        <v>#N/A</v>
      </c>
      <c r="L2492" s="0" t="e">
        <f aca="false">IF(OR(L1770="",AND(L1770=L1769,L1770=L1771)),NA(), L1770)</f>
        <v>#N/A</v>
      </c>
      <c r="M2492" s="0" t="e">
        <f aca="false">IF(ISNA(N2492),NA(),M1770)</f>
        <v>#N/A</v>
      </c>
      <c r="N2492" s="0" t="e">
        <f aca="false">IF(OR(N1770="",AND(N1770=N1769,N1770=N1771)),NA(), N1770)</f>
        <v>#N/A</v>
      </c>
    </row>
    <row r="2493" customFormat="false" ht="15" hidden="false" customHeight="false" outlineLevel="0" collapsed="false">
      <c r="E2493" s="0" t="e">
        <f aca="false">IF(ISNA(F2493),NA(),E1771)</f>
        <v>#N/A</v>
      </c>
      <c r="F2493" s="0" t="e">
        <f aca="false">IF(OR(F1771="",AND(F1771=F1770,F1771=F1772)),NA(), F1771)</f>
        <v>#N/A</v>
      </c>
      <c r="G2493" s="0" t="e">
        <f aca="false">IF(ISNA(H2493),NA(),G1771)</f>
        <v>#N/A</v>
      </c>
      <c r="H2493" s="0" t="e">
        <f aca="false">IF(OR(H1771="",AND(H1771=H1770,H1771=H1772)),NA(), H1771)</f>
        <v>#N/A</v>
      </c>
      <c r="K2493" s="0" t="e">
        <f aca="false">IF(ISNA(L2493),NA(),K1771)</f>
        <v>#N/A</v>
      </c>
      <c r="L2493" s="0" t="e">
        <f aca="false">IF(OR(L1771="",AND(L1771=L1770,L1771=L1772)),NA(), L1771)</f>
        <v>#N/A</v>
      </c>
      <c r="M2493" s="0" t="e">
        <f aca="false">IF(ISNA(N2493),NA(),M1771)</f>
        <v>#N/A</v>
      </c>
      <c r="N2493" s="0" t="e">
        <f aca="false">IF(OR(N1771="",AND(N1771=N1770,N1771=N1772)),NA(), N1771)</f>
        <v>#N/A</v>
      </c>
    </row>
    <row r="2494" customFormat="false" ht="15" hidden="false" customHeight="false" outlineLevel="0" collapsed="false">
      <c r="E2494" s="0" t="e">
        <f aca="false">IF(ISNA(F2494),NA(),E1772)</f>
        <v>#N/A</v>
      </c>
      <c r="F2494" s="0" t="e">
        <f aca="false">IF(OR(F1772="",AND(F1772=F1771,F1772=F1773)),NA(), F1772)</f>
        <v>#N/A</v>
      </c>
      <c r="G2494" s="0" t="e">
        <f aca="false">IF(ISNA(H2494),NA(),G1772)</f>
        <v>#N/A</v>
      </c>
      <c r="H2494" s="0" t="e">
        <f aca="false">IF(OR(H1772="",AND(H1772=H1771,H1772=H1773)),NA(), H1772)</f>
        <v>#N/A</v>
      </c>
      <c r="K2494" s="0" t="e">
        <f aca="false">IF(ISNA(L2494),NA(),K1772)</f>
        <v>#N/A</v>
      </c>
      <c r="L2494" s="0" t="e">
        <f aca="false">IF(OR(L1772="",AND(L1772=L1771,L1772=L1773)),NA(), L1772)</f>
        <v>#N/A</v>
      </c>
      <c r="M2494" s="0" t="e">
        <f aca="false">IF(ISNA(N2494),NA(),M1772)</f>
        <v>#N/A</v>
      </c>
      <c r="N2494" s="0" t="e">
        <f aca="false">IF(OR(N1772="",AND(N1772=N1771,N1772=N1773)),NA(), N1772)</f>
        <v>#N/A</v>
      </c>
    </row>
    <row r="2495" customFormat="false" ht="15" hidden="false" customHeight="false" outlineLevel="0" collapsed="false">
      <c r="E2495" s="0" t="e">
        <f aca="false">IF(ISNA(F2495),NA(),E1773)</f>
        <v>#N/A</v>
      </c>
      <c r="F2495" s="0" t="e">
        <f aca="false">IF(OR(F1773="",AND(F1773=F1772,F1773=F1774)),NA(), F1773)</f>
        <v>#N/A</v>
      </c>
      <c r="G2495" s="0" t="e">
        <f aca="false">IF(ISNA(H2495),NA(),G1773)</f>
        <v>#N/A</v>
      </c>
      <c r="H2495" s="0" t="e">
        <f aca="false">IF(OR(H1773="",AND(H1773=H1772,H1773=H1774)),NA(), H1773)</f>
        <v>#N/A</v>
      </c>
      <c r="K2495" s="0" t="e">
        <f aca="false">IF(ISNA(L2495),NA(),K1773)</f>
        <v>#N/A</v>
      </c>
      <c r="L2495" s="0" t="e">
        <f aca="false">IF(OR(L1773="",AND(L1773=L1772,L1773=L1774)),NA(), L1773)</f>
        <v>#N/A</v>
      </c>
      <c r="M2495" s="0" t="e">
        <f aca="false">IF(ISNA(N2495),NA(),M1773)</f>
        <v>#N/A</v>
      </c>
      <c r="N2495" s="0" t="e">
        <f aca="false">IF(OR(N1773="",AND(N1773=N1772,N1773=N1774)),NA(), N1773)</f>
        <v>#N/A</v>
      </c>
    </row>
    <row r="2496" customFormat="false" ht="15" hidden="false" customHeight="false" outlineLevel="0" collapsed="false">
      <c r="E2496" s="0" t="e">
        <f aca="false">IF(ISNA(F2496),NA(),E1774)</f>
        <v>#N/A</v>
      </c>
      <c r="F2496" s="0" t="e">
        <f aca="false">IF(OR(F1774="",AND(F1774=F1773,F1774=F1775)),NA(), F1774)</f>
        <v>#N/A</v>
      </c>
      <c r="G2496" s="0" t="e">
        <f aca="false">IF(ISNA(H2496),NA(),G1774)</f>
        <v>#N/A</v>
      </c>
      <c r="H2496" s="0" t="e">
        <f aca="false">IF(OR(H1774="",AND(H1774=H1773,H1774=H1775)),NA(), H1774)</f>
        <v>#N/A</v>
      </c>
      <c r="K2496" s="0" t="e">
        <f aca="false">IF(ISNA(L2496),NA(),K1774)</f>
        <v>#N/A</v>
      </c>
      <c r="L2496" s="0" t="e">
        <f aca="false">IF(OR(L1774="",AND(L1774=L1773,L1774=L1775)),NA(), L1774)</f>
        <v>#N/A</v>
      </c>
      <c r="M2496" s="0" t="e">
        <f aca="false">IF(ISNA(N2496),NA(),M1774)</f>
        <v>#N/A</v>
      </c>
      <c r="N2496" s="0" t="e">
        <f aca="false">IF(OR(N1774="",AND(N1774=N1773,N1774=N1775)),NA(), N1774)</f>
        <v>#N/A</v>
      </c>
    </row>
    <row r="2497" customFormat="false" ht="15" hidden="false" customHeight="false" outlineLevel="0" collapsed="false">
      <c r="E2497" s="0" t="e">
        <f aca="false">IF(ISNA(F2497),NA(),E1775)</f>
        <v>#N/A</v>
      </c>
      <c r="F2497" s="0" t="e">
        <f aca="false">IF(OR(F1775="",AND(F1775=F1774,F1775=F1776)),NA(), F1775)</f>
        <v>#N/A</v>
      </c>
      <c r="G2497" s="0" t="e">
        <f aca="false">IF(ISNA(H2497),NA(),G1775)</f>
        <v>#N/A</v>
      </c>
      <c r="H2497" s="0" t="e">
        <f aca="false">IF(OR(H1775="",AND(H1775=H1774,H1775=H1776)),NA(), H1775)</f>
        <v>#N/A</v>
      </c>
      <c r="K2497" s="0" t="e">
        <f aca="false">IF(ISNA(L2497),NA(),K1775)</f>
        <v>#N/A</v>
      </c>
      <c r="L2497" s="0" t="e">
        <f aca="false">IF(OR(L1775="",AND(L1775=L1774,L1775=L1776)),NA(), L1775)</f>
        <v>#N/A</v>
      </c>
      <c r="M2497" s="0" t="e">
        <f aca="false">IF(ISNA(N2497),NA(),M1775)</f>
        <v>#N/A</v>
      </c>
      <c r="N2497" s="0" t="e">
        <f aca="false">IF(OR(N1775="",AND(N1775=N1774,N1775=N1776)),NA(), N1775)</f>
        <v>#N/A</v>
      </c>
    </row>
    <row r="2498" customFormat="false" ht="15" hidden="false" customHeight="false" outlineLevel="0" collapsed="false">
      <c r="E2498" s="0" t="e">
        <f aca="false">IF(ISNA(F2498),NA(),E1776)</f>
        <v>#N/A</v>
      </c>
      <c r="F2498" s="0" t="e">
        <f aca="false">IF(OR(F1776="",AND(F1776=F1775,F1776=F1777)),NA(), F1776)</f>
        <v>#N/A</v>
      </c>
      <c r="G2498" s="0" t="e">
        <f aca="false">IF(ISNA(H2498),NA(),G1776)</f>
        <v>#N/A</v>
      </c>
      <c r="H2498" s="0" t="e">
        <f aca="false">IF(OR(H1776="",AND(H1776=H1775,H1776=H1777)),NA(), H1776)</f>
        <v>#N/A</v>
      </c>
      <c r="K2498" s="0" t="e">
        <f aca="false">IF(ISNA(L2498),NA(),K1776)</f>
        <v>#N/A</v>
      </c>
      <c r="L2498" s="0" t="e">
        <f aca="false">IF(OR(L1776="",AND(L1776=L1775,L1776=L1777)),NA(), L1776)</f>
        <v>#N/A</v>
      </c>
      <c r="M2498" s="0" t="e">
        <f aca="false">IF(ISNA(N2498),NA(),M1776)</f>
        <v>#N/A</v>
      </c>
      <c r="N2498" s="0" t="e">
        <f aca="false">IF(OR(N1776="",AND(N1776=N1775,N1776=N1777)),NA(), N1776)</f>
        <v>#N/A</v>
      </c>
    </row>
    <row r="2499" customFormat="false" ht="15" hidden="false" customHeight="false" outlineLevel="0" collapsed="false">
      <c r="E2499" s="0" t="e">
        <f aca="false">IF(ISNA(F2499),NA(),E1777)</f>
        <v>#N/A</v>
      </c>
      <c r="F2499" s="0" t="e">
        <f aca="false">IF(OR(F1777="",AND(F1777=F1776,F1777=F1778)),NA(), F1777)</f>
        <v>#N/A</v>
      </c>
      <c r="G2499" s="0" t="e">
        <f aca="false">IF(ISNA(H2499),NA(),G1777)</f>
        <v>#N/A</v>
      </c>
      <c r="H2499" s="0" t="e">
        <f aca="false">IF(OR(H1777="",AND(H1777=H1776,H1777=H1778)),NA(), H1777)</f>
        <v>#N/A</v>
      </c>
      <c r="K2499" s="0" t="e">
        <f aca="false">IF(ISNA(L2499),NA(),K1777)</f>
        <v>#N/A</v>
      </c>
      <c r="L2499" s="0" t="e">
        <f aca="false">IF(OR(L1777="",AND(L1777=L1776,L1777=L1778)),NA(), L1777)</f>
        <v>#N/A</v>
      </c>
      <c r="M2499" s="0" t="e">
        <f aca="false">IF(ISNA(N2499),NA(),M1777)</f>
        <v>#N/A</v>
      </c>
      <c r="N2499" s="0" t="e">
        <f aca="false">IF(OR(N1777="",AND(N1777=N1776,N1777=N1778)),NA(), N1777)</f>
        <v>#N/A</v>
      </c>
    </row>
    <row r="2500" customFormat="false" ht="15" hidden="false" customHeight="false" outlineLevel="0" collapsed="false">
      <c r="E2500" s="0" t="e">
        <f aca="false">IF(ISNA(F2500),NA(),E1778)</f>
        <v>#N/A</v>
      </c>
      <c r="F2500" s="0" t="e">
        <f aca="false">IF(OR(F1778="",AND(F1778=F1777,F1778=F1779)),NA(), F1778)</f>
        <v>#N/A</v>
      </c>
      <c r="G2500" s="0" t="e">
        <f aca="false">IF(ISNA(H2500),NA(),G1778)</f>
        <v>#N/A</v>
      </c>
      <c r="H2500" s="0" t="e">
        <f aca="false">IF(OR(H1778="",AND(H1778=H1777,H1778=H1779)),NA(), H1778)</f>
        <v>#N/A</v>
      </c>
      <c r="K2500" s="0" t="e">
        <f aca="false">IF(ISNA(L2500),NA(),K1778)</f>
        <v>#N/A</v>
      </c>
      <c r="L2500" s="0" t="e">
        <f aca="false">IF(OR(L1778="",AND(L1778=L1777,L1778=L1779)),NA(), L1778)</f>
        <v>#N/A</v>
      </c>
      <c r="M2500" s="0" t="e">
        <f aca="false">IF(ISNA(N2500),NA(),M1778)</f>
        <v>#N/A</v>
      </c>
      <c r="N2500" s="0" t="e">
        <f aca="false">IF(OR(N1778="",AND(N1778=N1777,N1778=N1779)),NA(), N1778)</f>
        <v>#N/A</v>
      </c>
    </row>
    <row r="2501" customFormat="false" ht="15" hidden="false" customHeight="false" outlineLevel="0" collapsed="false">
      <c r="E2501" s="0" t="e">
        <f aca="false">IF(ISNA(F2501),NA(),E1779)</f>
        <v>#N/A</v>
      </c>
      <c r="F2501" s="0" t="e">
        <f aca="false">IF(OR(F1779="",AND(F1779=F1778,F1779=F1780)),NA(), F1779)</f>
        <v>#N/A</v>
      </c>
      <c r="G2501" s="0" t="e">
        <f aca="false">IF(ISNA(H2501),NA(),G1779)</f>
        <v>#N/A</v>
      </c>
      <c r="H2501" s="0" t="e">
        <f aca="false">IF(OR(H1779="",AND(H1779=H1778,H1779=H1780)),NA(), H1779)</f>
        <v>#N/A</v>
      </c>
      <c r="K2501" s="0" t="e">
        <f aca="false">IF(ISNA(L2501),NA(),K1779)</f>
        <v>#N/A</v>
      </c>
      <c r="L2501" s="0" t="e">
        <f aca="false">IF(OR(L1779="",AND(L1779=L1778,L1779=L1780)),NA(), L1779)</f>
        <v>#N/A</v>
      </c>
      <c r="M2501" s="0" t="e">
        <f aca="false">IF(ISNA(N2501),NA(),M1779)</f>
        <v>#N/A</v>
      </c>
      <c r="N2501" s="0" t="e">
        <f aca="false">IF(OR(N1779="",AND(N1779=N1778,N1779=N1780)),NA(), N1779)</f>
        <v>#N/A</v>
      </c>
    </row>
    <row r="2502" customFormat="false" ht="15" hidden="false" customHeight="false" outlineLevel="0" collapsed="false">
      <c r="E2502" s="0" t="e">
        <f aca="false">IF(ISNA(F2502),NA(),E1780)</f>
        <v>#N/A</v>
      </c>
      <c r="F2502" s="0" t="e">
        <f aca="false">IF(OR(F1780="",AND(F1780=F1779,F1780=F1781)),NA(), F1780)</f>
        <v>#N/A</v>
      </c>
      <c r="G2502" s="0" t="e">
        <f aca="false">IF(ISNA(H2502),NA(),G1780)</f>
        <v>#N/A</v>
      </c>
      <c r="H2502" s="0" t="e">
        <f aca="false">IF(OR(H1780="",AND(H1780=H1779,H1780=H1781)),NA(), H1780)</f>
        <v>#N/A</v>
      </c>
      <c r="K2502" s="0" t="e">
        <f aca="false">IF(ISNA(L2502),NA(),K1780)</f>
        <v>#N/A</v>
      </c>
      <c r="L2502" s="0" t="e">
        <f aca="false">IF(OR(L1780="",AND(L1780=L1779,L1780=L1781)),NA(), L1780)</f>
        <v>#N/A</v>
      </c>
      <c r="M2502" s="0" t="e">
        <f aca="false">IF(ISNA(N2502),NA(),M1780)</f>
        <v>#N/A</v>
      </c>
      <c r="N2502" s="0" t="e">
        <f aca="false">IF(OR(N1780="",AND(N1780=N1779,N1780=N1781)),NA(), N1780)</f>
        <v>#N/A</v>
      </c>
    </row>
    <row r="2503" customFormat="false" ht="15" hidden="false" customHeight="false" outlineLevel="0" collapsed="false">
      <c r="E2503" s="0" t="e">
        <f aca="false">IF(ISNA(F2503),NA(),E1781)</f>
        <v>#N/A</v>
      </c>
      <c r="F2503" s="0" t="e">
        <f aca="false">IF(OR(F1781="",AND(F1781=F1780,F1781=F1782)),NA(), F1781)</f>
        <v>#N/A</v>
      </c>
      <c r="G2503" s="0" t="e">
        <f aca="false">IF(ISNA(H2503),NA(),G1781)</f>
        <v>#N/A</v>
      </c>
      <c r="H2503" s="0" t="e">
        <f aca="false">IF(OR(H1781="",AND(H1781=H1780,H1781=H1782)),NA(), H1781)</f>
        <v>#N/A</v>
      </c>
      <c r="K2503" s="0" t="e">
        <f aca="false">IF(ISNA(L2503),NA(),K1781)</f>
        <v>#N/A</v>
      </c>
      <c r="L2503" s="0" t="e">
        <f aca="false">IF(OR(L1781="",AND(L1781=L1780,L1781=L1782)),NA(), L1781)</f>
        <v>#N/A</v>
      </c>
      <c r="M2503" s="0" t="e">
        <f aca="false">IF(ISNA(N2503),NA(),M1781)</f>
        <v>#N/A</v>
      </c>
      <c r="N2503" s="0" t="e">
        <f aca="false">IF(OR(N1781="",AND(N1781=N1780,N1781=N1782)),NA(), N1781)</f>
        <v>#N/A</v>
      </c>
    </row>
    <row r="2504" customFormat="false" ht="15" hidden="false" customHeight="false" outlineLevel="0" collapsed="false">
      <c r="E2504" s="0" t="e">
        <f aca="false">IF(ISNA(F2504),NA(),E1782)</f>
        <v>#N/A</v>
      </c>
      <c r="F2504" s="0" t="e">
        <f aca="false">IF(OR(F1782="",AND(F1782=F1781,F1782=F1783)),NA(), F1782)</f>
        <v>#N/A</v>
      </c>
      <c r="G2504" s="0" t="e">
        <f aca="false">IF(ISNA(H2504),NA(),G1782)</f>
        <v>#N/A</v>
      </c>
      <c r="H2504" s="0" t="e">
        <f aca="false">IF(OR(H1782="",AND(H1782=H1781,H1782=H1783)),NA(), H1782)</f>
        <v>#N/A</v>
      </c>
      <c r="K2504" s="0" t="e">
        <f aca="false">IF(ISNA(L2504),NA(),K1782)</f>
        <v>#N/A</v>
      </c>
      <c r="L2504" s="0" t="e">
        <f aca="false">IF(OR(L1782="",AND(L1782=L1781,L1782=L1783)),NA(), L1782)</f>
        <v>#N/A</v>
      </c>
      <c r="M2504" s="0" t="e">
        <f aca="false">IF(ISNA(N2504),NA(),M1782)</f>
        <v>#N/A</v>
      </c>
      <c r="N2504" s="0" t="e">
        <f aca="false">IF(OR(N1782="",AND(N1782=N1781,N1782=N1783)),NA(), N1782)</f>
        <v>#N/A</v>
      </c>
    </row>
    <row r="2505" customFormat="false" ht="15" hidden="false" customHeight="false" outlineLevel="0" collapsed="false">
      <c r="E2505" s="0" t="e">
        <f aca="false">IF(ISNA(F2505),NA(),E1783)</f>
        <v>#N/A</v>
      </c>
      <c r="F2505" s="0" t="e">
        <f aca="false">IF(OR(F1783="",AND(F1783=F1782,F1783=F1784)),NA(), F1783)</f>
        <v>#N/A</v>
      </c>
      <c r="G2505" s="0" t="e">
        <f aca="false">IF(ISNA(H2505),NA(),G1783)</f>
        <v>#N/A</v>
      </c>
      <c r="H2505" s="0" t="e">
        <f aca="false">IF(OR(H1783="",AND(H1783=H1782,H1783=H1784)),NA(), H1783)</f>
        <v>#N/A</v>
      </c>
      <c r="K2505" s="0" t="e">
        <f aca="false">IF(ISNA(L2505),NA(),K1783)</f>
        <v>#N/A</v>
      </c>
      <c r="L2505" s="0" t="e">
        <f aca="false">IF(OR(L1783="",AND(L1783=L1782,L1783=L1784)),NA(), L1783)</f>
        <v>#N/A</v>
      </c>
      <c r="M2505" s="0" t="e">
        <f aca="false">IF(ISNA(N2505),NA(),M1783)</f>
        <v>#N/A</v>
      </c>
      <c r="N2505" s="0" t="e">
        <f aca="false">IF(OR(N1783="",AND(N1783=N1782,N1783=N1784)),NA(), N1783)</f>
        <v>#N/A</v>
      </c>
    </row>
    <row r="2506" customFormat="false" ht="15" hidden="false" customHeight="false" outlineLevel="0" collapsed="false">
      <c r="E2506" s="0" t="e">
        <f aca="false">IF(ISNA(F2506),NA(),E1784)</f>
        <v>#N/A</v>
      </c>
      <c r="F2506" s="0" t="e">
        <f aca="false">IF(OR(F1784="",AND(F1784=F1783,F1784=F1785)),NA(), F1784)</f>
        <v>#N/A</v>
      </c>
      <c r="G2506" s="0" t="e">
        <f aca="false">IF(ISNA(H2506),NA(),G1784)</f>
        <v>#N/A</v>
      </c>
      <c r="H2506" s="0" t="e">
        <f aca="false">IF(OR(H1784="",AND(H1784=H1783,H1784=H1785)),NA(), H1784)</f>
        <v>#N/A</v>
      </c>
      <c r="K2506" s="0" t="e">
        <f aca="false">IF(ISNA(L2506),NA(),K1784)</f>
        <v>#N/A</v>
      </c>
      <c r="L2506" s="0" t="e">
        <f aca="false">IF(OR(L1784="",AND(L1784=L1783,L1784=L1785)),NA(), L1784)</f>
        <v>#N/A</v>
      </c>
      <c r="M2506" s="0" t="e">
        <f aca="false">IF(ISNA(N2506),NA(),M1784)</f>
        <v>#N/A</v>
      </c>
      <c r="N2506" s="0" t="e">
        <f aca="false">IF(OR(N1784="",AND(N1784=N1783,N1784=N1785)),NA(), N1784)</f>
        <v>#N/A</v>
      </c>
    </row>
    <row r="2507" customFormat="false" ht="15" hidden="false" customHeight="false" outlineLevel="0" collapsed="false">
      <c r="E2507" s="0" t="e">
        <f aca="false">IF(ISNA(F2507),NA(),E1785)</f>
        <v>#N/A</v>
      </c>
      <c r="F2507" s="0" t="e">
        <f aca="false">IF(OR(F1785="",AND(F1785=F1784,F1785=F1786)),NA(), F1785)</f>
        <v>#N/A</v>
      </c>
      <c r="G2507" s="0" t="e">
        <f aca="false">IF(ISNA(H2507),NA(),G1785)</f>
        <v>#N/A</v>
      </c>
      <c r="H2507" s="0" t="e">
        <f aca="false">IF(OR(H1785="",AND(H1785=H1784,H1785=H1786)),NA(), H1785)</f>
        <v>#N/A</v>
      </c>
      <c r="K2507" s="0" t="e">
        <f aca="false">IF(ISNA(L2507),NA(),K1785)</f>
        <v>#N/A</v>
      </c>
      <c r="L2507" s="0" t="e">
        <f aca="false">IF(OR(L1785="",AND(L1785=L1784,L1785=L1786)),NA(), L1785)</f>
        <v>#N/A</v>
      </c>
      <c r="M2507" s="0" t="e">
        <f aca="false">IF(ISNA(N2507),NA(),M1785)</f>
        <v>#N/A</v>
      </c>
      <c r="N2507" s="0" t="e">
        <f aca="false">IF(OR(N1785="",AND(N1785=N1784,N1785=N1786)),NA(), N1785)</f>
        <v>#N/A</v>
      </c>
    </row>
    <row r="2508" customFormat="false" ht="15" hidden="false" customHeight="false" outlineLevel="0" collapsed="false">
      <c r="E2508" s="0" t="e">
        <f aca="false">IF(ISNA(F2508),NA(),E1786)</f>
        <v>#N/A</v>
      </c>
      <c r="F2508" s="0" t="e">
        <f aca="false">IF(OR(F1786="",AND(F1786=F1785,F1786=F1787)),NA(), F1786)</f>
        <v>#N/A</v>
      </c>
      <c r="G2508" s="0" t="e">
        <f aca="false">IF(ISNA(H2508),NA(),G1786)</f>
        <v>#N/A</v>
      </c>
      <c r="H2508" s="0" t="e">
        <f aca="false">IF(OR(H1786="",AND(H1786=H1785,H1786=H1787)),NA(), H1786)</f>
        <v>#N/A</v>
      </c>
      <c r="K2508" s="0" t="e">
        <f aca="false">IF(ISNA(L2508),NA(),K1786)</f>
        <v>#N/A</v>
      </c>
      <c r="L2508" s="0" t="e">
        <f aca="false">IF(OR(L1786="",AND(L1786=L1785,L1786=L1787)),NA(), L1786)</f>
        <v>#N/A</v>
      </c>
      <c r="M2508" s="0" t="e">
        <f aca="false">IF(ISNA(N2508),NA(),M1786)</f>
        <v>#N/A</v>
      </c>
      <c r="N2508" s="0" t="e">
        <f aca="false">IF(OR(N1786="",AND(N1786=N1785,N1786=N1787)),NA(), N1786)</f>
        <v>#N/A</v>
      </c>
    </row>
    <row r="2509" customFormat="false" ht="15" hidden="false" customHeight="false" outlineLevel="0" collapsed="false">
      <c r="E2509" s="0" t="e">
        <f aca="false">IF(ISNA(F2509),NA(),E1787)</f>
        <v>#N/A</v>
      </c>
      <c r="F2509" s="0" t="e">
        <f aca="false">IF(OR(F1787="",AND(F1787=F1786,F1787=F1788)),NA(), F1787)</f>
        <v>#N/A</v>
      </c>
      <c r="G2509" s="0" t="e">
        <f aca="false">IF(ISNA(H2509),NA(),G1787)</f>
        <v>#N/A</v>
      </c>
      <c r="H2509" s="0" t="e">
        <f aca="false">IF(OR(H1787="",AND(H1787=H1786,H1787=H1788)),NA(), H1787)</f>
        <v>#N/A</v>
      </c>
      <c r="K2509" s="0" t="e">
        <f aca="false">IF(ISNA(L2509),NA(),K1787)</f>
        <v>#N/A</v>
      </c>
      <c r="L2509" s="0" t="e">
        <f aca="false">IF(OR(L1787="",AND(L1787=L1786,L1787=L1788)),NA(), L1787)</f>
        <v>#N/A</v>
      </c>
      <c r="M2509" s="0" t="e">
        <f aca="false">IF(ISNA(N2509),NA(),M1787)</f>
        <v>#N/A</v>
      </c>
      <c r="N2509" s="0" t="e">
        <f aca="false">IF(OR(N1787="",AND(N1787=N1786,N1787=N1788)),NA(), N1787)</f>
        <v>#N/A</v>
      </c>
    </row>
    <row r="2510" customFormat="false" ht="15" hidden="false" customHeight="false" outlineLevel="0" collapsed="false">
      <c r="E2510" s="0" t="e">
        <f aca="false">IF(ISNA(F2510),NA(),E1788)</f>
        <v>#N/A</v>
      </c>
      <c r="F2510" s="0" t="e">
        <f aca="false">IF(OR(F1788="",AND(F1788=F1787,F1788=F1789)),NA(), F1788)</f>
        <v>#N/A</v>
      </c>
      <c r="G2510" s="0" t="e">
        <f aca="false">IF(ISNA(H2510),NA(),G1788)</f>
        <v>#N/A</v>
      </c>
      <c r="H2510" s="0" t="e">
        <f aca="false">IF(OR(H1788="",AND(H1788=H1787,H1788=H1789)),NA(), H1788)</f>
        <v>#N/A</v>
      </c>
      <c r="K2510" s="0" t="e">
        <f aca="false">IF(ISNA(L2510),NA(),K1788)</f>
        <v>#N/A</v>
      </c>
      <c r="L2510" s="0" t="e">
        <f aca="false">IF(OR(L1788="",AND(L1788=L1787,L1788=L1789)),NA(), L1788)</f>
        <v>#N/A</v>
      </c>
      <c r="M2510" s="0" t="e">
        <f aca="false">IF(ISNA(N2510),NA(),M1788)</f>
        <v>#N/A</v>
      </c>
      <c r="N2510" s="0" t="e">
        <f aca="false">IF(OR(N1788="",AND(N1788=N1787,N1788=N1789)),NA(), N1788)</f>
        <v>#N/A</v>
      </c>
    </row>
    <row r="2511" customFormat="false" ht="15" hidden="false" customHeight="false" outlineLevel="0" collapsed="false">
      <c r="E2511" s="0" t="e">
        <f aca="false">IF(ISNA(F2511),NA(),E1789)</f>
        <v>#N/A</v>
      </c>
      <c r="F2511" s="0" t="e">
        <f aca="false">IF(OR(F1789="",AND(F1789=F1788,F1789=F1790)),NA(), F1789)</f>
        <v>#N/A</v>
      </c>
      <c r="G2511" s="0" t="e">
        <f aca="false">IF(ISNA(H2511),NA(),G1789)</f>
        <v>#N/A</v>
      </c>
      <c r="H2511" s="0" t="e">
        <f aca="false">IF(OR(H1789="",AND(H1789=H1788,H1789=H1790)),NA(), H1789)</f>
        <v>#N/A</v>
      </c>
      <c r="K2511" s="0" t="e">
        <f aca="false">IF(ISNA(L2511),NA(),K1789)</f>
        <v>#N/A</v>
      </c>
      <c r="L2511" s="0" t="e">
        <f aca="false">IF(OR(L1789="",AND(L1789=L1788,L1789=L1790)),NA(), L1789)</f>
        <v>#N/A</v>
      </c>
      <c r="M2511" s="0" t="e">
        <f aca="false">IF(ISNA(N2511),NA(),M1789)</f>
        <v>#N/A</v>
      </c>
      <c r="N2511" s="0" t="e">
        <f aca="false">IF(OR(N1789="",AND(N1789=N1788,N1789=N1790)),NA(), N1789)</f>
        <v>#N/A</v>
      </c>
    </row>
    <row r="2512" customFormat="false" ht="15" hidden="false" customHeight="false" outlineLevel="0" collapsed="false">
      <c r="E2512" s="0" t="e">
        <f aca="false">IF(ISNA(F2512),NA(),E1790)</f>
        <v>#N/A</v>
      </c>
      <c r="F2512" s="0" t="e">
        <f aca="false">IF(OR(F1790="",AND(F1790=F1789,F1790=F1791)),NA(), F1790)</f>
        <v>#N/A</v>
      </c>
      <c r="G2512" s="0" t="e">
        <f aca="false">IF(ISNA(H2512),NA(),G1790)</f>
        <v>#N/A</v>
      </c>
      <c r="H2512" s="0" t="e">
        <f aca="false">IF(OR(H1790="",AND(H1790=H1789,H1790=H1791)),NA(), H1790)</f>
        <v>#N/A</v>
      </c>
      <c r="K2512" s="0" t="e">
        <f aca="false">IF(ISNA(L2512),NA(),K1790)</f>
        <v>#N/A</v>
      </c>
      <c r="L2512" s="0" t="e">
        <f aca="false">IF(OR(L1790="",AND(L1790=L1789,L1790=L1791)),NA(), L1790)</f>
        <v>#N/A</v>
      </c>
      <c r="M2512" s="0" t="e">
        <f aca="false">IF(ISNA(N2512),NA(),M1790)</f>
        <v>#N/A</v>
      </c>
      <c r="N2512" s="0" t="e">
        <f aca="false">IF(OR(N1790="",AND(N1790=N1789,N1790=N1791)),NA(), N1790)</f>
        <v>#N/A</v>
      </c>
    </row>
    <row r="2513" customFormat="false" ht="15" hidden="false" customHeight="false" outlineLevel="0" collapsed="false">
      <c r="E2513" s="0" t="e">
        <f aca="false">IF(ISNA(F2513),NA(),E1791)</f>
        <v>#N/A</v>
      </c>
      <c r="F2513" s="0" t="e">
        <f aca="false">IF(OR(F1791="",AND(F1791=F1790,F1791=F1792)),NA(), F1791)</f>
        <v>#N/A</v>
      </c>
      <c r="G2513" s="0" t="e">
        <f aca="false">IF(ISNA(H2513),NA(),G1791)</f>
        <v>#N/A</v>
      </c>
      <c r="H2513" s="0" t="e">
        <f aca="false">IF(OR(H1791="",AND(H1791=H1790,H1791=H1792)),NA(), H1791)</f>
        <v>#N/A</v>
      </c>
      <c r="K2513" s="0" t="e">
        <f aca="false">IF(ISNA(L2513),NA(),K1791)</f>
        <v>#N/A</v>
      </c>
      <c r="L2513" s="0" t="e">
        <f aca="false">IF(OR(L1791="",AND(L1791=L1790,L1791=L1792)),NA(), L1791)</f>
        <v>#N/A</v>
      </c>
      <c r="M2513" s="0" t="e">
        <f aca="false">IF(ISNA(N2513),NA(),M1791)</f>
        <v>#N/A</v>
      </c>
      <c r="N2513" s="0" t="e">
        <f aca="false">IF(OR(N1791="",AND(N1791=N1790,N1791=N1792)),NA(), N1791)</f>
        <v>#N/A</v>
      </c>
    </row>
    <row r="2514" customFormat="false" ht="15" hidden="false" customHeight="false" outlineLevel="0" collapsed="false">
      <c r="E2514" s="0" t="e">
        <f aca="false">IF(ISNA(F2514),NA(),E1792)</f>
        <v>#N/A</v>
      </c>
      <c r="F2514" s="0" t="e">
        <f aca="false">IF(OR(F1792="",AND(F1792=F1791,F1792=F1793)),NA(), F1792)</f>
        <v>#N/A</v>
      </c>
      <c r="G2514" s="0" t="e">
        <f aca="false">IF(ISNA(H2514),NA(),G1792)</f>
        <v>#N/A</v>
      </c>
      <c r="H2514" s="0" t="e">
        <f aca="false">IF(OR(H1792="",AND(H1792=H1791,H1792=H1793)),NA(), H1792)</f>
        <v>#N/A</v>
      </c>
      <c r="K2514" s="0" t="e">
        <f aca="false">IF(ISNA(L2514),NA(),K1792)</f>
        <v>#N/A</v>
      </c>
      <c r="L2514" s="0" t="e">
        <f aca="false">IF(OR(L1792="",AND(L1792=L1791,L1792=L1793)),NA(), L1792)</f>
        <v>#N/A</v>
      </c>
      <c r="M2514" s="0" t="e">
        <f aca="false">IF(ISNA(N2514),NA(),M1792)</f>
        <v>#N/A</v>
      </c>
      <c r="N2514" s="0" t="e">
        <f aca="false">IF(OR(N1792="",AND(N1792=N1791,N1792=N1793)),NA(), N1792)</f>
        <v>#N/A</v>
      </c>
    </row>
    <row r="2515" customFormat="false" ht="15" hidden="false" customHeight="false" outlineLevel="0" collapsed="false">
      <c r="E2515" s="0" t="e">
        <f aca="false">IF(ISNA(F2515),NA(),E1793)</f>
        <v>#N/A</v>
      </c>
      <c r="F2515" s="0" t="e">
        <f aca="false">IF(OR(F1793="",AND(F1793=F1792,F1793=F1794)),NA(), F1793)</f>
        <v>#N/A</v>
      </c>
      <c r="G2515" s="0" t="e">
        <f aca="false">IF(ISNA(H2515),NA(),G1793)</f>
        <v>#N/A</v>
      </c>
      <c r="H2515" s="0" t="e">
        <f aca="false">IF(OR(H1793="",AND(H1793=H1792,H1793=H1794)),NA(), H1793)</f>
        <v>#N/A</v>
      </c>
      <c r="K2515" s="0" t="e">
        <f aca="false">IF(ISNA(L2515),NA(),K1793)</f>
        <v>#N/A</v>
      </c>
      <c r="L2515" s="0" t="e">
        <f aca="false">IF(OR(L1793="",AND(L1793=L1792,L1793=L1794)),NA(), L1793)</f>
        <v>#N/A</v>
      </c>
      <c r="M2515" s="0" t="e">
        <f aca="false">IF(ISNA(N2515),NA(),M1793)</f>
        <v>#N/A</v>
      </c>
      <c r="N2515" s="0" t="e">
        <f aca="false">IF(OR(N1793="",AND(N1793=N1792,N1793=N1794)),NA(), N1793)</f>
        <v>#N/A</v>
      </c>
    </row>
    <row r="2516" customFormat="false" ht="15" hidden="false" customHeight="false" outlineLevel="0" collapsed="false">
      <c r="E2516" s="0" t="e">
        <f aca="false">IF(ISNA(F2516),NA(),E1794)</f>
        <v>#N/A</v>
      </c>
      <c r="F2516" s="0" t="e">
        <f aca="false">IF(OR(F1794="",AND(F1794=F1793,F1794=F1795)),NA(), F1794)</f>
        <v>#N/A</v>
      </c>
      <c r="G2516" s="0" t="e">
        <f aca="false">IF(ISNA(H2516),NA(),G1794)</f>
        <v>#N/A</v>
      </c>
      <c r="H2516" s="0" t="e">
        <f aca="false">IF(OR(H1794="",AND(H1794=H1793,H1794=H1795)),NA(), H1794)</f>
        <v>#N/A</v>
      </c>
      <c r="K2516" s="0" t="e">
        <f aca="false">IF(ISNA(L2516),NA(),K1794)</f>
        <v>#N/A</v>
      </c>
      <c r="L2516" s="0" t="e">
        <f aca="false">IF(OR(L1794="",AND(L1794=L1793,L1794=L1795)),NA(), L1794)</f>
        <v>#N/A</v>
      </c>
      <c r="M2516" s="0" t="e">
        <f aca="false">IF(ISNA(N2516),NA(),M1794)</f>
        <v>#N/A</v>
      </c>
      <c r="N2516" s="0" t="e">
        <f aca="false">IF(OR(N1794="",AND(N1794=N1793,N1794=N1795)),NA(), N1794)</f>
        <v>#N/A</v>
      </c>
    </row>
    <row r="2517" customFormat="false" ht="15" hidden="false" customHeight="false" outlineLevel="0" collapsed="false">
      <c r="E2517" s="0" t="e">
        <f aca="false">IF(ISNA(F2517),NA(),E1795)</f>
        <v>#N/A</v>
      </c>
      <c r="F2517" s="0" t="e">
        <f aca="false">IF(OR(F1795="",AND(F1795=F1794,F1795=F1796)),NA(), F1795)</f>
        <v>#N/A</v>
      </c>
      <c r="G2517" s="0" t="e">
        <f aca="false">IF(ISNA(H2517),NA(),G1795)</f>
        <v>#N/A</v>
      </c>
      <c r="H2517" s="0" t="e">
        <f aca="false">IF(OR(H1795="",AND(H1795=H1794,H1795=H1796)),NA(), H1795)</f>
        <v>#N/A</v>
      </c>
      <c r="K2517" s="0" t="e">
        <f aca="false">IF(ISNA(L2517),NA(),K1795)</f>
        <v>#N/A</v>
      </c>
      <c r="L2517" s="0" t="e">
        <f aca="false">IF(OR(L1795="",AND(L1795=L1794,L1795=L1796)),NA(), L1795)</f>
        <v>#N/A</v>
      </c>
      <c r="M2517" s="0" t="e">
        <f aca="false">IF(ISNA(N2517),NA(),M1795)</f>
        <v>#N/A</v>
      </c>
      <c r="N2517" s="0" t="e">
        <f aca="false">IF(OR(N1795="",AND(N1795=N1794,N1795=N1796)),NA(), N1795)</f>
        <v>#N/A</v>
      </c>
    </row>
    <row r="2518" customFormat="false" ht="15" hidden="false" customHeight="false" outlineLevel="0" collapsed="false">
      <c r="E2518" s="0" t="e">
        <f aca="false">IF(ISNA(F2518),NA(),E1796)</f>
        <v>#N/A</v>
      </c>
      <c r="F2518" s="0" t="e">
        <f aca="false">IF(OR(F1796="",AND(F1796=F1795,F1796=F1797)),NA(), F1796)</f>
        <v>#N/A</v>
      </c>
      <c r="G2518" s="0" t="e">
        <f aca="false">IF(ISNA(H2518),NA(),G1796)</f>
        <v>#N/A</v>
      </c>
      <c r="H2518" s="0" t="e">
        <f aca="false">IF(OR(H1796="",AND(H1796=H1795,H1796=H1797)),NA(), H1796)</f>
        <v>#N/A</v>
      </c>
      <c r="K2518" s="0" t="e">
        <f aca="false">IF(ISNA(L2518),NA(),K1796)</f>
        <v>#N/A</v>
      </c>
      <c r="L2518" s="0" t="e">
        <f aca="false">IF(OR(L1796="",AND(L1796=L1795,L1796=L1797)),NA(), L1796)</f>
        <v>#N/A</v>
      </c>
      <c r="M2518" s="0" t="e">
        <f aca="false">IF(ISNA(N2518),NA(),M1796)</f>
        <v>#N/A</v>
      </c>
      <c r="N2518" s="0" t="e">
        <f aca="false">IF(OR(N1796="",AND(N1796=N1795,N1796=N1797)),NA(), N1796)</f>
        <v>#N/A</v>
      </c>
    </row>
    <row r="2519" customFormat="false" ht="15" hidden="false" customHeight="false" outlineLevel="0" collapsed="false">
      <c r="E2519" s="0" t="e">
        <f aca="false">IF(ISNA(F2519),NA(),E1797)</f>
        <v>#N/A</v>
      </c>
      <c r="F2519" s="0" t="e">
        <f aca="false">IF(OR(F1797="",AND(F1797=F1796,F1797=F1798)),NA(), F1797)</f>
        <v>#N/A</v>
      </c>
      <c r="G2519" s="0" t="e">
        <f aca="false">IF(ISNA(H2519),NA(),G1797)</f>
        <v>#N/A</v>
      </c>
      <c r="H2519" s="0" t="e">
        <f aca="false">IF(OR(H1797="",AND(H1797=H1796,H1797=H1798)),NA(), H1797)</f>
        <v>#N/A</v>
      </c>
      <c r="K2519" s="0" t="e">
        <f aca="false">IF(ISNA(L2519),NA(),K1797)</f>
        <v>#N/A</v>
      </c>
      <c r="L2519" s="0" t="e">
        <f aca="false">IF(OR(L1797="",AND(L1797=L1796,L1797=L1798)),NA(), L1797)</f>
        <v>#N/A</v>
      </c>
      <c r="M2519" s="0" t="e">
        <f aca="false">IF(ISNA(N2519),NA(),M1797)</f>
        <v>#N/A</v>
      </c>
      <c r="N2519" s="0" t="e">
        <f aca="false">IF(OR(N1797="",AND(N1797=N1796,N1797=N1798)),NA(), N1797)</f>
        <v>#N/A</v>
      </c>
    </row>
    <row r="2520" customFormat="false" ht="15" hidden="false" customHeight="false" outlineLevel="0" collapsed="false">
      <c r="E2520" s="0" t="e">
        <f aca="false">IF(ISNA(F2520),NA(),E1798)</f>
        <v>#N/A</v>
      </c>
      <c r="F2520" s="0" t="e">
        <f aca="false">IF(OR(F1798="",AND(F1798=F1797,F1798=F1799)),NA(), F1798)</f>
        <v>#N/A</v>
      </c>
      <c r="G2520" s="0" t="e">
        <f aca="false">IF(ISNA(H2520),NA(),G1798)</f>
        <v>#N/A</v>
      </c>
      <c r="H2520" s="0" t="e">
        <f aca="false">IF(OR(H1798="",AND(H1798=H1797,H1798=H1799)),NA(), H1798)</f>
        <v>#N/A</v>
      </c>
      <c r="K2520" s="0" t="e">
        <f aca="false">IF(ISNA(L2520),NA(),K1798)</f>
        <v>#N/A</v>
      </c>
      <c r="L2520" s="0" t="e">
        <f aca="false">IF(OR(L1798="",AND(L1798=L1797,L1798=L1799)),NA(), L1798)</f>
        <v>#N/A</v>
      </c>
      <c r="M2520" s="0" t="e">
        <f aca="false">IF(ISNA(N2520),NA(),M1798)</f>
        <v>#N/A</v>
      </c>
      <c r="N2520" s="0" t="e">
        <f aca="false">IF(OR(N1798="",AND(N1798=N1797,N1798=N1799)),NA(), N1798)</f>
        <v>#N/A</v>
      </c>
    </row>
    <row r="2521" customFormat="false" ht="15" hidden="false" customHeight="false" outlineLevel="0" collapsed="false">
      <c r="E2521" s="0" t="e">
        <f aca="false">IF(ISNA(F2521),NA(),E1799)</f>
        <v>#N/A</v>
      </c>
      <c r="F2521" s="0" t="e">
        <f aca="false">IF(OR(F1799="",AND(F1799=F1798,F1799=F1800)),NA(), F1799)</f>
        <v>#N/A</v>
      </c>
      <c r="G2521" s="0" t="e">
        <f aca="false">IF(ISNA(H2521),NA(),G1799)</f>
        <v>#N/A</v>
      </c>
      <c r="H2521" s="0" t="e">
        <f aca="false">IF(OR(H1799="",AND(H1799=H1798,H1799=H1800)),NA(), H1799)</f>
        <v>#N/A</v>
      </c>
      <c r="K2521" s="0" t="e">
        <f aca="false">IF(ISNA(L2521),NA(),K1799)</f>
        <v>#N/A</v>
      </c>
      <c r="L2521" s="0" t="e">
        <f aca="false">IF(OR(L1799="",AND(L1799=L1798,L1799=L1800)),NA(), L1799)</f>
        <v>#N/A</v>
      </c>
      <c r="M2521" s="0" t="e">
        <f aca="false">IF(ISNA(N2521),NA(),M1799)</f>
        <v>#N/A</v>
      </c>
      <c r="N2521" s="0" t="e">
        <f aca="false">IF(OR(N1799="",AND(N1799=N1798,N1799=N1800)),NA(), N1799)</f>
        <v>#N/A</v>
      </c>
    </row>
    <row r="2522" customFormat="false" ht="15" hidden="false" customHeight="false" outlineLevel="0" collapsed="false">
      <c r="E2522" s="0" t="e">
        <f aca="false">IF(ISNA(F2522),NA(),E1800)</f>
        <v>#N/A</v>
      </c>
      <c r="F2522" s="0" t="e">
        <f aca="false">IF(OR(F1800="",AND(F1800=F1799,F1800=F1801)),NA(), F1800)</f>
        <v>#N/A</v>
      </c>
      <c r="G2522" s="0" t="e">
        <f aca="false">IF(ISNA(H2522),NA(),G1800)</f>
        <v>#N/A</v>
      </c>
      <c r="H2522" s="0" t="e">
        <f aca="false">IF(OR(H1800="",AND(H1800=H1799,H1800=H1801)),NA(), H1800)</f>
        <v>#N/A</v>
      </c>
      <c r="K2522" s="0" t="e">
        <f aca="false">IF(ISNA(L2522),NA(),K1800)</f>
        <v>#N/A</v>
      </c>
      <c r="L2522" s="0" t="e">
        <f aca="false">IF(OR(L1800="",AND(L1800=L1799,L1800=L1801)),NA(), L1800)</f>
        <v>#N/A</v>
      </c>
      <c r="M2522" s="0" t="e">
        <f aca="false">IF(ISNA(N2522),NA(),M1800)</f>
        <v>#N/A</v>
      </c>
      <c r="N2522" s="0" t="e">
        <f aca="false">IF(OR(N1800="",AND(N1800=N1799,N1800=N1801)),NA(), N1800)</f>
        <v>#N/A</v>
      </c>
    </row>
    <row r="2523" customFormat="false" ht="15" hidden="false" customHeight="false" outlineLevel="0" collapsed="false">
      <c r="E2523" s="0" t="e">
        <f aca="false">IF(ISNA(F2523),NA(),E1801)</f>
        <v>#N/A</v>
      </c>
      <c r="F2523" s="0" t="e">
        <f aca="false">IF(OR(F1801="",AND(F1801=F1800,F1801=F1802)),NA(), F1801)</f>
        <v>#N/A</v>
      </c>
      <c r="G2523" s="0" t="e">
        <f aca="false">IF(ISNA(H2523),NA(),G1801)</f>
        <v>#N/A</v>
      </c>
      <c r="H2523" s="0" t="e">
        <f aca="false">IF(OR(H1801="",AND(H1801=H1800,H1801=H1802)),NA(), H1801)</f>
        <v>#N/A</v>
      </c>
      <c r="K2523" s="0" t="e">
        <f aca="false">IF(ISNA(L2523),NA(),K1801)</f>
        <v>#N/A</v>
      </c>
      <c r="L2523" s="0" t="e">
        <f aca="false">IF(OR(L1801="",AND(L1801=L1800,L1801=L1802)),NA(), L1801)</f>
        <v>#N/A</v>
      </c>
      <c r="M2523" s="0" t="e">
        <f aca="false">IF(ISNA(N2523),NA(),M1801)</f>
        <v>#N/A</v>
      </c>
      <c r="N2523" s="0" t="e">
        <f aca="false">IF(OR(N1801="",AND(N1801=N1800,N1801=N1802)),NA(), N1801)</f>
        <v>#N/A</v>
      </c>
    </row>
    <row r="2524" customFormat="false" ht="15" hidden="false" customHeight="false" outlineLevel="0" collapsed="false">
      <c r="E2524" s="0" t="e">
        <f aca="false">IF(ISNA(F2524),NA(),E1802)</f>
        <v>#N/A</v>
      </c>
      <c r="F2524" s="0" t="e">
        <f aca="false">IF(OR(F1802="",AND(F1802=F1801,F1802=F1803)),NA(), F1802)</f>
        <v>#N/A</v>
      </c>
      <c r="G2524" s="0" t="e">
        <f aca="false">IF(ISNA(H2524),NA(),G1802)</f>
        <v>#N/A</v>
      </c>
      <c r="H2524" s="0" t="e">
        <f aca="false">IF(OR(H1802="",AND(H1802=H1801,H1802=H1803)),NA(), H1802)</f>
        <v>#N/A</v>
      </c>
      <c r="K2524" s="0" t="e">
        <f aca="false">IF(ISNA(L2524),NA(),K1802)</f>
        <v>#N/A</v>
      </c>
      <c r="L2524" s="0" t="e">
        <f aca="false">IF(OR(L1802="",AND(L1802=L1801,L1802=L1803)),NA(), L1802)</f>
        <v>#N/A</v>
      </c>
      <c r="M2524" s="0" t="e">
        <f aca="false">IF(ISNA(N2524),NA(),M1802)</f>
        <v>#N/A</v>
      </c>
      <c r="N2524" s="0" t="e">
        <f aca="false">IF(OR(N1802="",AND(N1802=N1801,N1802=N1803)),NA(), N1802)</f>
        <v>#N/A</v>
      </c>
    </row>
    <row r="2525" customFormat="false" ht="15" hidden="false" customHeight="false" outlineLevel="0" collapsed="false">
      <c r="E2525" s="0" t="e">
        <f aca="false">IF(ISNA(F2525),NA(),E1803)</f>
        <v>#N/A</v>
      </c>
      <c r="F2525" s="0" t="e">
        <f aca="false">IF(OR(F1803="",AND(F1803=F1802,F1803=F1804)),NA(), F1803)</f>
        <v>#N/A</v>
      </c>
      <c r="G2525" s="0" t="e">
        <f aca="false">IF(ISNA(H2525),NA(),G1803)</f>
        <v>#N/A</v>
      </c>
      <c r="H2525" s="0" t="e">
        <f aca="false">IF(OR(H1803="",AND(H1803=H1802,H1803=H1804)),NA(), H1803)</f>
        <v>#N/A</v>
      </c>
      <c r="K2525" s="0" t="e">
        <f aca="false">IF(ISNA(L2525),NA(),K1803)</f>
        <v>#N/A</v>
      </c>
      <c r="L2525" s="0" t="e">
        <f aca="false">IF(OR(L1803="",AND(L1803=L1802,L1803=L1804)),NA(), L1803)</f>
        <v>#N/A</v>
      </c>
      <c r="M2525" s="0" t="e">
        <f aca="false">IF(ISNA(N2525),NA(),M1803)</f>
        <v>#N/A</v>
      </c>
      <c r="N2525" s="0" t="e">
        <f aca="false">IF(OR(N1803="",AND(N1803=N1802,N1803=N1804)),NA(), N1803)</f>
        <v>#N/A</v>
      </c>
    </row>
    <row r="2526" customFormat="false" ht="15" hidden="false" customHeight="false" outlineLevel="0" collapsed="false">
      <c r="E2526" s="0" t="e">
        <f aca="false">IF(ISNA(F2526),NA(),E1804)</f>
        <v>#N/A</v>
      </c>
      <c r="F2526" s="0" t="e">
        <f aca="false">IF(OR(F1804="",AND(F1804=F1803,F1804=F1805)),NA(), F1804)</f>
        <v>#N/A</v>
      </c>
      <c r="G2526" s="0" t="e">
        <f aca="false">IF(ISNA(H2526),NA(),G1804)</f>
        <v>#N/A</v>
      </c>
      <c r="H2526" s="0" t="e">
        <f aca="false">IF(OR(H1804="",AND(H1804=H1803,H1804=H1805)),NA(), H1804)</f>
        <v>#N/A</v>
      </c>
      <c r="K2526" s="0" t="e">
        <f aca="false">IF(ISNA(L2526),NA(),K1804)</f>
        <v>#N/A</v>
      </c>
      <c r="L2526" s="0" t="e">
        <f aca="false">IF(OR(L1804="",AND(L1804=L1803,L1804=L1805)),NA(), L1804)</f>
        <v>#N/A</v>
      </c>
      <c r="M2526" s="0" t="e">
        <f aca="false">IF(ISNA(N2526),NA(),M1804)</f>
        <v>#N/A</v>
      </c>
      <c r="N2526" s="0" t="e">
        <f aca="false">IF(OR(N1804="",AND(N1804=N1803,N1804=N1805)),NA(), N1804)</f>
        <v>#N/A</v>
      </c>
    </row>
    <row r="2527" customFormat="false" ht="15" hidden="false" customHeight="false" outlineLevel="0" collapsed="false">
      <c r="E2527" s="0" t="e">
        <f aca="false">IF(ISNA(F2527),NA(),E1805)</f>
        <v>#N/A</v>
      </c>
      <c r="F2527" s="0" t="e">
        <f aca="false">IF(OR(F1805="",AND(F1805=F1804,F1805=F1806)),NA(), F1805)</f>
        <v>#N/A</v>
      </c>
      <c r="G2527" s="0" t="e">
        <f aca="false">IF(ISNA(H2527),NA(),G1805)</f>
        <v>#N/A</v>
      </c>
      <c r="H2527" s="0" t="e">
        <f aca="false">IF(OR(H1805="",AND(H1805=H1804,H1805=H1806)),NA(), H1805)</f>
        <v>#N/A</v>
      </c>
      <c r="K2527" s="0" t="e">
        <f aca="false">IF(ISNA(L2527),NA(),K1805)</f>
        <v>#N/A</v>
      </c>
      <c r="L2527" s="0" t="e">
        <f aca="false">IF(OR(L1805="",AND(L1805=L1804,L1805=L1806)),NA(), L1805)</f>
        <v>#N/A</v>
      </c>
      <c r="M2527" s="0" t="e">
        <f aca="false">IF(ISNA(N2527),NA(),M1805)</f>
        <v>#N/A</v>
      </c>
      <c r="N2527" s="0" t="e">
        <f aca="false">IF(OR(N1805="",AND(N1805=N1804,N1805=N1806)),NA(), N1805)</f>
        <v>#N/A</v>
      </c>
    </row>
    <row r="2528" customFormat="false" ht="15" hidden="false" customHeight="false" outlineLevel="0" collapsed="false">
      <c r="E2528" s="0" t="e">
        <f aca="false">IF(ISNA(F2528),NA(),E1806)</f>
        <v>#N/A</v>
      </c>
      <c r="F2528" s="0" t="e">
        <f aca="false">IF(OR(F1806="",AND(F1806=F1805,F1806=F1807)),NA(), F1806)</f>
        <v>#N/A</v>
      </c>
      <c r="G2528" s="0" t="e">
        <f aca="false">IF(ISNA(H2528),NA(),G1806)</f>
        <v>#N/A</v>
      </c>
      <c r="H2528" s="0" t="e">
        <f aca="false">IF(OR(H1806="",AND(H1806=H1805,H1806=H1807)),NA(), H1806)</f>
        <v>#N/A</v>
      </c>
      <c r="K2528" s="0" t="e">
        <f aca="false">IF(ISNA(L2528),NA(),K1806)</f>
        <v>#N/A</v>
      </c>
      <c r="L2528" s="0" t="e">
        <f aca="false">IF(OR(L1806="",AND(L1806=L1805,L1806=L1807)),NA(), L1806)</f>
        <v>#N/A</v>
      </c>
      <c r="M2528" s="0" t="e">
        <f aca="false">IF(ISNA(N2528),NA(),M1806)</f>
        <v>#N/A</v>
      </c>
      <c r="N2528" s="0" t="e">
        <f aca="false">IF(OR(N1806="",AND(N1806=N1805,N1806=N1807)),NA(), N1806)</f>
        <v>#N/A</v>
      </c>
    </row>
    <row r="2529" customFormat="false" ht="15" hidden="false" customHeight="false" outlineLevel="0" collapsed="false">
      <c r="E2529" s="0" t="e">
        <f aca="false">IF(ISNA(F2529),NA(),E1807)</f>
        <v>#N/A</v>
      </c>
      <c r="F2529" s="0" t="e">
        <f aca="false">IF(OR(F1807="",AND(F1807=F1806,F1807=F1808)),NA(), F1807)</f>
        <v>#N/A</v>
      </c>
      <c r="G2529" s="0" t="e">
        <f aca="false">IF(ISNA(H2529),NA(),G1807)</f>
        <v>#N/A</v>
      </c>
      <c r="H2529" s="0" t="e">
        <f aca="false">IF(OR(H1807="",AND(H1807=H1806,H1807=H1808)),NA(), H1807)</f>
        <v>#N/A</v>
      </c>
      <c r="K2529" s="0" t="e">
        <f aca="false">IF(ISNA(L2529),NA(),K1807)</f>
        <v>#N/A</v>
      </c>
      <c r="L2529" s="0" t="e">
        <f aca="false">IF(OR(L1807="",AND(L1807=L1806,L1807=L1808)),NA(), L1807)</f>
        <v>#N/A</v>
      </c>
      <c r="M2529" s="0" t="e">
        <f aca="false">IF(ISNA(N2529),NA(),M1807)</f>
        <v>#N/A</v>
      </c>
      <c r="N2529" s="0" t="e">
        <f aca="false">IF(OR(N1807="",AND(N1807=N1806,N1807=N1808)),NA(), N1807)</f>
        <v>#N/A</v>
      </c>
    </row>
    <row r="2530" customFormat="false" ht="15" hidden="false" customHeight="false" outlineLevel="0" collapsed="false">
      <c r="E2530" s="0" t="e">
        <f aca="false">IF(ISNA(F2530),NA(),E1808)</f>
        <v>#N/A</v>
      </c>
      <c r="F2530" s="0" t="e">
        <f aca="false">IF(OR(F1808="",AND(F1808=F1807,F1808=F1809)),NA(), F1808)</f>
        <v>#N/A</v>
      </c>
      <c r="G2530" s="0" t="e">
        <f aca="false">IF(ISNA(H2530),NA(),G1808)</f>
        <v>#N/A</v>
      </c>
      <c r="H2530" s="0" t="e">
        <f aca="false">IF(OR(H1808="",AND(H1808=H1807,H1808=H1809)),NA(), H1808)</f>
        <v>#N/A</v>
      </c>
      <c r="K2530" s="0" t="e">
        <f aca="false">IF(ISNA(L2530),NA(),K1808)</f>
        <v>#N/A</v>
      </c>
      <c r="L2530" s="0" t="e">
        <f aca="false">IF(OR(L1808="",AND(L1808=L1807,L1808=L1809)),NA(), L1808)</f>
        <v>#N/A</v>
      </c>
      <c r="M2530" s="0" t="e">
        <f aca="false">IF(ISNA(N2530),NA(),M1808)</f>
        <v>#N/A</v>
      </c>
      <c r="N2530" s="0" t="e">
        <f aca="false">IF(OR(N1808="",AND(N1808=N1807,N1808=N1809)),NA(), N1808)</f>
        <v>#N/A</v>
      </c>
    </row>
    <row r="2531" customFormat="false" ht="15" hidden="false" customHeight="false" outlineLevel="0" collapsed="false">
      <c r="E2531" s="0" t="e">
        <f aca="false">IF(ISNA(F2531),NA(),E1809)</f>
        <v>#N/A</v>
      </c>
      <c r="F2531" s="0" t="e">
        <f aca="false">IF(F1809="",NA(),F1809)</f>
        <v>#N/A</v>
      </c>
      <c r="G2531" s="0" t="n">
        <f aca="false">IF(ISNA(H2531),NA(),G1809)</f>
        <v>0</v>
      </c>
      <c r="H2531" s="0" t="n">
        <f aca="false">IF(H1809="",NA(),H1809)</f>
        <v>0</v>
      </c>
      <c r="K2531" s="0" t="e">
        <f aca="false">IF(ISNA(L2531),NA(),K1809)</f>
        <v>#N/A</v>
      </c>
      <c r="L2531" s="0" t="e">
        <f aca="false">IF(L1809="",NA(),L1809)</f>
        <v>#N/A</v>
      </c>
      <c r="M2531" s="0" t="n">
        <f aca="false">IF(ISNA(N2531),NA(),M1809)</f>
        <v>0</v>
      </c>
      <c r="N2531" s="0" t="n">
        <f aca="false">IF(N1809="",NA(),N1809)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2" customFormat="false" ht="15" hidden="false" customHeight="false" outlineLevel="0" collapsed="false">
      <c r="B2" s="0" t="s">
        <v>411</v>
      </c>
      <c r="F2" s="0" t="s">
        <v>412</v>
      </c>
    </row>
    <row r="3" customFormat="false" ht="15" hidden="false" customHeight="false" outlineLevel="0" collapsed="false">
      <c r="B3" s="2" t="s">
        <v>413</v>
      </c>
      <c r="F3" s="2" t="s">
        <v>1</v>
      </c>
    </row>
  </sheetData>
  <dataValidations count="2">
    <dataValidation allowBlank="true" errorStyle="stop" operator="between" prompt="Select how runs should be merged. 'none' means no merging." showDropDown="false" showErrorMessage="true" showInputMessage="true" sqref="B3" type="list">
      <formula1>"none,average,median,min,max"</formula1>
      <formula2>0</formula2>
    </dataValidation>
    <dataValidation allowBlank="true" errorStyle="stop" operator="between" prompt="Select measure to display." showDropDown="false" showErrorMessage="true" showInputMessage="true" sqref="F3" type="list">
      <formula1>"choices,conflicts,constraints,error,mem,memout,models,overall-time,par2,restarts,rules,solving-time,time,timeout,variables"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2026-10-01T07:52:43Z</dcterms:created>
  <dc:creator/>
  <dc:description/>
  <dc:language>en-US</dc:language>
  <cp:lastModifiedBy/>
  <dcterms:modified xsi:type="dcterms:W3CDTF">2026-10-01T11:05:10Z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